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rtada" sheetId="1" state="visible" r:id="rId3"/>
    <sheet name="Resumen" sheetId="2" state="visible" r:id="rId4"/>
    <sheet name="Producto" sheetId="3" state="visible" r:id="rId5"/>
    <sheet name="Tarifas" sheetId="4" state="visible" r:id="rId6"/>
    <sheet name="Pipeline" sheetId="5" state="visible" r:id="rId7"/>
    <sheet name="Logistica" sheetId="6" state="visible" r:id="rId8"/>
    <sheet name="Hipótesis" sheetId="7" state="visible" r:id="rId9"/>
    <sheet name="Mano_de_obra" sheetId="8" state="visible" r:id="rId10"/>
    <sheet name="CAPEX" sheetId="9" state="visible" r:id="rId11"/>
    <sheet name="Modelo_Mensual" sheetId="10" state="visible" r:id="rId12"/>
    <sheet name="Resumen_Anual" sheetId="11" state="visible" r:id="rId13"/>
    <sheet name="Sensibilidad" sheetId="12" state="visible" r:id="rId14"/>
    <sheet name="Esc_Conservador" sheetId="13" state="visible" r:id="rId15"/>
    <sheet name="Esc_Base" sheetId="14" state="visible" r:id="rId16"/>
    <sheet name="Esc_Optimista" sheetId="15" state="visible" r:id="rId1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<sst xmlns="http://schemas.openxmlformats.org/spreadsheetml/2006/main" count="1301" uniqueCount="710">
  <si>
    <t xml:space="preserve">ROOTFLOW HYDROPONICS S.L.</t>
  </si>
  <si>
    <t xml:space="preserve">Modelo financiero — Ronda ENISA + Inversor privado</t>
  </si>
  <si>
    <t xml:space="preserve">Microbrotes y flores comestibles · Canal HORECA premium · Madrid</t>
  </si>
  <si>
    <t xml:space="preserve">Qué hay dentro</t>
  </si>
  <si>
    <t xml:space="preserve">· PRODUCTO: COGS reales por variedad (semilla + sustrato + envase, sin IVA). Solo se produce lo activo.</t>
  </si>
  <si>
    <t xml:space="preserve">· PIPELINE: matriz cliente × variedad. La demanda identificada ALIMENTA el modelo: se sirve primero.</t>
  </si>
  <si>
    <t xml:space="preserve">· HIPÓTESIS: escenarios, capa adicional de nuevas cuentas, NÓMINAS (12 líneas, socios con sueldo reducido) y capital stack.</t>
  </si>
  <si>
    <t xml:space="preserve">· LOGISTICA: Madrid con furgo propia; fuera de Madrid, Athos por CCAA y tramo de peso. Alimenta el OPEX.</t>
  </si>
  <si>
    <t xml:space="preserve">· MODELO_MENSUAL (84 meses) · RESUMEN · RESUMEN_ANUAL.</t>
  </si>
  <si>
    <t xml:space="preserve">Cómo tocar las nóminas (sin romper nada)</t>
  </si>
  <si>
    <t xml:space="preserve">Cada línea de nómina de "Hipótesis" alimenta SU PROPIA fila de OPEX en el modelo mensual.</t>
  </si>
  <si>
    <t xml:space="preserve">NO insertes filas: usa las líneas "(libre)" que ya están puestas y cámbiales el nombre, el bruto y el mes de alta.</t>
  </si>
  <si>
    <t xml:space="preserve">La columna "Horas bandeja/mes" dice cuánto trabaja cada persona EN BANDEJA (Pedro y Nico van a 0). La de "¿Socio?" activa el sueldo reducido.</t>
  </si>
  <si>
    <t xml:space="preserve">Leyenda: Azul = input · Negro = fórmula · Verde = enlace entre hojas · Gris = desactivado</t>
  </si>
  <si>
    <t xml:space="preserve">v10 · Julio 2026 · 3 escenarios (Conservador/Base/Optimista) con precios, minutos, coste y CAPEX por caso; plantilla calculada.</t>
  </si>
  <si>
    <t xml:space="preserve">AVISO CLAVE — el tiempo por bandeja</t>
  </si>
  <si>
    <t xml:space="preserve">Producción MIDE 10 min/bandeja (sembrar+cosechar+limpiar). Con 2.880 posiciones y cultivos de rotación rápida salen ~20.000 bandejas/mes</t>
  </si>
  <si>
    <t xml:space="preserve">es decir 3.300 h/mes = 21 personas. El modelo Base asume 5 min/bandeja gracias a la automatización del CAPEX (25.000 €).</t>
  </si>
  <si>
    <t xml:space="preserve">Si NO se automatiza (10 min), el EBITDA año 5 cae de 325k a 85k. Es LA variable del negocio. Validar con Guzmán antes de la ronda.</t>
  </si>
  <si>
    <t xml:space="preserve">El nº de operarios se CALCULA según los minutos: menos minutos ⇒ menos gente. Se cambia de caso en Hipótesis!C4.</t>
  </si>
  <si>
    <t xml:space="preserve">SUELDOS DE SOCIOS</t>
  </si>
  <si>
    <t xml:space="preserve">Tabla editable año a año en Hipótesis: 2.000 € brutos/mes al arrancar y salto a partir del año 3, hasta 5.600 € en el año 7.</t>
  </si>
  <si>
    <t xml:space="preserve">Justo encima hay una fórmula que despeja el SUELDO MÁXIMO de socio para que la necesidad cuadre con la ronda objetivo (200.000 €).</t>
  </si>
  <si>
    <t xml:space="preserve">Si subes la ronda objetivo o bajas el CAPEX, esa celda te dice al instante cuánto podéis cobrar sin pedir más dinero.</t>
  </si>
  <si>
    <t xml:space="preserve">ESTRUCTURA DE FINANCIACIÓN</t>
  </si>
  <si>
    <t xml:space="preserve">RONDA (200.000 €): obra, automatización, racks y colchón de arranque. Es deuda a largo (inversor + ENISA).</t>
  </si>
  <si>
    <t xml:space="preserve">FACTORING (60% de las facturas): anticipo de facturas de los clientes grandes. El banco mira su solvencia, no la nuestra.</t>
  </si>
  <si>
    <t xml:space="preserve">PÓLIZA DE CRÉDITO (50.000 €): solo el circulante que no cubre el factoring. Pico real necesario: ~22.000 € en el mes 14.</t>
  </si>
  <si>
    <t xml:space="preserve">DIVIDENDOS: bloqueados hasta que TODA la deuda esté pagada (condición ENISA). Antes de eso, la retribución es vía nómina.</t>
  </si>
  <si>
    <t xml:space="preserve">ROOTFLOW — Resumen para ENISA e inversores</t>
  </si>
  <si>
    <t xml:space="preserve">Cuadro de mando. Portfolio real + demanda identificada + capital stack.</t>
  </si>
  <si>
    <t xml:space="preserve">COMPARATIVA DE ESCENARIOS  —  se recalcula sola al cambiar cualquier variable del modelo</t>
  </si>
  <si>
    <t xml:space="preserve">Palanca / resultado</t>
  </si>
  <si>
    <t xml:space="preserve">CONSERVADOR</t>
  </si>
  <si>
    <t xml:space="preserve">BASE</t>
  </si>
  <si>
    <t xml:space="preserve">OPTIMISTA</t>
  </si>
  <si>
    <t xml:space="preserve">LO QUE SE MODIFICA EN CADA CASO</t>
  </si>
  <si>
    <t xml:space="preserve">Minutos por bandeja</t>
  </si>
  <si>
    <t xml:space="preserve">Precio medio de venta (índice, Conservador=100%)</t>
  </si>
  <si>
    <t xml:space="preserve">Coste de producto (índice, Conservador=100%)</t>
  </si>
  <si>
    <t xml:space="preserve">Inversión en automatización (€)</t>
  </si>
  <si>
    <t xml:space="preserve">Inversión total = necesidad de financiación (€)</t>
  </si>
  <si>
    <t xml:space="preserve">PLANTILLA (se calcula sola según los minutos)</t>
  </si>
  <si>
    <t xml:space="preserve">Operarios de cultivo en régimen (nº)</t>
  </si>
  <si>
    <t xml:space="preserve">Plantilla TOTAL en régimen (nº)</t>
  </si>
  <si>
    <t xml:space="preserve">Coste de nóminas en régimen (€/mes)</t>
  </si>
  <si>
    <t xml:space="preserve">RESULTADO EN RÉGIMEN (año 5)</t>
  </si>
  <si>
    <t xml:space="preserve">Ingresos (€)</t>
  </si>
  <si>
    <t xml:space="preserve">EBITDA (€)</t>
  </si>
  <si>
    <t xml:space="preserve">Margen EBITDA (%)</t>
  </si>
  <si>
    <t xml:space="preserve">Producción (kg/mes)</t>
  </si>
  <si>
    <t xml:space="preserve">RESULTADO DE LA OPERACIÓN</t>
  </si>
  <si>
    <t xml:space="preserve">Ingresos año 1 (€)</t>
  </si>
  <si>
    <t xml:space="preserve">Caja mínima del plan (€)</t>
  </si>
  <si>
    <t xml:space="preserve">DSCR mínimo (años 2-7)</t>
  </si>
  <si>
    <t xml:space="preserve">TIR del inversor (TAE)</t>
  </si>
  <si>
    <t xml:space="preserve">MOIC (múltiplo)</t>
  </si>
  <si>
    <t xml:space="preserve">Payback del inversor (meses)</t>
  </si>
  <si>
    <t xml:space="preserve">Financiación levantada (€)</t>
  </si>
  <si>
    <t xml:space="preserve">Póliza de crédito — máximo dispuesto (€)</t>
  </si>
  <si>
    <t xml:space="preserve">LO QUE SE LLEVA CADA SOCIO (30% cada uno)</t>
  </si>
  <si>
    <t xml:space="preserve">Neto €/mes en el año 3 (sueldo)</t>
  </si>
  <si>
    <t xml:space="preserve">Neto €/mes en el año 5 (sueldo + dividendo)</t>
  </si>
  <si>
    <t xml:space="preserve">Neto €/mes en el año 7 (sueldo + dividendo)</t>
  </si>
  <si>
    <t xml:space="preserve">Dividendos cobrados por socio en 7 años (neto)</t>
  </si>
  <si>
    <t xml:space="preserve">Fondo Hito 4 acumulado (€)</t>
  </si>
  <si>
    <t xml:space="preserve">Caja + fondo Hito 4 en la empresa (año 7)</t>
  </si>
  <si>
    <t xml:space="preserve">  · de eso, le corresponde a CADA socio (30%)</t>
  </si>
  <si>
    <t xml:space="preserve">Valor de su 30% al múltiplo de salida</t>
  </si>
  <si>
    <t xml:space="preserve">¿La financiación CUBRE la necesidad?</t>
  </si>
  <si>
    <t xml:space="preserve">Todo lo de arriba son FÓRMULAS: cambia precios, minutos, SUELDOS, circulante o CAPEX y los tres casos se actualizan a la vez.</t>
  </si>
  <si>
    <t xml:space="preserve">El circulante (clientes a 30 días) se financia con la póliza, no con la ronda de la caja. El fondo Hito 4 aparta dinero para la siguiente ampliación.</t>
  </si>
  <si>
    <t xml:space="preserve">ESCENARIO ACTIVO EN EL MODELO (detalle mensual y financiación)</t>
  </si>
  <si>
    <t xml:space="preserve">Caja mínima acumulada (€)</t>
  </si>
  <si>
    <t xml:space="preserve">DSCR mínimo años 2-7</t>
  </si>
  <si>
    <t xml:space="preserve">Precio medio ponderado — directo (€/kg)</t>
  </si>
  <si>
    <t xml:space="preserve">Plantilla total en régimen (nº)</t>
  </si>
  <si>
    <t xml:space="preserve">Producción en régimen (kg/mes)</t>
  </si>
  <si>
    <t xml:space="preserve">% del AÑO 1 ya identificado</t>
  </si>
  <si>
    <t xml:space="preserve">Pipeline ponderado por probabilidad (€/mes)</t>
  </si>
  <si>
    <t xml:space="preserve">Payback (meses)</t>
  </si>
  <si>
    <t xml:space="preserve">Estructura del tramo inversor</t>
  </si>
  <si>
    <t xml:space="preserve">Coste efectivo ENISA (TAE)</t>
  </si>
  <si>
    <t xml:space="preserve">Múltiplo (MOIC)</t>
  </si>
  <si>
    <t xml:space="preserve">DEMANDA — PIPELINE (escenario activo)</t>
  </si>
  <si>
    <t xml:space="preserve">TIR anual del inversor (TAE)</t>
  </si>
  <si>
    <t xml:space="preserve">¿Cubre la inversión?</t>
  </si>
  <si>
    <t xml:space="preserve">Necesidad de inversión (€)</t>
  </si>
  <si>
    <t xml:space="preserve">Total financiación levantada (€)</t>
  </si>
  <si>
    <t xml:space="preserve">Escenario activo</t>
  </si>
  <si>
    <t xml:space="preserve">ROOTFLOW — Portfolio de producto y COGS reales</t>
  </si>
  <si>
    <t xml:space="preserve">Coste real por bandeja (semilla + sustrato + envase, sin IVA). Solo se produce lo ACTIVO. El % de luz de las activas debe sumar 100%.</t>
  </si>
  <si>
    <t xml:space="preserve">Parámetros globales</t>
  </si>
  <si>
    <t xml:space="preserve">Ratio precio DIRECTO ÷ DISTRIBUIDOR</t>
  </si>
  <si>
    <t xml:space="preserve">Días medios por mes (365/12)</t>
  </si>
  <si>
    <t xml:space="preserve">Días muertos entre ciclos (limpieza/resiembra)</t>
  </si>
  <si>
    <t xml:space="preserve">INPUT. Ciclos/mes = 30,42 ÷ (días de luz + días muertos). Con 1 día muerto, un rábano de 3 días de luz pasa de 10,1 a 7,6 ciclos/mes.</t>
  </si>
  <si>
    <t xml:space="preserve">Minutos por bandeja — CONSERVADOR (a mano, sin automatización)</t>
  </si>
  <si>
    <t xml:space="preserve">CLAVE: el tiempo por bandeja es LA variable del negocio y define cuántos operarios hacen falta. Cada nivel de minutos se consigue con la automatización del CAPEX (ver hoja CAPEX).</t>
  </si>
  <si>
    <t xml:space="preserve">Minutos por bandeja — BASE (lavadora + cinta/cosecha asistida)</t>
  </si>
  <si>
    <t xml:space="preserve">Minutos por bandeja — OPTIMISTA (+ sembradora automática)</t>
  </si>
  <si>
    <t xml:space="preserve">MINUTOS POR BANDEJA — según escenario activo</t>
  </si>
  <si>
    <t xml:space="preserve">Variedad</t>
  </si>
  <si>
    <t xml:space="preserve">Estado dato</t>
  </si>
  <si>
    <t xml:space="preserve">Activo
(1/0)</t>
  </si>
  <si>
    <t xml:space="preserve">% luz
(bandejas)</t>
  </si>
  <si>
    <t xml:space="preserve">Formato
(g/tarrina)</t>
  </si>
  <si>
    <t xml:space="preserve">Precio DIR
€/tarrina</t>
  </si>
  <si>
    <t xml:space="preserve">€/kg DIR
— calc</t>
  </si>
  <si>
    <t xml:space="preserve">Días
luz</t>
  </si>
  <si>
    <t xml:space="preserve">Días
germ.</t>
  </si>
  <si>
    <t xml:space="preserve">Ciclos/mes
— calc</t>
  </si>
  <si>
    <t xml:space="preserve">Rendim.
(g/band)</t>
  </si>
  <si>
    <t xml:space="preserve">Tarrinas
/band — calc</t>
  </si>
  <si>
    <t xml:space="preserve">kg/band
/mes — calc</t>
  </si>
  <si>
    <t xml:space="preserve">Semilla
€/band</t>
  </si>
  <si>
    <t xml:space="preserve">Sustrato
€/band</t>
  </si>
  <si>
    <t xml:space="preserve">Envase
€/tarrina</t>
  </si>
  <si>
    <t xml:space="preserve">Envase
€/band — calc</t>
  </si>
  <si>
    <t xml:space="preserve">COGS €/band
/ciclo — calc</t>
  </si>
  <si>
    <t xml:space="preserve">COGS €/band
/mes — calc</t>
  </si>
  <si>
    <t xml:space="preserve">Ingreso DIR
€/band/mes</t>
  </si>
  <si>
    <t xml:space="preserve">MB
%</t>
  </si>
  <si>
    <t xml:space="preserve">MARGEN
€/hora trabajo</t>
  </si>
  <si>
    <t xml:space="preserve">Micromezclum (mix 7 var.)</t>
  </si>
  <si>
    <t xml:space="preserve">PROVISIONAL</t>
  </si>
  <si>
    <t xml:space="preserve">Cilantro split</t>
  </si>
  <si>
    <t xml:space="preserve">CONFIRMADO</t>
  </si>
  <si>
    <t xml:space="preserve">Albahaca genovesa</t>
  </si>
  <si>
    <t xml:space="preserve">Rábano daikon</t>
  </si>
  <si>
    <t xml:space="preserve">Rúcula rocket</t>
  </si>
  <si>
    <t xml:space="preserve">Rábano rose</t>
  </si>
  <si>
    <t xml:space="preserve">Mostaza Red Giant</t>
  </si>
  <si>
    <t xml:space="preserve">Brócoli calabrese</t>
  </si>
  <si>
    <t xml:space="preserve">Amaranto rojo</t>
  </si>
  <si>
    <t xml:space="preserve">Rábano red</t>
  </si>
  <si>
    <t xml:space="preserve">INACTIVO</t>
  </si>
  <si>
    <t xml:space="preserve">Guisante (pea shoots)</t>
  </si>
  <si>
    <t xml:space="preserve">Remolacha roja</t>
  </si>
  <si>
    <t xml:space="preserve">Remolacha amarilla</t>
  </si>
  <si>
    <t xml:space="preserve">Hinojo</t>
  </si>
  <si>
    <t xml:space="preserve">Cebolla Barbra</t>
  </si>
  <si>
    <t xml:space="preserve">Cebollino chino</t>
  </si>
  <si>
    <t xml:space="preserve">PORTFOLIO ACTIVO (media ponderada por % de luz)</t>
  </si>
  <si>
    <t xml:space="preserve">Comprobación: % de luz de las ACTIVAS suma</t>
  </si>
  <si>
    <t xml:space="preserve">MARGEN €/HORA de trabajo: la métrica que manda cuando la mano de obra es el cuello de botella. Compárala con el coste/hora cargado (~14 €/h).</t>
  </si>
  <si>
    <t xml:space="preserve">Precio medio ponderado del portfolio — DIRECTO (€/kg)</t>
  </si>
  <si>
    <t xml:space="preserve">Margen bruto del portfolio (s/ ingreso directo)</t>
  </si>
  <si>
    <t xml:space="preserve">REVISIÓN OPERATIVA (socio de producción) — 23/09/2026</t>
  </si>
  <si>
    <t xml:space="preserve">Rendimientos actualizados: cilantro 120→145 g · albahaca 100→90 g · rábano daikon y rose 175→245 g (solo los ACTIVOS).</t>
  </si>
  <si>
    <t xml:space="preserve">PENDIENTE DE CONFIRMAR: 'Rábano red' (INACTIVO) sigue en 200 g y 'Micromezclum' (mix de 7 variedades) sigue en 170 g. Si el mix lleva rábano, su rendimiento sube también — revisar con producción.</t>
  </si>
  <si>
    <t xml:space="preserve">OJO: los rábanos ACTIVOS tienen 3 días de luz (10,1 ciclos/mes). El 'rábano de ciclo corto' del deck (2 días de luz, 15 ciclos/mes) es el rábano red, que está INACTIVO.</t>
  </si>
  <si>
    <t xml:space="preserve">ROOTFLOW — Tarifas reales por cliente, variedad y formato</t>
  </si>
  <si>
    <t xml:space="preserve">Pega aquí el export del ERP. El precio medio ponderado por variedad se calcula solo y se copia a mano en Producto!F (Precio DIR €/tarrina). NADA de esta hoja alimenta el modelo todavía: primero hay que revisar los datos.</t>
  </si>
  <si>
    <t xml:space="preserve">Cliente</t>
  </si>
  <si>
    <t xml:space="preserve">Canal (DIR/DIST)</t>
  </si>
  <si>
    <t xml:space="preserve">Formato (g/tarrina)</t>
  </si>
  <si>
    <t xml:space="preserve">Precio €/tarrina</t>
  </si>
  <si>
    <t xml:space="preserve">Tarrinas/mes</t>
  </si>
  <si>
    <t xml:space="preserve">€/mes — calc</t>
  </si>
  <si>
    <t xml:space="preserve">kg/mes — calc</t>
  </si>
  <si>
    <t xml:space="preserve">€/kg — calc</t>
  </si>
  <si>
    <t xml:space="preserve">RESUMEN POR VARIEDAD (se rellena solo desde la tabla)</t>
  </si>
  <si>
    <t xml:space="preserve">€/mes</t>
  </si>
  <si>
    <t xml:space="preserve">kg/mes</t>
  </si>
  <si>
    <t xml:space="preserve">€/kg ponderado</t>
  </si>
  <si>
    <t xml:space="preserve">€/tarrina medio</t>
  </si>
  <si>
    <t xml:space="preserve">TOTAL / PONDERADO</t>
  </si>
  <si>
    <t xml:space="preserve">Precio medio ponderado que usa HOY el modelo (Producto!D35):</t>
  </si>
  <si>
    <t xml:space="preserve">Diferencia vs. tarifas reales (€/kg):</t>
  </si>
  <si>
    <t xml:space="preserve">ROOTFLOW — Pipeline comercial: demanda identificada por cliente y variedad</t>
  </si>
  <si>
    <t xml:space="preserve">Esta hoja ALIMENTA el modelo: cada cliente pide tarrinas/semana de variedades concretas. El modelo sirve primero esta demanda y añade encima la capa de nuevas cuentas.</t>
  </si>
  <si>
    <t xml:space="preserve">Semanas por mes (365/7/12)</t>
  </si>
  <si>
    <t xml:space="preserve">Parámetros por variedad (enlazados de Producto — no tocar)</t>
  </si>
  <si>
    <t xml:space="preserve">Micromez.</t>
  </si>
  <si>
    <t xml:space="preserve">Cilantro</t>
  </si>
  <si>
    <t xml:space="preserve">Albahaca</t>
  </si>
  <si>
    <t xml:space="preserve">R. daikon</t>
  </si>
  <si>
    <t xml:space="preserve">Rúcula</t>
  </si>
  <si>
    <t xml:space="preserve">R. rose</t>
  </si>
  <si>
    <t xml:space="preserve">Mostaza</t>
  </si>
  <si>
    <t xml:space="preserve">Brócoli</t>
  </si>
  <si>
    <t xml:space="preserve">Amaranto</t>
  </si>
  <si>
    <t xml:space="preserve">Precio directo €/tarrina</t>
  </si>
  <si>
    <t xml:space="preserve">Tarrinas por bandeja</t>
  </si>
  <si>
    <t xml:space="preserve">Ciclos/mes</t>
  </si>
  <si>
    <t xml:space="preserve">COGS €/tarrina</t>
  </si>
  <si>
    <t xml:space="preserve">Peso tarrina (g)</t>
  </si>
  <si>
    <t xml:space="preserve">Posiciones por tarrina·mes</t>
  </si>
  <si>
    <t xml:space="preserve">Bandejas por tarrina</t>
  </si>
  <si>
    <t xml:space="preserve">tarrinas por SEMANA que pide cada cliente, por variedad</t>
  </si>
  <si>
    <t xml:space="preserve">Estado</t>
  </si>
  <si>
    <t xml:space="preserve">Desc.
canal</t>
  </si>
  <si>
    <t xml:space="preserve">Prob.</t>
  </si>
  <si>
    <t xml:space="preserve">Mes
inicio</t>
  </si>
  <si>
    <t xml:space="preserve">Rampa
(meses)</t>
  </si>
  <si>
    <t xml:space="preserve">Tarrinas
/mes</t>
  </si>
  <si>
    <t xml:space="preserve">€/mes
POTENCIAL</t>
  </si>
  <si>
    <t xml:space="preserve">€/mes
PONDERADO</t>
  </si>
  <si>
    <t xml:space="preserve">Bandejas
/mes</t>
  </si>
  <si>
    <t xml:space="preserve">Posic.
de luz</t>
  </si>
  <si>
    <t xml:space="preserve">% de la
nave</t>
  </si>
  <si>
    <t xml:space="preserve">COGS
€/mes</t>
  </si>
  <si>
    <t xml:space="preserve">Notas / próximos pasos</t>
  </si>
  <si>
    <t xml:space="preserve">Frutería La Huerta de Aranjuez</t>
  </si>
  <si>
    <t xml:space="preserve">ACTIVO</t>
  </si>
  <si>
    <t xml:space="preserve">Cliente actual — crece gradual en nave nueva</t>
  </si>
  <si>
    <t xml:space="preserve">Sushita</t>
  </si>
  <si>
    <t xml:space="preserve">EN CONVERSACIÓN</t>
  </si>
  <si>
    <t xml:space="preserve">Cuenta HORECA pequeña — cerrar ya</t>
  </si>
  <si>
    <t xml:space="preserve">Frutas Eloy</t>
  </si>
  <si>
    <t xml:space="preserve">Cliente recurrente — sube despacio a micromezclum</t>
  </si>
  <si>
    <t xml:space="preserve">Mercamadrid (asentadores)</t>
  </si>
  <si>
    <t xml:space="preserve">POR ABRIR</t>
  </si>
  <si>
    <t xml:space="preserve">Micromezclum a granel — rampa larga de distribuidor</t>
  </si>
  <si>
    <t xml:space="preserve">Makro (cash &amp; carry)</t>
  </si>
  <si>
    <t xml:space="preserve">Gran cuenta: NO antes de capacidad probada. PENDIENTE LLAMADA</t>
  </si>
  <si>
    <t xml:space="preserve">Primaflor</t>
  </si>
  <si>
    <t xml:space="preserve">Co-packing: entra en año 2. PENDIENTE LLAMADA</t>
  </si>
  <si>
    <t xml:space="preserve">— hueco nueva cuenta —</t>
  </si>
  <si>
    <t xml:space="preserve">TOTAL PIPELINE</t>
  </si>
  <si>
    <t xml:space="preserve">MIX QUE PIDE LA DEMANDA — posiciones de luz ponderadas (guía de siembra)</t>
  </si>
  <si>
    <t xml:space="preserve">Posiciones ponderadas</t>
  </si>
  <si>
    <t xml:space="preserve">% del mix demandado</t>
  </si>
  <si>
    <t xml:space="preserve">ROOTFLOW — Logística: Madrid propio + resto de España (Athos)</t>
  </si>
  <si>
    <t xml:space="preserve">En Madrid repartimos con nuestras furgos (coste propio). Fuera de Madrid lo hace Athos: tarifa por CCAA y tramo de peso por envío. Ajusta el % de ventas fuera de Madrid y su reparto por CCAA.</t>
  </si>
  <si>
    <t xml:space="preserve">PARÁMETROS GENERALES</t>
  </si>
  <si>
    <t xml:space="preserve">% de las ventas (kg) que va FUERA de Madrid</t>
  </si>
  <si>
    <t xml:space="preserve">El resto se reparte en Madrid con furgo propia</t>
  </si>
  <si>
    <t xml:space="preserve">Peso medio por ENVÍO fuera de Madrid (kg)</t>
  </si>
  <si>
    <t xml:space="preserve">Determina el tramo de tarifa (0-25 / 26-50 / 51-100 / 101-150 / 151-200 / 201-299)</t>
  </si>
  <si>
    <t xml:space="preserve">Coste furgo PROPIA en Madrid (€/kg)</t>
  </si>
  <si>
    <t xml:space="preserve">Combustible + amortización furgo + parte de reparto (no nómina de reparto, que ya está en OPEX)</t>
  </si>
  <si>
    <t xml:space="preserve">Recargo Athos (recogida 3€/pedido, seguro, etc.) %</t>
  </si>
  <si>
    <t xml:space="preserve">TARIFA ATHOS POR CCAA Y TRAMO DE PESO (€ por ENVÍO) — editable</t>
  </si>
  <si>
    <t xml:space="preserve">Comunidad Autónoma</t>
  </si>
  <si>
    <t xml:space="preserve">0-25 kg</t>
  </si>
  <si>
    <t xml:space="preserve">26-50 kg</t>
  </si>
  <si>
    <t xml:space="preserve">51-100 kg</t>
  </si>
  <si>
    <t xml:space="preserve">101-150 kg</t>
  </si>
  <si>
    <t xml:space="preserve">151-200 kg</t>
  </si>
  <si>
    <t xml:space="preserve">201-299 kg</t>
  </si>
  <si>
    <t xml:space="preserve">% de ventas fuera</t>
  </si>
  <si>
    <t xml:space="preserve">€/kg equivalente</t>
  </si>
  <si>
    <t xml:space="preserve">kg/mes régimen</t>
  </si>
  <si>
    <t xml:space="preserve">Coste/mes régimen</t>
  </si>
  <si>
    <t xml:space="preserve">Andalucía</t>
  </si>
  <si>
    <t xml:space="preserve">Aragón</t>
  </si>
  <si>
    <t xml:space="preserve">Asturias</t>
  </si>
  <si>
    <t xml:space="preserve">Cantabria</t>
  </si>
  <si>
    <t xml:space="preserve">Castilla y León</t>
  </si>
  <si>
    <t xml:space="preserve">Castilla-La Mancha</t>
  </si>
  <si>
    <t xml:space="preserve">Cataluña</t>
  </si>
  <si>
    <t xml:space="preserve">C. Valenciana</t>
  </si>
  <si>
    <t xml:space="preserve">Extremadura</t>
  </si>
  <si>
    <t xml:space="preserve">Galicia</t>
  </si>
  <si>
    <t xml:space="preserve">La Rioja</t>
  </si>
  <si>
    <t xml:space="preserve">Murcia</t>
  </si>
  <si>
    <t xml:space="preserve">Navarra</t>
  </si>
  <si>
    <t xml:space="preserve">País Vasco</t>
  </si>
  <si>
    <t xml:space="preserve">TOTAL FUERA DE MADRID</t>
  </si>
  <si>
    <t xml:space="preserve">REPARTO DE LA PRODUCCIÓN (régimen, mes 84)</t>
  </si>
  <si>
    <t xml:space="preserve">Producción total (kg/mes)</t>
  </si>
  <si>
    <t xml:space="preserve">kg/mes en Madrid (furgo propia)</t>
  </si>
  <si>
    <t xml:space="preserve">kg/mes fuera de Madrid (Athos)</t>
  </si>
  <si>
    <t xml:space="preserve">Coste logístico Madrid (€/mes)</t>
  </si>
  <si>
    <t xml:space="preserve">Coste logístico fuera Madrid (€/mes)</t>
  </si>
  <si>
    <t xml:space="preserve">COSTE LOGÍSTICO TOTAL (€/mes régimen)</t>
  </si>
  <si>
    <t xml:space="preserve">Coste logístico medio (€/kg)</t>
  </si>
  <si>
    <t xml:space="preserve">Coste logístico total como % de ingresos</t>
  </si>
  <si>
    <t xml:space="preserve">Nota: Athos cobra por ENVÍO según peso; agrupar pedidos de una misma CCAA en un envío mayor abarata mucho el €/kg (mira cómo baja al subir el peso medio por envío). Devoluciones +15%, aeropuerto +30€.</t>
  </si>
  <si>
    <t xml:space="preserve">€/kg medio ponderado FUERA (para el modelo mensual)</t>
  </si>
  <si>
    <t xml:space="preserve">ROOTFLOW — Hipótesis del modelo</t>
  </si>
  <si>
    <t xml:space="preserve">Celdas azules = inputs. El selector de escenario reescribe la columna "Activo".</t>
  </si>
  <si>
    <t xml:space="preserve">ESCENARIO ACTIVO  (1 = Conservador · 2 = Base · 3 = Optimista)</t>
  </si>
  <si>
    <t xml:space="preserve">Concepto</t>
  </si>
  <si>
    <t xml:space="preserve">Unidad</t>
  </si>
  <si>
    <t xml:space="preserve">Conservador</t>
  </si>
  <si>
    <t xml:space="preserve">Base</t>
  </si>
  <si>
    <t xml:space="preserve">Optimista</t>
  </si>
  <si>
    <t xml:space="preserve">Activo</t>
  </si>
  <si>
    <t xml:space="preserve">GEOMETRÍA DEL RACK</t>
  </si>
  <si>
    <t xml:space="preserve">Rack ANTIGUO — bandejas por rack</t>
  </si>
  <si>
    <t xml:space="preserve">bandejas</t>
  </si>
  <si>
    <t xml:space="preserve">Rack NUEVO — superficie de cultivo POR NIVEL</t>
  </si>
  <si>
    <t xml:space="preserve">m²/nivel</t>
  </si>
  <si>
    <t xml:space="preserve">Rack NUEVO — nº de niveles</t>
  </si>
  <si>
    <t xml:space="preserve">niveles</t>
  </si>
  <si>
    <t xml:space="preserve">Superficie ocupada por bandeja</t>
  </si>
  <si>
    <t xml:space="preserve">m²/band</t>
  </si>
  <si>
    <t xml:space="preserve">Bandejas por nivel — CALCULADO</t>
  </si>
  <si>
    <t xml:space="preserve">BANDEJAS POR RACK NUEVO — CALCULADO</t>
  </si>
  <si>
    <t xml:space="preserve">Superficie de cultivo por rack — CALCULADO</t>
  </si>
  <si>
    <t xml:space="preserve">m²</t>
  </si>
  <si>
    <t xml:space="preserve">AJUSTE POR ESCENARIO (flexiona la economía de Producto)</t>
  </si>
  <si>
    <t xml:space="preserve">Ajuste de PRECIO de venta (Cons=actual · Base +20% · Opt +35%)</t>
  </si>
  <si>
    <t xml:space="preserve">%</t>
  </si>
  <si>
    <t xml:space="preserve">Ajuste de RENDIMIENTO / kg</t>
  </si>
  <si>
    <t xml:space="preserve">Ajuste de COSTE de producto (Cons=actual · Base −15% · Opt −25%)</t>
  </si>
  <si>
    <t xml:space="preserve">ECONOMÍA POR BANDEJA (Producto × escenario)</t>
  </si>
  <si>
    <t xml:space="preserve">Ingreso por bandeja — DIRECTO</t>
  </si>
  <si>
    <t xml:space="preserve">€/band/mes</t>
  </si>
  <si>
    <t xml:space="preserve">Ingreso por bandeja — DISTRIBUIDOR</t>
  </si>
  <si>
    <t xml:space="preserve">COGS por bandeja</t>
  </si>
  <si>
    <t xml:space="preserve">Rendimiento por bandeja</t>
  </si>
  <si>
    <t xml:space="preserve">kg/band/mes</t>
  </si>
  <si>
    <t xml:space="preserve">Ciclos (siembras) por posición y mes</t>
  </si>
  <si>
    <t xml:space="preserve">ciclos/mes</t>
  </si>
  <si>
    <t xml:space="preserve">CAPACIDAD Y RAMPA</t>
  </si>
  <si>
    <t xml:space="preserve">Capacidad total de la nave (racks NUEVOS)  ← manda sobre el CAPEX</t>
  </si>
  <si>
    <t xml:space="preserve">racks</t>
  </si>
  <si>
    <t xml:space="preserve">Racks operativos al abrir (mes 1)</t>
  </si>
  <si>
    <t xml:space="preserve">Ritmo de instalación de racks</t>
  </si>
  <si>
    <t xml:space="preserve">racks/mes</t>
  </si>
  <si>
    <t xml:space="preserve">Capa ADICIONAL: mes de inicio de captación de nuevas cuentas</t>
  </si>
  <si>
    <t xml:space="preserve">mes</t>
  </si>
  <si>
    <t xml:space="preserve">Capa adicional: % a cliente DIRECTO (igual en los 3)</t>
  </si>
  <si>
    <t xml:space="preserve">Capa ADICIONAL (nuevas cuentas): utilización inicial</t>
  </si>
  <si>
    <t xml:space="preserve">Capa ADICIONAL: techo de utilización (igual en los 3 casos)</t>
  </si>
  <si>
    <t xml:space="preserve">Capa ADICIONAL: meses hasta el techo</t>
  </si>
  <si>
    <t xml:space="preserve">meses</t>
  </si>
  <si>
    <t xml:space="preserve">Merma + comercial + impagados (igual en los 3)</t>
  </si>
  <si>
    <t xml:space="preserve">COSTES FIJOS (mensual, sin nóminas)</t>
  </si>
  <si>
    <t xml:space="preserve">Alquiler de la nave (350 m²)</t>
  </si>
  <si>
    <t xml:space="preserve">Suministros — parte fija</t>
  </si>
  <si>
    <t xml:space="preserve">Electricidad variable por posición iluminada</t>
  </si>
  <si>
    <t xml:space="preserve">€/pos/mes</t>
  </si>
  <si>
    <t xml:space="preserve">Vehículo de reparto — renting + combustible</t>
  </si>
  <si>
    <t xml:space="preserve">Otros opex (gestoría, seguros, software, marketing)</t>
  </si>
  <si>
    <t xml:space="preserve">NÓMINAS — cada línea alimenta SU PROPIA fila de OPEX</t>
  </si>
  <si>
    <t xml:space="preserve">Coste Seguridad Social empresa (% s/ bruto)</t>
  </si>
  <si>
    <t xml:space="preserve">SOCIOS — bruto €/mes POR AÑO (editable año a año)</t>
  </si>
  <si>
    <t xml:space="preserve">Año 1</t>
  </si>
  <si>
    <t xml:space="preserve">Año 2</t>
  </si>
  <si>
    <t xml:space="preserve">Año 3</t>
  </si>
  <si>
    <t xml:space="preserve">Año 4</t>
  </si>
  <si>
    <t xml:space="preserve">Año 5</t>
  </si>
  <si>
    <t xml:space="preserve">Año 6</t>
  </si>
  <si>
    <t xml:space="preserve">Año 7</t>
  </si>
  <si>
    <t xml:space="preserve">Bruto de CADA socio (aplica a las líneas con ¿Socio?=1)</t>
  </si>
  <si>
    <t xml:space="preserve">Incremento salarial anual del RESTO de plantilla</t>
  </si>
  <si>
    <t xml:space="preserve">%/año</t>
  </si>
  <si>
    <t xml:space="preserve">Los socios cobran lo de la tabla de arriba según el año. El resto de plantilla parte de su bruto y sube ese % cada año.</t>
  </si>
  <si>
    <t xml:space="preserve">Rol</t>
  </si>
  <si>
    <t xml:space="preserve">Activo (1/0)</t>
  </si>
  <si>
    <t xml:space="preserve">Bruto €/mes</t>
  </si>
  <si>
    <t xml:space="preserve">Alta (mes)</t>
  </si>
  <si>
    <t xml:space="preserve">Cargado €/mes</t>
  </si>
  <si>
    <t xml:space="preserve">Horas bandeja/mes</t>
  </si>
  <si>
    <t xml:space="preserve">¿Socio? (1/0)</t>
  </si>
  <si>
    <t xml:space="preserve">Pedro — socio (finanzas)</t>
  </si>
  <si>
    <t xml:space="preserve">Nico — socio (comercial)</t>
  </si>
  <si>
    <t xml:space="preserve">Guzmán — socio (producción)</t>
  </si>
  <si>
    <t xml:space="preserve">Encargado de producción</t>
  </si>
  <si>
    <t xml:space="preserve">Comercial / KAM</t>
  </si>
  <si>
    <t xml:space="preserve">(rol fijo libre)</t>
  </si>
  <si>
    <t xml:space="preserve">Nóminas en régimen (todas las activas)</t>
  </si>
  <si>
    <t xml:space="preserve">Nóminas activas en el MES 1 (para el colchón)</t>
  </si>
  <si>
    <t xml:space="preserve">RONDA OBJETIVO — cuánto queremos pedir en total</t>
  </si>
  <si>
    <t xml:space="preserve">€</t>
  </si>
  <si>
    <t xml:space="preserve">SUELDO MÁXIMO de socio (año 1) para que la necesidad = ronda objetivo</t>
  </si>
  <si>
    <t xml:space="preserve">Copia ese importe en la casilla del AÑO 1 de la tabla de sueldos de arriba y la ronda cuadra sola. Columnas C/D/E = Conservador/Base/Optimista.</t>
  </si>
  <si>
    <t xml:space="preserve">Horas de bandeja de la plantilla FIJA (Guzmán + encargado)</t>
  </si>
  <si>
    <t xml:space="preserve">OPERARIOS DE CULTIVO — se calculan según los minutos del escenario</t>
  </si>
  <si>
    <t xml:space="preserve">Operario de cultivo — bruto €/mes</t>
  </si>
  <si>
    <t xml:space="preserve">Operario de cultivo — coste cargado (con SS)</t>
  </si>
  <si>
    <t xml:space="preserve">Operario de cultivo — horas de bandeja por mes</t>
  </si>
  <si>
    <t xml:space="preserve">h/mes</t>
  </si>
  <si>
    <t xml:space="preserve">Los operarios NO se listan a mano: el modelo calcula cuántos hacen falta cada mes según las bandejas y los minutos del escenario (a menos minutos, menos operarios).</t>
  </si>
  <si>
    <t xml:space="preserve">CIRCULANTE (NOF) — lo que tienes fuera en clientes</t>
  </si>
  <si>
    <t xml:space="preserve">Días de cobro a clientes (30 = máximo legal en perecederos)</t>
  </si>
  <si>
    <t xml:space="preserve">días</t>
  </si>
  <si>
    <t xml:space="preserve">Días de pago a proveedores</t>
  </si>
  <si>
    <t xml:space="preserve">CAPEX de mantenimiento/reposición (% de ingresos)</t>
  </si>
  <si>
    <t xml:space="preserve">PÓLIZA DE CRÉDITO (para financiar el circulante)</t>
  </si>
  <si>
    <t xml:space="preserve">Límite de la póliza de crédito</t>
  </si>
  <si>
    <t xml:space="preserve">Tipo de interés de la póliza</t>
  </si>
  <si>
    <t xml:space="preserve">Caja objetivo — por debajo se dispone de la póliza</t>
  </si>
  <si>
    <t xml:space="preserve">% de facturas ANTICIPADAS (factoring sobre clientes grandes)</t>
  </si>
  <si>
    <t xml:space="preserve">Coste todo incluido del factoring (comisión + interés)</t>
  </si>
  <si>
    <t xml:space="preserve">REINVERSIÓN (Hito 4) Y REPARTO A SOCIOS</t>
  </si>
  <si>
    <t xml:space="preserve">Mes desde el que se aparta dinero para el Hito 4</t>
  </si>
  <si>
    <t xml:space="preserve">% del beneficio neto que se reinvierte en Hito 4</t>
  </si>
  <si>
    <t xml:space="preserve">Mes mínimo para repartir (además exige deuda a cero)</t>
  </si>
  <si>
    <t xml:space="preserve">% del beneficio distribuible que se reparte</t>
  </si>
  <si>
    <t xml:space="preserve">Caja mínima que NUNCA se reparte (colchón permanente)</t>
  </si>
  <si>
    <t xml:space="preserve">Capital social + prima tras la ampliación (base de la reserva legal)</t>
  </si>
  <si>
    <t xml:space="preserve">Participación de CADA socio</t>
  </si>
  <si>
    <t xml:space="preserve">Tipo efectivo IRPF + SS trabajador sobre nómina</t>
  </si>
  <si>
    <t xml:space="preserve">Tipo IRPF del ahorro sobre dividendos</t>
  </si>
  <si>
    <t xml:space="preserve">AMORTIZACIÓN E IMPUESTOS</t>
  </si>
  <si>
    <t xml:space="preserve">Vida útil media de la inversión</t>
  </si>
  <si>
    <t xml:space="preserve">años</t>
  </si>
  <si>
    <t xml:space="preserve">Tipo IS reducido (entidad de nueva creación)</t>
  </si>
  <si>
    <t xml:space="preserve">Tipo IS general (a partir del año indicado)</t>
  </si>
  <si>
    <t xml:space="preserve">Año desde el que aplica el tipo GENERAL</t>
  </si>
  <si>
    <t xml:space="preserve">año</t>
  </si>
  <si>
    <t xml:space="preserve">TRAMO 1 · FFF / INVERSOR PRIVADO  (aquí se calcula SU TIR y MOIC)</t>
  </si>
  <si>
    <t xml:space="preserve">¿Activo? (1 = sí / 0 = no)</t>
  </si>
  <si>
    <t xml:space="preserve">1/0</t>
  </si>
  <si>
    <t xml:space="preserve">Importe FFF / inversor privado</t>
  </si>
  <si>
    <t xml:space="preserve">Capital FFF efectivo</t>
  </si>
  <si>
    <t xml:space="preserve">Estructura (1=Préstamo·2=Participativo·3=Ctas.particip.·4=Rev-share·5=CAPITAL)</t>
  </si>
  <si>
    <t xml:space="preserve">1-4</t>
  </si>
  <si>
    <t xml:space="preserve">Interés fijo anual</t>
  </si>
  <si>
    <t xml:space="preserve">Plazo (meses)</t>
  </si>
  <si>
    <t xml:space="preserve">Carencia de principal (meses)</t>
  </si>
  <si>
    <t xml:space="preserve">Componente variable s/ EBITDA (estructura 2)</t>
  </si>
  <si>
    <t xml:space="preserve">% del beneficio para el inversor (estructura 3)</t>
  </si>
  <si>
    <t xml:space="preserve">% de ingresos para el inversor (estructura 4)</t>
  </si>
  <si>
    <t xml:space="preserve">Múltiplo tope MOIC (estructuras 3 y 4)</t>
  </si>
  <si>
    <t xml:space="preserve">x</t>
  </si>
  <si>
    <t xml:space="preserve">TRAMO 2 · ENISA AgroInnpulso — Línea Agro PYME (participativo). Términos EDITABLES: confírmalos con ENISA</t>
  </si>
  <si>
    <t xml:space="preserve">Importe ENISA</t>
  </si>
  <si>
    <t xml:space="preserve">Capital ENISA efectivo</t>
  </si>
  <si>
    <t xml:space="preserve">Interés fijo anual (tramo fijo — CONFIRMAR con ENISA)</t>
  </si>
  <si>
    <t xml:space="preserve">Interés variable s/ EBITDA</t>
  </si>
  <si>
    <t xml:space="preserve">Plazo total (meses)</t>
  </si>
  <si>
    <t xml:space="preserve">TRAMO 3 · ICO-SAECA (quita 15%) — DESACTIVADO</t>
  </si>
  <si>
    <t xml:space="preserve">¿Activo? (1 = sí / 0 = no)  ← ponlo a 1 para activarlo</t>
  </si>
  <si>
    <t xml:space="preserve">Importe ICO-SAECA</t>
  </si>
  <si>
    <t xml:space="preserve">Capital SAECA efectivo</t>
  </si>
  <si>
    <t xml:space="preserve">Interés fijo anual (bancario)</t>
  </si>
  <si>
    <t xml:space="preserve">Quita de principal (RD-ley 7/2026)</t>
  </si>
  <si>
    <t xml:space="preserve">KICKER Y VALORACIÓN (solo inversor privado)</t>
  </si>
  <si>
    <t xml:space="preserve">Equity cedido al inversor (estructura 5: su participación real)</t>
  </si>
  <si>
    <t xml:space="preserve">Múltiplo de salida sobre EBITDA</t>
  </si>
  <si>
    <t xml:space="preserve">x EBITDA</t>
  </si>
  <si>
    <t xml:space="preserve">Tasa de descuento para el VAN del inversor</t>
  </si>
  <si>
    <t xml:space="preserve">TOTAL FINANCIACIÓN LEVANTADA</t>
  </si>
  <si>
    <t xml:space="preserve">SALIDA DEL INVERSOR (solo estructura 5 · capital)</t>
  </si>
  <si>
    <t xml:space="preserve">Mes de salida del inversor (derecho pactado desde el año 4)</t>
  </si>
  <si>
    <t xml:space="preserve">¿Sumar la caja neta al valor de salida? (1=sí / 0=no)</t>
  </si>
  <si>
    <t xml:space="preserve">Mes previsto de formalización de ENISA (para el chequeo de fondos propios)</t>
  </si>
  <si>
    <t xml:space="preserve">Suelo de cobro a la salida (múltiplo mínimo sobre lo invertido) — protege la bajada</t>
  </si>
  <si>
    <t xml:space="preserve">ROOTFLOW — Mano de obra y dimensionamiento de plantilla</t>
  </si>
  <si>
    <t xml:space="preserve">La mano de obra es el coste real del negocio. Aquí se ve cuántas horas exige la producción y cuántas cubre la plantilla.</t>
  </si>
  <si>
    <t xml:space="preserve">MINUTOS POR BANDEJA (según escenario activo)</t>
  </si>
  <si>
    <t xml:space="preserve">Conservador (a mano)</t>
  </si>
  <si>
    <t xml:space="preserve">Base (lavadora + cinta/cosecha)</t>
  </si>
  <si>
    <t xml:space="preserve">Optimista (+ sembradora)</t>
  </si>
  <si>
    <t xml:space="preserve">MINUTOS/bandeja ACTIVO</t>
  </si>
  <si>
    <t xml:space="preserve">Escenario</t>
  </si>
  <si>
    <t xml:space="preserve">PLANTILLA (viene de Hipótesis) — horas de bandeja por persona</t>
  </si>
  <si>
    <t xml:space="preserve">¿Socio?</t>
  </si>
  <si>
    <t xml:space="preserve">Horas de bandeja disponibles en régimen (plantilla activa)</t>
  </si>
  <si>
    <t xml:space="preserve">CARGA DE TRABAJO EN RÉGIMEN (mes 84)</t>
  </si>
  <si>
    <t xml:space="preserve">Bandejas sembradas/mes</t>
  </si>
  <si>
    <t xml:space="preserve">Horas de bandeja NECESARIAS/mes</t>
  </si>
  <si>
    <t xml:space="preserve">Horas de la plantilla FIJA (Guzmán + encargado)</t>
  </si>
  <si>
    <t xml:space="preserve">OPERARIOS DE CULTIVO necesarios (nº)</t>
  </si>
  <si>
    <t xml:space="preserve">Coste de esos operarios (€/mes)</t>
  </si>
  <si>
    <t xml:space="preserve">PLANTILLA TOTAL (fijos + operarios)</t>
  </si>
  <si>
    <t xml:space="preserve">Coste TOTAL de nóminas (€/mes)</t>
  </si>
  <si>
    <t xml:space="preserve">Los operarios se calculan solos: a menos minutos por bandeja (más automatización), menos operarios. Por eso el Optimista tiene más CAPEX pero menos nómina.</t>
  </si>
  <si>
    <t xml:space="preserve">ROOTFLOW — Plan de inversión y necesidad de financiación</t>
  </si>
  <si>
    <t xml:space="preserve">Bottom-up de cuánto dinero hay que levantar para el salto a la nave.</t>
  </si>
  <si>
    <t xml:space="preserve">Importe (€)</t>
  </si>
  <si>
    <t xml:space="preserve">Nota</t>
  </si>
  <si>
    <t xml:space="preserve">Adaptación de nave (clima, eléctrico trifásico, fontanería)</t>
  </si>
  <si>
    <t xml:space="preserve">AUTOMATIZACIÓN (se activa según escenario):</t>
  </si>
  <si>
    <t xml:space="preserve">  · Lavadora de bandejas</t>
  </si>
  <si>
    <t xml:space="preserve">Incluida en BASE y OPTIMISTA</t>
  </si>
  <si>
    <t xml:space="preserve">  · Cinta / cosecha asistida</t>
  </si>
  <si>
    <t xml:space="preserve">  · Sembradora automática</t>
  </si>
  <si>
    <t xml:space="preserve">Incluida solo en OPTIMISTA</t>
  </si>
  <si>
    <t xml:space="preserve">Automatización incluida en el escenario ACTIVO</t>
  </si>
  <si>
    <t xml:space="preserve">Conservador=0 · Base=10.000 · Optimista=35.000</t>
  </si>
  <si>
    <t xml:space="preserve">Coste de construcción por rack NUEVO</t>
  </si>
  <si>
    <t xml:space="preserve">Nº de racks a construir</t>
  </si>
  <si>
    <t xml:space="preserve">ENLAZADO a la capacidad de Hipótesis (una sola fuente)</t>
  </si>
  <si>
    <t xml:space="preserve">Racks de cultivo (total)</t>
  </si>
  <si>
    <t xml:space="preserve">Instalación y montaje (mano de obra)</t>
  </si>
  <si>
    <t xml:space="preserve">Vehículo de reparto (0 = renting)</t>
  </si>
  <si>
    <t xml:space="preserve">Mobiliario, utillaje, EPIs, varios</t>
  </si>
  <si>
    <t xml:space="preserve">Licencias, proyecto técnico e ingeniería</t>
  </si>
  <si>
    <t xml:space="preserve">Legal / estructuración (ENISA + inversor)</t>
  </si>
  <si>
    <t xml:space="preserve">SUBTOTAL CAPEX</t>
  </si>
  <si>
    <t xml:space="preserve">Nave+racks+instalación+utillaje vía C38; el resto, partida a partida.</t>
  </si>
  <si>
    <t xml:space="preserve">Contingencia (% s/ CAPEX)</t>
  </si>
  <si>
    <t xml:space="preserve">Imprevistos de obra/equipo</t>
  </si>
  <si>
    <t xml:space="preserve">Contingencia (€)</t>
  </si>
  <si>
    <t xml:space="preserve">CAPEX + Contingencia</t>
  </si>
  <si>
    <t xml:space="preserve">Meses de colchón de arranque (pérdidas de la rampa)</t>
  </si>
  <si>
    <t xml:space="preserve">El circulante va aparte, en su propia línea</t>
  </si>
  <si>
    <t xml:space="preserve">Coste fijo mensual al arrancar (€)</t>
  </si>
  <si>
    <t xml:space="preserve">Alquiler + suministros + vehículo + otros + NÓMINAS FIJAS DEL MES 1</t>
  </si>
  <si>
    <t xml:space="preserve">Colchón de circulante (€)</t>
  </si>
  <si>
    <t xml:space="preserve">TOTAL INVERSIÓN  =  NECESIDAD DE FINANCIACIÓN</t>
  </si>
  <si>
    <t xml:space="preserve">Circulante máximo (NOF) — NO se levanta: va a póliza de crédito</t>
  </si>
  <si>
    <t xml:space="preserve">Póliza máxima dispuesta en el plan (debe caber en el límite)</t>
  </si>
  <si>
    <t xml:space="preserve">Mes 1</t>
  </si>
  <si>
    <t xml:space="preserve">Mes 2</t>
  </si>
  <si>
    <t xml:space="preserve">Mes 6</t>
  </si>
  <si>
    <t xml:space="preserve">Mes 7</t>
  </si>
  <si>
    <t xml:space="preserve">Mes 8</t>
  </si>
  <si>
    <t xml:space="preserve">Mes 9</t>
  </si>
  <si>
    <t xml:space="preserve">Mes 10</t>
  </si>
  <si>
    <t xml:space="preserve">Mes 11</t>
  </si>
  <si>
    <t xml:space="preserve">Mes 12</t>
  </si>
  <si>
    <t xml:space="preserve">% desplegado</t>
  </si>
  <si>
    <t xml:space="preserve">Suma (debe ser 100%)</t>
  </si>
  <si>
    <t xml:space="preserve">Las columnas Conservador/Base/Optimista calculan la inversión de cada caso a la vez (el Resumen las usa para comparar). La columna C es la del escenario ACTIVO.</t>
  </si>
  <si>
    <t xml:space="preserve">PRESUPUESTO DE OBRA — pendiente del presupuesto real</t>
  </si>
  <si>
    <t xml:space="preserve">Bloque nave + racks + acondicionamiento — bottom-up actual (€)</t>
  </si>
  <si>
    <t xml:space="preserve">PRESUPUESTO REAL del bloque (0 = usar el bottom-up de arriba)</t>
  </si>
  <si>
    <t xml:space="preserve">Cuando llegue el presupuesto, escríbelo aquí y el modelo entero se recalcula.</t>
  </si>
  <si>
    <t xml:space="preserve">Ajuste % sobre el bloque (0 = ninguno · 0,25 = +25 %)</t>
  </si>
  <si>
    <t xml:space="preserve">Para la sensibilidad rápida sin tocar el desglose.</t>
  </si>
  <si>
    <t xml:space="preserve">BLOQUE DE OBRA APLICADO (€)</t>
  </si>
  <si>
    <t xml:space="preserve">ROOTFLOW — Modelo mensual · ESCENARIO ACTIVO (84 meses)</t>
  </si>
  <si>
    <t xml:space="preserve">Sigue al selector de Hipótesis!C4. Para el detalle mensual del caso que estés mirando.</t>
  </si>
  <si>
    <t xml:space="preserve">Mes</t>
  </si>
  <si>
    <t xml:space="preserve">Año</t>
  </si>
  <si>
    <t xml:space="preserve">CAPACIDAD, DEMANDA IDENTIFICADA Y MANO DE OBRA</t>
  </si>
  <si>
    <t xml:space="preserve">Racks instalados</t>
  </si>
  <si>
    <t xml:space="preserve">Posiciones de luz instaladas</t>
  </si>
  <si>
    <t xml:space="preserve">  · Frutería La Huerta de Aranjuez (€/mes pond.)</t>
  </si>
  <si>
    <t xml:space="preserve">  · Sushita (€/mes pond.)</t>
  </si>
  <si>
    <t xml:space="preserve">  · Frutas Eloy (€/mes pond.)</t>
  </si>
  <si>
    <t xml:space="preserve">  · Mercamadrid (asentadores) (€/mes pond.)</t>
  </si>
  <si>
    <t xml:space="preserve">  · Makro (cash &amp; carry) (€/mes pond.)</t>
  </si>
  <si>
    <t xml:space="preserve">  · Primaflor (€/mes pond.)</t>
  </si>
  <si>
    <t xml:space="preserve">  · — hueco nueva cuenta — (€/mes pond.)</t>
  </si>
  <si>
    <t xml:space="preserve">DEMANDA IDENTIFICADA — ingresos (€/mes)</t>
  </si>
  <si>
    <t xml:space="preserve">  · bandejas/mes que exige</t>
  </si>
  <si>
    <t xml:space="preserve">  · posiciones de luz que exige</t>
  </si>
  <si>
    <t xml:space="preserve">  · COGS de la demanda identificada</t>
  </si>
  <si>
    <t xml:space="preserve">  · kg/mes identificados</t>
  </si>
  <si>
    <t xml:space="preserve">% de la demanda identificada SERVIBLE (capacidad)</t>
  </si>
  <si>
    <t xml:space="preserve">Capa ADICIONAL — utilización objetivo (%)</t>
  </si>
  <si>
    <t xml:space="preserve">Capa ADICIONAL — posiciones ocupadas</t>
  </si>
  <si>
    <t xml:space="preserve">Posiciones ocupadas TOTALES</t>
  </si>
  <si>
    <t xml:space="preserve">Ocupación de la nave (%)</t>
  </si>
  <si>
    <t xml:space="preserve">Horas de bandeja NECESARIAS (bandejas × min/escenario)</t>
  </si>
  <si>
    <t xml:space="preserve">Horas de bandeja de la plantilla FIJA activa</t>
  </si>
  <si>
    <t xml:space="preserve">OPERARIOS DE CULTIVO necesarios (calculado)</t>
  </si>
  <si>
    <t xml:space="preserve">PLANTILLA TOTAL (fijos activos + operarios)</t>
  </si>
  <si>
    <t xml:space="preserve">CUENTA DE RESULTADOS (€)</t>
  </si>
  <si>
    <t xml:space="preserve">Ingresos — demanda IDENTIFICADA (pipeline)</t>
  </si>
  <si>
    <t xml:space="preserve">Ingresos — capa ADICIONAL (nuevas cuentas)</t>
  </si>
  <si>
    <t xml:space="preserve">Ingresos brutos</t>
  </si>
  <si>
    <t xml:space="preserve">(–) Merma / comercial / impagados</t>
  </si>
  <si>
    <t xml:space="preserve">Ingresos netos</t>
  </si>
  <si>
    <t xml:space="preserve">(–) COGS (semilla + sustrato + envases)</t>
  </si>
  <si>
    <t xml:space="preserve">MARGEN BRUTO</t>
  </si>
  <si>
    <t xml:space="preserve">Margen bruto (%)</t>
  </si>
  <si>
    <t xml:space="preserve">(–) OPEX · Alquiler nave</t>
  </si>
  <si>
    <t xml:space="preserve">(–) OPEX · Suministros (fijo + luz por posición)</t>
  </si>
  <si>
    <t xml:space="preserve">(–) OPEX · Nómina · Pedro — socio (finanzas)</t>
  </si>
  <si>
    <t xml:space="preserve">(–) OPEX · Nómina · Nico — socio (comercial)</t>
  </si>
  <si>
    <t xml:space="preserve">(–) OPEX · Nómina · Guzmán — socio (producción)</t>
  </si>
  <si>
    <t xml:space="preserve">(–) OPEX · Nómina · Encargado de producción</t>
  </si>
  <si>
    <t xml:space="preserve">(–) OPEX · Nómina · Comercial / KAM</t>
  </si>
  <si>
    <t xml:space="preserve">(–) OPEX · Nómina · (rol fijo libre)</t>
  </si>
  <si>
    <t xml:space="preserve">(–) OPEX · Operarios de cultivo (calculado por escenario)</t>
  </si>
  <si>
    <t xml:space="preserve">(–) OPEX · TOTAL NÓMINAS (fijos + operarios)</t>
  </si>
  <si>
    <t xml:space="preserve">(–) OPEX · Logística (Madrid propio + Athos fuera)</t>
  </si>
  <si>
    <t xml:space="preserve">(–) OPEX · Vehículo (renting furgos)</t>
  </si>
  <si>
    <t xml:space="preserve">(–) OPEX · Otros</t>
  </si>
  <si>
    <t xml:space="preserve">(–) TOTAL OPEX</t>
  </si>
  <si>
    <t xml:space="preserve">EBITDA</t>
  </si>
  <si>
    <t xml:space="preserve">(–) Amortización</t>
  </si>
  <si>
    <t xml:space="preserve">EBIT</t>
  </si>
  <si>
    <t xml:space="preserve">(–) Gastos financieros (intereses de deuda y póliza)</t>
  </si>
  <si>
    <t xml:space="preserve">Beneficio antes de impuestos</t>
  </si>
  <si>
    <t xml:space="preserve">(–) Impuesto de sociedades (15% mientras sea startup, luego general)</t>
  </si>
  <si>
    <t xml:space="preserve">RESULTADO NETO</t>
  </si>
  <si>
    <t xml:space="preserve">FLUJO DE CAJA — con circulante y póliza de crédito (€)</t>
  </si>
  <si>
    <t xml:space="preserve">(–) Impuestos</t>
  </si>
  <si>
    <t xml:space="preserve">Saldo de CLIENTES (facturado pendiente de cobro)</t>
  </si>
  <si>
    <t xml:space="preserve">Saldo de PROVEEDORES</t>
  </si>
  <si>
    <t xml:space="preserve">NOF — circulante NETO (tras anticipar facturas)</t>
  </si>
  <si>
    <t xml:space="preserve">(–) Variación de circulante</t>
  </si>
  <si>
    <t xml:space="preserve">(–) CAPEX (despliegue inversión)</t>
  </si>
  <si>
    <t xml:space="preserve">(–) CAPEX de mantenimiento / reposición</t>
  </si>
  <si>
    <t xml:space="preserve">Flujo antes de financiación</t>
  </si>
  <si>
    <t xml:space="preserve">(+) Entrada de financiación (ronda)</t>
  </si>
  <si>
    <t xml:space="preserve">(–) Servicio de la deuda (ronda)</t>
  </si>
  <si>
    <t xml:space="preserve">Intereses de la póliza (sobre saldo del mes anterior)</t>
  </si>
  <si>
    <t xml:space="preserve">Flujo antes de póliza y reparto</t>
  </si>
  <si>
    <t xml:space="preserve">Caja antes de mover la póliza</t>
  </si>
  <si>
    <t xml:space="preserve">PÓLIZA — disposición (+) / amortización (–)</t>
  </si>
  <si>
    <t xml:space="preserve">PÓLIZA — saldo dispuesto</t>
  </si>
  <si>
    <t xml:space="preserve">Caja tras la póliza</t>
  </si>
  <si>
    <t xml:space="preserve">(–) Reinversión — fondo Hito 4</t>
  </si>
  <si>
    <t xml:space="preserve">(–) DIVIDENDO (solo con TODA la deuda pagada)</t>
  </si>
  <si>
    <t xml:space="preserve">Flujo de caja neto del periodo</t>
  </si>
  <si>
    <t xml:space="preserve">CAJA ACUMULADA</t>
  </si>
  <si>
    <t xml:space="preserve">FINANCIACIÓN — DETALLE POR TRAMO (€)</t>
  </si>
  <si>
    <t xml:space="preserve">FFF · saldo vivo</t>
  </si>
  <si>
    <t xml:space="preserve">FFF · amortización principal</t>
  </si>
  <si>
    <t xml:space="preserve">FFF · interés</t>
  </si>
  <si>
    <t xml:space="preserve">FFF · pago potencial (según estructura)</t>
  </si>
  <si>
    <t xml:space="preserve">FFF · pago efectivo (con tope MOIC)</t>
  </si>
  <si>
    <t xml:space="preserve">Inversor · acumulado cobrado</t>
  </si>
  <si>
    <t xml:space="preserve">ENISA · saldo vivo</t>
  </si>
  <si>
    <t xml:space="preserve">ENISA · amortización principal</t>
  </si>
  <si>
    <t xml:space="preserve">ENISA · interés fijo + variable</t>
  </si>
  <si>
    <t xml:space="preserve">ENISA · servicio</t>
  </si>
  <si>
    <t xml:space="preserve">SAECA · saldo vivo</t>
  </si>
  <si>
    <t xml:space="preserve">SAECA · amortización principal</t>
  </si>
  <si>
    <t xml:space="preserve">SAECA · interés</t>
  </si>
  <si>
    <t xml:space="preserve">SAECA · servicio</t>
  </si>
  <si>
    <t xml:space="preserve">SERVICIO TOTAL FINANCIACIÓN</t>
  </si>
  <si>
    <t xml:space="preserve">Acumulado servicio</t>
  </si>
  <si>
    <t xml:space="preserve">RESERVAS, BENEFICIO DISTRIBUIBLE Y LO QUE SE LLEVA CADA SOCIO</t>
  </si>
  <si>
    <t xml:space="preserve">Reservas acumuladas ANTES del reparto</t>
  </si>
  <si>
    <t xml:space="preserve">Reserva legal a dotar (20% del capital social)</t>
  </si>
  <si>
    <t xml:space="preserve">BENEFICIO DISTRIBUIBLE (tras pérdidas y reserva legal)</t>
  </si>
  <si>
    <t xml:space="preserve">Reservas acumuladas tras el reparto</t>
  </si>
  <si>
    <t xml:space="preserve">Dividendos repartidos — acumulado</t>
  </si>
  <si>
    <t xml:space="preserve">Fondo Hito 4 — acumulado</t>
  </si>
  <si>
    <t xml:space="preserve">  · CADA socio — sueldo NETO del mes</t>
  </si>
  <si>
    <t xml:space="preserve">  · CADA socio — dividendo NETO del mes</t>
  </si>
  <si>
    <t xml:space="preserve">  · CADA socio — TOTAL NETO del mes</t>
  </si>
  <si>
    <t xml:space="preserve">FLUJOS PARA RETORNO / COSTE</t>
  </si>
  <si>
    <t xml:space="preserve">Flujo de caja del INVERSOR PRIVADO</t>
  </si>
  <si>
    <t xml:space="preserve">Flujo del stack (empresa)</t>
  </si>
  <si>
    <t xml:space="preserve">Flujo del prestamista ENISA</t>
  </si>
  <si>
    <t xml:space="preserve">RESULTADOS (escalares)</t>
  </si>
  <si>
    <t xml:space="preserve">Capital invertido por el inversor privado (€)</t>
  </si>
  <si>
    <t xml:space="preserve">TIR mensual del inversor</t>
  </si>
  <si>
    <t xml:space="preserve">Múltiplo del inversor (MOIC)</t>
  </si>
  <si>
    <t xml:space="preserve">VAN del inversor (€)</t>
  </si>
  <si>
    <t xml:space="preserve">EBITDA año 5 (€)</t>
  </si>
  <si>
    <t xml:space="preserve">Valor de salida estimado (€)</t>
  </si>
  <si>
    <t xml:space="preserve">Pago de equity al inversor a la salida (€)</t>
  </si>
  <si>
    <t xml:space="preserve">Coste efectivo del tramo FFF (TAE)</t>
  </si>
  <si>
    <t xml:space="preserve">Coste medio ponderado del stack (TAE)</t>
  </si>
  <si>
    <t xml:space="preserve">Ahorro por quita SAECA (€)</t>
  </si>
  <si>
    <t xml:space="preserve">EBITDA anual</t>
  </si>
  <si>
    <t xml:space="preserve">Servicio de financiación anual</t>
  </si>
  <si>
    <t xml:space="preserve">DSCR anual</t>
  </si>
  <si>
    <t xml:space="preserve">DSCR MÍNIMO años 2-7</t>
  </si>
  <si>
    <t xml:space="preserve">CAJA MÍNIMA del plan</t>
  </si>
  <si>
    <t xml:space="preserve">Ingresos año 1</t>
  </si>
  <si>
    <t xml:space="preserve">Dividendo repartido en el año</t>
  </si>
  <si>
    <t xml:space="preserve">CADA socio — neto medio €/mes (sueldo + dividendo)</t>
  </si>
  <si>
    <t xml:space="preserve">PÓLIZA — máximo dispuesto en todo el plan</t>
  </si>
  <si>
    <t xml:space="preserve">SALIDA DEL INVERSOR — VALOR DEL EQUITY (estructura 5)</t>
  </si>
  <si>
    <t xml:space="preserve">EBITDA de los 12 meses previos a la salida (€)</t>
  </si>
  <si>
    <t xml:space="preserve">Valor de empresa a la salida (EV = EBITDA × múltiplo) (€)</t>
  </si>
  <si>
    <t xml:space="preserve">Caja acumulada en el mes de salida (€)</t>
  </si>
  <si>
    <t xml:space="preserve">Deuda viva en el mes de salida (ENISA + SAECA + FFF) (€)</t>
  </si>
  <si>
    <t xml:space="preserve">VALOR DEL EQUITY A LA SALIDA (€)</t>
  </si>
  <si>
    <t xml:space="preserve">Cobro del inversor a la salida (€) — con suelo de protección</t>
  </si>
  <si>
    <t xml:space="preserve">   · de los cuales, por el suelo de protección (€)</t>
  </si>
  <si>
    <t xml:space="preserve">CHEQUEO ENISA — FONDOS PROPIOS ≥ IMPORTE SOLICITADO</t>
  </si>
  <si>
    <t xml:space="preserve">Fondos propios aportados por la ronda (€)</t>
  </si>
  <si>
    <t xml:space="preserve">Resultado acumulado hasta el mes de formalización (€)</t>
  </si>
  <si>
    <t xml:space="preserve">FONDOS PROPIOS ESTIMADOS a la formalización (€)</t>
  </si>
  <si>
    <t xml:space="preserve">Importe de ENISA solicitado (€)</t>
  </si>
  <si>
    <t xml:space="preserve">¿CUMPLE el requisito de fondos propios de ENISA?</t>
  </si>
  <si>
    <t xml:space="preserve">ROOTFLOW — Resumen anual (7 años)</t>
  </si>
  <si>
    <t xml:space="preserve">Margen bruto, EBITDA y cobertura de deuda (DSCR).</t>
  </si>
  <si>
    <t xml:space="preserve">(–) COGS</t>
  </si>
  <si>
    <t xml:space="preserve">(–) OPEX total</t>
  </si>
  <si>
    <t xml:space="preserve">Resultado neto (antes financiación)</t>
  </si>
  <si>
    <t xml:space="preserve">(–) CAPEX</t>
  </si>
  <si>
    <t xml:space="preserve">(–) Servicio de financiación</t>
  </si>
  <si>
    <t xml:space="preserve">Flujo de caja neto</t>
  </si>
  <si>
    <t xml:space="preserve">Caja acumulada (fin de año)</t>
  </si>
  <si>
    <t xml:space="preserve">Producción (kg)</t>
  </si>
  <si>
    <t xml:space="preserve">DSCR (EBITDA ÷ servicio)</t>
  </si>
  <si>
    <t xml:space="preserve">(–) Nóminas</t>
  </si>
  <si>
    <t xml:space="preserve">(–) Logística (Madrid + Athos)</t>
  </si>
  <si>
    <t xml:space="preserve">Ingresos identificados (pipeline)</t>
  </si>
  <si>
    <t xml:space="preserve">% de ingresos ya identificado</t>
  </si>
  <si>
    <t xml:space="preserve">Plantilla total (nº, fin de año)</t>
  </si>
  <si>
    <t xml:space="preserve">Operarios de cultivo (nº, fin de año)</t>
  </si>
  <si>
    <t xml:space="preserve">Saldo de clientes (fin de año)</t>
  </si>
  <si>
    <t xml:space="preserve">(–) Reinversión Hito 4</t>
  </si>
  <si>
    <t xml:space="preserve">(–) Dividendos a socios</t>
  </si>
  <si>
    <t xml:space="preserve">Beneficio distribuible (fin de año)</t>
  </si>
  <si>
    <t xml:space="preserve">Póliza dispuesta (fin de año)</t>
  </si>
  <si>
    <t xml:space="preserve">(–) Gastos financieros</t>
  </si>
  <si>
    <t xml:space="preserve">ROOTFLOW — Sensibilidades (EBITDA de régimen)</t>
  </si>
  <si>
    <t xml:space="preserve">Calculadora transparente del EBITDA mensual en régimen a partir de las palancas clave. Cambia las celdas azules; no depende del motor de 84 meses, así que recalcula al instante.</t>
  </si>
  <si>
    <t xml:space="preserve">PALANCAS (celdas azules) — parten del caso base</t>
  </si>
  <si>
    <t xml:space="preserve">Posiciones de luz ocupadas (de 2.880)</t>
  </si>
  <si>
    <t xml:space="preserve">Ingreso medio por bandeja y mes (€)</t>
  </si>
  <si>
    <t xml:space="preserve">enlazado a Producto</t>
  </si>
  <si>
    <t xml:space="preserve">COGS medio por bandeja y mes (€)</t>
  </si>
  <si>
    <t xml:space="preserve">Merma / comercial / impagados (%)</t>
  </si>
  <si>
    <t xml:space="preserve">MINUTOS POR BANDEJA</t>
  </si>
  <si>
    <t xml:space="preserve">FTE en nómina que tocan bandeja</t>
  </si>
  <si>
    <t xml:space="preserve">Horas de bandeja por FTE y mes</t>
  </si>
  <si>
    <t xml:space="preserve">Coste hora de refuerzo (€)</t>
  </si>
  <si>
    <t xml:space="preserve">Costes fijos NO-bandeja (alquiler+luz+nóminas fijas+otros) €/mes</t>
  </si>
  <si>
    <t xml:space="preserve">RESULTADO (recalcula solo)</t>
  </si>
  <si>
    <t xml:space="preserve">Ingresos brutos (€/mes)</t>
  </si>
  <si>
    <t xml:space="preserve">Ingresos netos (€/mes)</t>
  </si>
  <si>
    <t xml:space="preserve">COGS (€/mes)</t>
  </si>
  <si>
    <t xml:space="preserve">Margen bruto (€/mes)</t>
  </si>
  <si>
    <t xml:space="preserve">Horas de bandeja necesarias</t>
  </si>
  <si>
    <t xml:space="preserve">Horas disponibles (plantilla)</t>
  </si>
  <si>
    <t xml:space="preserve">Refuerzo necesario (€/mes)</t>
  </si>
  <si>
    <t xml:space="preserve">EBITDA (€/mes)</t>
  </si>
  <si>
    <t xml:space="preserve">EBITDA (€/año)</t>
  </si>
  <si>
    <t xml:space="preserve">TABLA · EBITDA mensual (€) según MINUTOS/BANDEJA (filas) × FTE en bandeja (columnas)</t>
  </si>
  <si>
    <t xml:space="preserve">min/band ↓   FTE →</t>
  </si>
  <si>
    <t xml:space="preserve">Cruza minutos por bandeja (según automatización) con el nº de operarios en bandeja. Busca la zona donde el EBITDA deja de crecer: ahí ya no hace falta más gente.</t>
  </si>
  <si>
    <t xml:space="preserve">TABLA · EBITDA mensual (€) según POSICIONES ocupadas (filas) × INGRESO/bandeja (columnas)</t>
  </si>
  <si>
    <t xml:space="preserve">posiciones ↓  €/band →</t>
  </si>
  <si>
    <t xml:space="preserve">Nota: estas tablas son un modelo cerrado y transparente del régimen; los importes finos (impuestos, financiación, rampa) están en el modelo mensual.</t>
  </si>
  <si>
    <t xml:space="preserve">ROOTFLOW — Motor mensual · CONSERVADOR</t>
  </si>
  <si>
    <t xml:space="preserve">Motor fijo de este escenario. Alimenta la tabla comparativa del Resumen (siempre vivo).</t>
  </si>
  <si>
    <t xml:space="preserve">ROOTFLOW — Motor mensual · BASE</t>
  </si>
  <si>
    <t xml:space="preserve">ROOTFLOW — Motor mensual · OPTIMISTA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</si>
</sst>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#,##0.0;\(#,##0.0\);\-"/>
    <numFmt numFmtId="166" formatCode="0%"/>
    <numFmt numFmtId="167" formatCode="#,##0&quot; €&quot;;\(#,##0&quot;) €&quot;;\-"/>
    <numFmt numFmtId="168" formatCode="#,##0;\(#,##0\);\-"/>
    <numFmt numFmtId="169" formatCode="0.00\x"/>
    <numFmt numFmtId="170" formatCode="0.0%"/>
    <numFmt numFmtId="171" formatCode="0.00"/>
    <numFmt numFmtId="172" formatCode="0.0\x"/>
    <numFmt numFmtId="173" formatCode="#,##0.00;\(#,##0.00\);\-"/>
    <numFmt numFmtId="174" formatCode="#,##0.00&quot; €&quot;;\(#,##0.00&quot;) €&quot;;\-"/>
    <numFmt numFmtId="175" formatCode="0.0000"/>
    <numFmt numFmtId="176" formatCode="0.000"/>
    <numFmt numFmtId="177" formatCode="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theme="1"/>
      <name val="Arial"/>
      <family val="0"/>
      <charset val="1"/>
    </font>
    <font>
      <sz val="14"/>
      <color theme="1"/>
      <name val="Arial"/>
      <family val="0"/>
      <charset val="1"/>
    </font>
    <font>
      <i val="true"/>
      <sz val="10"/>
      <color theme="1"/>
      <name val="Arial"/>
      <family val="0"/>
      <charset val="1"/>
    </font>
    <font>
      <b val="true"/>
      <sz val="11"/>
      <color theme="1"/>
      <name val="Arial"/>
      <family val="0"/>
      <charset val="1"/>
    </font>
    <font>
      <sz val="10"/>
      <color theme="1"/>
      <name val="Arial"/>
      <family val="0"/>
      <charset val="1"/>
    </font>
    <font>
      <b val="true"/>
      <sz val="9"/>
      <color theme="1"/>
      <name val="Arial"/>
      <family val="0"/>
      <charset val="1"/>
    </font>
    <font>
      <b val="true"/>
      <sz val="15"/>
      <color theme="1"/>
      <name val="Arial"/>
      <family val="0"/>
      <charset val="1"/>
    </font>
    <font>
      <b val="true"/>
      <sz val="10"/>
      <color theme="1"/>
      <name val="Arial"/>
      <family val="0"/>
      <charset val="1"/>
    </font>
    <font>
      <sz val="9"/>
      <color theme="1"/>
      <name val="Arial"/>
      <family val="0"/>
      <charset val="1"/>
    </font>
    <font>
      <i val="true"/>
      <sz val="9"/>
      <color theme="1"/>
      <name val="Arial"/>
      <family val="0"/>
      <charset val="1"/>
    </font>
    <font>
      <b val="true"/>
      <sz val="11"/>
      <name val="Cambria"/>
      <family val="0"/>
      <charset val="1"/>
    </font>
    <font>
      <b val="true"/>
      <sz val="14"/>
      <color rgb="FF1F4D2B"/>
      <name val="Cambria"/>
      <family val="0"/>
      <charset val="1"/>
    </font>
    <font>
      <b val="true"/>
      <sz val="10"/>
      <color rgb="FFFFFFFF"/>
      <name val="Cambria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D4F37"/>
        <bgColor rgb="FF1F4D2B"/>
      </patternFill>
    </fill>
    <fill>
      <patternFill patternType="solid">
        <fgColor rgb="FFD9D9D9"/>
        <bgColor rgb="FFDCE9F7"/>
      </patternFill>
    </fill>
    <fill>
      <patternFill patternType="solid">
        <fgColor rgb="FFFCF1ED"/>
        <bgColor rgb="FFF2F2F2"/>
      </patternFill>
    </fill>
    <fill>
      <patternFill patternType="solid">
        <fgColor rgb="FFFFF2CC"/>
        <bgColor rgb="FFFCF1ED"/>
      </patternFill>
    </fill>
    <fill>
      <patternFill patternType="solid">
        <fgColor rgb="FFDCE9F7"/>
        <bgColor rgb="FFE2EFDA"/>
      </patternFill>
    </fill>
    <fill>
      <patternFill patternType="solid">
        <fgColor rgb="FFFCE4E4"/>
        <bgColor rgb="FFFCF1ED"/>
      </patternFill>
    </fill>
    <fill>
      <patternFill patternType="solid">
        <fgColor rgb="FFE2EFDA"/>
        <bgColor rgb="FFDCE9F7"/>
      </patternFill>
    </fill>
    <fill>
      <patternFill patternType="solid">
        <fgColor rgb="FFF2F2F2"/>
        <bgColor rgb="FFFCF1ED"/>
      </patternFill>
    </fill>
    <fill>
      <patternFill patternType="solid">
        <fgColor rgb="FF1F4D2B"/>
        <bgColor rgb="FF1D4F3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C9C2"/>
      </left>
      <right style="thin">
        <color rgb="FFBFC9C2"/>
      </right>
      <top style="thin">
        <color rgb="FFBFC9C2"/>
      </top>
      <bottom style="thin">
        <color rgb="FFBFC9C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7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7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7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7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7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7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7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8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3" fontId="8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8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8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2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2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12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2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3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2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3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3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13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3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1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3" fontId="11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11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1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5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6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2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2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2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1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1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1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1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8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8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1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1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7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8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8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8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3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3" fontId="8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8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8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8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8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8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8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7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7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8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8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8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8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11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7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3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11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8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3" fontId="8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8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11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1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1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11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C9C2"/>
      <rgbColor rgb="FF808080"/>
      <rgbColor rgb="FF9999FF"/>
      <rgbColor rgb="FF993366"/>
      <rgbColor rgb="FFFFF2CC"/>
      <rgbColor rgb="FFDCE9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CF1ED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1D4F37"/>
      <rgbColor rgb="FF993300"/>
      <rgbColor rgb="FF993366"/>
      <rgbColor rgb="FF333399"/>
      <rgbColor rgb="FF1F4D2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08"/>
  </cols>
  <sheetData>
    <row r="1" customFormat="false" ht="13.5" hidden="false" customHeight="true" outlineLevel="0" collapsed="false"/>
    <row r="2" customFormat="false" ht="26.25" hidden="false" customHeight="true" outlineLevel="0" collapsed="false">
      <c r="B2" s="2" t="s">
        <v>0</v>
      </c>
    </row>
    <row r="3" customFormat="false" ht="17.25" hidden="false" customHeight="true" outlineLevel="0" collapsed="false">
      <c r="B3" s="3" t="s">
        <v>1</v>
      </c>
    </row>
    <row r="4" customFormat="false" ht="13.5" hidden="false" customHeight="true" outlineLevel="0" collapsed="false">
      <c r="B4" s="4" t="s">
        <v>2</v>
      </c>
    </row>
    <row r="5" customFormat="false" ht="13.5" hidden="false" customHeight="true" outlineLevel="0" collapsed="false"/>
    <row r="6" customFormat="false" ht="13.5" hidden="false" customHeight="true" outlineLevel="0" collapsed="false">
      <c r="B6" s="5" t="s">
        <v>3</v>
      </c>
    </row>
    <row r="7" customFormat="false" ht="13.5" hidden="false" customHeight="true" outlineLevel="0" collapsed="false">
      <c r="B7" s="6" t="s">
        <v>4</v>
      </c>
    </row>
    <row r="8" customFormat="false" ht="13.5" hidden="false" customHeight="true" outlineLevel="0" collapsed="false">
      <c r="B8" s="6" t="s">
        <v>5</v>
      </c>
    </row>
    <row r="9" customFormat="false" ht="13.5" hidden="false" customHeight="true" outlineLevel="0" collapsed="false">
      <c r="B9" s="6" t="s">
        <v>6</v>
      </c>
    </row>
    <row r="10" customFormat="false" ht="13.5" hidden="false" customHeight="true" outlineLevel="0" collapsed="false">
      <c r="B10" s="6" t="s">
        <v>7</v>
      </c>
    </row>
    <row r="11" customFormat="false" ht="13.5" hidden="false" customHeight="true" outlineLevel="0" collapsed="false">
      <c r="B11" s="6" t="s">
        <v>8</v>
      </c>
    </row>
    <row r="12" customFormat="false" ht="13.5" hidden="false" customHeight="true" outlineLevel="0" collapsed="false"/>
    <row r="13" customFormat="false" ht="13.5" hidden="false" customHeight="true" outlineLevel="0" collapsed="false">
      <c r="B13" s="5" t="s">
        <v>9</v>
      </c>
    </row>
    <row r="14" customFormat="false" ht="13.5" hidden="false" customHeight="true" outlineLevel="0" collapsed="false">
      <c r="B14" s="6" t="s">
        <v>10</v>
      </c>
    </row>
    <row r="15" customFormat="false" ht="13.5" hidden="false" customHeight="true" outlineLevel="0" collapsed="false">
      <c r="B15" s="7" t="s">
        <v>11</v>
      </c>
    </row>
    <row r="16" customFormat="false" ht="13.5" hidden="false" customHeight="true" outlineLevel="0" collapsed="false">
      <c r="B16" s="6" t="s">
        <v>12</v>
      </c>
    </row>
    <row r="17" customFormat="false" ht="13.5" hidden="false" customHeight="true" outlineLevel="0" collapsed="false"/>
    <row r="18" customFormat="false" ht="13.5" hidden="false" customHeight="true" outlineLevel="0" collapsed="false">
      <c r="B18" s="6" t="s">
        <v>13</v>
      </c>
    </row>
    <row r="19" customFormat="false" ht="13.5" hidden="false" customHeight="true" outlineLevel="0" collapsed="false"/>
    <row r="20" customFormat="false" ht="13.5" hidden="false" customHeight="true" outlineLevel="0" collapsed="false">
      <c r="B20" s="4" t="s">
        <v>14</v>
      </c>
    </row>
    <row r="21" customFormat="false" ht="13.5" hidden="false" customHeight="true" outlineLevel="0" collapsed="false"/>
    <row r="22" customFormat="false" ht="13.5" hidden="false" customHeight="true" outlineLevel="0" collapsed="false">
      <c r="B22" s="5" t="s">
        <v>15</v>
      </c>
    </row>
    <row r="23" customFormat="false" ht="13.5" hidden="false" customHeight="true" outlineLevel="0" collapsed="false">
      <c r="B23" s="6" t="s">
        <v>16</v>
      </c>
    </row>
    <row r="24" customFormat="false" ht="13.5" hidden="false" customHeight="true" outlineLevel="0" collapsed="false">
      <c r="B24" s="6" t="s">
        <v>17</v>
      </c>
    </row>
    <row r="25" customFormat="false" ht="13.5" hidden="false" customHeight="true" outlineLevel="0" collapsed="false">
      <c r="B25" s="7" t="s">
        <v>18</v>
      </c>
    </row>
    <row r="26" customFormat="false" ht="13.5" hidden="false" customHeight="true" outlineLevel="0" collapsed="false">
      <c r="B26" s="7" t="s">
        <v>19</v>
      </c>
    </row>
    <row r="27" customFormat="false" ht="13.5" hidden="false" customHeight="true" outlineLevel="0" collapsed="false"/>
    <row r="28" customFormat="false" ht="13.5" hidden="false" customHeight="true" outlineLevel="0" collapsed="false">
      <c r="B28" s="5" t="s">
        <v>20</v>
      </c>
    </row>
    <row r="29" customFormat="false" ht="13.5" hidden="false" customHeight="true" outlineLevel="0" collapsed="false">
      <c r="B29" s="6" t="s">
        <v>21</v>
      </c>
    </row>
    <row r="30" customFormat="false" ht="13.5" hidden="false" customHeight="true" outlineLevel="0" collapsed="false">
      <c r="B30" s="6" t="s">
        <v>22</v>
      </c>
    </row>
    <row r="31" customFormat="false" ht="13.5" hidden="false" customHeight="true" outlineLevel="0" collapsed="false">
      <c r="B31" s="4" t="s">
        <v>23</v>
      </c>
    </row>
    <row r="32" customFormat="false" ht="13.5" hidden="false" customHeight="true" outlineLevel="0" collapsed="false"/>
    <row r="33" customFormat="false" ht="13.5" hidden="false" customHeight="true" outlineLevel="0" collapsed="false">
      <c r="B33" s="5" t="s">
        <v>24</v>
      </c>
    </row>
    <row r="34" customFormat="false" ht="13.5" hidden="false" customHeight="true" outlineLevel="0" collapsed="false">
      <c r="B34" s="6" t="s">
        <v>25</v>
      </c>
    </row>
    <row r="35" customFormat="false" ht="13.5" hidden="false" customHeight="true" outlineLevel="0" collapsed="false">
      <c r="B35" s="6" t="s">
        <v>26</v>
      </c>
    </row>
    <row r="36" customFormat="false" ht="13.5" hidden="false" customHeight="true" outlineLevel="0" collapsed="false">
      <c r="B36" s="6" t="s">
        <v>27</v>
      </c>
    </row>
    <row r="37" customFormat="false" ht="13.5" hidden="false" customHeight="true" outlineLevel="0" collapsed="false">
      <c r="B37" s="7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8" activeCellId="0" sqref="D18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3"/>
    <col collapsed="false" customWidth="true" hidden="false" outlineLevel="0" max="5" min="3" style="1" width="18"/>
  </cols>
  <sheetData>
    <row r="1" customFormat="false" ht="18" hidden="false" customHeight="true" outlineLevel="0" collapsed="false">
      <c r="A1" s="8" t="s">
        <v>29</v>
      </c>
    </row>
    <row r="2" customFormat="false" ht="13.5" hidden="false" customHeight="true" outlineLevel="0" collapsed="false">
      <c r="A2" s="4" t="s">
        <v>30</v>
      </c>
    </row>
    <row r="3" customFormat="false" ht="13.5" hidden="false" customHeight="true" outlineLevel="0" collapsed="false"/>
    <row r="4" customFormat="false" ht="12.75" hidden="false" customHeight="true" outlineLevel="0" collapsed="false">
      <c r="A4" s="9" t="s">
        <v>31</v>
      </c>
      <c r="B4" s="9"/>
      <c r="C4" s="9"/>
      <c r="D4" s="9"/>
      <c r="E4" s="9"/>
    </row>
    <row r="5" customFormat="false" ht="13.5" hidden="false" customHeight="true" outlineLevel="0" collapsed="false">
      <c r="A5" s="10" t="s">
        <v>32</v>
      </c>
      <c r="C5" s="11" t="s">
        <v>33</v>
      </c>
      <c r="D5" s="11" t="s">
        <v>34</v>
      </c>
      <c r="E5" s="11" t="s">
        <v>35</v>
      </c>
    </row>
    <row r="6" customFormat="false" ht="12.75" hidden="false" customHeight="true" outlineLevel="0" collapsed="false">
      <c r="A6" s="9" t="s">
        <v>36</v>
      </c>
      <c r="B6" s="9"/>
      <c r="C6" s="9"/>
      <c r="D6" s="9"/>
      <c r="E6" s="9"/>
    </row>
    <row r="7" customFormat="false" ht="13.5" hidden="false" customHeight="true" outlineLevel="0" collapsed="false">
      <c r="A7" s="6" t="s">
        <v>37</v>
      </c>
      <c r="C7" s="12" t="n">
        <f aca="false">Producto!$D$8</f>
        <v>4</v>
      </c>
      <c r="D7" s="12" t="n">
        <f aca="false">Producto!$D$9</f>
        <v>3</v>
      </c>
      <c r="E7" s="12" t="n">
        <f aca="false">Producto!$D$10</f>
        <v>2</v>
      </c>
    </row>
    <row r="8" customFormat="false" ht="13.5" hidden="false" customHeight="true" outlineLevel="0" collapsed="false">
      <c r="A8" s="6" t="s">
        <v>38</v>
      </c>
      <c r="C8" s="13" t="n">
        <f aca="false">Hipótesis!$C$16</f>
        <v>1</v>
      </c>
      <c r="D8" s="13" t="n">
        <f aca="false">Hipótesis!$D$16</f>
        <v>1.2</v>
      </c>
      <c r="E8" s="13" t="n">
        <f aca="false">Hipótesis!$E$16</f>
        <v>1.35</v>
      </c>
    </row>
    <row r="9" customFormat="false" ht="13.5" hidden="false" customHeight="true" outlineLevel="0" collapsed="false">
      <c r="A9" s="6" t="s">
        <v>39</v>
      </c>
      <c r="C9" s="13" t="n">
        <f aca="false">Hipótesis!$C$18</f>
        <v>1</v>
      </c>
      <c r="D9" s="13" t="n">
        <f aca="false">Hipótesis!$D$18</f>
        <v>0.85</v>
      </c>
      <c r="E9" s="13" t="n">
        <f aca="false">Hipótesis!$E$18</f>
        <v>0.75</v>
      </c>
    </row>
    <row r="10" customFormat="false" ht="13.5" hidden="false" customHeight="true" outlineLevel="0" collapsed="false">
      <c r="A10" s="6" t="s">
        <v>40</v>
      </c>
      <c r="C10" s="14" t="n">
        <f aca="false">CAPEX!$E$10</f>
        <v>0</v>
      </c>
      <c r="D10" s="14" t="n">
        <f aca="false">CAPEX!$F$10</f>
        <v>10000</v>
      </c>
      <c r="E10" s="14" t="n">
        <f aca="false">CAPEX!$G$10</f>
        <v>35000</v>
      </c>
    </row>
    <row r="11" customFormat="false" ht="13.5" hidden="false" customHeight="true" outlineLevel="0" collapsed="false">
      <c r="A11" s="6" t="s">
        <v>41</v>
      </c>
      <c r="C11" s="14" t="n">
        <f aca="false">CAPEX!$E$26</f>
        <v>148778</v>
      </c>
      <c r="D11" s="14" t="n">
        <f aca="false">CAPEX!$F$26</f>
        <v>161278</v>
      </c>
      <c r="E11" s="14" t="n">
        <f aca="false">CAPEX!$G$26</f>
        <v>185228</v>
      </c>
    </row>
    <row r="12" customFormat="false" ht="12.75" hidden="false" customHeight="true" outlineLevel="0" collapsed="false">
      <c r="A12" s="9" t="s">
        <v>42</v>
      </c>
      <c r="B12" s="9"/>
      <c r="C12" s="9"/>
      <c r="D12" s="9"/>
      <c r="E12" s="9"/>
    </row>
    <row r="13" customFormat="false" ht="13.5" hidden="false" customHeight="true" outlineLevel="0" collapsed="false">
      <c r="A13" s="6" t="s">
        <v>43</v>
      </c>
      <c r="C13" s="15" t="n">
        <f aca="false">Esc_Conservador!$CH$30</f>
        <v>6</v>
      </c>
      <c r="D13" s="15" t="n">
        <f aca="false">Esc_Base!$CH$30</f>
        <v>4</v>
      </c>
      <c r="E13" s="15" t="n">
        <f aca="false">Esc_Optimista!$CH$30</f>
        <v>2</v>
      </c>
    </row>
    <row r="14" customFormat="false" ht="13.5" hidden="false" customHeight="true" outlineLevel="0" collapsed="false">
      <c r="A14" s="6" t="s">
        <v>44</v>
      </c>
      <c r="C14" s="15" t="n">
        <f aca="false">Esc_Conservador!$CH$31</f>
        <v>11</v>
      </c>
      <c r="D14" s="15" t="n">
        <f aca="false">Esc_Base!$CH$31</f>
        <v>9</v>
      </c>
      <c r="E14" s="15" t="n">
        <f aca="false">Esc_Optimista!$CH$31</f>
        <v>7</v>
      </c>
    </row>
    <row r="15" customFormat="false" ht="13.5" hidden="false" customHeight="true" outlineLevel="0" collapsed="false">
      <c r="A15" s="6" t="s">
        <v>45</v>
      </c>
      <c r="C15" s="14" t="n">
        <f aca="false">-Esc_Conservador!$CH$51</f>
        <v>46141.3162461396</v>
      </c>
      <c r="D15" s="14" t="n">
        <f aca="false">-Esc_Base!$CH$51</f>
        <v>40782.4095393174</v>
      </c>
      <c r="E15" s="14" t="n">
        <f aca="false">-Esc_Optimista!$CH$51</f>
        <v>35423.5028324953</v>
      </c>
    </row>
    <row r="16" customFormat="false" ht="12.75" hidden="false" customHeight="true" outlineLevel="0" collapsed="false">
      <c r="A16" s="9" t="s">
        <v>46</v>
      </c>
      <c r="B16" s="9"/>
      <c r="C16" s="9"/>
      <c r="D16" s="9"/>
      <c r="E16" s="9"/>
    </row>
    <row r="17" customFormat="false" ht="13.5" hidden="false" customHeight="true" outlineLevel="0" collapsed="false">
      <c r="A17" s="6" t="s">
        <v>47</v>
      </c>
      <c r="C17" s="14" t="n">
        <f aca="false">SUM(Esc_Conservador!$AY$36:$BJ$36)</f>
        <v>1106500.38469134</v>
      </c>
      <c r="D17" s="14" t="n">
        <f aca="false">SUM(Esc_Base!$AY$36:$BJ$36)</f>
        <v>1403362.41481479</v>
      </c>
      <c r="E17" s="14" t="n">
        <f aca="false">SUM(Esc_Optimista!$AY$36:$BJ$36)</f>
        <v>1642538.11466664</v>
      </c>
    </row>
    <row r="18" customFormat="false" ht="13.5" hidden="false" customHeight="true" outlineLevel="0" collapsed="false">
      <c r="A18" s="6" t="s">
        <v>48</v>
      </c>
      <c r="C18" s="14" t="n">
        <f aca="false">SUM(Esc_Conservador!$AY$56:$BJ$56)</f>
        <v>176569.174423966</v>
      </c>
      <c r="D18" s="14" t="n">
        <f aca="false">SUM(Esc_Base!$AY$56:$BJ$56)</f>
        <v>543913.656972106</v>
      </c>
      <c r="E18" s="14" t="n">
        <f aca="false">SUM(Esc_Optimista!$AY$56:$BJ$56)</f>
        <v>858245.898020874</v>
      </c>
    </row>
    <row r="19" customFormat="false" ht="13.5" hidden="false" customHeight="true" outlineLevel="0" collapsed="false">
      <c r="A19" s="6" t="s">
        <v>49</v>
      </c>
      <c r="C19" s="13" t="n">
        <f aca="false">IFERROR(SUM(Esc_Conservador!$AY$56:$BJ$56)/SUM(Esc_Conservador!$AY$36:$BJ$36),0)</f>
        <v>0.159574435641268</v>
      </c>
      <c r="D19" s="13" t="n">
        <f aca="false">IFERROR(SUM(Esc_Base!$AY$56:$BJ$56)/SUM(Esc_Base!$AY$36:$BJ$36),0)</f>
        <v>0.387578897104701</v>
      </c>
      <c r="E19" s="13" t="n">
        <f aca="false">IFERROR(SUM(Esc_Optimista!$AY$56:$BJ$56)/SUM(Esc_Optimista!$AY$36:$BJ$36),0)</f>
        <v>0.522512013789744</v>
      </c>
    </row>
    <row r="20" customFormat="false" ht="13.5" hidden="false" customHeight="true" outlineLevel="0" collapsed="false">
      <c r="A20" s="6" t="s">
        <v>50</v>
      </c>
      <c r="C20" s="15" t="n">
        <f aca="false">Esc_Conservador!$CH$26</f>
        <v>2962.17395497946</v>
      </c>
      <c r="D20" s="15" t="n">
        <f aca="false">Esc_Base!$CH$26</f>
        <v>3118.92886410811</v>
      </c>
      <c r="E20" s="15" t="n">
        <f aca="false">Esc_Optimista!$CH$26</f>
        <v>3236.4950459546</v>
      </c>
    </row>
    <row r="21" customFormat="false" ht="12.75" hidden="false" customHeight="true" outlineLevel="0" collapsed="false">
      <c r="A21" s="9" t="s">
        <v>51</v>
      </c>
      <c r="B21" s="9"/>
      <c r="C21" s="9"/>
      <c r="D21" s="9"/>
      <c r="E21" s="9"/>
    </row>
    <row r="22" customFormat="false" ht="13.5" hidden="false" customHeight="true" outlineLevel="0" collapsed="false">
      <c r="A22" s="6" t="s">
        <v>52</v>
      </c>
      <c r="C22" s="14" t="n">
        <f aca="false">Esc_Conservador!$C$147</f>
        <v>153095.813144718</v>
      </c>
      <c r="D22" s="14" t="n">
        <f aca="false">Esc_Base!$C$147</f>
        <v>187388.126275719</v>
      </c>
      <c r="E22" s="14" t="n">
        <f aca="false">Esc_Optimista!$C$147</f>
        <v>213910.862796295</v>
      </c>
    </row>
    <row r="23" customFormat="false" ht="13.5" hidden="false" customHeight="true" outlineLevel="0" collapsed="false">
      <c r="A23" s="6" t="s">
        <v>53</v>
      </c>
      <c r="C23" s="14" t="n">
        <f aca="false">Esc_Conservador!$C$146</f>
        <v>30000</v>
      </c>
      <c r="D23" s="14" t="n">
        <f aca="false">Esc_Base!$C$146</f>
        <v>30000</v>
      </c>
      <c r="E23" s="14" t="n">
        <f aca="false">Esc_Optimista!$C$146</f>
        <v>30000</v>
      </c>
    </row>
    <row r="24" customFormat="false" ht="13.5" hidden="false" customHeight="true" outlineLevel="0" collapsed="false">
      <c r="A24" s="6" t="s">
        <v>54</v>
      </c>
      <c r="C24" s="16" t="n">
        <f aca="false">Esc_Conservador!$C$145</f>
        <v>4.77111487763445</v>
      </c>
      <c r="D24" s="16" t="n">
        <f aca="false">Esc_Base!$C$145</f>
        <v>12.872438278561</v>
      </c>
      <c r="E24" s="16" t="n">
        <f aca="false">Esc_Optimista!$C$145</f>
        <v>17.7724763326701</v>
      </c>
    </row>
    <row r="25" customFormat="false" ht="13.5" hidden="false" customHeight="true" outlineLevel="0" collapsed="false">
      <c r="A25" s="6" t="s">
        <v>55</v>
      </c>
      <c r="C25" s="17" t="n">
        <f aca="false">IFERROR(Esc_Conservador!$C$128,0)</f>
        <v>0.106681919700323</v>
      </c>
      <c r="D25" s="17" t="n">
        <f aca="false">IFERROR(Esc_Base!$C$128,0)</f>
        <v>0.407192068804255</v>
      </c>
      <c r="E25" s="17" t="n">
        <f aca="false">IFERROR(Esc_Optimista!$C$128,0)</f>
        <v>0.580093862526874</v>
      </c>
    </row>
    <row r="26" customFormat="false" ht="13.5" hidden="false" customHeight="true" outlineLevel="0" collapsed="false">
      <c r="A26" s="6" t="s">
        <v>56</v>
      </c>
      <c r="C26" s="18" t="n">
        <f aca="false">Esc_Conservador!$C$129</f>
        <v>1.5</v>
      </c>
      <c r="D26" s="18" t="n">
        <f aca="false">Esc_Base!$C$129</f>
        <v>3.92115052923805</v>
      </c>
      <c r="E26" s="18" t="n">
        <f aca="false">Esc_Optimista!$C$129</f>
        <v>6.23349398433236</v>
      </c>
    </row>
    <row r="27" customFormat="false" ht="13.5" hidden="false" customHeight="true" outlineLevel="0" collapsed="false">
      <c r="A27" s="6" t="s">
        <v>57</v>
      </c>
      <c r="C27" s="15" t="n">
        <f aca="false">Esc_Conservador!$C$130</f>
        <v>48</v>
      </c>
      <c r="D27" s="15" t="n">
        <f aca="false">Esc_Base!$C$130</f>
        <v>48</v>
      </c>
      <c r="E27" s="15" t="n">
        <f aca="false">Esc_Optimista!$C$130</f>
        <v>48</v>
      </c>
    </row>
    <row r="28" customFormat="false" ht="13.5" hidden="false" customHeight="true" outlineLevel="0" collapsed="false">
      <c r="A28" s="6" t="s">
        <v>58</v>
      </c>
      <c r="C28" s="14" t="n">
        <f aca="false">Hipótesis!$D$122</f>
        <v>200000</v>
      </c>
      <c r="D28" s="14" t="n">
        <f aca="false">Hipótesis!$D$122</f>
        <v>200000</v>
      </c>
      <c r="E28" s="14" t="n">
        <f aca="false">Hipótesis!$D$122</f>
        <v>200000</v>
      </c>
    </row>
    <row r="29" customFormat="false" ht="13.5" hidden="false" customHeight="true" outlineLevel="0" collapsed="false">
      <c r="A29" s="6" t="s">
        <v>59</v>
      </c>
      <c r="C29" s="14" t="n">
        <f aca="false">Esc_Conservador!$C$150</f>
        <v>23291.6710710134</v>
      </c>
      <c r="D29" s="14" t="n">
        <f aca="false">Esc_Base!$C$150</f>
        <v>3133.46141452048</v>
      </c>
      <c r="E29" s="14" t="n">
        <f aca="false">Esc_Optimista!$C$150</f>
        <v>6183.34455181468</v>
      </c>
    </row>
    <row r="30" customFormat="false" ht="12.75" hidden="false" customHeight="true" outlineLevel="0" collapsed="false">
      <c r="A30" s="9" t="s">
        <v>60</v>
      </c>
      <c r="B30" s="9"/>
      <c r="C30" s="9"/>
      <c r="D30" s="9"/>
      <c r="E30" s="9"/>
    </row>
    <row r="31" customFormat="false" ht="13.5" hidden="false" customHeight="true" outlineLevel="0" collapsed="false">
      <c r="A31" s="6" t="s">
        <v>61</v>
      </c>
      <c r="C31" s="14" t="n">
        <f aca="false">Esc_Conservador!$E$149</f>
        <v>2800</v>
      </c>
      <c r="D31" s="14" t="n">
        <f aca="false">Esc_Base!$E$149</f>
        <v>2800</v>
      </c>
      <c r="E31" s="14" t="n">
        <f aca="false">Esc_Optimista!$E$149</f>
        <v>2800</v>
      </c>
    </row>
    <row r="32" customFormat="false" ht="13.5" hidden="false" customHeight="true" outlineLevel="0" collapsed="false">
      <c r="A32" s="6" t="s">
        <v>62</v>
      </c>
      <c r="C32" s="14" t="n">
        <f aca="false">Esc_Conservador!$G$149</f>
        <v>3500</v>
      </c>
      <c r="D32" s="14" t="n">
        <f aca="false">Esc_Base!$G$149</f>
        <v>3500</v>
      </c>
      <c r="E32" s="14" t="n">
        <f aca="false">Esc_Optimista!$G$149</f>
        <v>3500</v>
      </c>
    </row>
    <row r="33" customFormat="false" ht="13.5" hidden="false" customHeight="true" outlineLevel="0" collapsed="false">
      <c r="A33" s="6" t="s">
        <v>63</v>
      </c>
      <c r="C33" s="14" t="n">
        <f aca="false">Esc_Conservador!$I$149</f>
        <v>4200</v>
      </c>
      <c r="D33" s="14" t="n">
        <f aca="false">Esc_Base!$I$149</f>
        <v>4200</v>
      </c>
      <c r="E33" s="14" t="n">
        <f aca="false">Esc_Optimista!$I$149</f>
        <v>4200</v>
      </c>
    </row>
    <row r="34" customFormat="false" ht="13.5" hidden="false" customHeight="true" outlineLevel="0" collapsed="false">
      <c r="A34" s="6" t="s">
        <v>64</v>
      </c>
      <c r="C34" s="14" t="n">
        <f aca="false">SUM(Esc_Conservador!$C$117:$CH$117)</f>
        <v>0</v>
      </c>
      <c r="D34" s="14" t="n">
        <f aca="false">SUM(Esc_Base!$C$117:$CH$117)</f>
        <v>0</v>
      </c>
      <c r="E34" s="14" t="n">
        <f aca="false">SUM(Esc_Optimista!$C$117:$CH$117)</f>
        <v>0</v>
      </c>
    </row>
    <row r="35" customFormat="false" ht="13.5" hidden="false" customHeight="true" outlineLevel="0" collapsed="false">
      <c r="A35" s="6" t="s">
        <v>65</v>
      </c>
      <c r="C35" s="14" t="n">
        <f aca="false">Esc_Conservador!$CH$115</f>
        <v>161372.833841653</v>
      </c>
      <c r="D35" s="14" t="n">
        <f aca="false">Esc_Base!$CH$115</f>
        <v>590499.451708993</v>
      </c>
      <c r="E35" s="14" t="n">
        <f aca="false">Esc_Optimista!$CH$115</f>
        <v>954645.079521324</v>
      </c>
    </row>
    <row r="36" customFormat="false" ht="13.5" hidden="false" customHeight="true" outlineLevel="0" collapsed="false">
      <c r="A36" s="6" t="s">
        <v>66</v>
      </c>
      <c r="C36" s="14" t="n">
        <f aca="false">Esc_Conservador!$CH$86+Esc_Conservador!$CH$115</f>
        <v>386923.050200221</v>
      </c>
      <c r="D36" s="14" t="n">
        <f aca="false">Esc_Base!$CH$86+Esc_Base!$CH$115</f>
        <v>1845195.57781777</v>
      </c>
      <c r="E36" s="14" t="n">
        <f aca="false">Esc_Optimista!$CH$86+Esc_Optimista!$CH$115</f>
        <v>3093977.1975334</v>
      </c>
    </row>
    <row r="37" customFormat="false" ht="13.5" hidden="false" customHeight="true" outlineLevel="0" collapsed="false">
      <c r="A37" s="6" t="s">
        <v>67</v>
      </c>
      <c r="C37" s="14" t="n">
        <f aca="false">(Esc_Conservador!$CH$86+Esc_Conservador!$CH$115)*Hipótesis!$D$82</f>
        <v>116076.915060066</v>
      </c>
      <c r="D37" s="14" t="n">
        <f aca="false">(Esc_Base!$CH$86+Esc_Base!$CH$115)*Hipótesis!$D$82</f>
        <v>553558.67334533</v>
      </c>
      <c r="E37" s="14" t="n">
        <f aca="false">(Esc_Optimista!$CH$86+Esc_Optimista!$CH$115)*Hipótesis!$D$82</f>
        <v>928193.159260021</v>
      </c>
    </row>
    <row r="38" customFormat="false" ht="13.5" hidden="false" customHeight="true" outlineLevel="0" collapsed="false">
      <c r="A38" s="6" t="s">
        <v>68</v>
      </c>
      <c r="C38" s="14" t="n">
        <f aca="false">Esc_Conservador!$C$133*Hipótesis!$D$82</f>
        <v>365461.219827288</v>
      </c>
      <c r="D38" s="14" t="n">
        <f aca="false">Esc_Base!$C$133*Hipótesis!$D$82</f>
        <v>1176345.15877141</v>
      </c>
      <c r="E38" s="14" t="n">
        <f aca="false">Esc_Optimista!$C$133*Hipótesis!$D$82</f>
        <v>1870048.19529971</v>
      </c>
    </row>
    <row r="39" customFormat="false" ht="13.5" hidden="false" customHeight="true" outlineLevel="0" collapsed="false"/>
    <row r="40" customFormat="false" ht="13.5" hidden="false" customHeight="true" outlineLevel="0" collapsed="false">
      <c r="A40" s="6" t="s">
        <v>69</v>
      </c>
      <c r="C40" s="19" t="str">
        <f aca="false">IF(Hipótesis!$D$122&gt;=CAPEX!$E$26,"SÍ","NO — faltan "&amp;TEXT(CAPEX!$E$26-Hipótesis!$D$122,"#,##0")&amp;" €")</f>
        <v>SÍ</v>
      </c>
      <c r="D40" s="19" t="str">
        <f aca="false">IF(Hipótesis!$D$122&gt;=CAPEX!$F$26,"SÍ","NO — faltan "&amp;TEXT(CAPEX!$F$26-Hipótesis!$D$122,"#,##0")&amp;" €")</f>
        <v>SÍ</v>
      </c>
      <c r="E40" s="19" t="str">
        <f aca="false">IF(Hipótesis!$D$122&gt;=CAPEX!$G$26,"SÍ","NO — faltan "&amp;TEXT(CAPEX!$G$26-Hipótesis!$D$122,"#,##0")&amp;" €")</f>
        <v>SÍ</v>
      </c>
    </row>
    <row r="41" customFormat="false" ht="13.5" hidden="false" customHeight="true" outlineLevel="0" collapsed="false">
      <c r="A41" s="4" t="s">
        <v>70</v>
      </c>
    </row>
    <row r="42" customFormat="false" ht="13.5" hidden="false" customHeight="true" outlineLevel="0" collapsed="false">
      <c r="A42" s="4" t="s">
        <v>71</v>
      </c>
    </row>
    <row r="43" customFormat="false" ht="13.5" hidden="false" customHeight="true" outlineLevel="0" collapsed="false"/>
    <row r="44" customFormat="false" ht="12.75" hidden="false" customHeight="true" outlineLevel="0" collapsed="false">
      <c r="A44" s="9" t="s">
        <v>72</v>
      </c>
      <c r="B44" s="9"/>
      <c r="C44" s="9"/>
      <c r="D44" s="9"/>
      <c r="E44" s="9"/>
    </row>
    <row r="45" customFormat="false" ht="13.5" hidden="false" customHeight="true" outlineLevel="0" collapsed="false">
      <c r="A45" s="6" t="s">
        <v>73</v>
      </c>
      <c r="C45" s="14" t="n">
        <f aca="false">MIN(Modelo_Mensual!$C$86:$CH$86)</f>
        <v>30000</v>
      </c>
    </row>
    <row r="46" customFormat="false" ht="13.5" hidden="false" customHeight="true" outlineLevel="0" collapsed="false">
      <c r="A46" s="6" t="s">
        <v>74</v>
      </c>
      <c r="C46" s="16" t="n">
        <f aca="false">MIN(Resumen_Anual!$D$23:$I$23)</f>
        <v>12.872438278561</v>
      </c>
    </row>
    <row r="47" customFormat="false" ht="13.5" hidden="false" customHeight="true" outlineLevel="0" collapsed="false">
      <c r="A47" s="6" t="s">
        <v>75</v>
      </c>
      <c r="C47" s="14" t="n">
        <f aca="false">Producto!$D$35</f>
        <v>39.9242151244097</v>
      </c>
    </row>
    <row r="48" customFormat="false" ht="13.5" hidden="false" customHeight="true" outlineLevel="0" collapsed="false">
      <c r="A48" s="6" t="s">
        <v>76</v>
      </c>
      <c r="C48" s="15" t="n">
        <f aca="false">Modelo_Mensual!$CH$31</f>
        <v>9</v>
      </c>
    </row>
    <row r="49" customFormat="false" ht="13.5" hidden="false" customHeight="true" outlineLevel="0" collapsed="false">
      <c r="A49" s="6" t="s">
        <v>77</v>
      </c>
      <c r="C49" s="15" t="n">
        <f aca="false">Modelo_Mensual!$CH$26</f>
        <v>3118.92886410811</v>
      </c>
    </row>
    <row r="50" customFormat="false" ht="13.5" hidden="false" customHeight="true" outlineLevel="0" collapsed="false">
      <c r="A50" s="6" t="s">
        <v>78</v>
      </c>
      <c r="C50" s="17" t="n">
        <f aca="false">IFERROR(SUM(Modelo_Mensual!$C$34:$N$34)/SUM(Modelo_Mensual!$C$36:$N$36),0)</f>
        <v>0.754977104535634</v>
      </c>
    </row>
    <row r="51" customFormat="false" ht="13.5" hidden="false" customHeight="true" outlineLevel="0" collapsed="false">
      <c r="A51" s="6" t="s">
        <v>79</v>
      </c>
      <c r="C51" s="14" t="n">
        <f aca="false">Pipeline!$R$23</f>
        <v>31863.75</v>
      </c>
    </row>
    <row r="52" customFormat="false" ht="13.5" hidden="false" customHeight="true" outlineLevel="0" collapsed="false">
      <c r="A52" s="6" t="s">
        <v>80</v>
      </c>
      <c r="C52" s="15" t="n">
        <f aca="false">Modelo_Mensual!$C$130</f>
        <v>48</v>
      </c>
    </row>
    <row r="53" customFormat="false" ht="13.5" hidden="false" customHeight="true" outlineLevel="0" collapsed="false">
      <c r="A53" s="6" t="s">
        <v>81</v>
      </c>
      <c r="C53" s="20" t="str">
        <f aca="false">CHOOSE(Hipótesis!$D$94,"Préstamo simple","Préstamo participativo","Cuentas en participación","Revenue-share","Capital (equity)")</f>
        <v>Capital (equity)</v>
      </c>
    </row>
    <row r="54" customFormat="false" ht="13.5" hidden="false" customHeight="true" outlineLevel="0" collapsed="false">
      <c r="A54" s="6" t="s">
        <v>82</v>
      </c>
      <c r="C54" s="17" t="n">
        <f aca="false">Modelo_Mensual!$C$136</f>
        <v>0.143813594071121</v>
      </c>
    </row>
    <row r="55" customFormat="false" ht="13.5" hidden="false" customHeight="true" outlineLevel="0" collapsed="false">
      <c r="A55" s="6" t="s">
        <v>83</v>
      </c>
      <c r="C55" s="21" t="n">
        <f aca="false">Modelo_Mensual!$C$129</f>
        <v>3.92115052923805</v>
      </c>
    </row>
    <row r="56" customFormat="false" ht="13.5" hidden="false" customHeight="true" outlineLevel="0" collapsed="false"/>
    <row r="57" customFormat="false" ht="12.75" hidden="false" customHeight="true" outlineLevel="0" collapsed="false">
      <c r="A57" s="9" t="s">
        <v>84</v>
      </c>
      <c r="B57" s="9"/>
      <c r="C57" s="9"/>
      <c r="D57" s="9"/>
      <c r="E57" s="9"/>
    </row>
    <row r="58" customFormat="false" ht="13.5" hidden="false" customHeight="true" outlineLevel="0" collapsed="false">
      <c r="A58" s="6" t="s">
        <v>85</v>
      </c>
      <c r="C58" s="17" t="n">
        <f aca="false">Modelo_Mensual!$C$128</f>
        <v>0.407192068804255</v>
      </c>
    </row>
    <row r="59" customFormat="false" ht="13.5" hidden="false" customHeight="true" outlineLevel="0" collapsed="false">
      <c r="A59" s="6" t="s">
        <v>86</v>
      </c>
      <c r="C59" s="20" t="str">
        <f aca="false">IF(Hipótesis!$D$122&gt;=CAPEX!$C$26,"SÍ","NO — faltan "&amp;TEXT(CAPEX!$C$26-Hipótesis!$D$122,"#,##0")&amp;" €")</f>
        <v>SÍ</v>
      </c>
    </row>
    <row r="60" customFormat="false" ht="13.5" hidden="false" customHeight="true" outlineLevel="0" collapsed="false">
      <c r="A60" s="6" t="s">
        <v>87</v>
      </c>
      <c r="C60" s="14" t="n">
        <f aca="false">CAPEX!$C$26</f>
        <v>161278</v>
      </c>
    </row>
    <row r="61" customFormat="false" ht="13.5" hidden="false" customHeight="true" outlineLevel="0" collapsed="false">
      <c r="A61" s="6" t="s">
        <v>88</v>
      </c>
      <c r="C61" s="14" t="n">
        <f aca="false">Hipótesis!$D$122</f>
        <v>200000</v>
      </c>
    </row>
    <row r="62" customFormat="false" ht="13.5" hidden="false" customHeight="true" outlineLevel="0" collapsed="false">
      <c r="A62" s="6" t="s">
        <v>89</v>
      </c>
      <c r="C62" s="20" t="str">
        <f aca="false">CHOOSE(Hipótesis!$C$4,"CONSERVADOR","BASE","OPTIMISTA")</f>
        <v>BASE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1"/>
    <col collapsed="false" customWidth="true" hidden="false" outlineLevel="0" max="2" min="2" style="1" width="13"/>
    <col collapsed="false" customWidth="true" hidden="false" outlineLevel="0" max="3" min="3" style="1" width="8"/>
    <col collapsed="false" customWidth="true" hidden="false" outlineLevel="0" max="5" min="4" style="1" width="9"/>
    <col collapsed="false" customWidth="true" hidden="false" outlineLevel="0" max="6" min="6" style="1" width="11"/>
    <col collapsed="false" customWidth="true" hidden="false" outlineLevel="0" max="7" min="7" style="1" width="10"/>
    <col collapsed="false" customWidth="true" hidden="false" outlineLevel="0" max="9" min="8" style="1" width="8"/>
    <col collapsed="false" customWidth="true" hidden="false" outlineLevel="0" max="10" min="10" style="1" width="10"/>
    <col collapsed="false" customWidth="true" hidden="false" outlineLevel="0" max="11" min="11" style="1" width="11"/>
    <col collapsed="false" customWidth="true" hidden="false" outlineLevel="0" max="12" min="12" style="1" width="10"/>
    <col collapsed="false" customWidth="true" hidden="false" outlineLevel="0" max="13" min="13" style="1" width="11"/>
    <col collapsed="false" customWidth="true" hidden="false" outlineLevel="0" max="16" min="14" style="1" width="10"/>
    <col collapsed="false" customWidth="true" hidden="false" outlineLevel="0" max="17" min="17" style="1" width="11"/>
    <col collapsed="false" customWidth="true" hidden="false" outlineLevel="0" max="19" min="18" style="1" width="12"/>
    <col collapsed="false" customWidth="true" hidden="false" outlineLevel="0" max="20" min="20" style="1" width="13"/>
    <col collapsed="false" customWidth="true" hidden="false" outlineLevel="0" max="21" min="21" style="1" width="9"/>
    <col collapsed="false" customWidth="true" hidden="false" outlineLevel="0" max="22" min="22" style="1" width="12"/>
  </cols>
  <sheetData>
    <row r="1" customFormat="false" ht="18" hidden="false" customHeight="true" outlineLevel="0" collapsed="false">
      <c r="A1" s="8" t="s">
        <v>90</v>
      </c>
    </row>
    <row r="2" customFormat="false" ht="13.5" hidden="false" customHeight="true" outlineLevel="0" collapsed="false">
      <c r="A2" s="4" t="s">
        <v>91</v>
      </c>
    </row>
    <row r="3" customFormat="false" ht="13.5" hidden="false" customHeight="true" outlineLevel="0" collapsed="false"/>
    <row r="4" customFormat="false" ht="13.5" hidden="false" customHeight="true" outlineLevel="0" collapsed="false">
      <c r="A4" s="22" t="s">
        <v>92</v>
      </c>
    </row>
    <row r="5" customFormat="false" ht="13.5" hidden="false" customHeight="true" outlineLevel="0" collapsed="false">
      <c r="A5" s="6" t="s">
        <v>93</v>
      </c>
      <c r="D5" s="23" t="n">
        <v>1.3</v>
      </c>
    </row>
    <row r="6" customFormat="false" ht="13.5" hidden="false" customHeight="true" outlineLevel="0" collapsed="false">
      <c r="A6" s="6" t="s">
        <v>94</v>
      </c>
      <c r="D6" s="24" t="n">
        <v>30.42</v>
      </c>
    </row>
    <row r="7" customFormat="false" ht="13.5" hidden="false" customHeight="true" outlineLevel="0" collapsed="false">
      <c r="A7" s="6" t="s">
        <v>95</v>
      </c>
      <c r="D7" s="25" t="n">
        <v>0</v>
      </c>
      <c r="F7" s="1" t="s">
        <v>96</v>
      </c>
    </row>
    <row r="8" customFormat="false" ht="13.5" hidden="false" customHeight="true" outlineLevel="0" collapsed="false">
      <c r="A8" s="6" t="s">
        <v>97</v>
      </c>
      <c r="D8" s="26" t="n">
        <v>4</v>
      </c>
      <c r="F8" s="27" t="s">
        <v>98</v>
      </c>
    </row>
    <row r="9" customFormat="false" ht="13.5" hidden="false" customHeight="true" outlineLevel="0" collapsed="false">
      <c r="A9" s="6" t="s">
        <v>99</v>
      </c>
      <c r="D9" s="26" t="n">
        <v>3</v>
      </c>
    </row>
    <row r="10" customFormat="false" ht="13.5" hidden="false" customHeight="true" outlineLevel="0" collapsed="false">
      <c r="A10" s="6" t="s">
        <v>100</v>
      </c>
      <c r="D10" s="26" t="n">
        <v>2</v>
      </c>
    </row>
    <row r="11" customFormat="false" ht="13.5" hidden="false" customHeight="true" outlineLevel="0" collapsed="false">
      <c r="A11" s="22" t="s">
        <v>101</v>
      </c>
      <c r="D11" s="28" t="n">
        <f aca="false">CHOOSE(Hipótesis!$C$4,D8,D9,D10)</f>
        <v>3</v>
      </c>
    </row>
    <row r="12" customFormat="false" ht="13.5" hidden="false" customHeight="true" outlineLevel="0" collapsed="false"/>
    <row r="13" customFormat="false" ht="13.5" hidden="false" customHeight="true" outlineLevel="0" collapsed="false"/>
    <row r="14" customFormat="false" ht="13.5" hidden="false" customHeight="true" outlineLevel="0" collapsed="false"/>
    <row r="15" customFormat="false" ht="42" hidden="false" customHeight="true" outlineLevel="0" collapsed="false">
      <c r="A15" s="29" t="s">
        <v>102</v>
      </c>
      <c r="B15" s="29" t="s">
        <v>103</v>
      </c>
      <c r="C15" s="29" t="s">
        <v>104</v>
      </c>
      <c r="D15" s="29" t="s">
        <v>105</v>
      </c>
      <c r="E15" s="29" t="s">
        <v>106</v>
      </c>
      <c r="F15" s="29" t="s">
        <v>107</v>
      </c>
      <c r="G15" s="29" t="s">
        <v>108</v>
      </c>
      <c r="H15" s="29" t="s">
        <v>109</v>
      </c>
      <c r="I15" s="29" t="s">
        <v>110</v>
      </c>
      <c r="J15" s="29" t="s">
        <v>111</v>
      </c>
      <c r="K15" s="29" t="s">
        <v>112</v>
      </c>
      <c r="L15" s="29" t="s">
        <v>113</v>
      </c>
      <c r="M15" s="29" t="s">
        <v>114</v>
      </c>
      <c r="N15" s="29" t="s">
        <v>115</v>
      </c>
      <c r="O15" s="29" t="s">
        <v>116</v>
      </c>
      <c r="P15" s="29" t="s">
        <v>117</v>
      </c>
      <c r="Q15" s="29" t="s">
        <v>118</v>
      </c>
      <c r="R15" s="29" t="s">
        <v>119</v>
      </c>
      <c r="S15" s="29" t="s">
        <v>120</v>
      </c>
      <c r="T15" s="29" t="s">
        <v>121</v>
      </c>
      <c r="U15" s="29" t="s">
        <v>122</v>
      </c>
      <c r="V15" s="29" t="s">
        <v>123</v>
      </c>
    </row>
    <row r="16" customFormat="false" ht="12.75" hidden="false" customHeight="true" outlineLevel="0" collapsed="false">
      <c r="A16" s="30" t="s">
        <v>124</v>
      </c>
      <c r="B16" s="31" t="s">
        <v>125</v>
      </c>
      <c r="C16" s="32" t="n">
        <v>1</v>
      </c>
      <c r="D16" s="33" t="n">
        <v>0.4</v>
      </c>
      <c r="E16" s="32" t="n">
        <v>100</v>
      </c>
      <c r="F16" s="34" t="n">
        <v>3</v>
      </c>
      <c r="G16" s="35" t="n">
        <f aca="false">F16/E16*1000</f>
        <v>30</v>
      </c>
      <c r="H16" s="36" t="n">
        <v>3.7</v>
      </c>
      <c r="I16" s="36" t="n">
        <v>3.7</v>
      </c>
      <c r="J16" s="37" t="n">
        <f aca="false">Producto!$D$6/(H16+Producto!$D$7)</f>
        <v>8.22162162162162</v>
      </c>
      <c r="K16" s="32" t="n">
        <v>170</v>
      </c>
      <c r="L16" s="37" t="n">
        <f aca="false">K16/E16</f>
        <v>1.7</v>
      </c>
      <c r="M16" s="37" t="n">
        <f aca="false">J16*K16/1000</f>
        <v>1.39767567567568</v>
      </c>
      <c r="N16" s="34" t="n">
        <v>0.43</v>
      </c>
      <c r="O16" s="34" t="n">
        <v>0.3</v>
      </c>
      <c r="P16" s="34" t="n">
        <v>0.2</v>
      </c>
      <c r="Q16" s="38" t="n">
        <f aca="false">L16*P16</f>
        <v>0.34</v>
      </c>
      <c r="R16" s="38" t="n">
        <f aca="false">N16+O16+Q16</f>
        <v>1.07</v>
      </c>
      <c r="S16" s="38" t="n">
        <f aca="false">R16*J16</f>
        <v>8.79713513513514</v>
      </c>
      <c r="T16" s="38" t="n">
        <f aca="false">L16*F16*J16</f>
        <v>41.9302702702703</v>
      </c>
      <c r="U16" s="39" t="n">
        <f aca="false">IFERROR((T16-S16)/T16,0)</f>
        <v>0.790196078431373</v>
      </c>
      <c r="V16" s="38" t="n">
        <f aca="false">IFERROR((T16-S16)/(J16*Producto!$D$11/60),0)</f>
        <v>80.6</v>
      </c>
    </row>
    <row r="17" customFormat="false" ht="12.75" hidden="false" customHeight="true" outlineLevel="0" collapsed="false">
      <c r="A17" s="30" t="s">
        <v>126</v>
      </c>
      <c r="B17" s="31" t="s">
        <v>127</v>
      </c>
      <c r="C17" s="32" t="n">
        <v>1</v>
      </c>
      <c r="D17" s="33" t="n">
        <v>0.15</v>
      </c>
      <c r="E17" s="32" t="n">
        <v>30</v>
      </c>
      <c r="F17" s="34" t="n">
        <v>2.4</v>
      </c>
      <c r="G17" s="35" t="n">
        <f aca="false">F17/E17*1000</f>
        <v>80</v>
      </c>
      <c r="H17" s="36" t="n">
        <v>11</v>
      </c>
      <c r="I17" s="36" t="n">
        <v>5</v>
      </c>
      <c r="J17" s="37" t="n">
        <f aca="false">Producto!$D$6/(H17+Producto!$D$7)</f>
        <v>2.76545454545455</v>
      </c>
      <c r="K17" s="40" t="n">
        <v>145</v>
      </c>
      <c r="L17" s="37" t="n">
        <f aca="false">K17/E17</f>
        <v>4.83333333333333</v>
      </c>
      <c r="M17" s="37" t="n">
        <f aca="false">J17*K17/1000</f>
        <v>0.400990909090909</v>
      </c>
      <c r="N17" s="34" t="n">
        <v>0.24</v>
      </c>
      <c r="O17" s="34" t="n">
        <v>0.3</v>
      </c>
      <c r="P17" s="34" t="n">
        <v>0.1</v>
      </c>
      <c r="Q17" s="38" t="n">
        <f aca="false">L17*P17</f>
        <v>0.483333333333333</v>
      </c>
      <c r="R17" s="38" t="n">
        <f aca="false">N17+O17+Q17</f>
        <v>1.02333333333333</v>
      </c>
      <c r="S17" s="38" t="n">
        <f aca="false">R17*J17</f>
        <v>2.82998181818182</v>
      </c>
      <c r="T17" s="38" t="n">
        <f aca="false">L17*F17*J17</f>
        <v>32.0792727272727</v>
      </c>
      <c r="U17" s="39" t="n">
        <f aca="false">IFERROR((T17-S17)/T17,0)</f>
        <v>0.911781609195402</v>
      </c>
      <c r="V17" s="38" t="n">
        <f aca="false">IFERROR((T17-S17)/(J17*Producto!$D$11/60),0)</f>
        <v>211.533333333333</v>
      </c>
    </row>
    <row r="18" customFormat="false" ht="12.75" hidden="false" customHeight="true" outlineLevel="0" collapsed="false">
      <c r="A18" s="30" t="s">
        <v>128</v>
      </c>
      <c r="B18" s="31" t="s">
        <v>127</v>
      </c>
      <c r="C18" s="32" t="n">
        <v>1</v>
      </c>
      <c r="D18" s="33" t="n">
        <v>0.1</v>
      </c>
      <c r="E18" s="32" t="n">
        <v>30</v>
      </c>
      <c r="F18" s="34" t="n">
        <v>2.5</v>
      </c>
      <c r="G18" s="35" t="n">
        <f aca="false">F18/E18*1000</f>
        <v>83.3333333333333</v>
      </c>
      <c r="H18" s="36" t="n">
        <v>13</v>
      </c>
      <c r="I18" s="36" t="n">
        <v>5</v>
      </c>
      <c r="J18" s="37" t="n">
        <f aca="false">Producto!$D$6/(H18+Producto!$D$7)</f>
        <v>2.34</v>
      </c>
      <c r="K18" s="40" t="n">
        <v>90</v>
      </c>
      <c r="L18" s="37" t="n">
        <f aca="false">K18/E18</f>
        <v>3</v>
      </c>
      <c r="M18" s="37" t="n">
        <f aca="false">J18*K18/1000</f>
        <v>0.2106</v>
      </c>
      <c r="N18" s="34" t="n">
        <v>0.44</v>
      </c>
      <c r="O18" s="34" t="n">
        <v>0.3</v>
      </c>
      <c r="P18" s="34" t="n">
        <v>0.1</v>
      </c>
      <c r="Q18" s="38" t="n">
        <f aca="false">L18*P18</f>
        <v>0.3</v>
      </c>
      <c r="R18" s="38" t="n">
        <f aca="false">N18+O18+Q18</f>
        <v>1.04</v>
      </c>
      <c r="S18" s="38" t="n">
        <f aca="false">R18*J18</f>
        <v>2.4336</v>
      </c>
      <c r="T18" s="38" t="n">
        <f aca="false">L18*F18*J18</f>
        <v>17.55</v>
      </c>
      <c r="U18" s="39" t="n">
        <f aca="false">IFERROR((T18-S18)/T18,0)</f>
        <v>0.861333333333333</v>
      </c>
      <c r="V18" s="38" t="n">
        <f aca="false">IFERROR((T18-S18)/(J18*Producto!$D$11/60),0)</f>
        <v>129.2</v>
      </c>
    </row>
    <row r="19" customFormat="false" ht="12.75" hidden="false" customHeight="true" outlineLevel="0" collapsed="false">
      <c r="A19" s="30" t="s">
        <v>129</v>
      </c>
      <c r="B19" s="31" t="s">
        <v>125</v>
      </c>
      <c r="C19" s="32" t="n">
        <v>1</v>
      </c>
      <c r="D19" s="33" t="n">
        <v>0.08</v>
      </c>
      <c r="E19" s="32" t="n">
        <v>30</v>
      </c>
      <c r="F19" s="34" t="n">
        <v>1.3</v>
      </c>
      <c r="G19" s="35" t="n">
        <f aca="false">F19/E19*1000</f>
        <v>43.3333333333333</v>
      </c>
      <c r="H19" s="36" t="n">
        <v>3</v>
      </c>
      <c r="I19" s="36" t="n">
        <v>3</v>
      </c>
      <c r="J19" s="37" t="n">
        <f aca="false">Producto!$D$6/(H19+Producto!$D$7)</f>
        <v>10.14</v>
      </c>
      <c r="K19" s="40" t="n">
        <v>245</v>
      </c>
      <c r="L19" s="37" t="n">
        <f aca="false">K19/E19</f>
        <v>8.16666666666667</v>
      </c>
      <c r="M19" s="37" t="n">
        <f aca="false">J19*K19/1000</f>
        <v>2.4843</v>
      </c>
      <c r="N19" s="34" t="n">
        <v>0.3</v>
      </c>
      <c r="O19" s="34" t="n">
        <v>0.3</v>
      </c>
      <c r="P19" s="34" t="n">
        <v>0.1</v>
      </c>
      <c r="Q19" s="38" t="n">
        <f aca="false">L19*P19</f>
        <v>0.816666666666667</v>
      </c>
      <c r="R19" s="38" t="n">
        <f aca="false">N19+O19+Q19</f>
        <v>1.41666666666667</v>
      </c>
      <c r="S19" s="38" t="n">
        <f aca="false">R19*J19</f>
        <v>14.365</v>
      </c>
      <c r="T19" s="38" t="n">
        <f aca="false">L19*F19*J19</f>
        <v>107.653</v>
      </c>
      <c r="U19" s="39" t="n">
        <f aca="false">IFERROR((T19-S19)/T19,0)</f>
        <v>0.866562009419152</v>
      </c>
      <c r="V19" s="38" t="n">
        <f aca="false">IFERROR((T19-S19)/(J19*Producto!$D$11/60),0)</f>
        <v>184</v>
      </c>
    </row>
    <row r="20" customFormat="false" ht="12.75" hidden="false" customHeight="true" outlineLevel="0" collapsed="false">
      <c r="A20" s="30" t="s">
        <v>130</v>
      </c>
      <c r="B20" s="31" t="s">
        <v>125</v>
      </c>
      <c r="C20" s="32" t="n">
        <v>1</v>
      </c>
      <c r="D20" s="33" t="n">
        <v>0.08</v>
      </c>
      <c r="E20" s="32" t="n">
        <v>30</v>
      </c>
      <c r="F20" s="34" t="n">
        <v>1.3</v>
      </c>
      <c r="G20" s="35" t="n">
        <f aca="false">F20/E20*1000</f>
        <v>43.3333333333333</v>
      </c>
      <c r="H20" s="36" t="n">
        <v>4</v>
      </c>
      <c r="I20" s="36" t="n">
        <v>3</v>
      </c>
      <c r="J20" s="37" t="n">
        <f aca="false">Producto!$D$6/(H20+Producto!$D$7)</f>
        <v>7.605</v>
      </c>
      <c r="K20" s="32" t="n">
        <v>170</v>
      </c>
      <c r="L20" s="37" t="n">
        <f aca="false">K20/E20</f>
        <v>5.66666666666667</v>
      </c>
      <c r="M20" s="37" t="n">
        <f aca="false">J20*K20/1000</f>
        <v>1.29285</v>
      </c>
      <c r="N20" s="34" t="n">
        <v>0.17</v>
      </c>
      <c r="O20" s="34" t="n">
        <v>0.3</v>
      </c>
      <c r="P20" s="34" t="n">
        <v>0.1</v>
      </c>
      <c r="Q20" s="38" t="n">
        <f aca="false">L20*P20</f>
        <v>0.566666666666667</v>
      </c>
      <c r="R20" s="38" t="n">
        <f aca="false">N20+O20+Q20</f>
        <v>1.03666666666667</v>
      </c>
      <c r="S20" s="38" t="n">
        <f aca="false">R20*J20</f>
        <v>7.88385</v>
      </c>
      <c r="T20" s="38" t="n">
        <f aca="false">L20*F20*J20</f>
        <v>56.0235</v>
      </c>
      <c r="U20" s="39" t="n">
        <f aca="false">IFERROR((T20-S20)/T20,0)</f>
        <v>0.859276018099548</v>
      </c>
      <c r="V20" s="38" t="n">
        <f aca="false">IFERROR((T20-S20)/(J20*Producto!$D$11/60),0)</f>
        <v>126.6</v>
      </c>
    </row>
    <row r="21" customFormat="false" ht="12.75" hidden="false" customHeight="true" outlineLevel="0" collapsed="false">
      <c r="A21" s="30" t="s">
        <v>131</v>
      </c>
      <c r="B21" s="31" t="s">
        <v>125</v>
      </c>
      <c r="C21" s="32" t="n">
        <v>1</v>
      </c>
      <c r="D21" s="33" t="n">
        <v>0.07</v>
      </c>
      <c r="E21" s="32" t="n">
        <v>30</v>
      </c>
      <c r="F21" s="34" t="n">
        <v>1.3</v>
      </c>
      <c r="G21" s="35" t="n">
        <f aca="false">F21/E21*1000</f>
        <v>43.3333333333333</v>
      </c>
      <c r="H21" s="36" t="n">
        <v>3</v>
      </c>
      <c r="I21" s="36" t="n">
        <v>3</v>
      </c>
      <c r="J21" s="37" t="n">
        <f aca="false">Producto!$D$6/(H21+Producto!$D$7)</f>
        <v>10.14</v>
      </c>
      <c r="K21" s="40" t="n">
        <v>245</v>
      </c>
      <c r="L21" s="37" t="n">
        <f aca="false">K21/E21</f>
        <v>8.16666666666667</v>
      </c>
      <c r="M21" s="37" t="n">
        <f aca="false">J21*K21/1000</f>
        <v>2.4843</v>
      </c>
      <c r="N21" s="34" t="n">
        <v>0.3</v>
      </c>
      <c r="O21" s="34" t="n">
        <v>0.3</v>
      </c>
      <c r="P21" s="34" t="n">
        <v>0.1</v>
      </c>
      <c r="Q21" s="38" t="n">
        <f aca="false">L21*P21</f>
        <v>0.816666666666667</v>
      </c>
      <c r="R21" s="38" t="n">
        <f aca="false">N21+O21+Q21</f>
        <v>1.41666666666667</v>
      </c>
      <c r="S21" s="38" t="n">
        <f aca="false">R21*J21</f>
        <v>14.365</v>
      </c>
      <c r="T21" s="38" t="n">
        <f aca="false">L21*F21*J21</f>
        <v>107.653</v>
      </c>
      <c r="U21" s="39" t="n">
        <f aca="false">IFERROR((T21-S21)/T21,0)</f>
        <v>0.866562009419152</v>
      </c>
      <c r="V21" s="38" t="n">
        <f aca="false">IFERROR((T21-S21)/(J21*Producto!$D$11/60),0)</f>
        <v>184</v>
      </c>
    </row>
    <row r="22" customFormat="false" ht="12.75" hidden="false" customHeight="true" outlineLevel="0" collapsed="false">
      <c r="A22" s="30" t="s">
        <v>132</v>
      </c>
      <c r="B22" s="31" t="s">
        <v>125</v>
      </c>
      <c r="C22" s="32" t="n">
        <v>1</v>
      </c>
      <c r="D22" s="33" t="n">
        <v>0.05</v>
      </c>
      <c r="E22" s="32" t="n">
        <v>30</v>
      </c>
      <c r="F22" s="34" t="n">
        <v>1.3</v>
      </c>
      <c r="G22" s="35" t="n">
        <f aca="false">F22/E22*1000</f>
        <v>43.3333333333333</v>
      </c>
      <c r="H22" s="36" t="n">
        <v>4</v>
      </c>
      <c r="I22" s="36" t="n">
        <v>3</v>
      </c>
      <c r="J22" s="37" t="n">
        <f aca="false">Producto!$D$6/(H22+Producto!$D$7)</f>
        <v>7.605</v>
      </c>
      <c r="K22" s="32" t="n">
        <v>160</v>
      </c>
      <c r="L22" s="37" t="n">
        <f aca="false">K22/E22</f>
        <v>5.33333333333333</v>
      </c>
      <c r="M22" s="37" t="n">
        <f aca="false">J22*K22/1000</f>
        <v>1.2168</v>
      </c>
      <c r="N22" s="34" t="n">
        <v>0.53</v>
      </c>
      <c r="O22" s="34" t="n">
        <v>0.3</v>
      </c>
      <c r="P22" s="34" t="n">
        <v>0.1</v>
      </c>
      <c r="Q22" s="38" t="n">
        <f aca="false">L22*P22</f>
        <v>0.533333333333333</v>
      </c>
      <c r="R22" s="38" t="n">
        <f aca="false">N22+O22+Q22</f>
        <v>1.36333333333333</v>
      </c>
      <c r="S22" s="38" t="n">
        <f aca="false">R22*J22</f>
        <v>10.36815</v>
      </c>
      <c r="T22" s="38" t="n">
        <f aca="false">L22*F22*J22</f>
        <v>52.728</v>
      </c>
      <c r="U22" s="39" t="n">
        <f aca="false">IFERROR((T22-S22)/T22,0)</f>
        <v>0.803365384615385</v>
      </c>
      <c r="V22" s="38" t="n">
        <f aca="false">IFERROR((T22-S22)/(J22*Producto!$D$11/60),0)</f>
        <v>111.4</v>
      </c>
    </row>
    <row r="23" customFormat="false" ht="12.75" hidden="false" customHeight="true" outlineLevel="0" collapsed="false">
      <c r="A23" s="30" t="s">
        <v>133</v>
      </c>
      <c r="B23" s="31" t="s">
        <v>125</v>
      </c>
      <c r="C23" s="32" t="n">
        <v>1</v>
      </c>
      <c r="D23" s="33" t="n">
        <v>0.04</v>
      </c>
      <c r="E23" s="32" t="n">
        <v>30</v>
      </c>
      <c r="F23" s="34" t="n">
        <v>1.3</v>
      </c>
      <c r="G23" s="35" t="n">
        <f aca="false">F23/E23*1000</f>
        <v>43.3333333333333</v>
      </c>
      <c r="H23" s="36" t="n">
        <v>4</v>
      </c>
      <c r="I23" s="36" t="n">
        <v>3</v>
      </c>
      <c r="J23" s="37" t="n">
        <f aca="false">Producto!$D$6/(H23+Producto!$D$7)</f>
        <v>7.605</v>
      </c>
      <c r="K23" s="32" t="n">
        <v>170</v>
      </c>
      <c r="L23" s="37" t="n">
        <f aca="false">K23/E23</f>
        <v>5.66666666666667</v>
      </c>
      <c r="M23" s="37" t="n">
        <f aca="false">J23*K23/1000</f>
        <v>1.29285</v>
      </c>
      <c r="N23" s="34" t="n">
        <v>0.55</v>
      </c>
      <c r="O23" s="34" t="n">
        <v>0.3</v>
      </c>
      <c r="P23" s="34" t="n">
        <v>0.1</v>
      </c>
      <c r="Q23" s="38" t="n">
        <f aca="false">L23*P23</f>
        <v>0.566666666666667</v>
      </c>
      <c r="R23" s="38" t="n">
        <f aca="false">N23+O23+Q23</f>
        <v>1.41666666666667</v>
      </c>
      <c r="S23" s="38" t="n">
        <f aca="false">R23*J23</f>
        <v>10.77375</v>
      </c>
      <c r="T23" s="38" t="n">
        <f aca="false">L23*F23*J23</f>
        <v>56.0235</v>
      </c>
      <c r="U23" s="39" t="n">
        <f aca="false">IFERROR((T23-S23)/T23,0)</f>
        <v>0.807692307692308</v>
      </c>
      <c r="V23" s="38" t="n">
        <f aca="false">IFERROR((T23-S23)/(J23*Producto!$D$11/60),0)</f>
        <v>119</v>
      </c>
    </row>
    <row r="24" customFormat="false" ht="12.75" hidden="false" customHeight="true" outlineLevel="0" collapsed="false">
      <c r="A24" s="30" t="s">
        <v>134</v>
      </c>
      <c r="B24" s="31" t="s">
        <v>125</v>
      </c>
      <c r="C24" s="32" t="n">
        <v>1</v>
      </c>
      <c r="D24" s="33" t="n">
        <v>0.03</v>
      </c>
      <c r="E24" s="32" t="n">
        <v>30</v>
      </c>
      <c r="F24" s="34" t="n">
        <v>2</v>
      </c>
      <c r="G24" s="35" t="n">
        <f aca="false">F24/E24*1000</f>
        <v>66.6666666666667</v>
      </c>
      <c r="H24" s="36" t="n">
        <v>9</v>
      </c>
      <c r="I24" s="36" t="n">
        <v>3</v>
      </c>
      <c r="J24" s="37" t="n">
        <f aca="false">Producto!$D$6/(H24+Producto!$D$7)</f>
        <v>3.38</v>
      </c>
      <c r="K24" s="32" t="n">
        <v>80</v>
      </c>
      <c r="L24" s="37" t="n">
        <f aca="false">K24/E24</f>
        <v>2.66666666666667</v>
      </c>
      <c r="M24" s="37" t="n">
        <f aca="false">J24*K24/1000</f>
        <v>0.2704</v>
      </c>
      <c r="N24" s="34" t="n">
        <v>0.75</v>
      </c>
      <c r="O24" s="34" t="n">
        <v>0.3</v>
      </c>
      <c r="P24" s="34" t="n">
        <v>0.1</v>
      </c>
      <c r="Q24" s="38" t="n">
        <f aca="false">L24*P24</f>
        <v>0.266666666666667</v>
      </c>
      <c r="R24" s="38" t="n">
        <f aca="false">N24+O24+Q24</f>
        <v>1.31666666666667</v>
      </c>
      <c r="S24" s="38" t="n">
        <f aca="false">R24*J24</f>
        <v>4.45033333333333</v>
      </c>
      <c r="T24" s="38" t="n">
        <f aca="false">L24*F24*J24</f>
        <v>18.0266666666667</v>
      </c>
      <c r="U24" s="39" t="n">
        <f aca="false">IFERROR((T24-S24)/T24,0)</f>
        <v>0.753125</v>
      </c>
      <c r="V24" s="38" t="n">
        <f aca="false">IFERROR((T24-S24)/(J24*Producto!$D$11/60),0)</f>
        <v>80.3333333333333</v>
      </c>
    </row>
    <row r="25" customFormat="false" ht="12.75" hidden="false" customHeight="true" outlineLevel="0" collapsed="false">
      <c r="A25" s="41" t="s">
        <v>135</v>
      </c>
      <c r="B25" s="42" t="s">
        <v>136</v>
      </c>
      <c r="C25" s="43" t="n">
        <v>0</v>
      </c>
      <c r="D25" s="44" t="n">
        <v>0</v>
      </c>
      <c r="E25" s="43" t="n">
        <v>30</v>
      </c>
      <c r="F25" s="45" t="n">
        <v>1.3</v>
      </c>
      <c r="G25" s="35" t="n">
        <f aca="false">F25/E25*1000</f>
        <v>43.3333333333333</v>
      </c>
      <c r="H25" s="46" t="n">
        <v>2</v>
      </c>
      <c r="I25" s="46" t="n">
        <v>3</v>
      </c>
      <c r="J25" s="37" t="n">
        <f aca="false">Producto!$D$6/(H25+Producto!$D$7)</f>
        <v>15.21</v>
      </c>
      <c r="K25" s="43" t="n">
        <v>200</v>
      </c>
      <c r="L25" s="37" t="n">
        <f aca="false">K25/E25</f>
        <v>6.66666666666667</v>
      </c>
      <c r="M25" s="37" t="n">
        <f aca="false">J25*K25/1000</f>
        <v>3.042</v>
      </c>
      <c r="N25" s="45" t="n">
        <v>0.3</v>
      </c>
      <c r="O25" s="45" t="n">
        <v>0.3</v>
      </c>
      <c r="P25" s="45" t="n">
        <v>0.1</v>
      </c>
      <c r="Q25" s="38" t="n">
        <f aca="false">L25*P25</f>
        <v>0.666666666666667</v>
      </c>
      <c r="R25" s="38" t="n">
        <f aca="false">N25+O25+Q25</f>
        <v>1.26666666666667</v>
      </c>
      <c r="S25" s="38" t="n">
        <f aca="false">R25*J25</f>
        <v>19.266</v>
      </c>
      <c r="T25" s="38" t="n">
        <f aca="false">L25*F25*J25</f>
        <v>131.82</v>
      </c>
      <c r="U25" s="39" t="n">
        <f aca="false">IFERROR((T25-S25)/T25,0)</f>
        <v>0.853846153846154</v>
      </c>
      <c r="V25" s="38" t="n">
        <f aca="false">IFERROR((T25-S25)/(J25*Producto!$D$11/60),0)</f>
        <v>148</v>
      </c>
    </row>
    <row r="26" customFormat="false" ht="12.75" hidden="false" customHeight="true" outlineLevel="0" collapsed="false">
      <c r="A26" s="41" t="s">
        <v>137</v>
      </c>
      <c r="B26" s="42" t="s">
        <v>136</v>
      </c>
      <c r="C26" s="43" t="n">
        <v>0</v>
      </c>
      <c r="D26" s="44" t="n">
        <v>0</v>
      </c>
      <c r="E26" s="43" t="n">
        <v>30</v>
      </c>
      <c r="F26" s="45" t="n">
        <v>1.44</v>
      </c>
      <c r="G26" s="35" t="n">
        <f aca="false">F26/E26*1000</f>
        <v>48</v>
      </c>
      <c r="H26" s="46" t="n">
        <v>8</v>
      </c>
      <c r="I26" s="46" t="n">
        <v>3</v>
      </c>
      <c r="J26" s="37" t="n">
        <f aca="false">Producto!$D$6/(H26+Producto!$D$7)</f>
        <v>3.8025</v>
      </c>
      <c r="K26" s="43" t="n">
        <v>220</v>
      </c>
      <c r="L26" s="37" t="n">
        <f aca="false">K26/E26</f>
        <v>7.33333333333333</v>
      </c>
      <c r="M26" s="37" t="n">
        <f aca="false">J26*K26/1000</f>
        <v>0.83655</v>
      </c>
      <c r="N26" s="45" t="n">
        <v>1.5</v>
      </c>
      <c r="O26" s="45" t="n">
        <v>0.3</v>
      </c>
      <c r="P26" s="45" t="n">
        <v>0.1</v>
      </c>
      <c r="Q26" s="38" t="n">
        <f aca="false">L26*P26</f>
        <v>0.733333333333333</v>
      </c>
      <c r="R26" s="38" t="n">
        <f aca="false">N26+O26+Q26</f>
        <v>2.53333333333333</v>
      </c>
      <c r="S26" s="38" t="n">
        <f aca="false">R26*J26</f>
        <v>9.633</v>
      </c>
      <c r="T26" s="38" t="n">
        <f aca="false">L26*F26*J26</f>
        <v>40.1544</v>
      </c>
      <c r="U26" s="39" t="n">
        <f aca="false">IFERROR((T26-S26)/T26,0)</f>
        <v>0.76010101010101</v>
      </c>
      <c r="V26" s="38" t="n">
        <f aca="false">IFERROR((T26-S26)/(J26*Producto!$D$11/60),0)</f>
        <v>160.533333333333</v>
      </c>
    </row>
    <row r="27" customFormat="false" ht="12.75" hidden="false" customHeight="true" outlineLevel="0" collapsed="false">
      <c r="A27" s="41" t="s">
        <v>138</v>
      </c>
      <c r="B27" s="42" t="s">
        <v>136</v>
      </c>
      <c r="C27" s="43" t="n">
        <v>0</v>
      </c>
      <c r="D27" s="44" t="n">
        <v>0</v>
      </c>
      <c r="E27" s="43" t="n">
        <v>30</v>
      </c>
      <c r="F27" s="45" t="n">
        <v>1.8</v>
      </c>
      <c r="G27" s="35" t="n">
        <f aca="false">F27/E27*1000</f>
        <v>60</v>
      </c>
      <c r="H27" s="46" t="n">
        <v>8</v>
      </c>
      <c r="I27" s="46" t="n">
        <v>4</v>
      </c>
      <c r="J27" s="37" t="n">
        <f aca="false">Producto!$D$6/(H27+Producto!$D$7)</f>
        <v>3.8025</v>
      </c>
      <c r="K27" s="43" t="n">
        <v>150</v>
      </c>
      <c r="L27" s="37" t="n">
        <f aca="false">K27/E27</f>
        <v>5</v>
      </c>
      <c r="M27" s="37" t="n">
        <f aca="false">J27*K27/1000</f>
        <v>0.570375</v>
      </c>
      <c r="N27" s="45" t="n">
        <v>0.6</v>
      </c>
      <c r="O27" s="45" t="n">
        <v>0.3</v>
      </c>
      <c r="P27" s="45" t="n">
        <v>0.1</v>
      </c>
      <c r="Q27" s="38" t="n">
        <f aca="false">L27*P27</f>
        <v>0.5</v>
      </c>
      <c r="R27" s="38" t="n">
        <f aca="false">N27+O27+Q27</f>
        <v>1.4</v>
      </c>
      <c r="S27" s="38" t="n">
        <f aca="false">R27*J27</f>
        <v>5.3235</v>
      </c>
      <c r="T27" s="38" t="n">
        <f aca="false">L27*F27*J27</f>
        <v>34.2225</v>
      </c>
      <c r="U27" s="39" t="n">
        <f aca="false">IFERROR((T27-S27)/T27,0)</f>
        <v>0.844444444444444</v>
      </c>
      <c r="V27" s="38" t="n">
        <f aca="false">IFERROR((T27-S27)/(J27*Producto!$D$11/60),0)</f>
        <v>152</v>
      </c>
    </row>
    <row r="28" customFormat="false" ht="12.75" hidden="false" customHeight="true" outlineLevel="0" collapsed="false">
      <c r="A28" s="41" t="s">
        <v>139</v>
      </c>
      <c r="B28" s="42" t="s">
        <v>136</v>
      </c>
      <c r="C28" s="43" t="n">
        <v>0</v>
      </c>
      <c r="D28" s="44" t="n">
        <v>0</v>
      </c>
      <c r="E28" s="43" t="n">
        <v>30</v>
      </c>
      <c r="F28" s="45" t="n">
        <v>1.8</v>
      </c>
      <c r="G28" s="35" t="n">
        <f aca="false">F28/E28*1000</f>
        <v>60</v>
      </c>
      <c r="H28" s="46" t="n">
        <v>8</v>
      </c>
      <c r="I28" s="46" t="n">
        <v>4</v>
      </c>
      <c r="J28" s="37" t="n">
        <f aca="false">Producto!$D$6/(H28+Producto!$D$7)</f>
        <v>3.8025</v>
      </c>
      <c r="K28" s="43" t="n">
        <v>115</v>
      </c>
      <c r="L28" s="37" t="n">
        <f aca="false">K28/E28</f>
        <v>3.83333333333333</v>
      </c>
      <c r="M28" s="37" t="n">
        <f aca="false">J28*K28/1000</f>
        <v>0.4372875</v>
      </c>
      <c r="N28" s="45" t="n">
        <v>0.6</v>
      </c>
      <c r="O28" s="45" t="n">
        <v>0.3</v>
      </c>
      <c r="P28" s="45" t="n">
        <v>0.1</v>
      </c>
      <c r="Q28" s="38" t="n">
        <f aca="false">L28*P28</f>
        <v>0.383333333333333</v>
      </c>
      <c r="R28" s="38" t="n">
        <f aca="false">N28+O28+Q28</f>
        <v>1.28333333333333</v>
      </c>
      <c r="S28" s="38" t="n">
        <f aca="false">R28*J28</f>
        <v>4.879875</v>
      </c>
      <c r="T28" s="38" t="n">
        <f aca="false">L28*F28*J28</f>
        <v>26.23725</v>
      </c>
      <c r="U28" s="39" t="n">
        <f aca="false">IFERROR((T28-S28)/T28,0)</f>
        <v>0.814009661835749</v>
      </c>
      <c r="V28" s="38" t="n">
        <f aca="false">IFERROR((T28-S28)/(J28*Producto!$D$11/60),0)</f>
        <v>112.333333333333</v>
      </c>
    </row>
    <row r="29" customFormat="false" ht="12.75" hidden="false" customHeight="true" outlineLevel="0" collapsed="false">
      <c r="A29" s="41" t="s">
        <v>140</v>
      </c>
      <c r="B29" s="42" t="s">
        <v>136</v>
      </c>
      <c r="C29" s="43" t="n">
        <v>0</v>
      </c>
      <c r="D29" s="44" t="n">
        <v>0</v>
      </c>
      <c r="E29" s="43" t="n">
        <v>30</v>
      </c>
      <c r="F29" s="45" t="n">
        <v>2.6</v>
      </c>
      <c r="G29" s="35" t="n">
        <f aca="false">F29/E29*1000</f>
        <v>86.6666666666667</v>
      </c>
      <c r="H29" s="46" t="n">
        <v>12</v>
      </c>
      <c r="I29" s="46" t="n">
        <v>5</v>
      </c>
      <c r="J29" s="37" t="n">
        <f aca="false">Producto!$D$6/(H29+Producto!$D$7)</f>
        <v>2.535</v>
      </c>
      <c r="K29" s="43" t="n">
        <v>90</v>
      </c>
      <c r="L29" s="37" t="n">
        <f aca="false">K29/E29</f>
        <v>3</v>
      </c>
      <c r="M29" s="37" t="n">
        <f aca="false">J29*K29/1000</f>
        <v>0.22815</v>
      </c>
      <c r="N29" s="45" t="n">
        <v>0.5</v>
      </c>
      <c r="O29" s="45" t="n">
        <v>0.3</v>
      </c>
      <c r="P29" s="45" t="n">
        <v>0.1</v>
      </c>
      <c r="Q29" s="38" t="n">
        <f aca="false">L29*P29</f>
        <v>0.3</v>
      </c>
      <c r="R29" s="38" t="n">
        <f aca="false">N29+O29+Q29</f>
        <v>1.1</v>
      </c>
      <c r="S29" s="38" t="n">
        <f aca="false">R29*J29</f>
        <v>2.7885</v>
      </c>
      <c r="T29" s="38" t="n">
        <f aca="false">L29*F29*J29</f>
        <v>19.773</v>
      </c>
      <c r="U29" s="39" t="n">
        <f aca="false">IFERROR((T29-S29)/T29,0)</f>
        <v>0.858974358974359</v>
      </c>
      <c r="V29" s="38" t="n">
        <f aca="false">IFERROR((T29-S29)/(J29*Producto!$D$11/60),0)</f>
        <v>134</v>
      </c>
    </row>
    <row r="30" customFormat="false" ht="12.75" hidden="false" customHeight="true" outlineLevel="0" collapsed="false">
      <c r="A30" s="41" t="s">
        <v>141</v>
      </c>
      <c r="B30" s="42" t="s">
        <v>136</v>
      </c>
      <c r="C30" s="43" t="n">
        <v>0</v>
      </c>
      <c r="D30" s="44" t="n">
        <v>0</v>
      </c>
      <c r="E30" s="43" t="n">
        <v>30</v>
      </c>
      <c r="F30" s="45" t="n">
        <v>2.4</v>
      </c>
      <c r="G30" s="35" t="n">
        <f aca="false">F30/E30*1000</f>
        <v>80</v>
      </c>
      <c r="H30" s="46" t="n">
        <v>12</v>
      </c>
      <c r="I30" s="46" t="n">
        <v>6</v>
      </c>
      <c r="J30" s="37" t="n">
        <f aca="false">Producto!$D$6/(H30+Producto!$D$7)</f>
        <v>2.535</v>
      </c>
      <c r="K30" s="43" t="n">
        <v>75</v>
      </c>
      <c r="L30" s="37" t="n">
        <f aca="false">K30/E30</f>
        <v>2.5</v>
      </c>
      <c r="M30" s="37" t="n">
        <f aca="false">J30*K30/1000</f>
        <v>0.190125</v>
      </c>
      <c r="N30" s="45" t="n">
        <v>0.6</v>
      </c>
      <c r="O30" s="45" t="n">
        <v>0.3</v>
      </c>
      <c r="P30" s="45" t="n">
        <v>0.1</v>
      </c>
      <c r="Q30" s="38" t="n">
        <f aca="false">L30*P30</f>
        <v>0.25</v>
      </c>
      <c r="R30" s="38" t="n">
        <f aca="false">N30+O30+Q30</f>
        <v>1.15</v>
      </c>
      <c r="S30" s="38" t="n">
        <f aca="false">R30*J30</f>
        <v>2.91525</v>
      </c>
      <c r="T30" s="38" t="n">
        <f aca="false">L30*F30*J30</f>
        <v>15.21</v>
      </c>
      <c r="U30" s="39" t="n">
        <f aca="false">IFERROR((T30-S30)/T30,0)</f>
        <v>0.808333333333333</v>
      </c>
      <c r="V30" s="38" t="n">
        <f aca="false">IFERROR((T30-S30)/(J30*Producto!$D$11/60),0)</f>
        <v>97</v>
      </c>
    </row>
    <row r="31" customFormat="false" ht="12.75" hidden="false" customHeight="true" outlineLevel="0" collapsed="false">
      <c r="A31" s="41" t="s">
        <v>142</v>
      </c>
      <c r="B31" s="42" t="s">
        <v>136</v>
      </c>
      <c r="C31" s="43" t="n">
        <v>0</v>
      </c>
      <c r="D31" s="44" t="n">
        <v>0</v>
      </c>
      <c r="E31" s="43" t="n">
        <v>30</v>
      </c>
      <c r="F31" s="45" t="n">
        <v>2.6</v>
      </c>
      <c r="G31" s="35" t="n">
        <f aca="false">F31/E31*1000</f>
        <v>86.6666666666667</v>
      </c>
      <c r="H31" s="46" t="n">
        <v>14</v>
      </c>
      <c r="I31" s="46" t="n">
        <v>6</v>
      </c>
      <c r="J31" s="37" t="n">
        <f aca="false">Producto!$D$6/(H31+Producto!$D$7)</f>
        <v>2.17285714285714</v>
      </c>
      <c r="K31" s="43" t="n">
        <v>70</v>
      </c>
      <c r="L31" s="37" t="n">
        <f aca="false">K31/E31</f>
        <v>2.33333333333333</v>
      </c>
      <c r="M31" s="37" t="n">
        <f aca="false">J31*K31/1000</f>
        <v>0.1521</v>
      </c>
      <c r="N31" s="45" t="n">
        <v>0.7</v>
      </c>
      <c r="O31" s="45" t="n">
        <v>0.3</v>
      </c>
      <c r="P31" s="45" t="n">
        <v>0.1</v>
      </c>
      <c r="Q31" s="38" t="n">
        <f aca="false">L31*P31</f>
        <v>0.233333333333333</v>
      </c>
      <c r="R31" s="38" t="n">
        <f aca="false">N31+O31+Q31</f>
        <v>1.23333333333333</v>
      </c>
      <c r="S31" s="38" t="n">
        <f aca="false">R31*J31</f>
        <v>2.67985714285714</v>
      </c>
      <c r="T31" s="38" t="n">
        <f aca="false">L31*F31*J31</f>
        <v>13.182</v>
      </c>
      <c r="U31" s="39" t="n">
        <f aca="false">IFERROR((T31-S31)/T31,0)</f>
        <v>0.796703296703297</v>
      </c>
      <c r="V31" s="38" t="n">
        <f aca="false">IFERROR((T31-S31)/(J31*Producto!$D$11/60),0)</f>
        <v>96.6666666666667</v>
      </c>
    </row>
    <row r="32" customFormat="false" ht="12.75" hidden="false" customHeight="true" outlineLevel="0" collapsed="false">
      <c r="A32" s="47" t="s">
        <v>143</v>
      </c>
      <c r="B32" s="47"/>
      <c r="C32" s="47"/>
      <c r="D32" s="48" t="n">
        <f aca="false">SUMPRODUCT(C16:C31,D16:D31)</f>
        <v>1</v>
      </c>
      <c r="E32" s="47"/>
      <c r="F32" s="47"/>
      <c r="G32" s="47"/>
      <c r="H32" s="47"/>
      <c r="I32" s="47"/>
      <c r="J32" s="49" t="n">
        <f aca="false">SUMPRODUCT(C16:C31,D16:D31,J16:J31)</f>
        <v>6.85271683046683</v>
      </c>
      <c r="K32" s="47"/>
      <c r="L32" s="47"/>
      <c r="M32" s="49" t="n">
        <f aca="false">SUMPRODUCT(C16:C31,D16:D31,M16:M31)</f>
        <v>1.23701790663391</v>
      </c>
      <c r="N32" s="47"/>
      <c r="O32" s="47"/>
      <c r="P32" s="47"/>
      <c r="Q32" s="47"/>
      <c r="R32" s="47"/>
      <c r="S32" s="50" t="n">
        <f aca="false">SUMPRODUCT(C16:C31,D16:D31,S16:S31)</f>
        <v>8.05503682678133</v>
      </c>
      <c r="T32" s="50" t="n">
        <f aca="false">SUMPRODUCT(C16:C31,D16:D31,T16:T31)</f>
        <v>49.386969017199</v>
      </c>
      <c r="U32" s="48" t="n">
        <f aca="false">IFERROR((T32-S32)/T32,0)</f>
        <v>0.836899550892136</v>
      </c>
      <c r="V32" s="50" t="n">
        <f aca="false">IFERROR((T32-S32)/(J32*Producto!$D$11/60),0)</f>
        <v>120.629330564654</v>
      </c>
    </row>
    <row r="33" customFormat="false" ht="13.5" hidden="false" customHeight="true" outlineLevel="0" collapsed="false"/>
    <row r="34" customFormat="false" ht="13.5" hidden="false" customHeight="true" outlineLevel="0" collapsed="false">
      <c r="A34" s="6" t="s">
        <v>144</v>
      </c>
      <c r="D34" s="51" t="str">
        <f aca="false">IF(ABS(D32-1)&lt;0.001,"OK — 100%","REVISAR: "&amp;TEXT(D32,"0%"))</f>
        <v>OK — 100%</v>
      </c>
      <c r="F34" s="27" t="s">
        <v>145</v>
      </c>
    </row>
    <row r="35" customFormat="false" ht="13.5" hidden="false" customHeight="true" outlineLevel="0" collapsed="false">
      <c r="A35" s="6" t="s">
        <v>146</v>
      </c>
      <c r="D35" s="52" t="n">
        <f aca="false">IFERROR(T32/M32,0)</f>
        <v>39.9242151244097</v>
      </c>
    </row>
    <row r="36" customFormat="false" ht="13.5" hidden="false" customHeight="true" outlineLevel="0" collapsed="false">
      <c r="A36" s="6" t="s">
        <v>147</v>
      </c>
      <c r="D36" s="53" t="n">
        <f aca="false">U32</f>
        <v>0.836899550892136</v>
      </c>
    </row>
    <row r="38" customFormat="false" ht="15" hidden="false" customHeight="false" outlineLevel="0" collapsed="false">
      <c r="A38" s="54" t="s">
        <v>148</v>
      </c>
    </row>
    <row r="39" customFormat="false" ht="15" hidden="false" customHeight="false" outlineLevel="0" collapsed="false">
      <c r="A39" s="1" t="s">
        <v>149</v>
      </c>
    </row>
    <row r="40" customFormat="false" ht="15" hidden="false" customHeight="false" outlineLevel="0" collapsed="false">
      <c r="A40" s="1" t="s">
        <v>150</v>
      </c>
    </row>
    <row r="41" customFormat="false" ht="15" hidden="false" customHeight="false" outlineLevel="0" collapsed="false">
      <c r="A41" s="1" t="s">
        <v>151</v>
      </c>
    </row>
  </sheetData>
  <dataValidations count="1">
    <dataValidation allowBlank="false" errorStyle="stop" operator="equal" showDropDown="false" showErrorMessage="false" showInputMessage="false" sqref="C16:C31" type="list">
      <formula1>"0,1"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22"/>
    <col collapsed="false" customWidth="true" hidden="false" outlineLevel="0" max="4" min="3" style="0" width="17"/>
    <col collapsed="false" customWidth="true" hidden="false" outlineLevel="0" max="5" min="5" style="0" width="15"/>
    <col collapsed="false" customWidth="true" hidden="false" outlineLevel="0" max="6" min="6" style="0" width="13"/>
    <col collapsed="false" customWidth="true" hidden="false" outlineLevel="0" max="8" min="7" style="0" width="14"/>
    <col collapsed="false" customWidth="true" hidden="false" outlineLevel="0" max="9" min="9" style="0" width="12"/>
    <col collapsed="false" customWidth="true" hidden="false" outlineLevel="0" max="11" min="11" style="0" width="26"/>
    <col collapsed="false" customWidth="true" hidden="false" outlineLevel="0" max="13" min="12" style="0" width="14"/>
    <col collapsed="false" customWidth="true" hidden="false" outlineLevel="0" max="15" min="14" style="0" width="16"/>
  </cols>
  <sheetData>
    <row r="1" customFormat="false" ht="17.35" hidden="false" customHeight="false" outlineLevel="0" collapsed="false">
      <c r="A1" s="55" t="s">
        <v>152</v>
      </c>
    </row>
    <row r="2" customFormat="false" ht="15" hidden="false" customHeight="false" outlineLevel="0" collapsed="false">
      <c r="A2" s="0" t="s">
        <v>153</v>
      </c>
    </row>
    <row r="4" customFormat="false" ht="15" hidden="false" customHeight="false" outlineLevel="0" collapsed="false">
      <c r="A4" s="56" t="s">
        <v>154</v>
      </c>
      <c r="B4" s="56" t="s">
        <v>102</v>
      </c>
      <c r="C4" s="56" t="s">
        <v>155</v>
      </c>
      <c r="D4" s="56" t="s">
        <v>156</v>
      </c>
      <c r="E4" s="56" t="s">
        <v>157</v>
      </c>
      <c r="F4" s="56" t="s">
        <v>158</v>
      </c>
      <c r="G4" s="56" t="s">
        <v>159</v>
      </c>
      <c r="H4" s="56" t="s">
        <v>160</v>
      </c>
      <c r="I4" s="56" t="s">
        <v>161</v>
      </c>
      <c r="K4" s="54" t="s">
        <v>162</v>
      </c>
    </row>
    <row r="5" customFormat="false" ht="15" hidden="false" customHeight="false" outlineLevel="0" collapsed="false">
      <c r="A5" s="57"/>
      <c r="B5" s="57"/>
      <c r="C5" s="57"/>
      <c r="D5" s="57"/>
      <c r="E5" s="57"/>
      <c r="F5" s="57"/>
      <c r="G5" s="58" t="str">
        <f aca="false">IF(N(E5)*N(F5)=0,"",E5*F5)</f>
        <v/>
      </c>
      <c r="H5" s="58" t="str">
        <f aca="false">IF(N(D5)*N(F5)=0,"",D5*F5/1000)</f>
        <v/>
      </c>
      <c r="I5" s="58" t="str">
        <f aca="false">IFERROR(G5/H5,"")</f>
        <v/>
      </c>
      <c r="K5" s="59" t="s">
        <v>102</v>
      </c>
      <c r="L5" s="59" t="s">
        <v>163</v>
      </c>
      <c r="M5" s="59" t="s">
        <v>164</v>
      </c>
      <c r="N5" s="59" t="s">
        <v>165</v>
      </c>
      <c r="O5" s="59" t="s">
        <v>166</v>
      </c>
    </row>
    <row r="6" customFormat="false" ht="15" hidden="false" customHeight="false" outlineLevel="0" collapsed="false">
      <c r="A6" s="57"/>
      <c r="B6" s="57"/>
      <c r="C6" s="57"/>
      <c r="D6" s="57"/>
      <c r="E6" s="57"/>
      <c r="F6" s="57"/>
      <c r="G6" s="58" t="str">
        <f aca="false">IF(N(E6)*N(F6)=0,"",E6*F6)</f>
        <v/>
      </c>
      <c r="H6" s="58" t="str">
        <f aca="false">IF(N(D6)*N(F6)=0,"",D6*F6/1000)</f>
        <v/>
      </c>
      <c r="I6" s="58" t="str">
        <f aca="false">IFERROR(G6/H6,"")</f>
        <v/>
      </c>
      <c r="K6" s="58" t="str">
        <f aca="false">Producto!A16</f>
        <v>Micromezclum (mix 7 var.)</v>
      </c>
      <c r="L6" s="58" t="n">
        <f aca="false">SUMIF($B$5:$B$204,$K6,$G$5:$G$204)</f>
        <v>0</v>
      </c>
      <c r="M6" s="58" t="n">
        <f aca="false">SUMIF($B$5:$B$204,$K6,$H$5:$H$204)</f>
        <v>0</v>
      </c>
      <c r="N6" s="58" t="str">
        <f aca="false">IFERROR(L6/M6,"")</f>
        <v/>
      </c>
      <c r="O6" s="58" t="str">
        <f aca="false">IFERROR(SUMIF($B$5:$B$204,$K6,$G$5:$G$204)/SUMIF($B$5:$B$204,$K6,$F$5:$F$204),"")</f>
        <v/>
      </c>
    </row>
    <row r="7" customFormat="false" ht="15" hidden="false" customHeight="false" outlineLevel="0" collapsed="false">
      <c r="A7" s="57"/>
      <c r="B7" s="57"/>
      <c r="C7" s="57"/>
      <c r="D7" s="57"/>
      <c r="E7" s="57"/>
      <c r="F7" s="57"/>
      <c r="G7" s="58" t="str">
        <f aca="false">IF(N(E7)*N(F7)=0,"",E7*F7)</f>
        <v/>
      </c>
      <c r="H7" s="58" t="str">
        <f aca="false">IF(N(D7)*N(F7)=0,"",D7*F7/1000)</f>
        <v/>
      </c>
      <c r="I7" s="58" t="str">
        <f aca="false">IFERROR(G7/H7,"")</f>
        <v/>
      </c>
      <c r="K7" s="58" t="str">
        <f aca="false">Producto!A17</f>
        <v>Cilantro split</v>
      </c>
      <c r="L7" s="58" t="n">
        <f aca="false">SUMIF($B$5:$B$204,$K7,$G$5:$G$204)</f>
        <v>0</v>
      </c>
      <c r="M7" s="58" t="n">
        <f aca="false">SUMIF($B$5:$B$204,$K7,$H$5:$H$204)</f>
        <v>0</v>
      </c>
      <c r="N7" s="58" t="str">
        <f aca="false">IFERROR(L7/M7,"")</f>
        <v/>
      </c>
      <c r="O7" s="58" t="str">
        <f aca="false">IFERROR(SUMIF($B$5:$B$204,$K7,$G$5:$G$204)/SUMIF($B$5:$B$204,$K7,$F$5:$F$204),"")</f>
        <v/>
      </c>
    </row>
    <row r="8" customFormat="false" ht="15" hidden="false" customHeight="false" outlineLevel="0" collapsed="false">
      <c r="A8" s="57"/>
      <c r="B8" s="57"/>
      <c r="C8" s="57"/>
      <c r="D8" s="57"/>
      <c r="E8" s="57"/>
      <c r="F8" s="57"/>
      <c r="G8" s="58" t="str">
        <f aca="false">IF(N(E8)*N(F8)=0,"",E8*F8)</f>
        <v/>
      </c>
      <c r="H8" s="58" t="str">
        <f aca="false">IF(N(D8)*N(F8)=0,"",D8*F8/1000)</f>
        <v/>
      </c>
      <c r="I8" s="58" t="str">
        <f aca="false">IFERROR(G8/H8,"")</f>
        <v/>
      </c>
      <c r="K8" s="58" t="str">
        <f aca="false">Producto!A18</f>
        <v>Albahaca genovesa</v>
      </c>
      <c r="L8" s="58" t="n">
        <f aca="false">SUMIF($B$5:$B$204,$K8,$G$5:$G$204)</f>
        <v>0</v>
      </c>
      <c r="M8" s="58" t="n">
        <f aca="false">SUMIF($B$5:$B$204,$K8,$H$5:$H$204)</f>
        <v>0</v>
      </c>
      <c r="N8" s="58" t="str">
        <f aca="false">IFERROR(L8/M8,"")</f>
        <v/>
      </c>
      <c r="O8" s="58" t="str">
        <f aca="false">IFERROR(SUMIF($B$5:$B$204,$K8,$G$5:$G$204)/SUMIF($B$5:$B$204,$K8,$F$5:$F$204),"")</f>
        <v/>
      </c>
    </row>
    <row r="9" customFormat="false" ht="15" hidden="false" customHeight="false" outlineLevel="0" collapsed="false">
      <c r="A9" s="57"/>
      <c r="B9" s="57"/>
      <c r="C9" s="57"/>
      <c r="D9" s="57"/>
      <c r="E9" s="57"/>
      <c r="F9" s="57"/>
      <c r="G9" s="58" t="str">
        <f aca="false">IF(N(E9)*N(F9)=0,"",E9*F9)</f>
        <v/>
      </c>
      <c r="H9" s="58" t="str">
        <f aca="false">IF(N(D9)*N(F9)=0,"",D9*F9/1000)</f>
        <v/>
      </c>
      <c r="I9" s="58" t="str">
        <f aca="false">IFERROR(G9/H9,"")</f>
        <v/>
      </c>
      <c r="K9" s="58" t="str">
        <f aca="false">Producto!A19</f>
        <v>Rábano daikon</v>
      </c>
      <c r="L9" s="58" t="n">
        <f aca="false">SUMIF($B$5:$B$204,$K9,$G$5:$G$204)</f>
        <v>0</v>
      </c>
      <c r="M9" s="58" t="n">
        <f aca="false">SUMIF($B$5:$B$204,$K9,$H$5:$H$204)</f>
        <v>0</v>
      </c>
      <c r="N9" s="58" t="str">
        <f aca="false">IFERROR(L9/M9,"")</f>
        <v/>
      </c>
      <c r="O9" s="58" t="str">
        <f aca="false">IFERROR(SUMIF($B$5:$B$204,$K9,$G$5:$G$204)/SUMIF($B$5:$B$204,$K9,$F$5:$F$204),"")</f>
        <v/>
      </c>
    </row>
    <row r="10" customFormat="false" ht="15" hidden="false" customHeight="false" outlineLevel="0" collapsed="false">
      <c r="A10" s="57"/>
      <c r="B10" s="57"/>
      <c r="C10" s="57"/>
      <c r="D10" s="57"/>
      <c r="E10" s="57"/>
      <c r="F10" s="57"/>
      <c r="G10" s="58" t="str">
        <f aca="false">IF(N(E10)*N(F10)=0,"",E10*F10)</f>
        <v/>
      </c>
      <c r="H10" s="58" t="str">
        <f aca="false">IF(N(D10)*N(F10)=0,"",D10*F10/1000)</f>
        <v/>
      </c>
      <c r="I10" s="58" t="str">
        <f aca="false">IFERROR(G10/H10,"")</f>
        <v/>
      </c>
      <c r="K10" s="58" t="str">
        <f aca="false">Producto!A20</f>
        <v>Rúcula rocket</v>
      </c>
      <c r="L10" s="58" t="n">
        <f aca="false">SUMIF($B$5:$B$204,$K10,$G$5:$G$204)</f>
        <v>0</v>
      </c>
      <c r="M10" s="58" t="n">
        <f aca="false">SUMIF($B$5:$B$204,$K10,$H$5:$H$204)</f>
        <v>0</v>
      </c>
      <c r="N10" s="58" t="str">
        <f aca="false">IFERROR(L10/M10,"")</f>
        <v/>
      </c>
      <c r="O10" s="58" t="str">
        <f aca="false">IFERROR(SUMIF($B$5:$B$204,$K10,$G$5:$G$204)/SUMIF($B$5:$B$204,$K10,$F$5:$F$204),"")</f>
        <v/>
      </c>
    </row>
    <row r="11" customFormat="false" ht="15" hidden="false" customHeight="false" outlineLevel="0" collapsed="false">
      <c r="A11" s="57"/>
      <c r="B11" s="57"/>
      <c r="C11" s="57"/>
      <c r="D11" s="57"/>
      <c r="E11" s="57"/>
      <c r="F11" s="57"/>
      <c r="G11" s="58" t="str">
        <f aca="false">IF(N(E11)*N(F11)=0,"",E11*F11)</f>
        <v/>
      </c>
      <c r="H11" s="58" t="str">
        <f aca="false">IF(N(D11)*N(F11)=0,"",D11*F11/1000)</f>
        <v/>
      </c>
      <c r="I11" s="58" t="str">
        <f aca="false">IFERROR(G11/H11,"")</f>
        <v/>
      </c>
      <c r="K11" s="58" t="str">
        <f aca="false">Producto!A21</f>
        <v>Rábano rose</v>
      </c>
      <c r="L11" s="58" t="n">
        <f aca="false">SUMIF($B$5:$B$204,$K11,$G$5:$G$204)</f>
        <v>0</v>
      </c>
      <c r="M11" s="58" t="n">
        <f aca="false">SUMIF($B$5:$B$204,$K11,$H$5:$H$204)</f>
        <v>0</v>
      </c>
      <c r="N11" s="58" t="str">
        <f aca="false">IFERROR(L11/M11,"")</f>
        <v/>
      </c>
      <c r="O11" s="58" t="str">
        <f aca="false">IFERROR(SUMIF($B$5:$B$204,$K11,$G$5:$G$204)/SUMIF($B$5:$B$204,$K11,$F$5:$F$204),"")</f>
        <v/>
      </c>
    </row>
    <row r="12" customFormat="false" ht="15" hidden="false" customHeight="false" outlineLevel="0" collapsed="false">
      <c r="A12" s="57"/>
      <c r="B12" s="57"/>
      <c r="C12" s="57"/>
      <c r="D12" s="57"/>
      <c r="E12" s="57"/>
      <c r="F12" s="57"/>
      <c r="G12" s="58" t="str">
        <f aca="false">IF(N(E12)*N(F12)=0,"",E12*F12)</f>
        <v/>
      </c>
      <c r="H12" s="58" t="str">
        <f aca="false">IF(N(D12)*N(F12)=0,"",D12*F12/1000)</f>
        <v/>
      </c>
      <c r="I12" s="58" t="str">
        <f aca="false">IFERROR(G12/H12,"")</f>
        <v/>
      </c>
      <c r="K12" s="58" t="str">
        <f aca="false">Producto!A22</f>
        <v>Mostaza Red Giant</v>
      </c>
      <c r="L12" s="58" t="n">
        <f aca="false">SUMIF($B$5:$B$204,$K12,$G$5:$G$204)</f>
        <v>0</v>
      </c>
      <c r="M12" s="58" t="n">
        <f aca="false">SUMIF($B$5:$B$204,$K12,$H$5:$H$204)</f>
        <v>0</v>
      </c>
      <c r="N12" s="58" t="str">
        <f aca="false">IFERROR(L12/M12,"")</f>
        <v/>
      </c>
      <c r="O12" s="58" t="str">
        <f aca="false">IFERROR(SUMIF($B$5:$B$204,$K12,$G$5:$G$204)/SUMIF($B$5:$B$204,$K12,$F$5:$F$204),"")</f>
        <v/>
      </c>
    </row>
    <row r="13" customFormat="false" ht="15" hidden="false" customHeight="false" outlineLevel="0" collapsed="false">
      <c r="A13" s="57"/>
      <c r="B13" s="57"/>
      <c r="C13" s="57"/>
      <c r="D13" s="57"/>
      <c r="E13" s="57"/>
      <c r="F13" s="57"/>
      <c r="G13" s="58" t="str">
        <f aca="false">IF(N(E13)*N(F13)=0,"",E13*F13)</f>
        <v/>
      </c>
      <c r="H13" s="58" t="str">
        <f aca="false">IF(N(D13)*N(F13)=0,"",D13*F13/1000)</f>
        <v/>
      </c>
      <c r="I13" s="58" t="str">
        <f aca="false">IFERROR(G13/H13,"")</f>
        <v/>
      </c>
      <c r="K13" s="58" t="str">
        <f aca="false">Producto!A23</f>
        <v>Brócoli calabrese</v>
      </c>
      <c r="L13" s="58" t="n">
        <f aca="false">SUMIF($B$5:$B$204,$K13,$G$5:$G$204)</f>
        <v>0</v>
      </c>
      <c r="M13" s="58" t="n">
        <f aca="false">SUMIF($B$5:$B$204,$K13,$H$5:$H$204)</f>
        <v>0</v>
      </c>
      <c r="N13" s="58" t="str">
        <f aca="false">IFERROR(L13/M13,"")</f>
        <v/>
      </c>
      <c r="O13" s="58" t="str">
        <f aca="false">IFERROR(SUMIF($B$5:$B$204,$K13,$G$5:$G$204)/SUMIF($B$5:$B$204,$K13,$F$5:$F$204),"")</f>
        <v/>
      </c>
    </row>
    <row r="14" customFormat="false" ht="15" hidden="false" customHeight="false" outlineLevel="0" collapsed="false">
      <c r="A14" s="57"/>
      <c r="B14" s="57"/>
      <c r="C14" s="57"/>
      <c r="D14" s="57"/>
      <c r="E14" s="57"/>
      <c r="F14" s="57"/>
      <c r="G14" s="58" t="str">
        <f aca="false">IF(N(E14)*N(F14)=0,"",E14*F14)</f>
        <v/>
      </c>
      <c r="H14" s="58" t="str">
        <f aca="false">IF(N(D14)*N(F14)=0,"",D14*F14/1000)</f>
        <v/>
      </c>
      <c r="I14" s="58" t="str">
        <f aca="false">IFERROR(G14/H14,"")</f>
        <v/>
      </c>
      <c r="K14" s="58" t="str">
        <f aca="false">Producto!A24</f>
        <v>Amaranto rojo</v>
      </c>
      <c r="L14" s="58" t="n">
        <f aca="false">SUMIF($B$5:$B$204,$K14,$G$5:$G$204)</f>
        <v>0</v>
      </c>
      <c r="M14" s="58" t="n">
        <f aca="false">SUMIF($B$5:$B$204,$K14,$H$5:$H$204)</f>
        <v>0</v>
      </c>
      <c r="N14" s="58" t="str">
        <f aca="false">IFERROR(L14/M14,"")</f>
        <v/>
      </c>
      <c r="O14" s="58" t="str">
        <f aca="false">IFERROR(SUMIF($B$5:$B$204,$K14,$G$5:$G$204)/SUMIF($B$5:$B$204,$K14,$F$5:$F$204),"")</f>
        <v/>
      </c>
    </row>
    <row r="15" customFormat="false" ht="15" hidden="false" customHeight="false" outlineLevel="0" collapsed="false">
      <c r="A15" s="57"/>
      <c r="B15" s="57"/>
      <c r="C15" s="57"/>
      <c r="D15" s="57"/>
      <c r="E15" s="57"/>
      <c r="F15" s="57"/>
      <c r="G15" s="58" t="str">
        <f aca="false">IF(N(E15)*N(F15)=0,"",E15*F15)</f>
        <v/>
      </c>
      <c r="H15" s="58" t="str">
        <f aca="false">IF(N(D15)*N(F15)=0,"",D15*F15/1000)</f>
        <v/>
      </c>
      <c r="I15" s="58" t="str">
        <f aca="false">IFERROR(G15/H15,"")</f>
        <v/>
      </c>
      <c r="K15" s="58" t="str">
        <f aca="false">Producto!A25</f>
        <v>Rábano red</v>
      </c>
      <c r="L15" s="58" t="n">
        <f aca="false">SUMIF($B$5:$B$204,$K15,$G$5:$G$204)</f>
        <v>0</v>
      </c>
      <c r="M15" s="58" t="n">
        <f aca="false">SUMIF($B$5:$B$204,$K15,$H$5:$H$204)</f>
        <v>0</v>
      </c>
      <c r="N15" s="58" t="str">
        <f aca="false">IFERROR(L15/M15,"")</f>
        <v/>
      </c>
      <c r="O15" s="58" t="str">
        <f aca="false">IFERROR(SUMIF($B$5:$B$204,$K15,$G$5:$G$204)/SUMIF($B$5:$B$204,$K15,$F$5:$F$204),"")</f>
        <v/>
      </c>
    </row>
    <row r="16" customFormat="false" ht="15" hidden="false" customHeight="false" outlineLevel="0" collapsed="false">
      <c r="A16" s="57"/>
      <c r="B16" s="57"/>
      <c r="C16" s="57"/>
      <c r="D16" s="57"/>
      <c r="E16" s="57"/>
      <c r="F16" s="57"/>
      <c r="G16" s="58" t="str">
        <f aca="false">IF(N(E16)*N(F16)=0,"",E16*F16)</f>
        <v/>
      </c>
      <c r="H16" s="58" t="str">
        <f aca="false">IF(N(D16)*N(F16)=0,"",D16*F16/1000)</f>
        <v/>
      </c>
      <c r="I16" s="58" t="str">
        <f aca="false">IFERROR(G16/H16,"")</f>
        <v/>
      </c>
      <c r="K16" s="58" t="str">
        <f aca="false">Producto!A26</f>
        <v>Guisante (pea shoots)</v>
      </c>
      <c r="L16" s="58" t="n">
        <f aca="false">SUMIF($B$5:$B$204,$K16,$G$5:$G$204)</f>
        <v>0</v>
      </c>
      <c r="M16" s="58" t="n">
        <f aca="false">SUMIF($B$5:$B$204,$K16,$H$5:$H$204)</f>
        <v>0</v>
      </c>
      <c r="N16" s="58" t="str">
        <f aca="false">IFERROR(L16/M16,"")</f>
        <v/>
      </c>
      <c r="O16" s="58" t="str">
        <f aca="false">IFERROR(SUMIF($B$5:$B$204,$K16,$G$5:$G$204)/SUMIF($B$5:$B$204,$K16,$F$5:$F$204),"")</f>
        <v/>
      </c>
    </row>
    <row r="17" customFormat="false" ht="15" hidden="false" customHeight="false" outlineLevel="0" collapsed="false">
      <c r="A17" s="57"/>
      <c r="B17" s="57"/>
      <c r="C17" s="57"/>
      <c r="D17" s="57"/>
      <c r="E17" s="57"/>
      <c r="F17" s="57"/>
      <c r="G17" s="58" t="str">
        <f aca="false">IF(N(E17)*N(F17)=0,"",E17*F17)</f>
        <v/>
      </c>
      <c r="H17" s="58" t="str">
        <f aca="false">IF(N(D17)*N(F17)=0,"",D17*F17/1000)</f>
        <v/>
      </c>
      <c r="I17" s="58" t="str">
        <f aca="false">IFERROR(G17/H17,"")</f>
        <v/>
      </c>
      <c r="K17" s="58" t="str">
        <f aca="false">Producto!A27</f>
        <v>Remolacha roja</v>
      </c>
      <c r="L17" s="58" t="n">
        <f aca="false">SUMIF($B$5:$B$204,$K17,$G$5:$G$204)</f>
        <v>0</v>
      </c>
      <c r="M17" s="58" t="n">
        <f aca="false">SUMIF($B$5:$B$204,$K17,$H$5:$H$204)</f>
        <v>0</v>
      </c>
      <c r="N17" s="58" t="str">
        <f aca="false">IFERROR(L17/M17,"")</f>
        <v/>
      </c>
      <c r="O17" s="58" t="str">
        <f aca="false">IFERROR(SUMIF($B$5:$B$204,$K17,$G$5:$G$204)/SUMIF($B$5:$B$204,$K17,$F$5:$F$204),"")</f>
        <v/>
      </c>
    </row>
    <row r="18" customFormat="false" ht="15" hidden="false" customHeight="false" outlineLevel="0" collapsed="false">
      <c r="A18" s="57"/>
      <c r="B18" s="57"/>
      <c r="C18" s="57"/>
      <c r="D18" s="57"/>
      <c r="E18" s="57"/>
      <c r="F18" s="57"/>
      <c r="G18" s="58" t="str">
        <f aca="false">IF(N(E18)*N(F18)=0,"",E18*F18)</f>
        <v/>
      </c>
      <c r="H18" s="58" t="str">
        <f aca="false">IF(N(D18)*N(F18)=0,"",D18*F18/1000)</f>
        <v/>
      </c>
      <c r="I18" s="58" t="str">
        <f aca="false">IFERROR(G18/H18,"")</f>
        <v/>
      </c>
      <c r="K18" s="58" t="str">
        <f aca="false">Producto!A28</f>
        <v>Remolacha amarilla</v>
      </c>
      <c r="L18" s="58" t="n">
        <f aca="false">SUMIF($B$5:$B$204,$K18,$G$5:$G$204)</f>
        <v>0</v>
      </c>
      <c r="M18" s="58" t="n">
        <f aca="false">SUMIF($B$5:$B$204,$K18,$H$5:$H$204)</f>
        <v>0</v>
      </c>
      <c r="N18" s="58" t="str">
        <f aca="false">IFERROR(L18/M18,"")</f>
        <v/>
      </c>
      <c r="O18" s="58" t="str">
        <f aca="false">IFERROR(SUMIF($B$5:$B$204,$K18,$G$5:$G$204)/SUMIF($B$5:$B$204,$K18,$F$5:$F$204),"")</f>
        <v/>
      </c>
    </row>
    <row r="19" customFormat="false" ht="15" hidden="false" customHeight="false" outlineLevel="0" collapsed="false">
      <c r="A19" s="57"/>
      <c r="B19" s="57"/>
      <c r="C19" s="57"/>
      <c r="D19" s="57"/>
      <c r="E19" s="57"/>
      <c r="F19" s="57"/>
      <c r="G19" s="58" t="str">
        <f aca="false">IF(N(E19)*N(F19)=0,"",E19*F19)</f>
        <v/>
      </c>
      <c r="H19" s="58" t="str">
        <f aca="false">IF(N(D19)*N(F19)=0,"",D19*F19/1000)</f>
        <v/>
      </c>
      <c r="I19" s="58" t="str">
        <f aca="false">IFERROR(G19/H19,"")</f>
        <v/>
      </c>
      <c r="K19" s="58" t="str">
        <f aca="false">Producto!A29</f>
        <v>Hinojo</v>
      </c>
      <c r="L19" s="58" t="n">
        <f aca="false">SUMIF($B$5:$B$204,$K19,$G$5:$G$204)</f>
        <v>0</v>
      </c>
      <c r="M19" s="58" t="n">
        <f aca="false">SUMIF($B$5:$B$204,$K19,$H$5:$H$204)</f>
        <v>0</v>
      </c>
      <c r="N19" s="58" t="str">
        <f aca="false">IFERROR(L19/M19,"")</f>
        <v/>
      </c>
      <c r="O19" s="58" t="str">
        <f aca="false">IFERROR(SUMIF($B$5:$B$204,$K19,$G$5:$G$204)/SUMIF($B$5:$B$204,$K19,$F$5:$F$204),"")</f>
        <v/>
      </c>
    </row>
    <row r="20" customFormat="false" ht="15" hidden="false" customHeight="false" outlineLevel="0" collapsed="false">
      <c r="A20" s="57"/>
      <c r="B20" s="57"/>
      <c r="C20" s="57"/>
      <c r="D20" s="57"/>
      <c r="E20" s="57"/>
      <c r="F20" s="57"/>
      <c r="G20" s="58" t="str">
        <f aca="false">IF(N(E20)*N(F20)=0,"",E20*F20)</f>
        <v/>
      </c>
      <c r="H20" s="58" t="str">
        <f aca="false">IF(N(D20)*N(F20)=0,"",D20*F20/1000)</f>
        <v/>
      </c>
      <c r="I20" s="58" t="str">
        <f aca="false">IFERROR(G20/H20,"")</f>
        <v/>
      </c>
      <c r="K20" s="58" t="str">
        <f aca="false">Producto!A30</f>
        <v>Cebolla Barbra</v>
      </c>
      <c r="L20" s="58" t="n">
        <f aca="false">SUMIF($B$5:$B$204,$K20,$G$5:$G$204)</f>
        <v>0</v>
      </c>
      <c r="M20" s="58" t="n">
        <f aca="false">SUMIF($B$5:$B$204,$K20,$H$5:$H$204)</f>
        <v>0</v>
      </c>
      <c r="N20" s="58" t="str">
        <f aca="false">IFERROR(L20/M20,"")</f>
        <v/>
      </c>
      <c r="O20" s="58" t="str">
        <f aca="false">IFERROR(SUMIF($B$5:$B$204,$K20,$G$5:$G$204)/SUMIF($B$5:$B$204,$K20,$F$5:$F$204),"")</f>
        <v/>
      </c>
    </row>
    <row r="21" customFormat="false" ht="15" hidden="false" customHeight="false" outlineLevel="0" collapsed="false">
      <c r="A21" s="57"/>
      <c r="B21" s="57"/>
      <c r="C21" s="57"/>
      <c r="D21" s="57"/>
      <c r="E21" s="57"/>
      <c r="F21" s="57"/>
      <c r="G21" s="58" t="str">
        <f aca="false">IF(N(E21)*N(F21)=0,"",E21*F21)</f>
        <v/>
      </c>
      <c r="H21" s="58" t="str">
        <f aca="false">IF(N(D21)*N(F21)=0,"",D21*F21/1000)</f>
        <v/>
      </c>
      <c r="I21" s="58" t="str">
        <f aca="false">IFERROR(G21/H21,"")</f>
        <v/>
      </c>
      <c r="K21" s="58" t="str">
        <f aca="false">Producto!A31</f>
        <v>Cebollino chino</v>
      </c>
      <c r="L21" s="58" t="n">
        <f aca="false">SUMIF($B$5:$B$204,$K21,$G$5:$G$204)</f>
        <v>0</v>
      </c>
      <c r="M21" s="58" t="n">
        <f aca="false">SUMIF($B$5:$B$204,$K21,$H$5:$H$204)</f>
        <v>0</v>
      </c>
      <c r="N21" s="58" t="str">
        <f aca="false">IFERROR(L21/M21,"")</f>
        <v/>
      </c>
      <c r="O21" s="58" t="str">
        <f aca="false">IFERROR(SUMIF($B$5:$B$204,$K21,$G$5:$G$204)/SUMIF($B$5:$B$204,$K21,$F$5:$F$204),"")</f>
        <v/>
      </c>
    </row>
    <row r="22" customFormat="false" ht="15" hidden="false" customHeight="false" outlineLevel="0" collapsed="false">
      <c r="A22" s="57"/>
      <c r="B22" s="57"/>
      <c r="C22" s="57"/>
      <c r="D22" s="57"/>
      <c r="E22" s="57"/>
      <c r="F22" s="57"/>
      <c r="G22" s="58" t="str">
        <f aca="false">IF(N(E22)*N(F22)=0,"",E22*F22)</f>
        <v/>
      </c>
      <c r="H22" s="58" t="str">
        <f aca="false">IF(N(D22)*N(F22)=0,"",D22*F22/1000)</f>
        <v/>
      </c>
      <c r="I22" s="58" t="str">
        <f aca="false">IFERROR(G22/H22,"")</f>
        <v/>
      </c>
    </row>
    <row r="23" customFormat="false" ht="15" hidden="false" customHeight="false" outlineLevel="0" collapsed="false">
      <c r="A23" s="57"/>
      <c r="B23" s="57"/>
      <c r="C23" s="57"/>
      <c r="D23" s="57"/>
      <c r="E23" s="57"/>
      <c r="F23" s="57"/>
      <c r="G23" s="58" t="str">
        <f aca="false">IF(N(E23)*N(F23)=0,"",E23*F23)</f>
        <v/>
      </c>
      <c r="H23" s="58" t="str">
        <f aca="false">IF(N(D23)*N(F23)=0,"",D23*F23/1000)</f>
        <v/>
      </c>
      <c r="I23" s="58" t="str">
        <f aca="false">IFERROR(G23/H23,"")</f>
        <v/>
      </c>
      <c r="K23" s="54" t="s">
        <v>167</v>
      </c>
      <c r="L23" s="54" t="n">
        <f aca="false">SUM(L6:L21)</f>
        <v>0</v>
      </c>
      <c r="M23" s="54" t="n">
        <f aca="false">SUM(M6:M21)</f>
        <v>0</v>
      </c>
      <c r="N23" s="54" t="str">
        <f aca="false">IFERROR(L23/M23,"")</f>
        <v/>
      </c>
    </row>
    <row r="24" customFormat="false" ht="15" hidden="false" customHeight="false" outlineLevel="0" collapsed="false">
      <c r="A24" s="57"/>
      <c r="B24" s="57"/>
      <c r="C24" s="57"/>
      <c r="D24" s="57"/>
      <c r="E24" s="57"/>
      <c r="F24" s="57"/>
      <c r="G24" s="58" t="str">
        <f aca="false">IF(N(E24)*N(F24)=0,"",E24*F24)</f>
        <v/>
      </c>
      <c r="H24" s="58" t="str">
        <f aca="false">IF(N(D24)*N(F24)=0,"",D24*F24/1000)</f>
        <v/>
      </c>
      <c r="I24" s="58" t="str">
        <f aca="false">IFERROR(G24/H24,"")</f>
        <v/>
      </c>
    </row>
    <row r="25" customFormat="false" ht="15" hidden="false" customHeight="false" outlineLevel="0" collapsed="false">
      <c r="A25" s="57"/>
      <c r="B25" s="57"/>
      <c r="C25" s="57"/>
      <c r="D25" s="57"/>
      <c r="E25" s="57"/>
      <c r="F25" s="57"/>
      <c r="G25" s="58" t="str">
        <f aca="false">IF(N(E25)*N(F25)=0,"",E25*F25)</f>
        <v/>
      </c>
      <c r="H25" s="58" t="str">
        <f aca="false">IF(N(D25)*N(F25)=0,"",D25*F25/1000)</f>
        <v/>
      </c>
      <c r="I25" s="58" t="str">
        <f aca="false">IFERROR(G25/H25,"")</f>
        <v/>
      </c>
      <c r="K25" s="0" t="s">
        <v>168</v>
      </c>
      <c r="N25" s="60" t="n">
        <f aca="false">Producto!D35</f>
        <v>39.9242151244097</v>
      </c>
    </row>
    <row r="26" customFormat="false" ht="15" hidden="false" customHeight="false" outlineLevel="0" collapsed="false">
      <c r="A26" s="57"/>
      <c r="B26" s="57"/>
      <c r="C26" s="57"/>
      <c r="D26" s="57"/>
      <c r="E26" s="57"/>
      <c r="F26" s="57"/>
      <c r="G26" s="58" t="str">
        <f aca="false">IF(N(E26)*N(F26)=0,"",E26*F26)</f>
        <v/>
      </c>
      <c r="H26" s="58" t="str">
        <f aca="false">IF(N(D26)*N(F26)=0,"",D26*F26/1000)</f>
        <v/>
      </c>
      <c r="I26" s="58" t="str">
        <f aca="false">IFERROR(G26/H26,"")</f>
        <v/>
      </c>
      <c r="K26" s="0" t="s">
        <v>169</v>
      </c>
      <c r="N26" s="0" t="str">
        <f aca="false">IFERROR(N23-N25,"")</f>
        <v/>
      </c>
    </row>
    <row r="27" customFormat="false" ht="15" hidden="false" customHeight="false" outlineLevel="0" collapsed="false">
      <c r="A27" s="57"/>
      <c r="B27" s="57"/>
      <c r="C27" s="57"/>
      <c r="D27" s="57"/>
      <c r="E27" s="57"/>
      <c r="F27" s="57"/>
      <c r="G27" s="58" t="str">
        <f aca="false">IF(N(E27)*N(F27)=0,"",E27*F27)</f>
        <v/>
      </c>
      <c r="H27" s="58" t="str">
        <f aca="false">IF(N(D27)*N(F27)=0,"",D27*F27/1000)</f>
        <v/>
      </c>
      <c r="I27" s="58" t="str">
        <f aca="false">IFERROR(G27/H27,"")</f>
        <v/>
      </c>
    </row>
    <row r="28" customFormat="false" ht="15" hidden="false" customHeight="false" outlineLevel="0" collapsed="false">
      <c r="A28" s="57"/>
      <c r="B28" s="57"/>
      <c r="C28" s="57"/>
      <c r="D28" s="57"/>
      <c r="E28" s="57"/>
      <c r="F28" s="57"/>
      <c r="G28" s="58" t="str">
        <f aca="false">IF(N(E28)*N(F28)=0,"",E28*F28)</f>
        <v/>
      </c>
      <c r="H28" s="58" t="str">
        <f aca="false">IF(N(D28)*N(F28)=0,"",D28*F28/1000)</f>
        <v/>
      </c>
      <c r="I28" s="58" t="str">
        <f aca="false">IFERROR(G28/H28,"")</f>
        <v/>
      </c>
    </row>
    <row r="29" customFormat="false" ht="15" hidden="false" customHeight="false" outlineLevel="0" collapsed="false">
      <c r="A29" s="57"/>
      <c r="B29" s="57"/>
      <c r="C29" s="57"/>
      <c r="D29" s="57"/>
      <c r="E29" s="57"/>
      <c r="F29" s="57"/>
      <c r="G29" s="58" t="str">
        <f aca="false">IF(N(E29)*N(F29)=0,"",E29*F29)</f>
        <v/>
      </c>
      <c r="H29" s="58" t="str">
        <f aca="false">IF(N(D29)*N(F29)=0,"",D29*F29/1000)</f>
        <v/>
      </c>
      <c r="I29" s="58" t="str">
        <f aca="false">IFERROR(G29/H29,"")</f>
        <v/>
      </c>
    </row>
    <row r="30" customFormat="false" ht="15" hidden="false" customHeight="false" outlineLevel="0" collapsed="false">
      <c r="A30" s="57"/>
      <c r="B30" s="57"/>
      <c r="C30" s="57"/>
      <c r="D30" s="57"/>
      <c r="E30" s="57"/>
      <c r="F30" s="57"/>
      <c r="G30" s="58" t="str">
        <f aca="false">IF(N(E30)*N(F30)=0,"",E30*F30)</f>
        <v/>
      </c>
      <c r="H30" s="58" t="str">
        <f aca="false">IF(N(D30)*N(F30)=0,"",D30*F30/1000)</f>
        <v/>
      </c>
      <c r="I30" s="58" t="str">
        <f aca="false">IFERROR(G30/H30,"")</f>
        <v/>
      </c>
    </row>
    <row r="31" customFormat="false" ht="15" hidden="false" customHeight="false" outlineLevel="0" collapsed="false">
      <c r="A31" s="57"/>
      <c r="B31" s="57"/>
      <c r="C31" s="57"/>
      <c r="D31" s="57"/>
      <c r="E31" s="57"/>
      <c r="F31" s="57"/>
      <c r="G31" s="58" t="str">
        <f aca="false">IF(N(E31)*N(F31)=0,"",E31*F31)</f>
        <v/>
      </c>
      <c r="H31" s="58" t="str">
        <f aca="false">IF(N(D31)*N(F31)=0,"",D31*F31/1000)</f>
        <v/>
      </c>
      <c r="I31" s="58" t="str">
        <f aca="false">IFERROR(G31/H31,"")</f>
        <v/>
      </c>
    </row>
    <row r="32" customFormat="false" ht="15" hidden="false" customHeight="false" outlineLevel="0" collapsed="false">
      <c r="A32" s="57"/>
      <c r="B32" s="57"/>
      <c r="C32" s="57"/>
      <c r="D32" s="57"/>
      <c r="E32" s="57"/>
      <c r="F32" s="57"/>
      <c r="G32" s="58" t="str">
        <f aca="false">IF(N(E32)*N(F32)=0,"",E32*F32)</f>
        <v/>
      </c>
      <c r="H32" s="58" t="str">
        <f aca="false">IF(N(D32)*N(F32)=0,"",D32*F32/1000)</f>
        <v/>
      </c>
      <c r="I32" s="58" t="str">
        <f aca="false">IFERROR(G32/H32,"")</f>
        <v/>
      </c>
    </row>
    <row r="33" customFormat="false" ht="15" hidden="false" customHeight="false" outlineLevel="0" collapsed="false">
      <c r="A33" s="57"/>
      <c r="B33" s="57"/>
      <c r="C33" s="57"/>
      <c r="D33" s="57"/>
      <c r="E33" s="57"/>
      <c r="F33" s="57"/>
      <c r="G33" s="58" t="str">
        <f aca="false">IF(N(E33)*N(F33)=0,"",E33*F33)</f>
        <v/>
      </c>
      <c r="H33" s="58" t="str">
        <f aca="false">IF(N(D33)*N(F33)=0,"",D33*F33/1000)</f>
        <v/>
      </c>
      <c r="I33" s="58" t="str">
        <f aca="false">IFERROR(G33/H33,"")</f>
        <v/>
      </c>
    </row>
    <row r="34" customFormat="false" ht="15" hidden="false" customHeight="false" outlineLevel="0" collapsed="false">
      <c r="A34" s="57"/>
      <c r="B34" s="57"/>
      <c r="C34" s="57"/>
      <c r="D34" s="57"/>
      <c r="E34" s="57"/>
      <c r="F34" s="57"/>
      <c r="G34" s="58" t="str">
        <f aca="false">IF(N(E34)*N(F34)=0,"",E34*F34)</f>
        <v/>
      </c>
      <c r="H34" s="58" t="str">
        <f aca="false">IF(N(D34)*N(F34)=0,"",D34*F34/1000)</f>
        <v/>
      </c>
      <c r="I34" s="58" t="str">
        <f aca="false">IFERROR(G34/H34,"")</f>
        <v/>
      </c>
    </row>
    <row r="35" customFormat="false" ht="15" hidden="false" customHeight="false" outlineLevel="0" collapsed="false">
      <c r="A35" s="57"/>
      <c r="B35" s="57"/>
      <c r="C35" s="57"/>
      <c r="D35" s="57"/>
      <c r="E35" s="57"/>
      <c r="F35" s="57"/>
      <c r="G35" s="58" t="str">
        <f aca="false">IF(N(E35)*N(F35)=0,"",E35*F35)</f>
        <v/>
      </c>
      <c r="H35" s="58" t="str">
        <f aca="false">IF(N(D35)*N(F35)=0,"",D35*F35/1000)</f>
        <v/>
      </c>
      <c r="I35" s="58" t="str">
        <f aca="false">IFERROR(G35/H35,"")</f>
        <v/>
      </c>
    </row>
    <row r="36" customFormat="false" ht="15" hidden="false" customHeight="false" outlineLevel="0" collapsed="false">
      <c r="A36" s="57"/>
      <c r="B36" s="57"/>
      <c r="C36" s="57"/>
      <c r="D36" s="57"/>
      <c r="E36" s="57"/>
      <c r="F36" s="57"/>
      <c r="G36" s="58" t="str">
        <f aca="false">IF(N(E36)*N(F36)=0,"",E36*F36)</f>
        <v/>
      </c>
      <c r="H36" s="58" t="str">
        <f aca="false">IF(N(D36)*N(F36)=0,"",D36*F36/1000)</f>
        <v/>
      </c>
      <c r="I36" s="58" t="str">
        <f aca="false">IFERROR(G36/H36,"")</f>
        <v/>
      </c>
    </row>
    <row r="37" customFormat="false" ht="15" hidden="false" customHeight="false" outlineLevel="0" collapsed="false">
      <c r="A37" s="57"/>
      <c r="B37" s="57"/>
      <c r="C37" s="57"/>
      <c r="D37" s="57"/>
      <c r="E37" s="57"/>
      <c r="F37" s="57"/>
      <c r="G37" s="58" t="str">
        <f aca="false">IF(N(E37)*N(F37)=0,"",E37*F37)</f>
        <v/>
      </c>
      <c r="H37" s="58" t="str">
        <f aca="false">IF(N(D37)*N(F37)=0,"",D37*F37/1000)</f>
        <v/>
      </c>
      <c r="I37" s="58" t="str">
        <f aca="false">IFERROR(G37/H37,"")</f>
        <v/>
      </c>
    </row>
    <row r="38" customFormat="false" ht="15" hidden="false" customHeight="false" outlineLevel="0" collapsed="false">
      <c r="A38" s="57"/>
      <c r="B38" s="57"/>
      <c r="C38" s="57"/>
      <c r="D38" s="57"/>
      <c r="E38" s="57"/>
      <c r="F38" s="57"/>
      <c r="G38" s="58" t="str">
        <f aca="false">IF(N(E38)*N(F38)=0,"",E38*F38)</f>
        <v/>
      </c>
      <c r="H38" s="58" t="str">
        <f aca="false">IF(N(D38)*N(F38)=0,"",D38*F38/1000)</f>
        <v/>
      </c>
      <c r="I38" s="58" t="str">
        <f aca="false">IFERROR(G38/H38,"")</f>
        <v/>
      </c>
    </row>
    <row r="39" customFormat="false" ht="15" hidden="false" customHeight="false" outlineLevel="0" collapsed="false">
      <c r="A39" s="57"/>
      <c r="B39" s="57"/>
      <c r="C39" s="57"/>
      <c r="D39" s="57"/>
      <c r="E39" s="57"/>
      <c r="F39" s="57"/>
      <c r="G39" s="58" t="str">
        <f aca="false">IF(N(E39)*N(F39)=0,"",E39*F39)</f>
        <v/>
      </c>
      <c r="H39" s="58" t="str">
        <f aca="false">IF(N(D39)*N(F39)=0,"",D39*F39/1000)</f>
        <v/>
      </c>
      <c r="I39" s="58" t="str">
        <f aca="false">IFERROR(G39/H39,"")</f>
        <v/>
      </c>
    </row>
    <row r="40" customFormat="false" ht="15" hidden="false" customHeight="false" outlineLevel="0" collapsed="false">
      <c r="A40" s="57"/>
      <c r="B40" s="57"/>
      <c r="C40" s="57"/>
      <c r="D40" s="57"/>
      <c r="E40" s="57"/>
      <c r="F40" s="57"/>
      <c r="G40" s="58" t="str">
        <f aca="false">IF(N(E40)*N(F40)=0,"",E40*F40)</f>
        <v/>
      </c>
      <c r="H40" s="58" t="str">
        <f aca="false">IF(N(D40)*N(F40)=0,"",D40*F40/1000)</f>
        <v/>
      </c>
      <c r="I40" s="58" t="str">
        <f aca="false">IFERROR(G40/H40,"")</f>
        <v/>
      </c>
    </row>
    <row r="41" customFormat="false" ht="15" hidden="false" customHeight="false" outlineLevel="0" collapsed="false">
      <c r="A41" s="57"/>
      <c r="B41" s="57"/>
      <c r="C41" s="57"/>
      <c r="D41" s="57"/>
      <c r="E41" s="57"/>
      <c r="F41" s="57"/>
      <c r="G41" s="58" t="str">
        <f aca="false">IF(N(E41)*N(F41)=0,"",E41*F41)</f>
        <v/>
      </c>
      <c r="H41" s="58" t="str">
        <f aca="false">IF(N(D41)*N(F41)=0,"",D41*F41/1000)</f>
        <v/>
      </c>
      <c r="I41" s="58" t="str">
        <f aca="false">IFERROR(G41/H41,"")</f>
        <v/>
      </c>
    </row>
    <row r="42" customFormat="false" ht="15" hidden="false" customHeight="false" outlineLevel="0" collapsed="false">
      <c r="A42" s="57"/>
      <c r="B42" s="57"/>
      <c r="C42" s="57"/>
      <c r="D42" s="57"/>
      <c r="E42" s="57"/>
      <c r="F42" s="57"/>
      <c r="G42" s="58" t="str">
        <f aca="false">IF(N(E42)*N(F42)=0,"",E42*F42)</f>
        <v/>
      </c>
      <c r="H42" s="58" t="str">
        <f aca="false">IF(N(D42)*N(F42)=0,"",D42*F42/1000)</f>
        <v/>
      </c>
      <c r="I42" s="58" t="str">
        <f aca="false">IFERROR(G42/H42,"")</f>
        <v/>
      </c>
    </row>
    <row r="43" customFormat="false" ht="15" hidden="false" customHeight="false" outlineLevel="0" collapsed="false">
      <c r="A43" s="57"/>
      <c r="B43" s="57"/>
      <c r="C43" s="57"/>
      <c r="D43" s="57"/>
      <c r="E43" s="57"/>
      <c r="F43" s="57"/>
      <c r="G43" s="58" t="str">
        <f aca="false">IF(N(E43)*N(F43)=0,"",E43*F43)</f>
        <v/>
      </c>
      <c r="H43" s="58" t="str">
        <f aca="false">IF(N(D43)*N(F43)=0,"",D43*F43/1000)</f>
        <v/>
      </c>
      <c r="I43" s="58" t="str">
        <f aca="false">IFERROR(G43/H43,"")</f>
        <v/>
      </c>
    </row>
    <row r="44" customFormat="false" ht="15" hidden="false" customHeight="false" outlineLevel="0" collapsed="false">
      <c r="A44" s="57"/>
      <c r="B44" s="57"/>
      <c r="C44" s="57"/>
      <c r="D44" s="57"/>
      <c r="E44" s="57"/>
      <c r="F44" s="57"/>
      <c r="G44" s="58" t="str">
        <f aca="false">IF(N(E44)*N(F44)=0,"",E44*F44)</f>
        <v/>
      </c>
      <c r="H44" s="58" t="str">
        <f aca="false">IF(N(D44)*N(F44)=0,"",D44*F44/1000)</f>
        <v/>
      </c>
      <c r="I44" s="58" t="str">
        <f aca="false">IFERROR(G44/H44,"")</f>
        <v/>
      </c>
    </row>
    <row r="45" customFormat="false" ht="15" hidden="false" customHeight="false" outlineLevel="0" collapsed="false">
      <c r="A45" s="57"/>
      <c r="B45" s="57"/>
      <c r="C45" s="57"/>
      <c r="D45" s="57"/>
      <c r="E45" s="57"/>
      <c r="F45" s="57"/>
      <c r="G45" s="58" t="str">
        <f aca="false">IF(N(E45)*N(F45)=0,"",E45*F45)</f>
        <v/>
      </c>
      <c r="H45" s="58" t="str">
        <f aca="false">IF(N(D45)*N(F45)=0,"",D45*F45/1000)</f>
        <v/>
      </c>
      <c r="I45" s="58" t="str">
        <f aca="false">IFERROR(G45/H45,"")</f>
        <v/>
      </c>
    </row>
    <row r="46" customFormat="false" ht="15" hidden="false" customHeight="false" outlineLevel="0" collapsed="false">
      <c r="A46" s="57"/>
      <c r="B46" s="57"/>
      <c r="C46" s="57"/>
      <c r="D46" s="57"/>
      <c r="E46" s="57"/>
      <c r="F46" s="57"/>
      <c r="G46" s="58" t="str">
        <f aca="false">IF(N(E46)*N(F46)=0,"",E46*F46)</f>
        <v/>
      </c>
      <c r="H46" s="58" t="str">
        <f aca="false">IF(N(D46)*N(F46)=0,"",D46*F46/1000)</f>
        <v/>
      </c>
      <c r="I46" s="58" t="str">
        <f aca="false">IFERROR(G46/H46,"")</f>
        <v/>
      </c>
    </row>
    <row r="47" customFormat="false" ht="15" hidden="false" customHeight="false" outlineLevel="0" collapsed="false">
      <c r="A47" s="57"/>
      <c r="B47" s="57"/>
      <c r="C47" s="57"/>
      <c r="D47" s="57"/>
      <c r="E47" s="57"/>
      <c r="F47" s="57"/>
      <c r="G47" s="58" t="str">
        <f aca="false">IF(N(E47)*N(F47)=0,"",E47*F47)</f>
        <v/>
      </c>
      <c r="H47" s="58" t="str">
        <f aca="false">IF(N(D47)*N(F47)=0,"",D47*F47/1000)</f>
        <v/>
      </c>
      <c r="I47" s="58" t="str">
        <f aca="false">IFERROR(G47/H47,"")</f>
        <v/>
      </c>
    </row>
    <row r="48" customFormat="false" ht="15" hidden="false" customHeight="false" outlineLevel="0" collapsed="false">
      <c r="A48" s="57"/>
      <c r="B48" s="57"/>
      <c r="C48" s="57"/>
      <c r="D48" s="57"/>
      <c r="E48" s="57"/>
      <c r="F48" s="57"/>
      <c r="G48" s="58" t="str">
        <f aca="false">IF(N(E48)*N(F48)=0,"",E48*F48)</f>
        <v/>
      </c>
      <c r="H48" s="58" t="str">
        <f aca="false">IF(N(D48)*N(F48)=0,"",D48*F48/1000)</f>
        <v/>
      </c>
      <c r="I48" s="58" t="str">
        <f aca="false">IFERROR(G48/H48,"")</f>
        <v/>
      </c>
    </row>
    <row r="49" customFormat="false" ht="15" hidden="false" customHeight="false" outlineLevel="0" collapsed="false">
      <c r="A49" s="57"/>
      <c r="B49" s="57"/>
      <c r="C49" s="57"/>
      <c r="D49" s="57"/>
      <c r="E49" s="57"/>
      <c r="F49" s="57"/>
      <c r="G49" s="58" t="str">
        <f aca="false">IF(N(E49)*N(F49)=0,"",E49*F49)</f>
        <v/>
      </c>
      <c r="H49" s="58" t="str">
        <f aca="false">IF(N(D49)*N(F49)=0,"",D49*F49/1000)</f>
        <v/>
      </c>
      <c r="I49" s="58" t="str">
        <f aca="false">IFERROR(G49/H49,"")</f>
        <v/>
      </c>
    </row>
    <row r="50" customFormat="false" ht="15" hidden="false" customHeight="false" outlineLevel="0" collapsed="false">
      <c r="A50" s="57"/>
      <c r="B50" s="57"/>
      <c r="C50" s="57"/>
      <c r="D50" s="57"/>
      <c r="E50" s="57"/>
      <c r="F50" s="57"/>
      <c r="G50" s="58" t="str">
        <f aca="false">IF(N(E50)*N(F50)=0,"",E50*F50)</f>
        <v/>
      </c>
      <c r="H50" s="58" t="str">
        <f aca="false">IF(N(D50)*N(F50)=0,"",D50*F50/1000)</f>
        <v/>
      </c>
      <c r="I50" s="58" t="str">
        <f aca="false">IFERROR(G50/H50,"")</f>
        <v/>
      </c>
    </row>
    <row r="51" customFormat="false" ht="15" hidden="false" customHeight="false" outlineLevel="0" collapsed="false">
      <c r="A51" s="57"/>
      <c r="B51" s="57"/>
      <c r="C51" s="57"/>
      <c r="D51" s="57"/>
      <c r="E51" s="57"/>
      <c r="F51" s="57"/>
      <c r="G51" s="58" t="str">
        <f aca="false">IF(N(E51)*N(F51)=0,"",E51*F51)</f>
        <v/>
      </c>
      <c r="H51" s="58" t="str">
        <f aca="false">IF(N(D51)*N(F51)=0,"",D51*F51/1000)</f>
        <v/>
      </c>
      <c r="I51" s="58" t="str">
        <f aca="false">IFERROR(G51/H51,"")</f>
        <v/>
      </c>
    </row>
    <row r="52" customFormat="false" ht="15" hidden="false" customHeight="false" outlineLevel="0" collapsed="false">
      <c r="A52" s="57"/>
      <c r="B52" s="57"/>
      <c r="C52" s="57"/>
      <c r="D52" s="57"/>
      <c r="E52" s="57"/>
      <c r="F52" s="57"/>
      <c r="G52" s="58" t="str">
        <f aca="false">IF(N(E52)*N(F52)=0,"",E52*F52)</f>
        <v/>
      </c>
      <c r="H52" s="58" t="str">
        <f aca="false">IF(N(D52)*N(F52)=0,"",D52*F52/1000)</f>
        <v/>
      </c>
      <c r="I52" s="58" t="str">
        <f aca="false">IFERROR(G52/H52,"")</f>
        <v/>
      </c>
    </row>
    <row r="53" customFormat="false" ht="15" hidden="false" customHeight="false" outlineLevel="0" collapsed="false">
      <c r="A53" s="57"/>
      <c r="B53" s="57"/>
      <c r="C53" s="57"/>
      <c r="D53" s="57"/>
      <c r="E53" s="57"/>
      <c r="F53" s="57"/>
      <c r="G53" s="58" t="str">
        <f aca="false">IF(N(E53)*N(F53)=0,"",E53*F53)</f>
        <v/>
      </c>
      <c r="H53" s="58" t="str">
        <f aca="false">IF(N(D53)*N(F53)=0,"",D53*F53/1000)</f>
        <v/>
      </c>
      <c r="I53" s="58" t="str">
        <f aca="false">IFERROR(G53/H53,"")</f>
        <v/>
      </c>
    </row>
    <row r="54" customFormat="false" ht="15" hidden="false" customHeight="false" outlineLevel="0" collapsed="false">
      <c r="A54" s="57"/>
      <c r="B54" s="57"/>
      <c r="C54" s="57"/>
      <c r="D54" s="57"/>
      <c r="E54" s="57"/>
      <c r="F54" s="57"/>
      <c r="G54" s="58" t="str">
        <f aca="false">IF(N(E54)*N(F54)=0,"",E54*F54)</f>
        <v/>
      </c>
      <c r="H54" s="58" t="str">
        <f aca="false">IF(N(D54)*N(F54)=0,"",D54*F54/1000)</f>
        <v/>
      </c>
      <c r="I54" s="58" t="str">
        <f aca="false">IFERROR(G54/H54,"")</f>
        <v/>
      </c>
    </row>
    <row r="55" customFormat="false" ht="15" hidden="false" customHeight="false" outlineLevel="0" collapsed="false">
      <c r="A55" s="57"/>
      <c r="B55" s="57"/>
      <c r="C55" s="57"/>
      <c r="D55" s="57"/>
      <c r="E55" s="57"/>
      <c r="F55" s="57"/>
      <c r="G55" s="58" t="str">
        <f aca="false">IF(N(E55)*N(F55)=0,"",E55*F55)</f>
        <v/>
      </c>
      <c r="H55" s="58" t="str">
        <f aca="false">IF(N(D55)*N(F55)=0,"",D55*F55/1000)</f>
        <v/>
      </c>
      <c r="I55" s="58" t="str">
        <f aca="false">IFERROR(G55/H55,"")</f>
        <v/>
      </c>
    </row>
    <row r="56" customFormat="false" ht="15" hidden="false" customHeight="false" outlineLevel="0" collapsed="false">
      <c r="A56" s="57"/>
      <c r="B56" s="57"/>
      <c r="C56" s="57"/>
      <c r="D56" s="57"/>
      <c r="E56" s="57"/>
      <c r="F56" s="57"/>
      <c r="G56" s="58" t="str">
        <f aca="false">IF(N(E56)*N(F56)=0,"",E56*F56)</f>
        <v/>
      </c>
      <c r="H56" s="58" t="str">
        <f aca="false">IF(N(D56)*N(F56)=0,"",D56*F56/1000)</f>
        <v/>
      </c>
      <c r="I56" s="58" t="str">
        <f aca="false">IFERROR(G56/H56,"")</f>
        <v/>
      </c>
    </row>
    <row r="57" customFormat="false" ht="15" hidden="false" customHeight="false" outlineLevel="0" collapsed="false">
      <c r="A57" s="57"/>
      <c r="B57" s="57"/>
      <c r="C57" s="57"/>
      <c r="D57" s="57"/>
      <c r="E57" s="57"/>
      <c r="F57" s="57"/>
      <c r="G57" s="58" t="str">
        <f aca="false">IF(N(E57)*N(F57)=0,"",E57*F57)</f>
        <v/>
      </c>
      <c r="H57" s="58" t="str">
        <f aca="false">IF(N(D57)*N(F57)=0,"",D57*F57/1000)</f>
        <v/>
      </c>
      <c r="I57" s="58" t="str">
        <f aca="false">IFERROR(G57/H57,"")</f>
        <v/>
      </c>
    </row>
    <row r="58" customFormat="false" ht="15" hidden="false" customHeight="false" outlineLevel="0" collapsed="false">
      <c r="A58" s="57"/>
      <c r="B58" s="57"/>
      <c r="C58" s="57"/>
      <c r="D58" s="57"/>
      <c r="E58" s="57"/>
      <c r="F58" s="57"/>
      <c r="G58" s="58" t="str">
        <f aca="false">IF(N(E58)*N(F58)=0,"",E58*F58)</f>
        <v/>
      </c>
      <c r="H58" s="58" t="str">
        <f aca="false">IF(N(D58)*N(F58)=0,"",D58*F58/1000)</f>
        <v/>
      </c>
      <c r="I58" s="58" t="str">
        <f aca="false">IFERROR(G58/H58,"")</f>
        <v/>
      </c>
    </row>
    <row r="59" customFormat="false" ht="15" hidden="false" customHeight="false" outlineLevel="0" collapsed="false">
      <c r="A59" s="57"/>
      <c r="B59" s="57"/>
      <c r="C59" s="57"/>
      <c r="D59" s="57"/>
      <c r="E59" s="57"/>
      <c r="F59" s="57"/>
      <c r="G59" s="58" t="str">
        <f aca="false">IF(N(E59)*N(F59)=0,"",E59*F59)</f>
        <v/>
      </c>
      <c r="H59" s="58" t="str">
        <f aca="false">IF(N(D59)*N(F59)=0,"",D59*F59/1000)</f>
        <v/>
      </c>
      <c r="I59" s="58" t="str">
        <f aca="false">IFERROR(G59/H59,"")</f>
        <v/>
      </c>
    </row>
    <row r="60" customFormat="false" ht="15" hidden="false" customHeight="false" outlineLevel="0" collapsed="false">
      <c r="A60" s="57"/>
      <c r="B60" s="57"/>
      <c r="C60" s="57"/>
      <c r="D60" s="57"/>
      <c r="E60" s="57"/>
      <c r="F60" s="57"/>
      <c r="G60" s="58" t="str">
        <f aca="false">IF(N(E60)*N(F60)=0,"",E60*F60)</f>
        <v/>
      </c>
      <c r="H60" s="58" t="str">
        <f aca="false">IF(N(D60)*N(F60)=0,"",D60*F60/1000)</f>
        <v/>
      </c>
      <c r="I60" s="58" t="str">
        <f aca="false">IFERROR(G60/H60,"")</f>
        <v/>
      </c>
    </row>
    <row r="61" customFormat="false" ht="15" hidden="false" customHeight="false" outlineLevel="0" collapsed="false">
      <c r="A61" s="57"/>
      <c r="B61" s="57"/>
      <c r="C61" s="57"/>
      <c r="D61" s="57"/>
      <c r="E61" s="57"/>
      <c r="F61" s="57"/>
      <c r="G61" s="58" t="str">
        <f aca="false">IF(N(E61)*N(F61)=0,"",E61*F61)</f>
        <v/>
      </c>
      <c r="H61" s="58" t="str">
        <f aca="false">IF(N(D61)*N(F61)=0,"",D61*F61/1000)</f>
        <v/>
      </c>
      <c r="I61" s="58" t="str">
        <f aca="false">IFERROR(G61/H61,"")</f>
        <v/>
      </c>
    </row>
    <row r="62" customFormat="false" ht="15" hidden="false" customHeight="false" outlineLevel="0" collapsed="false">
      <c r="A62" s="57"/>
      <c r="B62" s="57"/>
      <c r="C62" s="57"/>
      <c r="D62" s="57"/>
      <c r="E62" s="57"/>
      <c r="F62" s="57"/>
      <c r="G62" s="58" t="str">
        <f aca="false">IF(N(E62)*N(F62)=0,"",E62*F62)</f>
        <v/>
      </c>
      <c r="H62" s="58" t="str">
        <f aca="false">IF(N(D62)*N(F62)=0,"",D62*F62/1000)</f>
        <v/>
      </c>
      <c r="I62" s="58" t="str">
        <f aca="false">IFERROR(G62/H62,"")</f>
        <v/>
      </c>
    </row>
    <row r="63" customFormat="false" ht="15" hidden="false" customHeight="false" outlineLevel="0" collapsed="false">
      <c r="A63" s="57"/>
      <c r="B63" s="57"/>
      <c r="C63" s="57"/>
      <c r="D63" s="57"/>
      <c r="E63" s="57"/>
      <c r="F63" s="57"/>
      <c r="G63" s="58" t="str">
        <f aca="false">IF(N(E63)*N(F63)=0,"",E63*F63)</f>
        <v/>
      </c>
      <c r="H63" s="58" t="str">
        <f aca="false">IF(N(D63)*N(F63)=0,"",D63*F63/1000)</f>
        <v/>
      </c>
      <c r="I63" s="58" t="str">
        <f aca="false">IFERROR(G63/H63,"")</f>
        <v/>
      </c>
    </row>
    <row r="64" customFormat="false" ht="15" hidden="false" customHeight="false" outlineLevel="0" collapsed="false">
      <c r="A64" s="57"/>
      <c r="B64" s="57"/>
      <c r="C64" s="57"/>
      <c r="D64" s="57"/>
      <c r="E64" s="57"/>
      <c r="F64" s="57"/>
      <c r="G64" s="58" t="str">
        <f aca="false">IF(N(E64)*N(F64)=0,"",E64*F64)</f>
        <v/>
      </c>
      <c r="H64" s="58" t="str">
        <f aca="false">IF(N(D64)*N(F64)=0,"",D64*F64/1000)</f>
        <v/>
      </c>
      <c r="I64" s="58" t="str">
        <f aca="false">IFERROR(G64/H64,"")</f>
        <v/>
      </c>
    </row>
    <row r="65" customFormat="false" ht="15" hidden="false" customHeight="false" outlineLevel="0" collapsed="false">
      <c r="A65" s="57"/>
      <c r="B65" s="57"/>
      <c r="C65" s="57"/>
      <c r="D65" s="57"/>
      <c r="E65" s="57"/>
      <c r="F65" s="57"/>
      <c r="G65" s="58" t="str">
        <f aca="false">IF(N(E65)*N(F65)=0,"",E65*F65)</f>
        <v/>
      </c>
      <c r="H65" s="58" t="str">
        <f aca="false">IF(N(D65)*N(F65)=0,"",D65*F65/1000)</f>
        <v/>
      </c>
      <c r="I65" s="58" t="str">
        <f aca="false">IFERROR(G65/H65,"")</f>
        <v/>
      </c>
    </row>
    <row r="66" customFormat="false" ht="15" hidden="false" customHeight="false" outlineLevel="0" collapsed="false">
      <c r="A66" s="57"/>
      <c r="B66" s="57"/>
      <c r="C66" s="57"/>
      <c r="D66" s="57"/>
      <c r="E66" s="57"/>
      <c r="F66" s="57"/>
      <c r="G66" s="58" t="str">
        <f aca="false">IF(N(E66)*N(F66)=0,"",E66*F66)</f>
        <v/>
      </c>
      <c r="H66" s="58" t="str">
        <f aca="false">IF(N(D66)*N(F66)=0,"",D66*F66/1000)</f>
        <v/>
      </c>
      <c r="I66" s="58" t="str">
        <f aca="false">IFERROR(G66/H66,"")</f>
        <v/>
      </c>
    </row>
    <row r="67" customFormat="false" ht="15" hidden="false" customHeight="false" outlineLevel="0" collapsed="false">
      <c r="A67" s="57"/>
      <c r="B67" s="57"/>
      <c r="C67" s="57"/>
      <c r="D67" s="57"/>
      <c r="E67" s="57"/>
      <c r="F67" s="57"/>
      <c r="G67" s="58" t="str">
        <f aca="false">IF(N(E67)*N(F67)=0,"",E67*F67)</f>
        <v/>
      </c>
      <c r="H67" s="58" t="str">
        <f aca="false">IF(N(D67)*N(F67)=0,"",D67*F67/1000)</f>
        <v/>
      </c>
      <c r="I67" s="58" t="str">
        <f aca="false">IFERROR(G67/H67,"")</f>
        <v/>
      </c>
    </row>
    <row r="68" customFormat="false" ht="15" hidden="false" customHeight="false" outlineLevel="0" collapsed="false">
      <c r="A68" s="57"/>
      <c r="B68" s="57"/>
      <c r="C68" s="57"/>
      <c r="D68" s="57"/>
      <c r="E68" s="57"/>
      <c r="F68" s="57"/>
      <c r="G68" s="58" t="str">
        <f aca="false">IF(N(E68)*N(F68)=0,"",E68*F68)</f>
        <v/>
      </c>
      <c r="H68" s="58" t="str">
        <f aca="false">IF(N(D68)*N(F68)=0,"",D68*F68/1000)</f>
        <v/>
      </c>
      <c r="I68" s="58" t="str">
        <f aca="false">IFERROR(G68/H68,"")</f>
        <v/>
      </c>
    </row>
    <row r="69" customFormat="false" ht="15" hidden="false" customHeight="false" outlineLevel="0" collapsed="false">
      <c r="A69" s="57"/>
      <c r="B69" s="57"/>
      <c r="C69" s="57"/>
      <c r="D69" s="57"/>
      <c r="E69" s="57"/>
      <c r="F69" s="57"/>
      <c r="G69" s="58" t="str">
        <f aca="false">IF(N(E69)*N(F69)=0,"",E69*F69)</f>
        <v/>
      </c>
      <c r="H69" s="58" t="str">
        <f aca="false">IF(N(D69)*N(F69)=0,"",D69*F69/1000)</f>
        <v/>
      </c>
      <c r="I69" s="58" t="str">
        <f aca="false">IFERROR(G69/H69,"")</f>
        <v/>
      </c>
    </row>
    <row r="70" customFormat="false" ht="15" hidden="false" customHeight="false" outlineLevel="0" collapsed="false">
      <c r="A70" s="57"/>
      <c r="B70" s="57"/>
      <c r="C70" s="57"/>
      <c r="D70" s="57"/>
      <c r="E70" s="57"/>
      <c r="F70" s="57"/>
      <c r="G70" s="58" t="str">
        <f aca="false">IF(N(E70)*N(F70)=0,"",E70*F70)</f>
        <v/>
      </c>
      <c r="H70" s="58" t="str">
        <f aca="false">IF(N(D70)*N(F70)=0,"",D70*F70/1000)</f>
        <v/>
      </c>
      <c r="I70" s="58" t="str">
        <f aca="false">IFERROR(G70/H70,"")</f>
        <v/>
      </c>
    </row>
    <row r="71" customFormat="false" ht="15" hidden="false" customHeight="false" outlineLevel="0" collapsed="false">
      <c r="A71" s="57"/>
      <c r="B71" s="57"/>
      <c r="C71" s="57"/>
      <c r="D71" s="57"/>
      <c r="E71" s="57"/>
      <c r="F71" s="57"/>
      <c r="G71" s="58" t="str">
        <f aca="false">IF(N(E71)*N(F71)=0,"",E71*F71)</f>
        <v/>
      </c>
      <c r="H71" s="58" t="str">
        <f aca="false">IF(N(D71)*N(F71)=0,"",D71*F71/1000)</f>
        <v/>
      </c>
      <c r="I71" s="58" t="str">
        <f aca="false">IFERROR(G71/H71,"")</f>
        <v/>
      </c>
    </row>
    <row r="72" customFormat="false" ht="15" hidden="false" customHeight="false" outlineLevel="0" collapsed="false">
      <c r="A72" s="57"/>
      <c r="B72" s="57"/>
      <c r="C72" s="57"/>
      <c r="D72" s="57"/>
      <c r="E72" s="57"/>
      <c r="F72" s="57"/>
      <c r="G72" s="58" t="str">
        <f aca="false">IF(N(E72)*N(F72)=0,"",E72*F72)</f>
        <v/>
      </c>
      <c r="H72" s="58" t="str">
        <f aca="false">IF(N(D72)*N(F72)=0,"",D72*F72/1000)</f>
        <v/>
      </c>
      <c r="I72" s="58" t="str">
        <f aca="false">IFERROR(G72/H72,"")</f>
        <v/>
      </c>
    </row>
    <row r="73" customFormat="false" ht="15" hidden="false" customHeight="false" outlineLevel="0" collapsed="false">
      <c r="A73" s="57"/>
      <c r="B73" s="57"/>
      <c r="C73" s="57"/>
      <c r="D73" s="57"/>
      <c r="E73" s="57"/>
      <c r="F73" s="57"/>
      <c r="G73" s="58" t="str">
        <f aca="false">IF(N(E73)*N(F73)=0,"",E73*F73)</f>
        <v/>
      </c>
      <c r="H73" s="58" t="str">
        <f aca="false">IF(N(D73)*N(F73)=0,"",D73*F73/1000)</f>
        <v/>
      </c>
      <c r="I73" s="58" t="str">
        <f aca="false">IFERROR(G73/H73,"")</f>
        <v/>
      </c>
    </row>
    <row r="74" customFormat="false" ht="15" hidden="false" customHeight="false" outlineLevel="0" collapsed="false">
      <c r="A74" s="57"/>
      <c r="B74" s="57"/>
      <c r="C74" s="57"/>
      <c r="D74" s="57"/>
      <c r="E74" s="57"/>
      <c r="F74" s="57"/>
      <c r="G74" s="58" t="str">
        <f aca="false">IF(N(E74)*N(F74)=0,"",E74*F74)</f>
        <v/>
      </c>
      <c r="H74" s="58" t="str">
        <f aca="false">IF(N(D74)*N(F74)=0,"",D74*F74/1000)</f>
        <v/>
      </c>
      <c r="I74" s="58" t="str">
        <f aca="false">IFERROR(G74/H74,"")</f>
        <v/>
      </c>
    </row>
    <row r="75" customFormat="false" ht="15" hidden="false" customHeight="false" outlineLevel="0" collapsed="false">
      <c r="A75" s="57"/>
      <c r="B75" s="57"/>
      <c r="C75" s="57"/>
      <c r="D75" s="57"/>
      <c r="E75" s="57"/>
      <c r="F75" s="57"/>
      <c r="G75" s="58" t="str">
        <f aca="false">IF(N(E75)*N(F75)=0,"",E75*F75)</f>
        <v/>
      </c>
      <c r="H75" s="58" t="str">
        <f aca="false">IF(N(D75)*N(F75)=0,"",D75*F75/1000)</f>
        <v/>
      </c>
      <c r="I75" s="58" t="str">
        <f aca="false">IFERROR(G75/H75,"")</f>
        <v/>
      </c>
    </row>
    <row r="76" customFormat="false" ht="15" hidden="false" customHeight="false" outlineLevel="0" collapsed="false">
      <c r="A76" s="57"/>
      <c r="B76" s="57"/>
      <c r="C76" s="57"/>
      <c r="D76" s="57"/>
      <c r="E76" s="57"/>
      <c r="F76" s="57"/>
      <c r="G76" s="58" t="str">
        <f aca="false">IF(N(E76)*N(F76)=0,"",E76*F76)</f>
        <v/>
      </c>
      <c r="H76" s="58" t="str">
        <f aca="false">IF(N(D76)*N(F76)=0,"",D76*F76/1000)</f>
        <v/>
      </c>
      <c r="I76" s="58" t="str">
        <f aca="false">IFERROR(G76/H76,"")</f>
        <v/>
      </c>
    </row>
    <row r="77" customFormat="false" ht="15" hidden="false" customHeight="false" outlineLevel="0" collapsed="false">
      <c r="A77" s="57"/>
      <c r="B77" s="57"/>
      <c r="C77" s="57"/>
      <c r="D77" s="57"/>
      <c r="E77" s="57"/>
      <c r="F77" s="57"/>
      <c r="G77" s="58" t="str">
        <f aca="false">IF(N(E77)*N(F77)=0,"",E77*F77)</f>
        <v/>
      </c>
      <c r="H77" s="58" t="str">
        <f aca="false">IF(N(D77)*N(F77)=0,"",D77*F77/1000)</f>
        <v/>
      </c>
      <c r="I77" s="58" t="str">
        <f aca="false">IFERROR(G77/H77,"")</f>
        <v/>
      </c>
    </row>
    <row r="78" customFormat="false" ht="15" hidden="false" customHeight="false" outlineLevel="0" collapsed="false">
      <c r="A78" s="57"/>
      <c r="B78" s="57"/>
      <c r="C78" s="57"/>
      <c r="D78" s="57"/>
      <c r="E78" s="57"/>
      <c r="F78" s="57"/>
      <c r="G78" s="58" t="str">
        <f aca="false">IF(N(E78)*N(F78)=0,"",E78*F78)</f>
        <v/>
      </c>
      <c r="H78" s="58" t="str">
        <f aca="false">IF(N(D78)*N(F78)=0,"",D78*F78/1000)</f>
        <v/>
      </c>
      <c r="I78" s="58" t="str">
        <f aca="false">IFERROR(G78/H78,"")</f>
        <v/>
      </c>
    </row>
    <row r="79" customFormat="false" ht="15" hidden="false" customHeight="false" outlineLevel="0" collapsed="false">
      <c r="A79" s="57"/>
      <c r="B79" s="57"/>
      <c r="C79" s="57"/>
      <c r="D79" s="57"/>
      <c r="E79" s="57"/>
      <c r="F79" s="57"/>
      <c r="G79" s="58" t="str">
        <f aca="false">IF(N(E79)*N(F79)=0,"",E79*F79)</f>
        <v/>
      </c>
      <c r="H79" s="58" t="str">
        <f aca="false">IF(N(D79)*N(F79)=0,"",D79*F79/1000)</f>
        <v/>
      </c>
      <c r="I79" s="58" t="str">
        <f aca="false">IFERROR(G79/H79,"")</f>
        <v/>
      </c>
    </row>
    <row r="80" customFormat="false" ht="15" hidden="false" customHeight="false" outlineLevel="0" collapsed="false">
      <c r="A80" s="57"/>
      <c r="B80" s="57"/>
      <c r="C80" s="57"/>
      <c r="D80" s="57"/>
      <c r="E80" s="57"/>
      <c r="F80" s="57"/>
      <c r="G80" s="58" t="str">
        <f aca="false">IF(N(E80)*N(F80)=0,"",E80*F80)</f>
        <v/>
      </c>
      <c r="H80" s="58" t="str">
        <f aca="false">IF(N(D80)*N(F80)=0,"",D80*F80/1000)</f>
        <v/>
      </c>
      <c r="I80" s="58" t="str">
        <f aca="false">IFERROR(G80/H80,"")</f>
        <v/>
      </c>
    </row>
    <row r="81" customFormat="false" ht="15" hidden="false" customHeight="false" outlineLevel="0" collapsed="false">
      <c r="A81" s="57"/>
      <c r="B81" s="57"/>
      <c r="C81" s="57"/>
      <c r="D81" s="57"/>
      <c r="E81" s="57"/>
      <c r="F81" s="57"/>
      <c r="G81" s="58" t="str">
        <f aca="false">IF(N(E81)*N(F81)=0,"",E81*F81)</f>
        <v/>
      </c>
      <c r="H81" s="58" t="str">
        <f aca="false">IF(N(D81)*N(F81)=0,"",D81*F81/1000)</f>
        <v/>
      </c>
      <c r="I81" s="58" t="str">
        <f aca="false">IFERROR(G81/H81,"")</f>
        <v/>
      </c>
    </row>
    <row r="82" customFormat="false" ht="15" hidden="false" customHeight="false" outlineLevel="0" collapsed="false">
      <c r="A82" s="57"/>
      <c r="B82" s="57"/>
      <c r="C82" s="57"/>
      <c r="D82" s="57"/>
      <c r="E82" s="57"/>
      <c r="F82" s="57"/>
      <c r="G82" s="58" t="str">
        <f aca="false">IF(N(E82)*N(F82)=0,"",E82*F82)</f>
        <v/>
      </c>
      <c r="H82" s="58" t="str">
        <f aca="false">IF(N(D82)*N(F82)=0,"",D82*F82/1000)</f>
        <v/>
      </c>
      <c r="I82" s="58" t="str">
        <f aca="false">IFERROR(G82/H82,"")</f>
        <v/>
      </c>
    </row>
    <row r="83" customFormat="false" ht="15" hidden="false" customHeight="false" outlineLevel="0" collapsed="false">
      <c r="A83" s="57"/>
      <c r="B83" s="57"/>
      <c r="C83" s="57"/>
      <c r="D83" s="57"/>
      <c r="E83" s="57"/>
      <c r="F83" s="57"/>
      <c r="G83" s="58" t="str">
        <f aca="false">IF(N(E83)*N(F83)=0,"",E83*F83)</f>
        <v/>
      </c>
      <c r="H83" s="58" t="str">
        <f aca="false">IF(N(D83)*N(F83)=0,"",D83*F83/1000)</f>
        <v/>
      </c>
      <c r="I83" s="58" t="str">
        <f aca="false">IFERROR(G83/H83,"")</f>
        <v/>
      </c>
    </row>
    <row r="84" customFormat="false" ht="15" hidden="false" customHeight="false" outlineLevel="0" collapsed="false">
      <c r="A84" s="57"/>
      <c r="B84" s="57"/>
      <c r="C84" s="57"/>
      <c r="D84" s="57"/>
      <c r="E84" s="57"/>
      <c r="F84" s="57"/>
      <c r="G84" s="58" t="str">
        <f aca="false">IF(N(E84)*N(F84)=0,"",E84*F84)</f>
        <v/>
      </c>
      <c r="H84" s="58" t="str">
        <f aca="false">IF(N(D84)*N(F84)=0,"",D84*F84/1000)</f>
        <v/>
      </c>
      <c r="I84" s="58" t="str">
        <f aca="false">IFERROR(G84/H84,"")</f>
        <v/>
      </c>
    </row>
    <row r="85" customFormat="false" ht="15" hidden="false" customHeight="false" outlineLevel="0" collapsed="false">
      <c r="A85" s="57"/>
      <c r="B85" s="57"/>
      <c r="C85" s="57"/>
      <c r="D85" s="57"/>
      <c r="E85" s="57"/>
      <c r="F85" s="57"/>
      <c r="G85" s="58" t="str">
        <f aca="false">IF(N(E85)*N(F85)=0,"",E85*F85)</f>
        <v/>
      </c>
      <c r="H85" s="58" t="str">
        <f aca="false">IF(N(D85)*N(F85)=0,"",D85*F85/1000)</f>
        <v/>
      </c>
      <c r="I85" s="58" t="str">
        <f aca="false">IFERROR(G85/H85,"")</f>
        <v/>
      </c>
    </row>
    <row r="86" customFormat="false" ht="15" hidden="false" customHeight="false" outlineLevel="0" collapsed="false">
      <c r="A86" s="57"/>
      <c r="B86" s="57"/>
      <c r="C86" s="57"/>
      <c r="D86" s="57"/>
      <c r="E86" s="57"/>
      <c r="F86" s="57"/>
      <c r="G86" s="58" t="str">
        <f aca="false">IF(N(E86)*N(F86)=0,"",E86*F86)</f>
        <v/>
      </c>
      <c r="H86" s="58" t="str">
        <f aca="false">IF(N(D86)*N(F86)=0,"",D86*F86/1000)</f>
        <v/>
      </c>
      <c r="I86" s="58" t="str">
        <f aca="false">IFERROR(G86/H86,"")</f>
        <v/>
      </c>
    </row>
    <row r="87" customFormat="false" ht="15" hidden="false" customHeight="false" outlineLevel="0" collapsed="false">
      <c r="A87" s="57"/>
      <c r="B87" s="57"/>
      <c r="C87" s="57"/>
      <c r="D87" s="57"/>
      <c r="E87" s="57"/>
      <c r="F87" s="57"/>
      <c r="G87" s="58" t="str">
        <f aca="false">IF(N(E87)*N(F87)=0,"",E87*F87)</f>
        <v/>
      </c>
      <c r="H87" s="58" t="str">
        <f aca="false">IF(N(D87)*N(F87)=0,"",D87*F87/1000)</f>
        <v/>
      </c>
      <c r="I87" s="58" t="str">
        <f aca="false">IFERROR(G87/H87,"")</f>
        <v/>
      </c>
    </row>
    <row r="88" customFormat="false" ht="15" hidden="false" customHeight="false" outlineLevel="0" collapsed="false">
      <c r="A88" s="57"/>
      <c r="B88" s="57"/>
      <c r="C88" s="57"/>
      <c r="D88" s="57"/>
      <c r="E88" s="57"/>
      <c r="F88" s="57"/>
      <c r="G88" s="58" t="str">
        <f aca="false">IF(N(E88)*N(F88)=0,"",E88*F88)</f>
        <v/>
      </c>
      <c r="H88" s="58" t="str">
        <f aca="false">IF(N(D88)*N(F88)=0,"",D88*F88/1000)</f>
        <v/>
      </c>
      <c r="I88" s="58" t="str">
        <f aca="false">IFERROR(G88/H88,"")</f>
        <v/>
      </c>
    </row>
    <row r="89" customFormat="false" ht="15" hidden="false" customHeight="false" outlineLevel="0" collapsed="false">
      <c r="A89" s="57"/>
      <c r="B89" s="57"/>
      <c r="C89" s="57"/>
      <c r="D89" s="57"/>
      <c r="E89" s="57"/>
      <c r="F89" s="57"/>
      <c r="G89" s="58" t="str">
        <f aca="false">IF(N(E89)*N(F89)=0,"",E89*F89)</f>
        <v/>
      </c>
      <c r="H89" s="58" t="str">
        <f aca="false">IF(N(D89)*N(F89)=0,"",D89*F89/1000)</f>
        <v/>
      </c>
      <c r="I89" s="58" t="str">
        <f aca="false">IFERROR(G89/H89,"")</f>
        <v/>
      </c>
    </row>
    <row r="90" customFormat="false" ht="15" hidden="false" customHeight="false" outlineLevel="0" collapsed="false">
      <c r="A90" s="57"/>
      <c r="B90" s="57"/>
      <c r="C90" s="57"/>
      <c r="D90" s="57"/>
      <c r="E90" s="57"/>
      <c r="F90" s="57"/>
      <c r="G90" s="58" t="str">
        <f aca="false">IF(N(E90)*N(F90)=0,"",E90*F90)</f>
        <v/>
      </c>
      <c r="H90" s="58" t="str">
        <f aca="false">IF(N(D90)*N(F90)=0,"",D90*F90/1000)</f>
        <v/>
      </c>
      <c r="I90" s="58" t="str">
        <f aca="false">IFERROR(G90/H90,"")</f>
        <v/>
      </c>
    </row>
    <row r="91" customFormat="false" ht="15" hidden="false" customHeight="false" outlineLevel="0" collapsed="false">
      <c r="A91" s="57"/>
      <c r="B91" s="57"/>
      <c r="C91" s="57"/>
      <c r="D91" s="57"/>
      <c r="E91" s="57"/>
      <c r="F91" s="57"/>
      <c r="G91" s="58" t="str">
        <f aca="false">IF(N(E91)*N(F91)=0,"",E91*F91)</f>
        <v/>
      </c>
      <c r="H91" s="58" t="str">
        <f aca="false">IF(N(D91)*N(F91)=0,"",D91*F91/1000)</f>
        <v/>
      </c>
      <c r="I91" s="58" t="str">
        <f aca="false">IFERROR(G91/H91,"")</f>
        <v/>
      </c>
    </row>
    <row r="92" customFormat="false" ht="15" hidden="false" customHeight="false" outlineLevel="0" collapsed="false">
      <c r="A92" s="57"/>
      <c r="B92" s="57"/>
      <c r="C92" s="57"/>
      <c r="D92" s="57"/>
      <c r="E92" s="57"/>
      <c r="F92" s="57"/>
      <c r="G92" s="58" t="str">
        <f aca="false">IF(N(E92)*N(F92)=0,"",E92*F92)</f>
        <v/>
      </c>
      <c r="H92" s="58" t="str">
        <f aca="false">IF(N(D92)*N(F92)=0,"",D92*F92/1000)</f>
        <v/>
      </c>
      <c r="I92" s="58" t="str">
        <f aca="false">IFERROR(G92/H92,"")</f>
        <v/>
      </c>
    </row>
    <row r="93" customFormat="false" ht="15" hidden="false" customHeight="false" outlineLevel="0" collapsed="false">
      <c r="A93" s="57"/>
      <c r="B93" s="57"/>
      <c r="C93" s="57"/>
      <c r="D93" s="57"/>
      <c r="E93" s="57"/>
      <c r="F93" s="57"/>
      <c r="G93" s="58" t="str">
        <f aca="false">IF(N(E93)*N(F93)=0,"",E93*F93)</f>
        <v/>
      </c>
      <c r="H93" s="58" t="str">
        <f aca="false">IF(N(D93)*N(F93)=0,"",D93*F93/1000)</f>
        <v/>
      </c>
      <c r="I93" s="58" t="str">
        <f aca="false">IFERROR(G93/H93,"")</f>
        <v/>
      </c>
    </row>
    <row r="94" customFormat="false" ht="15" hidden="false" customHeight="false" outlineLevel="0" collapsed="false">
      <c r="A94" s="57"/>
      <c r="B94" s="57"/>
      <c r="C94" s="57"/>
      <c r="D94" s="57"/>
      <c r="E94" s="57"/>
      <c r="F94" s="57"/>
      <c r="G94" s="58" t="str">
        <f aca="false">IF(N(E94)*N(F94)=0,"",E94*F94)</f>
        <v/>
      </c>
      <c r="H94" s="58" t="str">
        <f aca="false">IF(N(D94)*N(F94)=0,"",D94*F94/1000)</f>
        <v/>
      </c>
      <c r="I94" s="58" t="str">
        <f aca="false">IFERROR(G94/H94,"")</f>
        <v/>
      </c>
    </row>
    <row r="95" customFormat="false" ht="15" hidden="false" customHeight="false" outlineLevel="0" collapsed="false">
      <c r="A95" s="57"/>
      <c r="B95" s="57"/>
      <c r="C95" s="57"/>
      <c r="D95" s="57"/>
      <c r="E95" s="57"/>
      <c r="F95" s="57"/>
      <c r="G95" s="58" t="str">
        <f aca="false">IF(N(E95)*N(F95)=0,"",E95*F95)</f>
        <v/>
      </c>
      <c r="H95" s="58" t="str">
        <f aca="false">IF(N(D95)*N(F95)=0,"",D95*F95/1000)</f>
        <v/>
      </c>
      <c r="I95" s="58" t="str">
        <f aca="false">IFERROR(G95/H95,"")</f>
        <v/>
      </c>
    </row>
    <row r="96" customFormat="false" ht="15" hidden="false" customHeight="false" outlineLevel="0" collapsed="false">
      <c r="A96" s="57"/>
      <c r="B96" s="57"/>
      <c r="C96" s="57"/>
      <c r="D96" s="57"/>
      <c r="E96" s="57"/>
      <c r="F96" s="57"/>
      <c r="G96" s="58" t="str">
        <f aca="false">IF(N(E96)*N(F96)=0,"",E96*F96)</f>
        <v/>
      </c>
      <c r="H96" s="58" t="str">
        <f aca="false">IF(N(D96)*N(F96)=0,"",D96*F96/1000)</f>
        <v/>
      </c>
      <c r="I96" s="58" t="str">
        <f aca="false">IFERROR(G96/H96,"")</f>
        <v/>
      </c>
    </row>
    <row r="97" customFormat="false" ht="15" hidden="false" customHeight="false" outlineLevel="0" collapsed="false">
      <c r="A97" s="57"/>
      <c r="B97" s="57"/>
      <c r="C97" s="57"/>
      <c r="D97" s="57"/>
      <c r="E97" s="57"/>
      <c r="F97" s="57"/>
      <c r="G97" s="58" t="str">
        <f aca="false">IF(N(E97)*N(F97)=0,"",E97*F97)</f>
        <v/>
      </c>
      <c r="H97" s="58" t="str">
        <f aca="false">IF(N(D97)*N(F97)=0,"",D97*F97/1000)</f>
        <v/>
      </c>
      <c r="I97" s="58" t="str">
        <f aca="false">IFERROR(G97/H97,"")</f>
        <v/>
      </c>
    </row>
    <row r="98" customFormat="false" ht="15" hidden="false" customHeight="false" outlineLevel="0" collapsed="false">
      <c r="A98" s="57"/>
      <c r="B98" s="57"/>
      <c r="C98" s="57"/>
      <c r="D98" s="57"/>
      <c r="E98" s="57"/>
      <c r="F98" s="57"/>
      <c r="G98" s="58" t="str">
        <f aca="false">IF(N(E98)*N(F98)=0,"",E98*F98)</f>
        <v/>
      </c>
      <c r="H98" s="58" t="str">
        <f aca="false">IF(N(D98)*N(F98)=0,"",D98*F98/1000)</f>
        <v/>
      </c>
      <c r="I98" s="58" t="str">
        <f aca="false">IFERROR(G98/H98,"")</f>
        <v/>
      </c>
    </row>
    <row r="99" customFormat="false" ht="15" hidden="false" customHeight="false" outlineLevel="0" collapsed="false">
      <c r="A99" s="57"/>
      <c r="B99" s="57"/>
      <c r="C99" s="57"/>
      <c r="D99" s="57"/>
      <c r="E99" s="57"/>
      <c r="F99" s="57"/>
      <c r="G99" s="58" t="str">
        <f aca="false">IF(N(E99)*N(F99)=0,"",E99*F99)</f>
        <v/>
      </c>
      <c r="H99" s="58" t="str">
        <f aca="false">IF(N(D99)*N(F99)=0,"",D99*F99/1000)</f>
        <v/>
      </c>
      <c r="I99" s="58" t="str">
        <f aca="false">IFERROR(G99/H99,"")</f>
        <v/>
      </c>
    </row>
    <row r="100" customFormat="false" ht="15" hidden="false" customHeight="false" outlineLevel="0" collapsed="false">
      <c r="A100" s="57"/>
      <c r="B100" s="57"/>
      <c r="C100" s="57"/>
      <c r="D100" s="57"/>
      <c r="E100" s="57"/>
      <c r="F100" s="57"/>
      <c r="G100" s="58" t="str">
        <f aca="false">IF(N(E100)*N(F100)=0,"",E100*F100)</f>
        <v/>
      </c>
      <c r="H100" s="58" t="str">
        <f aca="false">IF(N(D100)*N(F100)=0,"",D100*F100/1000)</f>
        <v/>
      </c>
      <c r="I100" s="58" t="str">
        <f aca="false">IFERROR(G100/H100,"")</f>
        <v/>
      </c>
    </row>
    <row r="101" customFormat="false" ht="15" hidden="false" customHeight="false" outlineLevel="0" collapsed="false">
      <c r="A101" s="57"/>
      <c r="B101" s="57"/>
      <c r="C101" s="57"/>
      <c r="D101" s="57"/>
      <c r="E101" s="57"/>
      <c r="F101" s="57"/>
      <c r="G101" s="58" t="str">
        <f aca="false">IF(N(E101)*N(F101)=0,"",E101*F101)</f>
        <v/>
      </c>
      <c r="H101" s="58" t="str">
        <f aca="false">IF(N(D101)*N(F101)=0,"",D101*F101/1000)</f>
        <v/>
      </c>
      <c r="I101" s="58" t="str">
        <f aca="false">IFERROR(G101/H101,"")</f>
        <v/>
      </c>
    </row>
    <row r="102" customFormat="false" ht="15" hidden="false" customHeight="false" outlineLevel="0" collapsed="false">
      <c r="A102" s="57"/>
      <c r="B102" s="57"/>
      <c r="C102" s="57"/>
      <c r="D102" s="57"/>
      <c r="E102" s="57"/>
      <c r="F102" s="57"/>
      <c r="G102" s="58" t="str">
        <f aca="false">IF(N(E102)*N(F102)=0,"",E102*F102)</f>
        <v/>
      </c>
      <c r="H102" s="58" t="str">
        <f aca="false">IF(N(D102)*N(F102)=0,"",D102*F102/1000)</f>
        <v/>
      </c>
      <c r="I102" s="58" t="str">
        <f aca="false">IFERROR(G102/H102,"")</f>
        <v/>
      </c>
    </row>
    <row r="103" customFormat="false" ht="15" hidden="false" customHeight="false" outlineLevel="0" collapsed="false">
      <c r="A103" s="57"/>
      <c r="B103" s="57"/>
      <c r="C103" s="57"/>
      <c r="D103" s="57"/>
      <c r="E103" s="57"/>
      <c r="F103" s="57"/>
      <c r="G103" s="58" t="str">
        <f aca="false">IF(N(E103)*N(F103)=0,"",E103*F103)</f>
        <v/>
      </c>
      <c r="H103" s="58" t="str">
        <f aca="false">IF(N(D103)*N(F103)=0,"",D103*F103/1000)</f>
        <v/>
      </c>
      <c r="I103" s="58" t="str">
        <f aca="false">IFERROR(G103/H103,"")</f>
        <v/>
      </c>
    </row>
    <row r="104" customFormat="false" ht="15" hidden="false" customHeight="false" outlineLevel="0" collapsed="false">
      <c r="A104" s="57"/>
      <c r="B104" s="57"/>
      <c r="C104" s="57"/>
      <c r="D104" s="57"/>
      <c r="E104" s="57"/>
      <c r="F104" s="57"/>
      <c r="G104" s="58" t="str">
        <f aca="false">IF(N(E104)*N(F104)=0,"",E104*F104)</f>
        <v/>
      </c>
      <c r="H104" s="58" t="str">
        <f aca="false">IF(N(D104)*N(F104)=0,"",D104*F104/1000)</f>
        <v/>
      </c>
      <c r="I104" s="58" t="str">
        <f aca="false">IFERROR(G104/H104,"")</f>
        <v/>
      </c>
    </row>
    <row r="105" customFormat="false" ht="15" hidden="false" customHeight="false" outlineLevel="0" collapsed="false">
      <c r="A105" s="57"/>
      <c r="B105" s="57"/>
      <c r="C105" s="57"/>
      <c r="D105" s="57"/>
      <c r="E105" s="57"/>
      <c r="F105" s="57"/>
      <c r="G105" s="58" t="str">
        <f aca="false">IF(N(E105)*N(F105)=0,"",E105*F105)</f>
        <v/>
      </c>
      <c r="H105" s="58" t="str">
        <f aca="false">IF(N(D105)*N(F105)=0,"",D105*F105/1000)</f>
        <v/>
      </c>
      <c r="I105" s="58" t="str">
        <f aca="false">IFERROR(G105/H105,"")</f>
        <v/>
      </c>
    </row>
    <row r="106" customFormat="false" ht="15" hidden="false" customHeight="false" outlineLevel="0" collapsed="false">
      <c r="A106" s="57"/>
      <c r="B106" s="57"/>
      <c r="C106" s="57"/>
      <c r="D106" s="57"/>
      <c r="E106" s="57"/>
      <c r="F106" s="57"/>
      <c r="G106" s="58" t="str">
        <f aca="false">IF(N(E106)*N(F106)=0,"",E106*F106)</f>
        <v/>
      </c>
      <c r="H106" s="58" t="str">
        <f aca="false">IF(N(D106)*N(F106)=0,"",D106*F106/1000)</f>
        <v/>
      </c>
      <c r="I106" s="58" t="str">
        <f aca="false">IFERROR(G106/H106,"")</f>
        <v/>
      </c>
    </row>
    <row r="107" customFormat="false" ht="15" hidden="false" customHeight="false" outlineLevel="0" collapsed="false">
      <c r="A107" s="57"/>
      <c r="B107" s="57"/>
      <c r="C107" s="57"/>
      <c r="D107" s="57"/>
      <c r="E107" s="57"/>
      <c r="F107" s="57"/>
      <c r="G107" s="58" t="str">
        <f aca="false">IF(N(E107)*N(F107)=0,"",E107*F107)</f>
        <v/>
      </c>
      <c r="H107" s="58" t="str">
        <f aca="false">IF(N(D107)*N(F107)=0,"",D107*F107/1000)</f>
        <v/>
      </c>
      <c r="I107" s="58" t="str">
        <f aca="false">IFERROR(G107/H107,"")</f>
        <v/>
      </c>
    </row>
    <row r="108" customFormat="false" ht="15" hidden="false" customHeight="false" outlineLevel="0" collapsed="false">
      <c r="A108" s="57"/>
      <c r="B108" s="57"/>
      <c r="C108" s="57"/>
      <c r="D108" s="57"/>
      <c r="E108" s="57"/>
      <c r="F108" s="57"/>
      <c r="G108" s="58" t="str">
        <f aca="false">IF(N(E108)*N(F108)=0,"",E108*F108)</f>
        <v/>
      </c>
      <c r="H108" s="58" t="str">
        <f aca="false">IF(N(D108)*N(F108)=0,"",D108*F108/1000)</f>
        <v/>
      </c>
      <c r="I108" s="58" t="str">
        <f aca="false">IFERROR(G108/H108,"")</f>
        <v/>
      </c>
    </row>
    <row r="109" customFormat="false" ht="15" hidden="false" customHeight="false" outlineLevel="0" collapsed="false">
      <c r="A109" s="57"/>
      <c r="B109" s="57"/>
      <c r="C109" s="57"/>
      <c r="D109" s="57"/>
      <c r="E109" s="57"/>
      <c r="F109" s="57"/>
      <c r="G109" s="58" t="str">
        <f aca="false">IF(N(E109)*N(F109)=0,"",E109*F109)</f>
        <v/>
      </c>
      <c r="H109" s="58" t="str">
        <f aca="false">IF(N(D109)*N(F109)=0,"",D109*F109/1000)</f>
        <v/>
      </c>
      <c r="I109" s="58" t="str">
        <f aca="false">IFERROR(G109/H109,"")</f>
        <v/>
      </c>
    </row>
    <row r="110" customFormat="false" ht="15" hidden="false" customHeight="false" outlineLevel="0" collapsed="false">
      <c r="A110" s="57"/>
      <c r="B110" s="57"/>
      <c r="C110" s="57"/>
      <c r="D110" s="57"/>
      <c r="E110" s="57"/>
      <c r="F110" s="57"/>
      <c r="G110" s="58" t="str">
        <f aca="false">IF(N(E110)*N(F110)=0,"",E110*F110)</f>
        <v/>
      </c>
      <c r="H110" s="58" t="str">
        <f aca="false">IF(N(D110)*N(F110)=0,"",D110*F110/1000)</f>
        <v/>
      </c>
      <c r="I110" s="58" t="str">
        <f aca="false">IFERROR(G110/H110,"")</f>
        <v/>
      </c>
    </row>
    <row r="111" customFormat="false" ht="15" hidden="false" customHeight="false" outlineLevel="0" collapsed="false">
      <c r="A111" s="57"/>
      <c r="B111" s="57"/>
      <c r="C111" s="57"/>
      <c r="D111" s="57"/>
      <c r="E111" s="57"/>
      <c r="F111" s="57"/>
      <c r="G111" s="58" t="str">
        <f aca="false">IF(N(E111)*N(F111)=0,"",E111*F111)</f>
        <v/>
      </c>
      <c r="H111" s="58" t="str">
        <f aca="false">IF(N(D111)*N(F111)=0,"",D111*F111/1000)</f>
        <v/>
      </c>
      <c r="I111" s="58" t="str">
        <f aca="false">IFERROR(G111/H111,"")</f>
        <v/>
      </c>
    </row>
    <row r="112" customFormat="false" ht="15" hidden="false" customHeight="false" outlineLevel="0" collapsed="false">
      <c r="A112" s="57"/>
      <c r="B112" s="57"/>
      <c r="C112" s="57"/>
      <c r="D112" s="57"/>
      <c r="E112" s="57"/>
      <c r="F112" s="57"/>
      <c r="G112" s="58" t="str">
        <f aca="false">IF(N(E112)*N(F112)=0,"",E112*F112)</f>
        <v/>
      </c>
      <c r="H112" s="58" t="str">
        <f aca="false">IF(N(D112)*N(F112)=0,"",D112*F112/1000)</f>
        <v/>
      </c>
      <c r="I112" s="58" t="str">
        <f aca="false">IFERROR(G112/H112,"")</f>
        <v/>
      </c>
    </row>
    <row r="113" customFormat="false" ht="15" hidden="false" customHeight="false" outlineLevel="0" collapsed="false">
      <c r="A113" s="57"/>
      <c r="B113" s="57"/>
      <c r="C113" s="57"/>
      <c r="D113" s="57"/>
      <c r="E113" s="57"/>
      <c r="F113" s="57"/>
      <c r="G113" s="58" t="str">
        <f aca="false">IF(N(E113)*N(F113)=0,"",E113*F113)</f>
        <v/>
      </c>
      <c r="H113" s="58" t="str">
        <f aca="false">IF(N(D113)*N(F113)=0,"",D113*F113/1000)</f>
        <v/>
      </c>
      <c r="I113" s="58" t="str">
        <f aca="false">IFERROR(G113/H113,"")</f>
        <v/>
      </c>
    </row>
    <row r="114" customFormat="false" ht="15" hidden="false" customHeight="false" outlineLevel="0" collapsed="false">
      <c r="A114" s="57"/>
      <c r="B114" s="57"/>
      <c r="C114" s="57"/>
      <c r="D114" s="57"/>
      <c r="E114" s="57"/>
      <c r="F114" s="57"/>
      <c r="G114" s="58" t="str">
        <f aca="false">IF(N(E114)*N(F114)=0,"",E114*F114)</f>
        <v/>
      </c>
      <c r="H114" s="58" t="str">
        <f aca="false">IF(N(D114)*N(F114)=0,"",D114*F114/1000)</f>
        <v/>
      </c>
      <c r="I114" s="58" t="str">
        <f aca="false">IFERROR(G114/H114,"")</f>
        <v/>
      </c>
    </row>
    <row r="115" customFormat="false" ht="15" hidden="false" customHeight="false" outlineLevel="0" collapsed="false">
      <c r="A115" s="57"/>
      <c r="B115" s="57"/>
      <c r="C115" s="57"/>
      <c r="D115" s="57"/>
      <c r="E115" s="57"/>
      <c r="F115" s="57"/>
      <c r="G115" s="58" t="str">
        <f aca="false">IF(N(E115)*N(F115)=0,"",E115*F115)</f>
        <v/>
      </c>
      <c r="H115" s="58" t="str">
        <f aca="false">IF(N(D115)*N(F115)=0,"",D115*F115/1000)</f>
        <v/>
      </c>
      <c r="I115" s="58" t="str">
        <f aca="false">IFERROR(G115/H115,"")</f>
        <v/>
      </c>
    </row>
    <row r="116" customFormat="false" ht="15" hidden="false" customHeight="false" outlineLevel="0" collapsed="false">
      <c r="A116" s="57"/>
      <c r="B116" s="57"/>
      <c r="C116" s="57"/>
      <c r="D116" s="57"/>
      <c r="E116" s="57"/>
      <c r="F116" s="57"/>
      <c r="G116" s="58" t="str">
        <f aca="false">IF(N(E116)*N(F116)=0,"",E116*F116)</f>
        <v/>
      </c>
      <c r="H116" s="58" t="str">
        <f aca="false">IF(N(D116)*N(F116)=0,"",D116*F116/1000)</f>
        <v/>
      </c>
      <c r="I116" s="58" t="str">
        <f aca="false">IFERROR(G116/H116,"")</f>
        <v/>
      </c>
    </row>
    <row r="117" customFormat="false" ht="15" hidden="false" customHeight="false" outlineLevel="0" collapsed="false">
      <c r="A117" s="57"/>
      <c r="B117" s="57"/>
      <c r="C117" s="57"/>
      <c r="D117" s="57"/>
      <c r="E117" s="57"/>
      <c r="F117" s="57"/>
      <c r="G117" s="58" t="str">
        <f aca="false">IF(N(E117)*N(F117)=0,"",E117*F117)</f>
        <v/>
      </c>
      <c r="H117" s="58" t="str">
        <f aca="false">IF(N(D117)*N(F117)=0,"",D117*F117/1000)</f>
        <v/>
      </c>
      <c r="I117" s="58" t="str">
        <f aca="false">IFERROR(G117/H117,"")</f>
        <v/>
      </c>
    </row>
    <row r="118" customFormat="false" ht="15" hidden="false" customHeight="false" outlineLevel="0" collapsed="false">
      <c r="A118" s="57"/>
      <c r="B118" s="57"/>
      <c r="C118" s="57"/>
      <c r="D118" s="57"/>
      <c r="E118" s="57"/>
      <c r="F118" s="57"/>
      <c r="G118" s="58" t="str">
        <f aca="false">IF(N(E118)*N(F118)=0,"",E118*F118)</f>
        <v/>
      </c>
      <c r="H118" s="58" t="str">
        <f aca="false">IF(N(D118)*N(F118)=0,"",D118*F118/1000)</f>
        <v/>
      </c>
      <c r="I118" s="58" t="str">
        <f aca="false">IFERROR(G118/H118,"")</f>
        <v/>
      </c>
    </row>
    <row r="119" customFormat="false" ht="15" hidden="false" customHeight="false" outlineLevel="0" collapsed="false">
      <c r="A119" s="57"/>
      <c r="B119" s="57"/>
      <c r="C119" s="57"/>
      <c r="D119" s="57"/>
      <c r="E119" s="57"/>
      <c r="F119" s="57"/>
      <c r="G119" s="58" t="str">
        <f aca="false">IF(N(E119)*N(F119)=0,"",E119*F119)</f>
        <v/>
      </c>
      <c r="H119" s="58" t="str">
        <f aca="false">IF(N(D119)*N(F119)=0,"",D119*F119/1000)</f>
        <v/>
      </c>
      <c r="I119" s="58" t="str">
        <f aca="false">IFERROR(G119/H119,"")</f>
        <v/>
      </c>
    </row>
    <row r="120" customFormat="false" ht="15" hidden="false" customHeight="false" outlineLevel="0" collapsed="false">
      <c r="A120" s="57"/>
      <c r="B120" s="57"/>
      <c r="C120" s="57"/>
      <c r="D120" s="57"/>
      <c r="E120" s="57"/>
      <c r="F120" s="57"/>
      <c r="G120" s="58" t="str">
        <f aca="false">IF(N(E120)*N(F120)=0,"",E120*F120)</f>
        <v/>
      </c>
      <c r="H120" s="58" t="str">
        <f aca="false">IF(N(D120)*N(F120)=0,"",D120*F120/1000)</f>
        <v/>
      </c>
      <c r="I120" s="58" t="str">
        <f aca="false">IFERROR(G120/H120,"")</f>
        <v/>
      </c>
    </row>
    <row r="121" customFormat="false" ht="15" hidden="false" customHeight="false" outlineLevel="0" collapsed="false">
      <c r="A121" s="57"/>
      <c r="B121" s="57"/>
      <c r="C121" s="57"/>
      <c r="D121" s="57"/>
      <c r="E121" s="57"/>
      <c r="F121" s="57"/>
      <c r="G121" s="58" t="str">
        <f aca="false">IF(N(E121)*N(F121)=0,"",E121*F121)</f>
        <v/>
      </c>
      <c r="H121" s="58" t="str">
        <f aca="false">IF(N(D121)*N(F121)=0,"",D121*F121/1000)</f>
        <v/>
      </c>
      <c r="I121" s="58" t="str">
        <f aca="false">IFERROR(G121/H121,"")</f>
        <v/>
      </c>
    </row>
    <row r="122" customFormat="false" ht="15" hidden="false" customHeight="false" outlineLevel="0" collapsed="false">
      <c r="A122" s="57"/>
      <c r="B122" s="57"/>
      <c r="C122" s="57"/>
      <c r="D122" s="57"/>
      <c r="E122" s="57"/>
      <c r="F122" s="57"/>
      <c r="G122" s="58" t="str">
        <f aca="false">IF(N(E122)*N(F122)=0,"",E122*F122)</f>
        <v/>
      </c>
      <c r="H122" s="58" t="str">
        <f aca="false">IF(N(D122)*N(F122)=0,"",D122*F122/1000)</f>
        <v/>
      </c>
      <c r="I122" s="58" t="str">
        <f aca="false">IFERROR(G122/H122,"")</f>
        <v/>
      </c>
    </row>
    <row r="123" customFormat="false" ht="15" hidden="false" customHeight="false" outlineLevel="0" collapsed="false">
      <c r="A123" s="57"/>
      <c r="B123" s="57"/>
      <c r="C123" s="57"/>
      <c r="D123" s="57"/>
      <c r="E123" s="57"/>
      <c r="F123" s="57"/>
      <c r="G123" s="58" t="str">
        <f aca="false">IF(N(E123)*N(F123)=0,"",E123*F123)</f>
        <v/>
      </c>
      <c r="H123" s="58" t="str">
        <f aca="false">IF(N(D123)*N(F123)=0,"",D123*F123/1000)</f>
        <v/>
      </c>
      <c r="I123" s="58" t="str">
        <f aca="false">IFERROR(G123/H123,"")</f>
        <v/>
      </c>
    </row>
    <row r="124" customFormat="false" ht="15" hidden="false" customHeight="false" outlineLevel="0" collapsed="false">
      <c r="A124" s="57"/>
      <c r="B124" s="57"/>
      <c r="C124" s="57"/>
      <c r="D124" s="57"/>
      <c r="E124" s="57"/>
      <c r="F124" s="57"/>
      <c r="G124" s="58" t="str">
        <f aca="false">IF(N(E124)*N(F124)=0,"",E124*F124)</f>
        <v/>
      </c>
      <c r="H124" s="58" t="str">
        <f aca="false">IF(N(D124)*N(F124)=0,"",D124*F124/1000)</f>
        <v/>
      </c>
      <c r="I124" s="58" t="str">
        <f aca="false">IFERROR(G124/H124,"")</f>
        <v/>
      </c>
    </row>
    <row r="125" customFormat="false" ht="15" hidden="false" customHeight="false" outlineLevel="0" collapsed="false">
      <c r="A125" s="57"/>
      <c r="B125" s="57"/>
      <c r="C125" s="57"/>
      <c r="D125" s="57"/>
      <c r="E125" s="57"/>
      <c r="F125" s="57"/>
      <c r="G125" s="58" t="str">
        <f aca="false">IF(N(E125)*N(F125)=0,"",E125*F125)</f>
        <v/>
      </c>
      <c r="H125" s="58" t="str">
        <f aca="false">IF(N(D125)*N(F125)=0,"",D125*F125/1000)</f>
        <v/>
      </c>
      <c r="I125" s="58" t="str">
        <f aca="false">IFERROR(G125/H125,"")</f>
        <v/>
      </c>
    </row>
    <row r="126" customFormat="false" ht="15" hidden="false" customHeight="false" outlineLevel="0" collapsed="false">
      <c r="A126" s="57"/>
      <c r="B126" s="57"/>
      <c r="C126" s="57"/>
      <c r="D126" s="57"/>
      <c r="E126" s="57"/>
      <c r="F126" s="57"/>
      <c r="G126" s="58" t="str">
        <f aca="false">IF(N(E126)*N(F126)=0,"",E126*F126)</f>
        <v/>
      </c>
      <c r="H126" s="58" t="str">
        <f aca="false">IF(N(D126)*N(F126)=0,"",D126*F126/1000)</f>
        <v/>
      </c>
      <c r="I126" s="58" t="str">
        <f aca="false">IFERROR(G126/H126,"")</f>
        <v/>
      </c>
    </row>
    <row r="127" customFormat="false" ht="15" hidden="false" customHeight="false" outlineLevel="0" collapsed="false">
      <c r="A127" s="57"/>
      <c r="B127" s="57"/>
      <c r="C127" s="57"/>
      <c r="D127" s="57"/>
      <c r="E127" s="57"/>
      <c r="F127" s="57"/>
      <c r="G127" s="58" t="str">
        <f aca="false">IF(N(E127)*N(F127)=0,"",E127*F127)</f>
        <v/>
      </c>
      <c r="H127" s="58" t="str">
        <f aca="false">IF(N(D127)*N(F127)=0,"",D127*F127/1000)</f>
        <v/>
      </c>
      <c r="I127" s="58" t="str">
        <f aca="false">IFERROR(G127/H127,"")</f>
        <v/>
      </c>
    </row>
    <row r="128" customFormat="false" ht="15" hidden="false" customHeight="false" outlineLevel="0" collapsed="false">
      <c r="A128" s="57"/>
      <c r="B128" s="57"/>
      <c r="C128" s="57"/>
      <c r="D128" s="57"/>
      <c r="E128" s="57"/>
      <c r="F128" s="57"/>
      <c r="G128" s="58" t="str">
        <f aca="false">IF(N(E128)*N(F128)=0,"",E128*F128)</f>
        <v/>
      </c>
      <c r="H128" s="58" t="str">
        <f aca="false">IF(N(D128)*N(F128)=0,"",D128*F128/1000)</f>
        <v/>
      </c>
      <c r="I128" s="58" t="str">
        <f aca="false">IFERROR(G128/H128,"")</f>
        <v/>
      </c>
    </row>
    <row r="129" customFormat="false" ht="15" hidden="false" customHeight="false" outlineLevel="0" collapsed="false">
      <c r="A129" s="57"/>
      <c r="B129" s="57"/>
      <c r="C129" s="57"/>
      <c r="D129" s="57"/>
      <c r="E129" s="57"/>
      <c r="F129" s="57"/>
      <c r="G129" s="58" t="str">
        <f aca="false">IF(N(E129)*N(F129)=0,"",E129*F129)</f>
        <v/>
      </c>
      <c r="H129" s="58" t="str">
        <f aca="false">IF(N(D129)*N(F129)=0,"",D129*F129/1000)</f>
        <v/>
      </c>
      <c r="I129" s="58" t="str">
        <f aca="false">IFERROR(G129/H129,"")</f>
        <v/>
      </c>
    </row>
    <row r="130" customFormat="false" ht="15" hidden="false" customHeight="false" outlineLevel="0" collapsed="false">
      <c r="A130" s="57"/>
      <c r="B130" s="57"/>
      <c r="C130" s="57"/>
      <c r="D130" s="57"/>
      <c r="E130" s="57"/>
      <c r="F130" s="57"/>
      <c r="G130" s="58" t="str">
        <f aca="false">IF(N(E130)*N(F130)=0,"",E130*F130)</f>
        <v/>
      </c>
      <c r="H130" s="58" t="str">
        <f aca="false">IF(N(D130)*N(F130)=0,"",D130*F130/1000)</f>
        <v/>
      </c>
      <c r="I130" s="58" t="str">
        <f aca="false">IFERROR(G130/H130,"")</f>
        <v/>
      </c>
    </row>
    <row r="131" customFormat="false" ht="15" hidden="false" customHeight="false" outlineLevel="0" collapsed="false">
      <c r="A131" s="57"/>
      <c r="B131" s="57"/>
      <c r="C131" s="57"/>
      <c r="D131" s="57"/>
      <c r="E131" s="57"/>
      <c r="F131" s="57"/>
      <c r="G131" s="58" t="str">
        <f aca="false">IF(N(E131)*N(F131)=0,"",E131*F131)</f>
        <v/>
      </c>
      <c r="H131" s="58" t="str">
        <f aca="false">IF(N(D131)*N(F131)=0,"",D131*F131/1000)</f>
        <v/>
      </c>
      <c r="I131" s="58" t="str">
        <f aca="false">IFERROR(G131/H131,"")</f>
        <v/>
      </c>
    </row>
    <row r="132" customFormat="false" ht="15" hidden="false" customHeight="false" outlineLevel="0" collapsed="false">
      <c r="A132" s="57"/>
      <c r="B132" s="57"/>
      <c r="C132" s="57"/>
      <c r="D132" s="57"/>
      <c r="E132" s="57"/>
      <c r="F132" s="57"/>
      <c r="G132" s="58" t="str">
        <f aca="false">IF(N(E132)*N(F132)=0,"",E132*F132)</f>
        <v/>
      </c>
      <c r="H132" s="58" t="str">
        <f aca="false">IF(N(D132)*N(F132)=0,"",D132*F132/1000)</f>
        <v/>
      </c>
      <c r="I132" s="58" t="str">
        <f aca="false">IFERROR(G132/H132,"")</f>
        <v/>
      </c>
    </row>
    <row r="133" customFormat="false" ht="15" hidden="false" customHeight="false" outlineLevel="0" collapsed="false">
      <c r="A133" s="57"/>
      <c r="B133" s="57"/>
      <c r="C133" s="57"/>
      <c r="D133" s="57"/>
      <c r="E133" s="57"/>
      <c r="F133" s="57"/>
      <c r="G133" s="58" t="str">
        <f aca="false">IF(N(E133)*N(F133)=0,"",E133*F133)</f>
        <v/>
      </c>
      <c r="H133" s="58" t="str">
        <f aca="false">IF(N(D133)*N(F133)=0,"",D133*F133/1000)</f>
        <v/>
      </c>
      <c r="I133" s="58" t="str">
        <f aca="false">IFERROR(G133/H133,"")</f>
        <v/>
      </c>
    </row>
    <row r="134" customFormat="false" ht="15" hidden="false" customHeight="false" outlineLevel="0" collapsed="false">
      <c r="A134" s="57"/>
      <c r="B134" s="57"/>
      <c r="C134" s="57"/>
      <c r="D134" s="57"/>
      <c r="E134" s="57"/>
      <c r="F134" s="57"/>
      <c r="G134" s="58" t="str">
        <f aca="false">IF(N(E134)*N(F134)=0,"",E134*F134)</f>
        <v/>
      </c>
      <c r="H134" s="58" t="str">
        <f aca="false">IF(N(D134)*N(F134)=0,"",D134*F134/1000)</f>
        <v/>
      </c>
      <c r="I134" s="58" t="str">
        <f aca="false">IFERROR(G134/H134,"")</f>
        <v/>
      </c>
    </row>
    <row r="135" customFormat="false" ht="15" hidden="false" customHeight="false" outlineLevel="0" collapsed="false">
      <c r="A135" s="57"/>
      <c r="B135" s="57"/>
      <c r="C135" s="57"/>
      <c r="D135" s="57"/>
      <c r="E135" s="57"/>
      <c r="F135" s="57"/>
      <c r="G135" s="58" t="str">
        <f aca="false">IF(N(E135)*N(F135)=0,"",E135*F135)</f>
        <v/>
      </c>
      <c r="H135" s="58" t="str">
        <f aca="false">IF(N(D135)*N(F135)=0,"",D135*F135/1000)</f>
        <v/>
      </c>
      <c r="I135" s="58" t="str">
        <f aca="false">IFERROR(G135/H135,"")</f>
        <v/>
      </c>
    </row>
    <row r="136" customFormat="false" ht="15" hidden="false" customHeight="false" outlineLevel="0" collapsed="false">
      <c r="A136" s="57"/>
      <c r="B136" s="57"/>
      <c r="C136" s="57"/>
      <c r="D136" s="57"/>
      <c r="E136" s="57"/>
      <c r="F136" s="57"/>
      <c r="G136" s="58" t="str">
        <f aca="false">IF(N(E136)*N(F136)=0,"",E136*F136)</f>
        <v/>
      </c>
      <c r="H136" s="58" t="str">
        <f aca="false">IF(N(D136)*N(F136)=0,"",D136*F136/1000)</f>
        <v/>
      </c>
      <c r="I136" s="58" t="str">
        <f aca="false">IFERROR(G136/H136,"")</f>
        <v/>
      </c>
    </row>
    <row r="137" customFormat="false" ht="15" hidden="false" customHeight="false" outlineLevel="0" collapsed="false">
      <c r="A137" s="57"/>
      <c r="B137" s="57"/>
      <c r="C137" s="57"/>
      <c r="D137" s="57"/>
      <c r="E137" s="57"/>
      <c r="F137" s="57"/>
      <c r="G137" s="58" t="str">
        <f aca="false">IF(N(E137)*N(F137)=0,"",E137*F137)</f>
        <v/>
      </c>
      <c r="H137" s="58" t="str">
        <f aca="false">IF(N(D137)*N(F137)=0,"",D137*F137/1000)</f>
        <v/>
      </c>
      <c r="I137" s="58" t="str">
        <f aca="false">IFERROR(G137/H137,"")</f>
        <v/>
      </c>
    </row>
    <row r="138" customFormat="false" ht="15" hidden="false" customHeight="false" outlineLevel="0" collapsed="false">
      <c r="A138" s="57"/>
      <c r="B138" s="57"/>
      <c r="C138" s="57"/>
      <c r="D138" s="57"/>
      <c r="E138" s="57"/>
      <c r="F138" s="57"/>
      <c r="G138" s="58" t="str">
        <f aca="false">IF(N(E138)*N(F138)=0,"",E138*F138)</f>
        <v/>
      </c>
      <c r="H138" s="58" t="str">
        <f aca="false">IF(N(D138)*N(F138)=0,"",D138*F138/1000)</f>
        <v/>
      </c>
      <c r="I138" s="58" t="str">
        <f aca="false">IFERROR(G138/H138,"")</f>
        <v/>
      </c>
    </row>
    <row r="139" customFormat="false" ht="15" hidden="false" customHeight="false" outlineLevel="0" collapsed="false">
      <c r="A139" s="57"/>
      <c r="B139" s="57"/>
      <c r="C139" s="57"/>
      <c r="D139" s="57"/>
      <c r="E139" s="57"/>
      <c r="F139" s="57"/>
      <c r="G139" s="58" t="str">
        <f aca="false">IF(N(E139)*N(F139)=0,"",E139*F139)</f>
        <v/>
      </c>
      <c r="H139" s="58" t="str">
        <f aca="false">IF(N(D139)*N(F139)=0,"",D139*F139/1000)</f>
        <v/>
      </c>
      <c r="I139" s="58" t="str">
        <f aca="false">IFERROR(G139/H139,"")</f>
        <v/>
      </c>
    </row>
    <row r="140" customFormat="false" ht="15" hidden="false" customHeight="false" outlineLevel="0" collapsed="false">
      <c r="A140" s="57"/>
      <c r="B140" s="57"/>
      <c r="C140" s="57"/>
      <c r="D140" s="57"/>
      <c r="E140" s="57"/>
      <c r="F140" s="57"/>
      <c r="G140" s="58" t="str">
        <f aca="false">IF(N(E140)*N(F140)=0,"",E140*F140)</f>
        <v/>
      </c>
      <c r="H140" s="58" t="str">
        <f aca="false">IF(N(D140)*N(F140)=0,"",D140*F140/1000)</f>
        <v/>
      </c>
      <c r="I140" s="58" t="str">
        <f aca="false">IFERROR(G140/H140,"")</f>
        <v/>
      </c>
    </row>
    <row r="141" customFormat="false" ht="15" hidden="false" customHeight="false" outlineLevel="0" collapsed="false">
      <c r="A141" s="57"/>
      <c r="B141" s="57"/>
      <c r="C141" s="57"/>
      <c r="D141" s="57"/>
      <c r="E141" s="57"/>
      <c r="F141" s="57"/>
      <c r="G141" s="58" t="str">
        <f aca="false">IF(N(E141)*N(F141)=0,"",E141*F141)</f>
        <v/>
      </c>
      <c r="H141" s="58" t="str">
        <f aca="false">IF(N(D141)*N(F141)=0,"",D141*F141/1000)</f>
        <v/>
      </c>
      <c r="I141" s="58" t="str">
        <f aca="false">IFERROR(G141/H141,"")</f>
        <v/>
      </c>
    </row>
    <row r="142" customFormat="false" ht="15" hidden="false" customHeight="false" outlineLevel="0" collapsed="false">
      <c r="A142" s="57"/>
      <c r="B142" s="57"/>
      <c r="C142" s="57"/>
      <c r="D142" s="57"/>
      <c r="E142" s="57"/>
      <c r="F142" s="57"/>
      <c r="G142" s="58" t="str">
        <f aca="false">IF(N(E142)*N(F142)=0,"",E142*F142)</f>
        <v/>
      </c>
      <c r="H142" s="58" t="str">
        <f aca="false">IF(N(D142)*N(F142)=0,"",D142*F142/1000)</f>
        <v/>
      </c>
      <c r="I142" s="58" t="str">
        <f aca="false">IFERROR(G142/H142,"")</f>
        <v/>
      </c>
    </row>
    <row r="143" customFormat="false" ht="15" hidden="false" customHeight="false" outlineLevel="0" collapsed="false">
      <c r="A143" s="57"/>
      <c r="B143" s="57"/>
      <c r="C143" s="57"/>
      <c r="D143" s="57"/>
      <c r="E143" s="57"/>
      <c r="F143" s="57"/>
      <c r="G143" s="58" t="str">
        <f aca="false">IF(N(E143)*N(F143)=0,"",E143*F143)</f>
        <v/>
      </c>
      <c r="H143" s="58" t="str">
        <f aca="false">IF(N(D143)*N(F143)=0,"",D143*F143/1000)</f>
        <v/>
      </c>
      <c r="I143" s="58" t="str">
        <f aca="false">IFERROR(G143/H143,"")</f>
        <v/>
      </c>
    </row>
    <row r="144" customFormat="false" ht="15" hidden="false" customHeight="false" outlineLevel="0" collapsed="false">
      <c r="A144" s="57"/>
      <c r="B144" s="57"/>
      <c r="C144" s="57"/>
      <c r="D144" s="57"/>
      <c r="E144" s="57"/>
      <c r="F144" s="57"/>
      <c r="G144" s="58" t="str">
        <f aca="false">IF(N(E144)*N(F144)=0,"",E144*F144)</f>
        <v/>
      </c>
      <c r="H144" s="58" t="str">
        <f aca="false">IF(N(D144)*N(F144)=0,"",D144*F144/1000)</f>
        <v/>
      </c>
      <c r="I144" s="58" t="str">
        <f aca="false">IFERROR(G144/H144,"")</f>
        <v/>
      </c>
    </row>
    <row r="145" customFormat="false" ht="15" hidden="false" customHeight="false" outlineLevel="0" collapsed="false">
      <c r="A145" s="57"/>
      <c r="B145" s="57"/>
      <c r="C145" s="57"/>
      <c r="D145" s="57"/>
      <c r="E145" s="57"/>
      <c r="F145" s="57"/>
      <c r="G145" s="58" t="str">
        <f aca="false">IF(N(E145)*N(F145)=0,"",E145*F145)</f>
        <v/>
      </c>
      <c r="H145" s="58" t="str">
        <f aca="false">IF(N(D145)*N(F145)=0,"",D145*F145/1000)</f>
        <v/>
      </c>
      <c r="I145" s="58" t="str">
        <f aca="false">IFERROR(G145/H145,"")</f>
        <v/>
      </c>
    </row>
    <row r="146" customFormat="false" ht="15" hidden="false" customHeight="false" outlineLevel="0" collapsed="false">
      <c r="A146" s="57"/>
      <c r="B146" s="57"/>
      <c r="C146" s="57"/>
      <c r="D146" s="57"/>
      <c r="E146" s="57"/>
      <c r="F146" s="57"/>
      <c r="G146" s="58" t="str">
        <f aca="false">IF(N(E146)*N(F146)=0,"",E146*F146)</f>
        <v/>
      </c>
      <c r="H146" s="58" t="str">
        <f aca="false">IF(N(D146)*N(F146)=0,"",D146*F146/1000)</f>
        <v/>
      </c>
      <c r="I146" s="58" t="str">
        <f aca="false">IFERROR(G146/H146,"")</f>
        <v/>
      </c>
    </row>
    <row r="147" customFormat="false" ht="15" hidden="false" customHeight="false" outlineLevel="0" collapsed="false">
      <c r="A147" s="57"/>
      <c r="B147" s="57"/>
      <c r="C147" s="57"/>
      <c r="D147" s="57"/>
      <c r="E147" s="57"/>
      <c r="F147" s="57"/>
      <c r="G147" s="58" t="str">
        <f aca="false">IF(N(E147)*N(F147)=0,"",E147*F147)</f>
        <v/>
      </c>
      <c r="H147" s="58" t="str">
        <f aca="false">IF(N(D147)*N(F147)=0,"",D147*F147/1000)</f>
        <v/>
      </c>
      <c r="I147" s="58" t="str">
        <f aca="false">IFERROR(G147/H147,"")</f>
        <v/>
      </c>
    </row>
    <row r="148" customFormat="false" ht="15" hidden="false" customHeight="false" outlineLevel="0" collapsed="false">
      <c r="A148" s="57"/>
      <c r="B148" s="57"/>
      <c r="C148" s="57"/>
      <c r="D148" s="57"/>
      <c r="E148" s="57"/>
      <c r="F148" s="57"/>
      <c r="G148" s="58" t="str">
        <f aca="false">IF(N(E148)*N(F148)=0,"",E148*F148)</f>
        <v/>
      </c>
      <c r="H148" s="58" t="str">
        <f aca="false">IF(N(D148)*N(F148)=0,"",D148*F148/1000)</f>
        <v/>
      </c>
      <c r="I148" s="58" t="str">
        <f aca="false">IFERROR(G148/H148,"")</f>
        <v/>
      </c>
    </row>
    <row r="149" customFormat="false" ht="15" hidden="false" customHeight="false" outlineLevel="0" collapsed="false">
      <c r="A149" s="57"/>
      <c r="B149" s="57"/>
      <c r="C149" s="57"/>
      <c r="D149" s="57"/>
      <c r="E149" s="57"/>
      <c r="F149" s="57"/>
      <c r="G149" s="58" t="str">
        <f aca="false">IF(N(E149)*N(F149)=0,"",E149*F149)</f>
        <v/>
      </c>
      <c r="H149" s="58" t="str">
        <f aca="false">IF(N(D149)*N(F149)=0,"",D149*F149/1000)</f>
        <v/>
      </c>
      <c r="I149" s="58" t="str">
        <f aca="false">IFERROR(G149/H149,"")</f>
        <v/>
      </c>
    </row>
    <row r="150" customFormat="false" ht="15" hidden="false" customHeight="false" outlineLevel="0" collapsed="false">
      <c r="A150" s="57"/>
      <c r="B150" s="57"/>
      <c r="C150" s="57"/>
      <c r="D150" s="57"/>
      <c r="E150" s="57"/>
      <c r="F150" s="57"/>
      <c r="G150" s="58" t="str">
        <f aca="false">IF(N(E150)*N(F150)=0,"",E150*F150)</f>
        <v/>
      </c>
      <c r="H150" s="58" t="str">
        <f aca="false">IF(N(D150)*N(F150)=0,"",D150*F150/1000)</f>
        <v/>
      </c>
      <c r="I150" s="58" t="str">
        <f aca="false">IFERROR(G150/H150,"")</f>
        <v/>
      </c>
    </row>
    <row r="151" customFormat="false" ht="15" hidden="false" customHeight="false" outlineLevel="0" collapsed="false">
      <c r="A151" s="57"/>
      <c r="B151" s="57"/>
      <c r="C151" s="57"/>
      <c r="D151" s="57"/>
      <c r="E151" s="57"/>
      <c r="F151" s="57"/>
      <c r="G151" s="58" t="str">
        <f aca="false">IF(N(E151)*N(F151)=0,"",E151*F151)</f>
        <v/>
      </c>
      <c r="H151" s="58" t="str">
        <f aca="false">IF(N(D151)*N(F151)=0,"",D151*F151/1000)</f>
        <v/>
      </c>
      <c r="I151" s="58" t="str">
        <f aca="false">IFERROR(G151/H151,"")</f>
        <v/>
      </c>
    </row>
    <row r="152" customFormat="false" ht="15" hidden="false" customHeight="false" outlineLevel="0" collapsed="false">
      <c r="A152" s="57"/>
      <c r="B152" s="57"/>
      <c r="C152" s="57"/>
      <c r="D152" s="57"/>
      <c r="E152" s="57"/>
      <c r="F152" s="57"/>
      <c r="G152" s="58" t="str">
        <f aca="false">IF(N(E152)*N(F152)=0,"",E152*F152)</f>
        <v/>
      </c>
      <c r="H152" s="58" t="str">
        <f aca="false">IF(N(D152)*N(F152)=0,"",D152*F152/1000)</f>
        <v/>
      </c>
      <c r="I152" s="58" t="str">
        <f aca="false">IFERROR(G152/H152,"")</f>
        <v/>
      </c>
    </row>
    <row r="153" customFormat="false" ht="15" hidden="false" customHeight="false" outlineLevel="0" collapsed="false">
      <c r="A153" s="57"/>
      <c r="B153" s="57"/>
      <c r="C153" s="57"/>
      <c r="D153" s="57"/>
      <c r="E153" s="57"/>
      <c r="F153" s="57"/>
      <c r="G153" s="58" t="str">
        <f aca="false">IF(N(E153)*N(F153)=0,"",E153*F153)</f>
        <v/>
      </c>
      <c r="H153" s="58" t="str">
        <f aca="false">IF(N(D153)*N(F153)=0,"",D153*F153/1000)</f>
        <v/>
      </c>
      <c r="I153" s="58" t="str">
        <f aca="false">IFERROR(G153/H153,"")</f>
        <v/>
      </c>
    </row>
    <row r="154" customFormat="false" ht="15" hidden="false" customHeight="false" outlineLevel="0" collapsed="false">
      <c r="A154" s="57"/>
      <c r="B154" s="57"/>
      <c r="C154" s="57"/>
      <c r="D154" s="57"/>
      <c r="E154" s="57"/>
      <c r="F154" s="57"/>
      <c r="G154" s="58" t="str">
        <f aca="false">IF(N(E154)*N(F154)=0,"",E154*F154)</f>
        <v/>
      </c>
      <c r="H154" s="58" t="str">
        <f aca="false">IF(N(D154)*N(F154)=0,"",D154*F154/1000)</f>
        <v/>
      </c>
      <c r="I154" s="58" t="str">
        <f aca="false">IFERROR(G154/H154,"")</f>
        <v/>
      </c>
    </row>
    <row r="155" customFormat="false" ht="15" hidden="false" customHeight="false" outlineLevel="0" collapsed="false">
      <c r="A155" s="57"/>
      <c r="B155" s="57"/>
      <c r="C155" s="57"/>
      <c r="D155" s="57"/>
      <c r="E155" s="57"/>
      <c r="F155" s="57"/>
      <c r="G155" s="58" t="str">
        <f aca="false">IF(N(E155)*N(F155)=0,"",E155*F155)</f>
        <v/>
      </c>
      <c r="H155" s="58" t="str">
        <f aca="false">IF(N(D155)*N(F155)=0,"",D155*F155/1000)</f>
        <v/>
      </c>
      <c r="I155" s="58" t="str">
        <f aca="false">IFERROR(G155/H155,"")</f>
        <v/>
      </c>
    </row>
    <row r="156" customFormat="false" ht="15" hidden="false" customHeight="false" outlineLevel="0" collapsed="false">
      <c r="A156" s="57"/>
      <c r="B156" s="57"/>
      <c r="C156" s="57"/>
      <c r="D156" s="57"/>
      <c r="E156" s="57"/>
      <c r="F156" s="57"/>
      <c r="G156" s="58" t="str">
        <f aca="false">IF(N(E156)*N(F156)=0,"",E156*F156)</f>
        <v/>
      </c>
      <c r="H156" s="58" t="str">
        <f aca="false">IF(N(D156)*N(F156)=0,"",D156*F156/1000)</f>
        <v/>
      </c>
      <c r="I156" s="58" t="str">
        <f aca="false">IFERROR(G156/H156,"")</f>
        <v/>
      </c>
    </row>
    <row r="157" customFormat="false" ht="15" hidden="false" customHeight="false" outlineLevel="0" collapsed="false">
      <c r="A157" s="57"/>
      <c r="B157" s="57"/>
      <c r="C157" s="57"/>
      <c r="D157" s="57"/>
      <c r="E157" s="57"/>
      <c r="F157" s="57"/>
      <c r="G157" s="58" t="str">
        <f aca="false">IF(N(E157)*N(F157)=0,"",E157*F157)</f>
        <v/>
      </c>
      <c r="H157" s="58" t="str">
        <f aca="false">IF(N(D157)*N(F157)=0,"",D157*F157/1000)</f>
        <v/>
      </c>
      <c r="I157" s="58" t="str">
        <f aca="false">IFERROR(G157/H157,"")</f>
        <v/>
      </c>
    </row>
    <row r="158" customFormat="false" ht="15" hidden="false" customHeight="false" outlineLevel="0" collapsed="false">
      <c r="A158" s="57"/>
      <c r="B158" s="57"/>
      <c r="C158" s="57"/>
      <c r="D158" s="57"/>
      <c r="E158" s="57"/>
      <c r="F158" s="57"/>
      <c r="G158" s="58" t="str">
        <f aca="false">IF(N(E158)*N(F158)=0,"",E158*F158)</f>
        <v/>
      </c>
      <c r="H158" s="58" t="str">
        <f aca="false">IF(N(D158)*N(F158)=0,"",D158*F158/1000)</f>
        <v/>
      </c>
      <c r="I158" s="58" t="str">
        <f aca="false">IFERROR(G158/H158,"")</f>
        <v/>
      </c>
    </row>
    <row r="159" customFormat="false" ht="15" hidden="false" customHeight="false" outlineLevel="0" collapsed="false">
      <c r="A159" s="57"/>
      <c r="B159" s="57"/>
      <c r="C159" s="57"/>
      <c r="D159" s="57"/>
      <c r="E159" s="57"/>
      <c r="F159" s="57"/>
      <c r="G159" s="58" t="str">
        <f aca="false">IF(N(E159)*N(F159)=0,"",E159*F159)</f>
        <v/>
      </c>
      <c r="H159" s="58" t="str">
        <f aca="false">IF(N(D159)*N(F159)=0,"",D159*F159/1000)</f>
        <v/>
      </c>
      <c r="I159" s="58" t="str">
        <f aca="false">IFERROR(G159/H159,"")</f>
        <v/>
      </c>
    </row>
    <row r="160" customFormat="false" ht="15" hidden="false" customHeight="false" outlineLevel="0" collapsed="false">
      <c r="A160" s="57"/>
      <c r="B160" s="57"/>
      <c r="C160" s="57"/>
      <c r="D160" s="57"/>
      <c r="E160" s="57"/>
      <c r="F160" s="57"/>
      <c r="G160" s="58" t="str">
        <f aca="false">IF(N(E160)*N(F160)=0,"",E160*F160)</f>
        <v/>
      </c>
      <c r="H160" s="58" t="str">
        <f aca="false">IF(N(D160)*N(F160)=0,"",D160*F160/1000)</f>
        <v/>
      </c>
      <c r="I160" s="58" t="str">
        <f aca="false">IFERROR(G160/H160,"")</f>
        <v/>
      </c>
    </row>
    <row r="161" customFormat="false" ht="15" hidden="false" customHeight="false" outlineLevel="0" collapsed="false">
      <c r="A161" s="57"/>
      <c r="B161" s="57"/>
      <c r="C161" s="57"/>
      <c r="D161" s="57"/>
      <c r="E161" s="57"/>
      <c r="F161" s="57"/>
      <c r="G161" s="58" t="str">
        <f aca="false">IF(N(E161)*N(F161)=0,"",E161*F161)</f>
        <v/>
      </c>
      <c r="H161" s="58" t="str">
        <f aca="false">IF(N(D161)*N(F161)=0,"",D161*F161/1000)</f>
        <v/>
      </c>
      <c r="I161" s="58" t="str">
        <f aca="false">IFERROR(G161/H161,"")</f>
        <v/>
      </c>
    </row>
    <row r="162" customFormat="false" ht="15" hidden="false" customHeight="false" outlineLevel="0" collapsed="false">
      <c r="A162" s="57"/>
      <c r="B162" s="57"/>
      <c r="C162" s="57"/>
      <c r="D162" s="57"/>
      <c r="E162" s="57"/>
      <c r="F162" s="57"/>
      <c r="G162" s="58" t="str">
        <f aca="false">IF(N(E162)*N(F162)=0,"",E162*F162)</f>
        <v/>
      </c>
      <c r="H162" s="58" t="str">
        <f aca="false">IF(N(D162)*N(F162)=0,"",D162*F162/1000)</f>
        <v/>
      </c>
      <c r="I162" s="58" t="str">
        <f aca="false">IFERROR(G162/H162,"")</f>
        <v/>
      </c>
    </row>
    <row r="163" customFormat="false" ht="15" hidden="false" customHeight="false" outlineLevel="0" collapsed="false">
      <c r="A163" s="57"/>
      <c r="B163" s="57"/>
      <c r="C163" s="57"/>
      <c r="D163" s="57"/>
      <c r="E163" s="57"/>
      <c r="F163" s="57"/>
      <c r="G163" s="58" t="str">
        <f aca="false">IF(N(E163)*N(F163)=0,"",E163*F163)</f>
        <v/>
      </c>
      <c r="H163" s="58" t="str">
        <f aca="false">IF(N(D163)*N(F163)=0,"",D163*F163/1000)</f>
        <v/>
      </c>
      <c r="I163" s="58" t="str">
        <f aca="false">IFERROR(G163/H163,"")</f>
        <v/>
      </c>
    </row>
    <row r="164" customFormat="false" ht="15" hidden="false" customHeight="false" outlineLevel="0" collapsed="false">
      <c r="A164" s="57"/>
      <c r="B164" s="57"/>
      <c r="C164" s="57"/>
      <c r="D164" s="57"/>
      <c r="E164" s="57"/>
      <c r="F164" s="57"/>
      <c r="G164" s="58" t="str">
        <f aca="false">IF(N(E164)*N(F164)=0,"",E164*F164)</f>
        <v/>
      </c>
      <c r="H164" s="58" t="str">
        <f aca="false">IF(N(D164)*N(F164)=0,"",D164*F164/1000)</f>
        <v/>
      </c>
      <c r="I164" s="58" t="str">
        <f aca="false">IFERROR(G164/H164,"")</f>
        <v/>
      </c>
    </row>
    <row r="165" customFormat="false" ht="15" hidden="false" customHeight="false" outlineLevel="0" collapsed="false">
      <c r="A165" s="57"/>
      <c r="B165" s="57"/>
      <c r="C165" s="57"/>
      <c r="D165" s="57"/>
      <c r="E165" s="57"/>
      <c r="F165" s="57"/>
      <c r="G165" s="58" t="str">
        <f aca="false">IF(N(E165)*N(F165)=0,"",E165*F165)</f>
        <v/>
      </c>
      <c r="H165" s="58" t="str">
        <f aca="false">IF(N(D165)*N(F165)=0,"",D165*F165/1000)</f>
        <v/>
      </c>
      <c r="I165" s="58" t="str">
        <f aca="false">IFERROR(G165/H165,"")</f>
        <v/>
      </c>
    </row>
    <row r="166" customFormat="false" ht="15" hidden="false" customHeight="false" outlineLevel="0" collapsed="false">
      <c r="A166" s="57"/>
      <c r="B166" s="57"/>
      <c r="C166" s="57"/>
      <c r="D166" s="57"/>
      <c r="E166" s="57"/>
      <c r="F166" s="57"/>
      <c r="G166" s="58" t="str">
        <f aca="false">IF(N(E166)*N(F166)=0,"",E166*F166)</f>
        <v/>
      </c>
      <c r="H166" s="58" t="str">
        <f aca="false">IF(N(D166)*N(F166)=0,"",D166*F166/1000)</f>
        <v/>
      </c>
      <c r="I166" s="58" t="str">
        <f aca="false">IFERROR(G166/H166,"")</f>
        <v/>
      </c>
    </row>
    <row r="167" customFormat="false" ht="15" hidden="false" customHeight="false" outlineLevel="0" collapsed="false">
      <c r="A167" s="57"/>
      <c r="B167" s="57"/>
      <c r="C167" s="57"/>
      <c r="D167" s="57"/>
      <c r="E167" s="57"/>
      <c r="F167" s="57"/>
      <c r="G167" s="58" t="str">
        <f aca="false">IF(N(E167)*N(F167)=0,"",E167*F167)</f>
        <v/>
      </c>
      <c r="H167" s="58" t="str">
        <f aca="false">IF(N(D167)*N(F167)=0,"",D167*F167/1000)</f>
        <v/>
      </c>
      <c r="I167" s="58" t="str">
        <f aca="false">IFERROR(G167/H167,"")</f>
        <v/>
      </c>
    </row>
    <row r="168" customFormat="false" ht="15" hidden="false" customHeight="false" outlineLevel="0" collapsed="false">
      <c r="A168" s="57"/>
      <c r="B168" s="57"/>
      <c r="C168" s="57"/>
      <c r="D168" s="57"/>
      <c r="E168" s="57"/>
      <c r="F168" s="57"/>
      <c r="G168" s="58" t="str">
        <f aca="false">IF(N(E168)*N(F168)=0,"",E168*F168)</f>
        <v/>
      </c>
      <c r="H168" s="58" t="str">
        <f aca="false">IF(N(D168)*N(F168)=0,"",D168*F168/1000)</f>
        <v/>
      </c>
      <c r="I168" s="58" t="str">
        <f aca="false">IFERROR(G168/H168,"")</f>
        <v/>
      </c>
    </row>
    <row r="169" customFormat="false" ht="15" hidden="false" customHeight="false" outlineLevel="0" collapsed="false">
      <c r="A169" s="57"/>
      <c r="B169" s="57"/>
      <c r="C169" s="57"/>
      <c r="D169" s="57"/>
      <c r="E169" s="57"/>
      <c r="F169" s="57"/>
      <c r="G169" s="58" t="str">
        <f aca="false">IF(N(E169)*N(F169)=0,"",E169*F169)</f>
        <v/>
      </c>
      <c r="H169" s="58" t="str">
        <f aca="false">IF(N(D169)*N(F169)=0,"",D169*F169/1000)</f>
        <v/>
      </c>
      <c r="I169" s="58" t="str">
        <f aca="false">IFERROR(G169/H169,"")</f>
        <v/>
      </c>
    </row>
    <row r="170" customFormat="false" ht="15" hidden="false" customHeight="false" outlineLevel="0" collapsed="false">
      <c r="A170" s="57"/>
      <c r="B170" s="57"/>
      <c r="C170" s="57"/>
      <c r="D170" s="57"/>
      <c r="E170" s="57"/>
      <c r="F170" s="57"/>
      <c r="G170" s="58" t="str">
        <f aca="false">IF(N(E170)*N(F170)=0,"",E170*F170)</f>
        <v/>
      </c>
      <c r="H170" s="58" t="str">
        <f aca="false">IF(N(D170)*N(F170)=0,"",D170*F170/1000)</f>
        <v/>
      </c>
      <c r="I170" s="58" t="str">
        <f aca="false">IFERROR(G170/H170,"")</f>
        <v/>
      </c>
    </row>
    <row r="171" customFormat="false" ht="15" hidden="false" customHeight="false" outlineLevel="0" collapsed="false">
      <c r="A171" s="57"/>
      <c r="B171" s="57"/>
      <c r="C171" s="57"/>
      <c r="D171" s="57"/>
      <c r="E171" s="57"/>
      <c r="F171" s="57"/>
      <c r="G171" s="58" t="str">
        <f aca="false">IF(N(E171)*N(F171)=0,"",E171*F171)</f>
        <v/>
      </c>
      <c r="H171" s="58" t="str">
        <f aca="false">IF(N(D171)*N(F171)=0,"",D171*F171/1000)</f>
        <v/>
      </c>
      <c r="I171" s="58" t="str">
        <f aca="false">IFERROR(G171/H171,"")</f>
        <v/>
      </c>
    </row>
    <row r="172" customFormat="false" ht="15" hidden="false" customHeight="false" outlineLevel="0" collapsed="false">
      <c r="A172" s="57"/>
      <c r="B172" s="57"/>
      <c r="C172" s="57"/>
      <c r="D172" s="57"/>
      <c r="E172" s="57"/>
      <c r="F172" s="57"/>
      <c r="G172" s="58" t="str">
        <f aca="false">IF(N(E172)*N(F172)=0,"",E172*F172)</f>
        <v/>
      </c>
      <c r="H172" s="58" t="str">
        <f aca="false">IF(N(D172)*N(F172)=0,"",D172*F172/1000)</f>
        <v/>
      </c>
      <c r="I172" s="58" t="str">
        <f aca="false">IFERROR(G172/H172,"")</f>
        <v/>
      </c>
    </row>
    <row r="173" customFormat="false" ht="15" hidden="false" customHeight="false" outlineLevel="0" collapsed="false">
      <c r="A173" s="57"/>
      <c r="B173" s="57"/>
      <c r="C173" s="57"/>
      <c r="D173" s="57"/>
      <c r="E173" s="57"/>
      <c r="F173" s="57"/>
      <c r="G173" s="58" t="str">
        <f aca="false">IF(N(E173)*N(F173)=0,"",E173*F173)</f>
        <v/>
      </c>
      <c r="H173" s="58" t="str">
        <f aca="false">IF(N(D173)*N(F173)=0,"",D173*F173/1000)</f>
        <v/>
      </c>
      <c r="I173" s="58" t="str">
        <f aca="false">IFERROR(G173/H173,"")</f>
        <v/>
      </c>
    </row>
    <row r="174" customFormat="false" ht="15" hidden="false" customHeight="false" outlineLevel="0" collapsed="false">
      <c r="A174" s="57"/>
      <c r="B174" s="57"/>
      <c r="C174" s="57"/>
      <c r="D174" s="57"/>
      <c r="E174" s="57"/>
      <c r="F174" s="57"/>
      <c r="G174" s="58" t="str">
        <f aca="false">IF(N(E174)*N(F174)=0,"",E174*F174)</f>
        <v/>
      </c>
      <c r="H174" s="58" t="str">
        <f aca="false">IF(N(D174)*N(F174)=0,"",D174*F174/1000)</f>
        <v/>
      </c>
      <c r="I174" s="58" t="str">
        <f aca="false">IFERROR(G174/H174,"")</f>
        <v/>
      </c>
    </row>
    <row r="175" customFormat="false" ht="15" hidden="false" customHeight="false" outlineLevel="0" collapsed="false">
      <c r="A175" s="57"/>
      <c r="B175" s="57"/>
      <c r="C175" s="57"/>
      <c r="D175" s="57"/>
      <c r="E175" s="57"/>
      <c r="F175" s="57"/>
      <c r="G175" s="58" t="str">
        <f aca="false">IF(N(E175)*N(F175)=0,"",E175*F175)</f>
        <v/>
      </c>
      <c r="H175" s="58" t="str">
        <f aca="false">IF(N(D175)*N(F175)=0,"",D175*F175/1000)</f>
        <v/>
      </c>
      <c r="I175" s="58" t="str">
        <f aca="false">IFERROR(G175/H175,"")</f>
        <v/>
      </c>
    </row>
    <row r="176" customFormat="false" ht="15" hidden="false" customHeight="false" outlineLevel="0" collapsed="false">
      <c r="A176" s="57"/>
      <c r="B176" s="57"/>
      <c r="C176" s="57"/>
      <c r="D176" s="57"/>
      <c r="E176" s="57"/>
      <c r="F176" s="57"/>
      <c r="G176" s="58" t="str">
        <f aca="false">IF(N(E176)*N(F176)=0,"",E176*F176)</f>
        <v/>
      </c>
      <c r="H176" s="58" t="str">
        <f aca="false">IF(N(D176)*N(F176)=0,"",D176*F176/1000)</f>
        <v/>
      </c>
      <c r="I176" s="58" t="str">
        <f aca="false">IFERROR(G176/H176,"")</f>
        <v/>
      </c>
    </row>
    <row r="177" customFormat="false" ht="15" hidden="false" customHeight="false" outlineLevel="0" collapsed="false">
      <c r="A177" s="57"/>
      <c r="B177" s="57"/>
      <c r="C177" s="57"/>
      <c r="D177" s="57"/>
      <c r="E177" s="57"/>
      <c r="F177" s="57"/>
      <c r="G177" s="58" t="str">
        <f aca="false">IF(N(E177)*N(F177)=0,"",E177*F177)</f>
        <v/>
      </c>
      <c r="H177" s="58" t="str">
        <f aca="false">IF(N(D177)*N(F177)=0,"",D177*F177/1000)</f>
        <v/>
      </c>
      <c r="I177" s="58" t="str">
        <f aca="false">IFERROR(G177/H177,"")</f>
        <v/>
      </c>
    </row>
    <row r="178" customFormat="false" ht="15" hidden="false" customHeight="false" outlineLevel="0" collapsed="false">
      <c r="A178" s="57"/>
      <c r="B178" s="57"/>
      <c r="C178" s="57"/>
      <c r="D178" s="57"/>
      <c r="E178" s="57"/>
      <c r="F178" s="57"/>
      <c r="G178" s="58" t="str">
        <f aca="false">IF(N(E178)*N(F178)=0,"",E178*F178)</f>
        <v/>
      </c>
      <c r="H178" s="58" t="str">
        <f aca="false">IF(N(D178)*N(F178)=0,"",D178*F178/1000)</f>
        <v/>
      </c>
      <c r="I178" s="58" t="str">
        <f aca="false">IFERROR(G178/H178,"")</f>
        <v/>
      </c>
    </row>
    <row r="179" customFormat="false" ht="15" hidden="false" customHeight="false" outlineLevel="0" collapsed="false">
      <c r="A179" s="57"/>
      <c r="B179" s="57"/>
      <c r="C179" s="57"/>
      <c r="D179" s="57"/>
      <c r="E179" s="57"/>
      <c r="F179" s="57"/>
      <c r="G179" s="58" t="str">
        <f aca="false">IF(N(E179)*N(F179)=0,"",E179*F179)</f>
        <v/>
      </c>
      <c r="H179" s="58" t="str">
        <f aca="false">IF(N(D179)*N(F179)=0,"",D179*F179/1000)</f>
        <v/>
      </c>
      <c r="I179" s="58" t="str">
        <f aca="false">IFERROR(G179/H179,"")</f>
        <v/>
      </c>
    </row>
    <row r="180" customFormat="false" ht="15" hidden="false" customHeight="false" outlineLevel="0" collapsed="false">
      <c r="A180" s="57"/>
      <c r="B180" s="57"/>
      <c r="C180" s="57"/>
      <c r="D180" s="57"/>
      <c r="E180" s="57"/>
      <c r="F180" s="57"/>
      <c r="G180" s="58" t="str">
        <f aca="false">IF(N(E180)*N(F180)=0,"",E180*F180)</f>
        <v/>
      </c>
      <c r="H180" s="58" t="str">
        <f aca="false">IF(N(D180)*N(F180)=0,"",D180*F180/1000)</f>
        <v/>
      </c>
      <c r="I180" s="58" t="str">
        <f aca="false">IFERROR(G180/H180,"")</f>
        <v/>
      </c>
    </row>
    <row r="181" customFormat="false" ht="15" hidden="false" customHeight="false" outlineLevel="0" collapsed="false">
      <c r="A181" s="57"/>
      <c r="B181" s="57"/>
      <c r="C181" s="57"/>
      <c r="D181" s="57"/>
      <c r="E181" s="57"/>
      <c r="F181" s="57"/>
      <c r="G181" s="58" t="str">
        <f aca="false">IF(N(E181)*N(F181)=0,"",E181*F181)</f>
        <v/>
      </c>
      <c r="H181" s="58" t="str">
        <f aca="false">IF(N(D181)*N(F181)=0,"",D181*F181/1000)</f>
        <v/>
      </c>
      <c r="I181" s="58" t="str">
        <f aca="false">IFERROR(G181/H181,"")</f>
        <v/>
      </c>
    </row>
    <row r="182" customFormat="false" ht="15" hidden="false" customHeight="false" outlineLevel="0" collapsed="false">
      <c r="A182" s="57"/>
      <c r="B182" s="57"/>
      <c r="C182" s="57"/>
      <c r="D182" s="57"/>
      <c r="E182" s="57"/>
      <c r="F182" s="57"/>
      <c r="G182" s="58" t="str">
        <f aca="false">IF(N(E182)*N(F182)=0,"",E182*F182)</f>
        <v/>
      </c>
      <c r="H182" s="58" t="str">
        <f aca="false">IF(N(D182)*N(F182)=0,"",D182*F182/1000)</f>
        <v/>
      </c>
      <c r="I182" s="58" t="str">
        <f aca="false">IFERROR(G182/H182,"")</f>
        <v/>
      </c>
    </row>
    <row r="183" customFormat="false" ht="15" hidden="false" customHeight="false" outlineLevel="0" collapsed="false">
      <c r="A183" s="57"/>
      <c r="B183" s="57"/>
      <c r="C183" s="57"/>
      <c r="D183" s="57"/>
      <c r="E183" s="57"/>
      <c r="F183" s="57"/>
      <c r="G183" s="58" t="str">
        <f aca="false">IF(N(E183)*N(F183)=0,"",E183*F183)</f>
        <v/>
      </c>
      <c r="H183" s="58" t="str">
        <f aca="false">IF(N(D183)*N(F183)=0,"",D183*F183/1000)</f>
        <v/>
      </c>
      <c r="I183" s="58" t="str">
        <f aca="false">IFERROR(G183/H183,"")</f>
        <v/>
      </c>
    </row>
    <row r="184" customFormat="false" ht="15" hidden="false" customHeight="false" outlineLevel="0" collapsed="false">
      <c r="A184" s="57"/>
      <c r="B184" s="57"/>
      <c r="C184" s="57"/>
      <c r="D184" s="57"/>
      <c r="E184" s="57"/>
      <c r="F184" s="57"/>
      <c r="G184" s="58" t="str">
        <f aca="false">IF(N(E184)*N(F184)=0,"",E184*F184)</f>
        <v/>
      </c>
      <c r="H184" s="58" t="str">
        <f aca="false">IF(N(D184)*N(F184)=0,"",D184*F184/1000)</f>
        <v/>
      </c>
      <c r="I184" s="58" t="str">
        <f aca="false">IFERROR(G184/H184,"")</f>
        <v/>
      </c>
    </row>
    <row r="185" customFormat="false" ht="15" hidden="false" customHeight="false" outlineLevel="0" collapsed="false">
      <c r="A185" s="57"/>
      <c r="B185" s="57"/>
      <c r="C185" s="57"/>
      <c r="D185" s="57"/>
      <c r="E185" s="57"/>
      <c r="F185" s="57"/>
      <c r="G185" s="58" t="str">
        <f aca="false">IF(N(E185)*N(F185)=0,"",E185*F185)</f>
        <v/>
      </c>
      <c r="H185" s="58" t="str">
        <f aca="false">IF(N(D185)*N(F185)=0,"",D185*F185/1000)</f>
        <v/>
      </c>
      <c r="I185" s="58" t="str">
        <f aca="false">IFERROR(G185/H185,"")</f>
        <v/>
      </c>
    </row>
    <row r="186" customFormat="false" ht="15" hidden="false" customHeight="false" outlineLevel="0" collapsed="false">
      <c r="A186" s="57"/>
      <c r="B186" s="57"/>
      <c r="C186" s="57"/>
      <c r="D186" s="57"/>
      <c r="E186" s="57"/>
      <c r="F186" s="57"/>
      <c r="G186" s="58" t="str">
        <f aca="false">IF(N(E186)*N(F186)=0,"",E186*F186)</f>
        <v/>
      </c>
      <c r="H186" s="58" t="str">
        <f aca="false">IF(N(D186)*N(F186)=0,"",D186*F186/1000)</f>
        <v/>
      </c>
      <c r="I186" s="58" t="str">
        <f aca="false">IFERROR(G186/H186,"")</f>
        <v/>
      </c>
    </row>
    <row r="187" customFormat="false" ht="15" hidden="false" customHeight="false" outlineLevel="0" collapsed="false">
      <c r="A187" s="57"/>
      <c r="B187" s="57"/>
      <c r="C187" s="57"/>
      <c r="D187" s="57"/>
      <c r="E187" s="57"/>
      <c r="F187" s="57"/>
      <c r="G187" s="58" t="str">
        <f aca="false">IF(N(E187)*N(F187)=0,"",E187*F187)</f>
        <v/>
      </c>
      <c r="H187" s="58" t="str">
        <f aca="false">IF(N(D187)*N(F187)=0,"",D187*F187/1000)</f>
        <v/>
      </c>
      <c r="I187" s="58" t="str">
        <f aca="false">IFERROR(G187/H187,"")</f>
        <v/>
      </c>
    </row>
    <row r="188" customFormat="false" ht="15" hidden="false" customHeight="false" outlineLevel="0" collapsed="false">
      <c r="A188" s="57"/>
      <c r="B188" s="57"/>
      <c r="C188" s="57"/>
      <c r="D188" s="57"/>
      <c r="E188" s="57"/>
      <c r="F188" s="57"/>
      <c r="G188" s="58" t="str">
        <f aca="false">IF(N(E188)*N(F188)=0,"",E188*F188)</f>
        <v/>
      </c>
      <c r="H188" s="58" t="str">
        <f aca="false">IF(N(D188)*N(F188)=0,"",D188*F188/1000)</f>
        <v/>
      </c>
      <c r="I188" s="58" t="str">
        <f aca="false">IFERROR(G188/H188,"")</f>
        <v/>
      </c>
    </row>
    <row r="189" customFormat="false" ht="15" hidden="false" customHeight="false" outlineLevel="0" collapsed="false">
      <c r="A189" s="57"/>
      <c r="B189" s="57"/>
      <c r="C189" s="57"/>
      <c r="D189" s="57"/>
      <c r="E189" s="57"/>
      <c r="F189" s="57"/>
      <c r="G189" s="58" t="str">
        <f aca="false">IF(N(E189)*N(F189)=0,"",E189*F189)</f>
        <v/>
      </c>
      <c r="H189" s="58" t="str">
        <f aca="false">IF(N(D189)*N(F189)=0,"",D189*F189/1000)</f>
        <v/>
      </c>
      <c r="I189" s="58" t="str">
        <f aca="false">IFERROR(G189/H189,"")</f>
        <v/>
      </c>
    </row>
    <row r="190" customFormat="false" ht="15" hidden="false" customHeight="false" outlineLevel="0" collapsed="false">
      <c r="A190" s="57"/>
      <c r="B190" s="57"/>
      <c r="C190" s="57"/>
      <c r="D190" s="57"/>
      <c r="E190" s="57"/>
      <c r="F190" s="57"/>
      <c r="G190" s="58" t="str">
        <f aca="false">IF(N(E190)*N(F190)=0,"",E190*F190)</f>
        <v/>
      </c>
      <c r="H190" s="58" t="str">
        <f aca="false">IF(N(D190)*N(F190)=0,"",D190*F190/1000)</f>
        <v/>
      </c>
      <c r="I190" s="58" t="str">
        <f aca="false">IFERROR(G190/H190,"")</f>
        <v/>
      </c>
    </row>
    <row r="191" customFormat="false" ht="15" hidden="false" customHeight="false" outlineLevel="0" collapsed="false">
      <c r="A191" s="57"/>
      <c r="B191" s="57"/>
      <c r="C191" s="57"/>
      <c r="D191" s="57"/>
      <c r="E191" s="57"/>
      <c r="F191" s="57"/>
      <c r="G191" s="58" t="str">
        <f aca="false">IF(N(E191)*N(F191)=0,"",E191*F191)</f>
        <v/>
      </c>
      <c r="H191" s="58" t="str">
        <f aca="false">IF(N(D191)*N(F191)=0,"",D191*F191/1000)</f>
        <v/>
      </c>
      <c r="I191" s="58" t="str">
        <f aca="false">IFERROR(G191/H191,"")</f>
        <v/>
      </c>
    </row>
    <row r="192" customFormat="false" ht="15" hidden="false" customHeight="false" outlineLevel="0" collapsed="false">
      <c r="A192" s="57"/>
      <c r="B192" s="57"/>
      <c r="C192" s="57"/>
      <c r="D192" s="57"/>
      <c r="E192" s="57"/>
      <c r="F192" s="57"/>
      <c r="G192" s="58" t="str">
        <f aca="false">IF(N(E192)*N(F192)=0,"",E192*F192)</f>
        <v/>
      </c>
      <c r="H192" s="58" t="str">
        <f aca="false">IF(N(D192)*N(F192)=0,"",D192*F192/1000)</f>
        <v/>
      </c>
      <c r="I192" s="58" t="str">
        <f aca="false">IFERROR(G192/H192,"")</f>
        <v/>
      </c>
    </row>
    <row r="193" customFormat="false" ht="15" hidden="false" customHeight="false" outlineLevel="0" collapsed="false">
      <c r="A193" s="57"/>
      <c r="B193" s="57"/>
      <c r="C193" s="57"/>
      <c r="D193" s="57"/>
      <c r="E193" s="57"/>
      <c r="F193" s="57"/>
      <c r="G193" s="58" t="str">
        <f aca="false">IF(N(E193)*N(F193)=0,"",E193*F193)</f>
        <v/>
      </c>
      <c r="H193" s="58" t="str">
        <f aca="false">IF(N(D193)*N(F193)=0,"",D193*F193/1000)</f>
        <v/>
      </c>
      <c r="I193" s="58" t="str">
        <f aca="false">IFERROR(G193/H193,"")</f>
        <v/>
      </c>
    </row>
    <row r="194" customFormat="false" ht="15" hidden="false" customHeight="false" outlineLevel="0" collapsed="false">
      <c r="A194" s="57"/>
      <c r="B194" s="57"/>
      <c r="C194" s="57"/>
      <c r="D194" s="57"/>
      <c r="E194" s="57"/>
      <c r="F194" s="57"/>
      <c r="G194" s="58" t="str">
        <f aca="false">IF(N(E194)*N(F194)=0,"",E194*F194)</f>
        <v/>
      </c>
      <c r="H194" s="58" t="str">
        <f aca="false">IF(N(D194)*N(F194)=0,"",D194*F194/1000)</f>
        <v/>
      </c>
      <c r="I194" s="58" t="str">
        <f aca="false">IFERROR(G194/H194,"")</f>
        <v/>
      </c>
    </row>
    <row r="195" customFormat="false" ht="15" hidden="false" customHeight="false" outlineLevel="0" collapsed="false">
      <c r="A195" s="57"/>
      <c r="B195" s="57"/>
      <c r="C195" s="57"/>
      <c r="D195" s="57"/>
      <c r="E195" s="57"/>
      <c r="F195" s="57"/>
      <c r="G195" s="58" t="str">
        <f aca="false">IF(N(E195)*N(F195)=0,"",E195*F195)</f>
        <v/>
      </c>
      <c r="H195" s="58" t="str">
        <f aca="false">IF(N(D195)*N(F195)=0,"",D195*F195/1000)</f>
        <v/>
      </c>
      <c r="I195" s="58" t="str">
        <f aca="false">IFERROR(G195/H195,"")</f>
        <v/>
      </c>
    </row>
    <row r="196" customFormat="false" ht="15" hidden="false" customHeight="false" outlineLevel="0" collapsed="false">
      <c r="A196" s="57"/>
      <c r="B196" s="57"/>
      <c r="C196" s="57"/>
      <c r="D196" s="57"/>
      <c r="E196" s="57"/>
      <c r="F196" s="57"/>
      <c r="G196" s="58" t="str">
        <f aca="false">IF(N(E196)*N(F196)=0,"",E196*F196)</f>
        <v/>
      </c>
      <c r="H196" s="58" t="str">
        <f aca="false">IF(N(D196)*N(F196)=0,"",D196*F196/1000)</f>
        <v/>
      </c>
      <c r="I196" s="58" t="str">
        <f aca="false">IFERROR(G196/H196,"")</f>
        <v/>
      </c>
    </row>
    <row r="197" customFormat="false" ht="15" hidden="false" customHeight="false" outlineLevel="0" collapsed="false">
      <c r="A197" s="57"/>
      <c r="B197" s="57"/>
      <c r="C197" s="57"/>
      <c r="D197" s="57"/>
      <c r="E197" s="57"/>
      <c r="F197" s="57"/>
      <c r="G197" s="58" t="str">
        <f aca="false">IF(N(E197)*N(F197)=0,"",E197*F197)</f>
        <v/>
      </c>
      <c r="H197" s="58" t="str">
        <f aca="false">IF(N(D197)*N(F197)=0,"",D197*F197/1000)</f>
        <v/>
      </c>
      <c r="I197" s="58" t="str">
        <f aca="false">IFERROR(G197/H197,"")</f>
        <v/>
      </c>
    </row>
    <row r="198" customFormat="false" ht="15" hidden="false" customHeight="false" outlineLevel="0" collapsed="false">
      <c r="A198" s="57"/>
      <c r="B198" s="57"/>
      <c r="C198" s="57"/>
      <c r="D198" s="57"/>
      <c r="E198" s="57"/>
      <c r="F198" s="57"/>
      <c r="G198" s="58" t="str">
        <f aca="false">IF(N(E198)*N(F198)=0,"",E198*F198)</f>
        <v/>
      </c>
      <c r="H198" s="58" t="str">
        <f aca="false">IF(N(D198)*N(F198)=0,"",D198*F198/1000)</f>
        <v/>
      </c>
      <c r="I198" s="58" t="str">
        <f aca="false">IFERROR(G198/H198,"")</f>
        <v/>
      </c>
    </row>
    <row r="199" customFormat="false" ht="15" hidden="false" customHeight="false" outlineLevel="0" collapsed="false">
      <c r="A199" s="57"/>
      <c r="B199" s="57"/>
      <c r="C199" s="57"/>
      <c r="D199" s="57"/>
      <c r="E199" s="57"/>
      <c r="F199" s="57"/>
      <c r="G199" s="58" t="str">
        <f aca="false">IF(N(E199)*N(F199)=0,"",E199*F199)</f>
        <v/>
      </c>
      <c r="H199" s="58" t="str">
        <f aca="false">IF(N(D199)*N(F199)=0,"",D199*F199/1000)</f>
        <v/>
      </c>
      <c r="I199" s="58" t="str">
        <f aca="false">IFERROR(G199/H199,"")</f>
        <v/>
      </c>
    </row>
    <row r="200" customFormat="false" ht="15" hidden="false" customHeight="false" outlineLevel="0" collapsed="false">
      <c r="A200" s="57"/>
      <c r="B200" s="57"/>
      <c r="C200" s="57"/>
      <c r="D200" s="57"/>
      <c r="E200" s="57"/>
      <c r="F200" s="57"/>
      <c r="G200" s="58" t="str">
        <f aca="false">IF(N(E200)*N(F200)=0,"",E200*F200)</f>
        <v/>
      </c>
      <c r="H200" s="58" t="str">
        <f aca="false">IF(N(D200)*N(F200)=0,"",D200*F200/1000)</f>
        <v/>
      </c>
      <c r="I200" s="58" t="str">
        <f aca="false">IFERROR(G200/H200,"")</f>
        <v/>
      </c>
    </row>
    <row r="201" customFormat="false" ht="15" hidden="false" customHeight="false" outlineLevel="0" collapsed="false">
      <c r="A201" s="57"/>
      <c r="B201" s="57"/>
      <c r="C201" s="57"/>
      <c r="D201" s="57"/>
      <c r="E201" s="57"/>
      <c r="F201" s="57"/>
      <c r="G201" s="58" t="str">
        <f aca="false">IF(N(E201)*N(F201)=0,"",E201*F201)</f>
        <v/>
      </c>
      <c r="H201" s="58" t="str">
        <f aca="false">IF(N(D201)*N(F201)=0,"",D201*F201/1000)</f>
        <v/>
      </c>
      <c r="I201" s="58" t="str">
        <f aca="false">IFERROR(G201/H201,"")</f>
        <v/>
      </c>
    </row>
    <row r="202" customFormat="false" ht="15" hidden="false" customHeight="false" outlineLevel="0" collapsed="false">
      <c r="A202" s="57"/>
      <c r="B202" s="57"/>
      <c r="C202" s="57"/>
      <c r="D202" s="57"/>
      <c r="E202" s="57"/>
      <c r="F202" s="57"/>
      <c r="G202" s="58" t="str">
        <f aca="false">IF(N(E202)*N(F202)=0,"",E202*F202)</f>
        <v/>
      </c>
      <c r="H202" s="58" t="str">
        <f aca="false">IF(N(D202)*N(F202)=0,"",D202*F202/1000)</f>
        <v/>
      </c>
      <c r="I202" s="58" t="str">
        <f aca="false">IFERROR(G202/H202,"")</f>
        <v/>
      </c>
    </row>
    <row r="203" customFormat="false" ht="15" hidden="false" customHeight="false" outlineLevel="0" collapsed="false">
      <c r="A203" s="57"/>
      <c r="B203" s="57"/>
      <c r="C203" s="57"/>
      <c r="D203" s="57"/>
      <c r="E203" s="57"/>
      <c r="F203" s="57"/>
      <c r="G203" s="58" t="str">
        <f aca="false">IF(N(E203)*N(F203)=0,"",E203*F203)</f>
        <v/>
      </c>
      <c r="H203" s="58" t="str">
        <f aca="false">IF(N(D203)*N(F203)=0,"",D203*F203/1000)</f>
        <v/>
      </c>
      <c r="I203" s="58" t="str">
        <f aca="false">IFERROR(G203/H203,"")</f>
        <v/>
      </c>
    </row>
    <row r="204" customFormat="false" ht="15" hidden="false" customHeight="false" outlineLevel="0" collapsed="false">
      <c r="A204" s="57"/>
      <c r="B204" s="57"/>
      <c r="C204" s="57"/>
      <c r="D204" s="57"/>
      <c r="E204" s="57"/>
      <c r="F204" s="57"/>
      <c r="G204" s="58" t="str">
        <f aca="false">IF(N(E204)*N(F204)=0,"",E204*F204)</f>
        <v/>
      </c>
      <c r="H204" s="58" t="str">
        <f aca="false">IF(N(D204)*N(F204)=0,"",D204*F204/1000)</f>
        <v/>
      </c>
      <c r="I204" s="58" t="str">
        <f aca="false">IFERROR(G204/H204,"")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7"/>
    <col collapsed="false" customWidth="true" hidden="false" outlineLevel="0" max="3" min="3" style="1" width="8"/>
    <col collapsed="false" customWidth="true" hidden="false" outlineLevel="0" max="6" min="4" style="1" width="7"/>
    <col collapsed="false" customWidth="true" hidden="false" outlineLevel="0" max="15" min="7" style="1" width="8"/>
    <col collapsed="false" customWidth="true" hidden="false" outlineLevel="0" max="16" min="16" style="1" width="9"/>
    <col collapsed="false" customWidth="true" hidden="false" outlineLevel="0" max="18" min="17" style="1" width="11"/>
    <col collapsed="false" customWidth="true" hidden="false" outlineLevel="0" max="22" min="19" style="1" width="9"/>
    <col collapsed="false" customWidth="true" hidden="false" outlineLevel="0" max="23" min="23" style="1" width="10"/>
    <col collapsed="false" customWidth="true" hidden="false" outlineLevel="0" max="24" min="24" style="1" width="32"/>
  </cols>
  <sheetData>
    <row r="1" customFormat="false" ht="18" hidden="false" customHeight="true" outlineLevel="0" collapsed="false">
      <c r="A1" s="8" t="s">
        <v>170</v>
      </c>
    </row>
    <row r="2" customFormat="false" ht="13.5" hidden="false" customHeight="true" outlineLevel="0" collapsed="false">
      <c r="A2" s="4" t="s">
        <v>171</v>
      </c>
    </row>
    <row r="3" customFormat="false" ht="13.5" hidden="false" customHeight="true" outlineLevel="0" collapsed="false"/>
    <row r="4" customFormat="false" ht="13.5" hidden="false" customHeight="true" outlineLevel="0" collapsed="false">
      <c r="A4" s="6" t="s">
        <v>172</v>
      </c>
      <c r="D4" s="24" t="n">
        <v>4.35</v>
      </c>
    </row>
    <row r="5" customFormat="false" ht="13.5" hidden="false" customHeight="true" outlineLevel="0" collapsed="false"/>
    <row r="6" customFormat="false" ht="13.5" hidden="false" customHeight="true" outlineLevel="0" collapsed="false">
      <c r="A6" s="22" t="s">
        <v>173</v>
      </c>
      <c r="G6" s="11" t="s">
        <v>174</v>
      </c>
      <c r="H6" s="11" t="s">
        <v>175</v>
      </c>
      <c r="I6" s="11" t="s">
        <v>176</v>
      </c>
      <c r="J6" s="11" t="s">
        <v>177</v>
      </c>
      <c r="K6" s="11" t="s">
        <v>178</v>
      </c>
      <c r="L6" s="11" t="s">
        <v>179</v>
      </c>
      <c r="M6" s="11" t="s">
        <v>180</v>
      </c>
      <c r="N6" s="11" t="s">
        <v>181</v>
      </c>
      <c r="O6" s="11" t="s">
        <v>182</v>
      </c>
    </row>
    <row r="7" customFormat="false" ht="13.5" hidden="false" customHeight="true" outlineLevel="0" collapsed="false">
      <c r="A7" s="61" t="s">
        <v>183</v>
      </c>
      <c r="G7" s="38" t="n">
        <f aca="false">Producto!F16</f>
        <v>3</v>
      </c>
      <c r="H7" s="38" t="n">
        <f aca="false">Producto!F17</f>
        <v>2.4</v>
      </c>
      <c r="I7" s="38" t="n">
        <f aca="false">Producto!F18</f>
        <v>2.5</v>
      </c>
      <c r="J7" s="38" t="n">
        <f aca="false">Producto!F19</f>
        <v>1.3</v>
      </c>
      <c r="K7" s="38" t="n">
        <f aca="false">Producto!F20</f>
        <v>1.3</v>
      </c>
      <c r="L7" s="38" t="n">
        <f aca="false">Producto!F21</f>
        <v>1.3</v>
      </c>
      <c r="M7" s="38" t="n">
        <f aca="false">Producto!F22</f>
        <v>1.3</v>
      </c>
      <c r="N7" s="38" t="n">
        <f aca="false">Producto!F23</f>
        <v>1.3</v>
      </c>
      <c r="O7" s="38" t="n">
        <f aca="false">Producto!F24</f>
        <v>2</v>
      </c>
    </row>
    <row r="8" customFormat="false" ht="13.5" hidden="false" customHeight="true" outlineLevel="0" collapsed="false">
      <c r="A8" s="61" t="s">
        <v>184</v>
      </c>
      <c r="G8" s="37" t="n">
        <f aca="false">Producto!L16</f>
        <v>1.7</v>
      </c>
      <c r="H8" s="37" t="n">
        <f aca="false">Producto!L17</f>
        <v>4.83333333333333</v>
      </c>
      <c r="I8" s="37" t="n">
        <f aca="false">Producto!L18</f>
        <v>3</v>
      </c>
      <c r="J8" s="37" t="n">
        <f aca="false">Producto!L19</f>
        <v>8.16666666666667</v>
      </c>
      <c r="K8" s="37" t="n">
        <f aca="false">Producto!L20</f>
        <v>5.66666666666667</v>
      </c>
      <c r="L8" s="37" t="n">
        <f aca="false">Producto!L21</f>
        <v>8.16666666666667</v>
      </c>
      <c r="M8" s="37" t="n">
        <f aca="false">Producto!L22</f>
        <v>5.33333333333333</v>
      </c>
      <c r="N8" s="37" t="n">
        <f aca="false">Producto!L23</f>
        <v>5.66666666666667</v>
      </c>
      <c r="O8" s="37" t="n">
        <f aca="false">Producto!L24</f>
        <v>2.66666666666667</v>
      </c>
    </row>
    <row r="9" customFormat="false" ht="13.5" hidden="false" customHeight="true" outlineLevel="0" collapsed="false">
      <c r="A9" s="61" t="s">
        <v>185</v>
      </c>
      <c r="G9" s="37" t="n">
        <f aca="false">Producto!J16</f>
        <v>8.22162162162162</v>
      </c>
      <c r="H9" s="37" t="n">
        <f aca="false">Producto!J17</f>
        <v>2.76545454545455</v>
      </c>
      <c r="I9" s="37" t="n">
        <f aca="false">Producto!J18</f>
        <v>2.34</v>
      </c>
      <c r="J9" s="37" t="n">
        <f aca="false">Producto!J19</f>
        <v>10.14</v>
      </c>
      <c r="K9" s="37" t="n">
        <f aca="false">Producto!J20</f>
        <v>7.605</v>
      </c>
      <c r="L9" s="37" t="n">
        <f aca="false">Producto!J21</f>
        <v>10.14</v>
      </c>
      <c r="M9" s="37" t="n">
        <f aca="false">Producto!J22</f>
        <v>7.605</v>
      </c>
      <c r="N9" s="37" t="n">
        <f aca="false">Producto!J23</f>
        <v>7.605</v>
      </c>
      <c r="O9" s="37" t="n">
        <f aca="false">Producto!J24</f>
        <v>3.38</v>
      </c>
    </row>
    <row r="10" customFormat="false" ht="13.5" hidden="false" customHeight="true" outlineLevel="0" collapsed="false">
      <c r="A10" s="61" t="s">
        <v>186</v>
      </c>
      <c r="G10" s="38" t="n">
        <f aca="false">Producto!R16/Producto!L16</f>
        <v>0.629411764705882</v>
      </c>
      <c r="H10" s="38" t="n">
        <f aca="false">Producto!R17/Producto!L17</f>
        <v>0.211724137931035</v>
      </c>
      <c r="I10" s="38" t="n">
        <f aca="false">Producto!R18/Producto!L18</f>
        <v>0.346666666666667</v>
      </c>
      <c r="J10" s="38" t="n">
        <f aca="false">Producto!R19/Producto!L19</f>
        <v>0.173469387755102</v>
      </c>
      <c r="K10" s="38" t="n">
        <f aca="false">Producto!R20/Producto!L20</f>
        <v>0.182941176470588</v>
      </c>
      <c r="L10" s="38" t="n">
        <f aca="false">Producto!R21/Producto!L21</f>
        <v>0.173469387755102</v>
      </c>
      <c r="M10" s="38" t="n">
        <f aca="false">Producto!R22/Producto!L22</f>
        <v>0.255625</v>
      </c>
      <c r="N10" s="38" t="n">
        <f aca="false">Producto!R23/Producto!L23</f>
        <v>0.25</v>
      </c>
      <c r="O10" s="38" t="n">
        <f aca="false">Producto!R24/Producto!L24</f>
        <v>0.49375</v>
      </c>
    </row>
    <row r="11" customFormat="false" ht="13.5" hidden="false" customHeight="true" outlineLevel="0" collapsed="false">
      <c r="A11" s="61" t="s">
        <v>187</v>
      </c>
      <c r="G11" s="62" t="n">
        <f aca="false">Producto!E16</f>
        <v>100</v>
      </c>
      <c r="H11" s="62" t="n">
        <f aca="false">Producto!E17</f>
        <v>30</v>
      </c>
      <c r="I11" s="62" t="n">
        <f aca="false">Producto!E18</f>
        <v>30</v>
      </c>
      <c r="J11" s="62" t="n">
        <f aca="false">Producto!E19</f>
        <v>30</v>
      </c>
      <c r="K11" s="62" t="n">
        <f aca="false">Producto!E20</f>
        <v>30</v>
      </c>
      <c r="L11" s="62" t="n">
        <f aca="false">Producto!E21</f>
        <v>30</v>
      </c>
      <c r="M11" s="62" t="n">
        <f aca="false">Producto!E22</f>
        <v>30</v>
      </c>
      <c r="N11" s="62" t="n">
        <f aca="false">Producto!E23</f>
        <v>30</v>
      </c>
      <c r="O11" s="62" t="n">
        <f aca="false">Producto!E24</f>
        <v>30</v>
      </c>
    </row>
    <row r="12" customFormat="false" ht="13.5" hidden="false" customHeight="true" outlineLevel="0" collapsed="false">
      <c r="A12" s="61" t="s">
        <v>188</v>
      </c>
      <c r="G12" s="63" t="n">
        <f aca="false">1/(G8*G9)</f>
        <v>0.0715473566152299</v>
      </c>
      <c r="H12" s="63" t="n">
        <f aca="false">1/(H8*H9)</f>
        <v>0.0748146636740801</v>
      </c>
      <c r="I12" s="63" t="n">
        <f aca="false">1/(I8*I9)</f>
        <v>0.142450142450142</v>
      </c>
      <c r="J12" s="63" t="n">
        <f aca="false">1/(J8*J9)</f>
        <v>0.0120758362516604</v>
      </c>
      <c r="K12" s="63" t="n">
        <f aca="false">1/(K8*K9)</f>
        <v>0.0232045480914259</v>
      </c>
      <c r="L12" s="63" t="n">
        <f aca="false">1/(L8*L9)</f>
        <v>0.0120758362516604</v>
      </c>
      <c r="M12" s="63" t="n">
        <f aca="false">1/(M8*M9)</f>
        <v>0.02465483234714</v>
      </c>
      <c r="N12" s="63" t="n">
        <f aca="false">1/(N8*N9)</f>
        <v>0.0232045480914259</v>
      </c>
      <c r="O12" s="63" t="n">
        <f aca="false">1/(O8*O9)</f>
        <v>0.11094674556213</v>
      </c>
    </row>
    <row r="13" customFormat="false" ht="13.5" hidden="false" customHeight="true" outlineLevel="0" collapsed="false">
      <c r="A13" s="61" t="s">
        <v>189</v>
      </c>
      <c r="G13" s="64" t="n">
        <f aca="false">1/G8</f>
        <v>0.588235294117647</v>
      </c>
      <c r="H13" s="64" t="n">
        <f aca="false">1/H8</f>
        <v>0.206896551724138</v>
      </c>
      <c r="I13" s="64" t="n">
        <f aca="false">1/I8</f>
        <v>0.333333333333333</v>
      </c>
      <c r="J13" s="64" t="n">
        <f aca="false">1/J8</f>
        <v>0.122448979591837</v>
      </c>
      <c r="K13" s="64" t="n">
        <f aca="false">1/K8</f>
        <v>0.176470588235294</v>
      </c>
      <c r="L13" s="64" t="n">
        <f aca="false">1/L8</f>
        <v>0.122448979591837</v>
      </c>
      <c r="M13" s="64" t="n">
        <f aca="false">1/M8</f>
        <v>0.1875</v>
      </c>
      <c r="N13" s="64" t="n">
        <f aca="false">1/N8</f>
        <v>0.176470588235294</v>
      </c>
      <c r="O13" s="64" t="n">
        <f aca="false">1/O8</f>
        <v>0.375</v>
      </c>
    </row>
    <row r="14" customFormat="false" ht="13.5" hidden="false" customHeight="true" outlineLevel="0" collapsed="false">
      <c r="G14" s="61" t="s">
        <v>190</v>
      </c>
    </row>
    <row r="15" customFormat="false" ht="39.75" hidden="false" customHeight="true" outlineLevel="0" collapsed="false">
      <c r="A15" s="29" t="s">
        <v>154</v>
      </c>
      <c r="B15" s="29" t="s">
        <v>191</v>
      </c>
      <c r="C15" s="29" t="s">
        <v>192</v>
      </c>
      <c r="D15" s="29" t="s">
        <v>193</v>
      </c>
      <c r="E15" s="29" t="s">
        <v>194</v>
      </c>
      <c r="F15" s="29" t="s">
        <v>195</v>
      </c>
      <c r="G15" s="29" t="s">
        <v>174</v>
      </c>
      <c r="H15" s="29" t="s">
        <v>175</v>
      </c>
      <c r="I15" s="29" t="s">
        <v>176</v>
      </c>
      <c r="J15" s="29" t="s">
        <v>177</v>
      </c>
      <c r="K15" s="29" t="s">
        <v>178</v>
      </c>
      <c r="L15" s="29" t="s">
        <v>179</v>
      </c>
      <c r="M15" s="29" t="s">
        <v>180</v>
      </c>
      <c r="N15" s="29" t="s">
        <v>181</v>
      </c>
      <c r="O15" s="29" t="s">
        <v>182</v>
      </c>
      <c r="P15" s="29" t="s">
        <v>196</v>
      </c>
      <c r="Q15" s="29" t="s">
        <v>197</v>
      </c>
      <c r="R15" s="29" t="s">
        <v>198</v>
      </c>
      <c r="S15" s="29" t="s">
        <v>164</v>
      </c>
      <c r="T15" s="29" t="s">
        <v>199</v>
      </c>
      <c r="U15" s="29" t="s">
        <v>200</v>
      </c>
      <c r="V15" s="29" t="s">
        <v>201</v>
      </c>
      <c r="W15" s="29" t="s">
        <v>202</v>
      </c>
      <c r="X15" s="29" t="s">
        <v>203</v>
      </c>
    </row>
    <row r="16" customFormat="false" ht="12.75" hidden="false" customHeight="true" outlineLevel="0" collapsed="false">
      <c r="A16" s="30" t="s">
        <v>204</v>
      </c>
      <c r="B16" s="65" t="s">
        <v>205</v>
      </c>
      <c r="C16" s="33" t="n">
        <v>0</v>
      </c>
      <c r="D16" s="33" t="n">
        <v>0.95</v>
      </c>
      <c r="E16" s="32" t="n">
        <v>1</v>
      </c>
      <c r="F16" s="32" t="n">
        <v>3</v>
      </c>
      <c r="G16" s="32" t="n">
        <v>0</v>
      </c>
      <c r="H16" s="32" t="n">
        <v>200</v>
      </c>
      <c r="I16" s="32" t="n">
        <v>100</v>
      </c>
      <c r="J16" s="32" t="n">
        <v>0</v>
      </c>
      <c r="K16" s="32" t="n">
        <v>0</v>
      </c>
      <c r="L16" s="32" t="n">
        <v>0</v>
      </c>
      <c r="M16" s="32" t="n">
        <v>0</v>
      </c>
      <c r="N16" s="32" t="n">
        <v>0</v>
      </c>
      <c r="O16" s="32" t="n">
        <v>0</v>
      </c>
      <c r="P16" s="66" t="n">
        <f aca="false">SUM(G16:O16)*Pipeline!$D$4</f>
        <v>1305</v>
      </c>
      <c r="Q16" s="67" t="n">
        <f aca="false">SUMPRODUCT(G$7:O$7,G16:O16)*Pipeline!$D$4*(1-C16)</f>
        <v>3175.5</v>
      </c>
      <c r="R16" s="67" t="n">
        <f aca="false">Q16*D16</f>
        <v>3016.725</v>
      </c>
      <c r="S16" s="68" t="n">
        <f aca="false">SUMPRODUCT(G$11:O$11,G16:O16)*Pipeline!$D$4/1000</f>
        <v>39.15</v>
      </c>
      <c r="T16" s="66" t="n">
        <f aca="false">SUMPRODUCT(G$13:O$13,G16:O16)*Pipeline!$D$4</f>
        <v>325</v>
      </c>
      <c r="U16" s="68" t="n">
        <f aca="false">SUMPRODUCT(G$12:O$12,G16:O16)*Pipeline!$D$4</f>
        <v>127.054569362262</v>
      </c>
      <c r="V16" s="69" t="n">
        <f aca="false">IFERROR(U16/(Hipótesis!$F$26*Hipótesis!$D$13),0)</f>
        <v>0.044116169917452</v>
      </c>
      <c r="W16" s="67" t="n">
        <f aca="false">SUMPRODUCT(G$10:O$10,G16:O16)*Pipeline!$D$4</f>
        <v>335</v>
      </c>
      <c r="X16" s="61" t="s">
        <v>206</v>
      </c>
    </row>
    <row r="17" customFormat="false" ht="12.75" hidden="false" customHeight="true" outlineLevel="0" collapsed="false">
      <c r="A17" s="30" t="s">
        <v>207</v>
      </c>
      <c r="B17" s="65" t="s">
        <v>208</v>
      </c>
      <c r="C17" s="33" t="n">
        <v>0</v>
      </c>
      <c r="D17" s="33" t="n">
        <v>0.6</v>
      </c>
      <c r="E17" s="32" t="n">
        <v>2</v>
      </c>
      <c r="F17" s="32" t="n">
        <v>3</v>
      </c>
      <c r="G17" s="32" t="n">
        <v>30</v>
      </c>
      <c r="H17" s="32" t="n">
        <v>0</v>
      </c>
      <c r="I17" s="32" t="n">
        <v>0</v>
      </c>
      <c r="J17" s="32" t="n">
        <v>0</v>
      </c>
      <c r="K17" s="32" t="n">
        <v>0</v>
      </c>
      <c r="L17" s="32" t="n">
        <v>0</v>
      </c>
      <c r="M17" s="32" t="n">
        <v>0</v>
      </c>
      <c r="N17" s="32" t="n">
        <v>0</v>
      </c>
      <c r="O17" s="32" t="n">
        <v>0</v>
      </c>
      <c r="P17" s="66" t="n">
        <f aca="false">SUM(G17:O17)*Pipeline!$D$4</f>
        <v>130.5</v>
      </c>
      <c r="Q17" s="67" t="n">
        <f aca="false">SUMPRODUCT(G$7:O$7,G17:O17)*Pipeline!$D$4*(1-C17)</f>
        <v>391.5</v>
      </c>
      <c r="R17" s="67" t="n">
        <f aca="false">Q17*D17</f>
        <v>234.9</v>
      </c>
      <c r="S17" s="68" t="n">
        <f aca="false">SUMPRODUCT(G$11:O$11,G17:O17)*Pipeline!$D$4/1000</f>
        <v>13.05</v>
      </c>
      <c r="T17" s="66" t="n">
        <f aca="false">SUMPRODUCT(G$13:O$13,G17:O17)*Pipeline!$D$4</f>
        <v>76.7647058823529</v>
      </c>
      <c r="U17" s="68" t="n">
        <f aca="false">SUMPRODUCT(G$12:O$12,G17:O17)*Pipeline!$D$4</f>
        <v>9.3369300382875</v>
      </c>
      <c r="V17" s="69" t="n">
        <f aca="false">IFERROR(U17/(Hipótesis!$F$26*Hipótesis!$D$13),0)</f>
        <v>0.00324198959662761</v>
      </c>
      <c r="W17" s="67" t="n">
        <f aca="false">SUMPRODUCT(G$10:O$10,G17:O17)*Pipeline!$D$4</f>
        <v>82.1382352941177</v>
      </c>
      <c r="X17" s="61" t="s">
        <v>209</v>
      </c>
    </row>
    <row r="18" customFormat="false" ht="12.75" hidden="false" customHeight="true" outlineLevel="0" collapsed="false">
      <c r="A18" s="30" t="s">
        <v>210</v>
      </c>
      <c r="B18" s="65" t="s">
        <v>208</v>
      </c>
      <c r="C18" s="33" t="n">
        <v>0</v>
      </c>
      <c r="D18" s="33" t="n">
        <v>0.85</v>
      </c>
      <c r="E18" s="32" t="n">
        <v>3</v>
      </c>
      <c r="F18" s="32" t="n">
        <v>8</v>
      </c>
      <c r="G18" s="32" t="n">
        <v>600</v>
      </c>
      <c r="H18" s="32" t="n">
        <v>100</v>
      </c>
      <c r="I18" s="32" t="n">
        <v>100</v>
      </c>
      <c r="J18" s="32" t="n">
        <v>200</v>
      </c>
      <c r="K18" s="32" t="n">
        <v>0</v>
      </c>
      <c r="L18" s="32" t="n">
        <v>0</v>
      </c>
      <c r="M18" s="32" t="n">
        <v>0</v>
      </c>
      <c r="N18" s="32" t="n">
        <v>0</v>
      </c>
      <c r="O18" s="32" t="n">
        <v>0</v>
      </c>
      <c r="P18" s="66" t="n">
        <f aca="false">SUM(G18:O18)*Pipeline!$D$4</f>
        <v>4350</v>
      </c>
      <c r="Q18" s="67" t="n">
        <f aca="false">SUMPRODUCT(G$7:O$7,G18:O18)*Pipeline!$D$4*(1-C18)</f>
        <v>11092.5</v>
      </c>
      <c r="R18" s="67" t="n">
        <f aca="false">Q18*D18</f>
        <v>9428.625</v>
      </c>
      <c r="S18" s="68" t="n">
        <f aca="false">SUMPRODUCT(G$11:O$11,G18:O18)*Pipeline!$D$4/1000</f>
        <v>313.2</v>
      </c>
      <c r="T18" s="66" t="n">
        <f aca="false">SUMPRODUCT(G$13:O$13,G18:O18)*Pipeline!$D$4</f>
        <v>1876.82472989196</v>
      </c>
      <c r="U18" s="68" t="n">
        <f aca="false">SUMPRODUCT(G$12:O$12,G18:O18)*Pipeline!$D$4</f>
        <v>291.754768968731</v>
      </c>
      <c r="V18" s="69" t="n">
        <f aca="false">IFERROR(U18/(Hipótesis!$F$26*Hipótesis!$D$13),0)</f>
        <v>0.101303739225254</v>
      </c>
      <c r="W18" s="67" t="n">
        <f aca="false">SUMPRODUCT(G$10:O$10,G18:O18)*Pipeline!$D$4</f>
        <v>2036.58307322929</v>
      </c>
      <c r="X18" s="61" t="s">
        <v>211</v>
      </c>
    </row>
    <row r="19" customFormat="false" ht="12.75" hidden="false" customHeight="true" outlineLevel="0" collapsed="false">
      <c r="A19" s="30" t="s">
        <v>212</v>
      </c>
      <c r="B19" s="65" t="s">
        <v>213</v>
      </c>
      <c r="C19" s="33" t="n">
        <v>0.2</v>
      </c>
      <c r="D19" s="33" t="n">
        <v>0.55</v>
      </c>
      <c r="E19" s="32" t="n">
        <v>6</v>
      </c>
      <c r="F19" s="32" t="n">
        <v>8</v>
      </c>
      <c r="G19" s="32" t="n">
        <v>1000</v>
      </c>
      <c r="H19" s="32" t="n">
        <v>0</v>
      </c>
      <c r="I19" s="32" t="n">
        <v>0</v>
      </c>
      <c r="J19" s="32" t="n">
        <v>0</v>
      </c>
      <c r="K19" s="32" t="n">
        <v>0</v>
      </c>
      <c r="L19" s="32" t="n">
        <v>0</v>
      </c>
      <c r="M19" s="32" t="n">
        <v>0</v>
      </c>
      <c r="N19" s="32" t="n">
        <v>0</v>
      </c>
      <c r="O19" s="32" t="n">
        <v>0</v>
      </c>
      <c r="P19" s="66" t="n">
        <f aca="false">SUM(G19:O19)*Pipeline!$D$4</f>
        <v>4350</v>
      </c>
      <c r="Q19" s="67" t="n">
        <f aca="false">SUMPRODUCT(G$7:O$7,G19:O19)*Pipeline!$D$4*(1-C19)</f>
        <v>10440</v>
      </c>
      <c r="R19" s="67" t="n">
        <f aca="false">Q19*D19</f>
        <v>5742</v>
      </c>
      <c r="S19" s="68" t="n">
        <f aca="false">SUMPRODUCT(G$11:O$11,G19:O19)*Pipeline!$D$4/1000</f>
        <v>435</v>
      </c>
      <c r="T19" s="66" t="n">
        <f aca="false">SUMPRODUCT(G$13:O$13,G19:O19)*Pipeline!$D$4</f>
        <v>2558.82352941176</v>
      </c>
      <c r="U19" s="68" t="n">
        <f aca="false">SUMPRODUCT(G$12:O$12,G19:O19)*Pipeline!$D$4</f>
        <v>311.23100127625</v>
      </c>
      <c r="V19" s="69" t="n">
        <f aca="false">IFERROR(U19/(Hipótesis!$F$26*Hipótesis!$D$13),0)</f>
        <v>0.108066319887587</v>
      </c>
      <c r="W19" s="67" t="n">
        <f aca="false">SUMPRODUCT(G$10:O$10,G19:O19)*Pipeline!$D$4</f>
        <v>2737.94117647059</v>
      </c>
      <c r="X19" s="61" t="s">
        <v>214</v>
      </c>
    </row>
    <row r="20" customFormat="false" ht="12.75" hidden="false" customHeight="true" outlineLevel="0" collapsed="false">
      <c r="A20" s="30" t="s">
        <v>215</v>
      </c>
      <c r="B20" s="65" t="s">
        <v>208</v>
      </c>
      <c r="C20" s="33" t="n">
        <v>0.25</v>
      </c>
      <c r="D20" s="33" t="n">
        <v>0.25</v>
      </c>
      <c r="E20" s="32" t="n">
        <v>12</v>
      </c>
      <c r="F20" s="32" t="n">
        <v>10</v>
      </c>
      <c r="G20" s="32" t="n">
        <v>4000</v>
      </c>
      <c r="H20" s="32" t="n">
        <v>0</v>
      </c>
      <c r="I20" s="32" t="n">
        <v>0</v>
      </c>
      <c r="J20" s="32" t="n">
        <v>0</v>
      </c>
      <c r="K20" s="32" t="n">
        <v>0</v>
      </c>
      <c r="L20" s="32" t="n">
        <v>0</v>
      </c>
      <c r="M20" s="32" t="n">
        <v>0</v>
      </c>
      <c r="N20" s="32" t="n">
        <v>0</v>
      </c>
      <c r="O20" s="32" t="n">
        <v>0</v>
      </c>
      <c r="P20" s="66" t="n">
        <f aca="false">SUM(G20:O20)*Pipeline!$D$4</f>
        <v>17400</v>
      </c>
      <c r="Q20" s="67" t="n">
        <f aca="false">SUMPRODUCT(G$7:O$7,G20:O20)*Pipeline!$D$4*(1-C20)</f>
        <v>39150</v>
      </c>
      <c r="R20" s="67" t="n">
        <f aca="false">Q20*D20</f>
        <v>9787.5</v>
      </c>
      <c r="S20" s="68" t="n">
        <f aca="false">SUMPRODUCT(G$11:O$11,G20:O20)*Pipeline!$D$4/1000</f>
        <v>1740</v>
      </c>
      <c r="T20" s="66" t="n">
        <f aca="false">SUMPRODUCT(G$13:O$13,G20:O20)*Pipeline!$D$4</f>
        <v>10235.2941176471</v>
      </c>
      <c r="U20" s="68" t="n">
        <f aca="false">SUMPRODUCT(G$12:O$12,G20:O20)*Pipeline!$D$4</f>
        <v>1244.924005105</v>
      </c>
      <c r="V20" s="69" t="n">
        <f aca="false">IFERROR(U20/(Hipótesis!$F$26*Hipótesis!$D$13),0)</f>
        <v>0.432265279550347</v>
      </c>
      <c r="W20" s="67" t="n">
        <f aca="false">SUMPRODUCT(G$10:O$10,G20:O20)*Pipeline!$D$4</f>
        <v>10951.7647058824</v>
      </c>
      <c r="X20" s="61" t="s">
        <v>216</v>
      </c>
    </row>
    <row r="21" customFormat="false" ht="12.75" hidden="false" customHeight="true" outlineLevel="0" collapsed="false">
      <c r="A21" s="30" t="s">
        <v>217</v>
      </c>
      <c r="B21" s="65" t="s">
        <v>208</v>
      </c>
      <c r="C21" s="33" t="n">
        <v>0.3</v>
      </c>
      <c r="D21" s="33" t="n">
        <v>0.2</v>
      </c>
      <c r="E21" s="32" t="n">
        <v>14</v>
      </c>
      <c r="F21" s="32" t="n">
        <v>10</v>
      </c>
      <c r="G21" s="32" t="n">
        <v>2000</v>
      </c>
      <c r="H21" s="32" t="n">
        <v>0</v>
      </c>
      <c r="I21" s="32" t="n">
        <v>0</v>
      </c>
      <c r="J21" s="32" t="n">
        <v>0</v>
      </c>
      <c r="K21" s="32" t="n">
        <v>0</v>
      </c>
      <c r="L21" s="32" t="n">
        <v>0</v>
      </c>
      <c r="M21" s="32" t="n">
        <v>0</v>
      </c>
      <c r="N21" s="32" t="n">
        <v>0</v>
      </c>
      <c r="O21" s="32" t="n">
        <v>0</v>
      </c>
      <c r="P21" s="66" t="n">
        <f aca="false">SUM(G21:O21)*Pipeline!$D$4</f>
        <v>8700</v>
      </c>
      <c r="Q21" s="67" t="n">
        <f aca="false">SUMPRODUCT(G$7:O$7,G21:O21)*Pipeline!$D$4*(1-C21)</f>
        <v>18270</v>
      </c>
      <c r="R21" s="67" t="n">
        <f aca="false">Q21*D21</f>
        <v>3654</v>
      </c>
      <c r="S21" s="68" t="n">
        <f aca="false">SUMPRODUCT(G$11:O$11,G21:O21)*Pipeline!$D$4/1000</f>
        <v>870</v>
      </c>
      <c r="T21" s="66" t="n">
        <f aca="false">SUMPRODUCT(G$13:O$13,G21:O21)*Pipeline!$D$4</f>
        <v>5117.64705882353</v>
      </c>
      <c r="U21" s="68" t="n">
        <f aca="false">SUMPRODUCT(G$12:O$12,G21:O21)*Pipeline!$D$4</f>
        <v>622.4620025525</v>
      </c>
      <c r="V21" s="69" t="n">
        <f aca="false">IFERROR(U21/(Hipótesis!$F$26*Hipótesis!$D$13),0)</f>
        <v>0.216132639775174</v>
      </c>
      <c r="W21" s="67" t="n">
        <f aca="false">SUMPRODUCT(G$10:O$10,G21:O21)*Pipeline!$D$4</f>
        <v>5475.88235294118</v>
      </c>
      <c r="X21" s="61" t="s">
        <v>218</v>
      </c>
    </row>
    <row r="22" customFormat="false" ht="12.75" hidden="false" customHeight="true" outlineLevel="0" collapsed="false">
      <c r="A22" s="30" t="s">
        <v>219</v>
      </c>
      <c r="B22" s="65"/>
      <c r="C22" s="33" t="n">
        <v>0</v>
      </c>
      <c r="D22" s="33" t="n">
        <v>0</v>
      </c>
      <c r="E22" s="32" t="n">
        <v>1</v>
      </c>
      <c r="F22" s="32" t="n">
        <v>1</v>
      </c>
      <c r="G22" s="32" t="n">
        <v>0</v>
      </c>
      <c r="H22" s="32" t="n">
        <v>0</v>
      </c>
      <c r="I22" s="32" t="n">
        <v>0</v>
      </c>
      <c r="J22" s="32" t="n">
        <v>0</v>
      </c>
      <c r="K22" s="32" t="n">
        <v>0</v>
      </c>
      <c r="L22" s="32" t="n">
        <v>0</v>
      </c>
      <c r="M22" s="32" t="n">
        <v>0</v>
      </c>
      <c r="N22" s="32" t="n">
        <v>0</v>
      </c>
      <c r="O22" s="32" t="n">
        <v>0</v>
      </c>
      <c r="P22" s="66" t="n">
        <f aca="false">SUM(G22:O22)*Pipeline!$D$4</f>
        <v>0</v>
      </c>
      <c r="Q22" s="67" t="n">
        <f aca="false">SUMPRODUCT(G$7:O$7,G22:O22)*Pipeline!$D$4*(1-C22)</f>
        <v>0</v>
      </c>
      <c r="R22" s="67" t="n">
        <f aca="false">Q22*D22</f>
        <v>0</v>
      </c>
      <c r="S22" s="68" t="n">
        <f aca="false">SUMPRODUCT(G$11:O$11,G22:O22)*Pipeline!$D$4/1000</f>
        <v>0</v>
      </c>
      <c r="T22" s="66" t="n">
        <f aca="false">SUMPRODUCT(G$13:O$13,G22:O22)*Pipeline!$D$4</f>
        <v>0</v>
      </c>
      <c r="U22" s="68" t="n">
        <f aca="false">SUMPRODUCT(G$12:O$12,G22:O22)*Pipeline!$D$4</f>
        <v>0</v>
      </c>
      <c r="V22" s="69" t="n">
        <f aca="false">IFERROR(U22/(Hipótesis!$F$26*Hipótesis!$D$13),0)</f>
        <v>0</v>
      </c>
      <c r="W22" s="67" t="n">
        <f aca="false">SUMPRODUCT(G$10:O$10,G22:O22)*Pipeline!$D$4</f>
        <v>0</v>
      </c>
      <c r="X22" s="61"/>
    </row>
    <row r="23" customFormat="false" ht="12.75" hidden="false" customHeight="true" outlineLevel="0" collapsed="false">
      <c r="A23" s="47" t="s">
        <v>220</v>
      </c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70" t="n">
        <f aca="false">SUM(P16:P22)</f>
        <v>36235.5</v>
      </c>
      <c r="Q23" s="71" t="n">
        <f aca="false">SUM(Q16:Q22)</f>
        <v>82519.5</v>
      </c>
      <c r="R23" s="71" t="n">
        <f aca="false">SUM(R16:R22)</f>
        <v>31863.75</v>
      </c>
      <c r="S23" s="72" t="n">
        <f aca="false">SUM(S16:S22)</f>
        <v>3410.4</v>
      </c>
      <c r="T23" s="70" t="n">
        <f aca="false">SUM(T16:T22)</f>
        <v>20190.3541416567</v>
      </c>
      <c r="U23" s="72" t="n">
        <f aca="false">SUM(U16:U22)</f>
        <v>2606.76327730303</v>
      </c>
      <c r="V23" s="73" t="n">
        <f aca="false">IFERROR(U23/(Hipótesis!$F$26*Hipótesis!$D$13),0)</f>
        <v>0.905126137952442</v>
      </c>
      <c r="W23" s="71" t="n">
        <f aca="false">SUM(W16:W22)</f>
        <v>21619.3095438175</v>
      </c>
      <c r="X23" s="47"/>
    </row>
    <row r="24" customFormat="false" ht="13.5" hidden="false" customHeight="true" outlineLevel="0" collapsed="false"/>
    <row r="25" customFormat="false" ht="13.5" hidden="false" customHeight="true" outlineLevel="0" collapsed="false">
      <c r="A25" s="22" t="s">
        <v>221</v>
      </c>
    </row>
    <row r="26" customFormat="false" ht="13.5" hidden="false" customHeight="true" outlineLevel="0" collapsed="false">
      <c r="A26" s="61" t="s">
        <v>222</v>
      </c>
      <c r="G26" s="74" t="n">
        <f aca="false">SUMPRODUCT($D$16:$D$22,G16:G22)*Pipeline!$D$4*G12</f>
        <v>771.230421162548</v>
      </c>
      <c r="H26" s="74" t="n">
        <f aca="false">SUMPRODUCT($D$16:$D$22,H16:H22)*Pipeline!$D$4*H12</f>
        <v>89.4970414201183</v>
      </c>
      <c r="I26" s="74" t="n">
        <f aca="false">SUMPRODUCT($D$16:$D$22,I16:I22)*Pipeline!$D$4*I12</f>
        <v>111.538461538462</v>
      </c>
      <c r="J26" s="74" t="n">
        <f aca="false">SUMPRODUCT($D$16:$D$22,J16:J22)*Pipeline!$D$4*J12</f>
        <v>8.93008090810288</v>
      </c>
      <c r="K26" s="74" t="n">
        <f aca="false">SUMPRODUCT($D$16:$D$22,K16:K22)*Pipeline!$D$4*K12</f>
        <v>0</v>
      </c>
      <c r="L26" s="74" t="n">
        <f aca="false">SUMPRODUCT($D$16:$D$22,L16:L22)*Pipeline!$D$4*L12</f>
        <v>0</v>
      </c>
      <c r="M26" s="74" t="n">
        <f aca="false">SUMPRODUCT($D$16:$D$22,M16:M22)*Pipeline!$D$4*M12</f>
        <v>0</v>
      </c>
      <c r="N26" s="74" t="n">
        <f aca="false">SUMPRODUCT($D$16:$D$22,N16:N22)*Pipeline!$D$4*N12</f>
        <v>0</v>
      </c>
      <c r="O26" s="74" t="n">
        <f aca="false">SUMPRODUCT($D$16:$D$22,O16:O22)*Pipeline!$D$4*O12</f>
        <v>0</v>
      </c>
    </row>
    <row r="27" customFormat="false" ht="13.5" hidden="false" customHeight="true" outlineLevel="0" collapsed="false">
      <c r="A27" s="61" t="s">
        <v>223</v>
      </c>
      <c r="G27" s="39" t="n">
        <f aca="false">IFERROR(G26/SUM($G$26:$O$26),0)</f>
        <v>0.786010559775539</v>
      </c>
      <c r="H27" s="39" t="n">
        <f aca="false">IFERROR(H26/SUM($G$26:$O$26),0)</f>
        <v>0.0912121950776309</v>
      </c>
      <c r="I27" s="39" t="n">
        <f aca="false">IFERROR(I26/SUM($G$26:$O$26),0)</f>
        <v>0.113676024939725</v>
      </c>
      <c r="J27" s="39" t="n">
        <f aca="false">IFERROR(J26/SUM($G$26:$O$26),0)</f>
        <v>0.00910122020710515</v>
      </c>
      <c r="K27" s="39" t="n">
        <f aca="false">IFERROR(K26/SUM($G$26:$O$26),0)</f>
        <v>0</v>
      </c>
      <c r="L27" s="39" t="n">
        <f aca="false">IFERROR(L26/SUM($G$26:$O$26),0)</f>
        <v>0</v>
      </c>
      <c r="M27" s="39" t="n">
        <f aca="false">IFERROR(M26/SUM($G$26:$O$26),0)</f>
        <v>0</v>
      </c>
      <c r="N27" s="39" t="n">
        <f aca="false">IFERROR(N26/SUM($G$26:$O$26),0)</f>
        <v>0</v>
      </c>
      <c r="O27" s="39" t="n">
        <f aca="false">IFERROR(O26/SUM($G$26:$O$26),0)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7" min="2" style="1" width="11"/>
    <col collapsed="false" customWidth="true" hidden="false" outlineLevel="0" max="8" min="8" style="1" width="12"/>
    <col collapsed="false" customWidth="true" hidden="false" outlineLevel="0" max="12" min="9" style="1" width="13"/>
  </cols>
  <sheetData>
    <row r="1" customFormat="false" ht="18" hidden="false" customHeight="true" outlineLevel="0" collapsed="false">
      <c r="A1" s="8" t="s">
        <v>224</v>
      </c>
    </row>
    <row r="2" customFormat="false" ht="13.5" hidden="false" customHeight="true" outlineLevel="0" collapsed="false">
      <c r="A2" s="4" t="s">
        <v>225</v>
      </c>
    </row>
    <row r="3" customFormat="false" ht="13.5" hidden="false" customHeight="true" outlineLevel="0" collapsed="false"/>
    <row r="4" customFormat="false" ht="13.5" hidden="false" customHeight="true" outlineLevel="0" collapsed="false">
      <c r="A4" s="9" t="s">
        <v>226</v>
      </c>
      <c r="B4" s="9"/>
      <c r="C4" s="9"/>
      <c r="D4" s="9"/>
      <c r="E4" s="9"/>
      <c r="F4" s="9"/>
    </row>
    <row r="5" customFormat="false" ht="13.5" hidden="false" customHeight="true" outlineLevel="0" collapsed="false">
      <c r="A5" s="6" t="s">
        <v>227</v>
      </c>
      <c r="B5" s="75" t="n">
        <v>0.35</v>
      </c>
      <c r="D5" s="4" t="s">
        <v>228</v>
      </c>
    </row>
    <row r="6" customFormat="false" ht="13.5" hidden="false" customHeight="true" outlineLevel="0" collapsed="false">
      <c r="A6" s="6" t="s">
        <v>229</v>
      </c>
      <c r="B6" s="26" t="n">
        <v>80</v>
      </c>
      <c r="D6" s="4" t="s">
        <v>230</v>
      </c>
    </row>
    <row r="7" customFormat="false" ht="13.5" hidden="false" customHeight="true" outlineLevel="0" collapsed="false">
      <c r="A7" s="6" t="s">
        <v>231</v>
      </c>
      <c r="B7" s="76" t="n">
        <v>0.18</v>
      </c>
      <c r="D7" s="4" t="s">
        <v>232</v>
      </c>
    </row>
    <row r="8" customFormat="false" ht="13.5" hidden="false" customHeight="true" outlineLevel="0" collapsed="false">
      <c r="A8" s="6" t="s">
        <v>233</v>
      </c>
      <c r="B8" s="75" t="n">
        <v>0.05</v>
      </c>
    </row>
    <row r="9" customFormat="false" ht="13.5" hidden="false" customHeight="true" outlineLevel="0" collapsed="false"/>
    <row r="10" customFormat="false" ht="12.75" hidden="false" customHeight="true" outlineLevel="0" collapsed="false">
      <c r="A10" s="9" t="s">
        <v>234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</row>
    <row r="11" customFormat="false" ht="13.5" hidden="false" customHeight="true" outlineLevel="0" collapsed="false">
      <c r="A11" s="77" t="s">
        <v>235</v>
      </c>
      <c r="B11" s="11" t="s">
        <v>236</v>
      </c>
      <c r="C11" s="11" t="s">
        <v>237</v>
      </c>
      <c r="D11" s="11" t="s">
        <v>238</v>
      </c>
      <c r="E11" s="11" t="s">
        <v>239</v>
      </c>
      <c r="F11" s="11" t="s">
        <v>240</v>
      </c>
      <c r="G11" s="11" t="s">
        <v>241</v>
      </c>
      <c r="H11" s="11" t="s">
        <v>242</v>
      </c>
      <c r="I11" s="11" t="s">
        <v>243</v>
      </c>
      <c r="J11" s="11" t="s">
        <v>244</v>
      </c>
      <c r="K11" s="11" t="s">
        <v>245</v>
      </c>
    </row>
    <row r="12" customFormat="false" ht="13.5" hidden="false" customHeight="true" outlineLevel="0" collapsed="false">
      <c r="A12" s="30" t="s">
        <v>246</v>
      </c>
      <c r="B12" s="34" t="n">
        <v>29.05</v>
      </c>
      <c r="C12" s="34" t="n">
        <v>42.97</v>
      </c>
      <c r="D12" s="34" t="n">
        <v>59.17</v>
      </c>
      <c r="E12" s="34" t="n">
        <v>73.92</v>
      </c>
      <c r="F12" s="34" t="n">
        <v>84.56</v>
      </c>
      <c r="G12" s="34" t="n">
        <v>98.96</v>
      </c>
      <c r="H12" s="33" t="n">
        <v>0.12</v>
      </c>
      <c r="I12" s="38" t="n">
        <f aca="false">(IF($B$6&lt;=25,B12,IF($B$6&lt;=50,C12,IF($B$6&lt;=100,D12,IF($B$6&lt;=150,E12,IF($B$6&lt;=200,F12,G12))))))/$B$6*(1+$B$8)</f>
        <v>0.77660625</v>
      </c>
      <c r="J12" s="74" t="n">
        <f aca="false">$B$31*H12</f>
        <v>130.995012292541</v>
      </c>
      <c r="K12" s="35" t="n">
        <f aca="false">I12*J12</f>
        <v>101.731545265214</v>
      </c>
    </row>
    <row r="13" customFormat="false" ht="13.5" hidden="false" customHeight="true" outlineLevel="0" collapsed="false">
      <c r="A13" s="30" t="s">
        <v>247</v>
      </c>
      <c r="B13" s="34" t="n">
        <v>34.76</v>
      </c>
      <c r="C13" s="34" t="n">
        <v>46.14</v>
      </c>
      <c r="D13" s="34" t="n">
        <v>68.79</v>
      </c>
      <c r="E13" s="34" t="n">
        <v>77.41</v>
      </c>
      <c r="F13" s="34" t="n">
        <v>86.13</v>
      </c>
      <c r="G13" s="34" t="n">
        <v>94.68</v>
      </c>
      <c r="H13" s="33" t="n">
        <v>0.05</v>
      </c>
      <c r="I13" s="38" t="n">
        <f aca="false">(IF($B$6&lt;=25,B13,IF($B$6&lt;=50,C13,IF($B$6&lt;=100,D13,IF($B$6&lt;=150,E13,IF($B$6&lt;=200,F13,G13))))))/$B$6*(1+$B$8)</f>
        <v>0.90286875</v>
      </c>
      <c r="J13" s="74" t="n">
        <f aca="false">$B$31*H13</f>
        <v>54.5812551218919</v>
      </c>
      <c r="K13" s="35" t="n">
        <f aca="false">I13*J13</f>
        <v>49.2797095853336</v>
      </c>
    </row>
    <row r="14" customFormat="false" ht="13.5" hidden="false" customHeight="true" outlineLevel="0" collapsed="false">
      <c r="A14" s="30" t="s">
        <v>248</v>
      </c>
      <c r="B14" s="34" t="n">
        <v>27.08</v>
      </c>
      <c r="C14" s="34" t="n">
        <v>37.11</v>
      </c>
      <c r="D14" s="34" t="n">
        <v>48.64</v>
      </c>
      <c r="E14" s="34" t="n">
        <v>68.89</v>
      </c>
      <c r="F14" s="34" t="n">
        <v>83.48</v>
      </c>
      <c r="G14" s="34" t="n">
        <v>98.02</v>
      </c>
      <c r="H14" s="33" t="n">
        <v>0.03</v>
      </c>
      <c r="I14" s="38" t="n">
        <f aca="false">(IF($B$6&lt;=25,B14,IF($B$6&lt;=50,C14,IF($B$6&lt;=100,D14,IF($B$6&lt;=150,E14,IF($B$6&lt;=200,F14,G14))))))/$B$6*(1+$B$8)</f>
        <v>0.6384</v>
      </c>
      <c r="J14" s="74" t="n">
        <f aca="false">$B$31*H14</f>
        <v>32.7487530731351</v>
      </c>
      <c r="K14" s="35" t="n">
        <f aca="false">I14*J14</f>
        <v>20.9068039618895</v>
      </c>
    </row>
    <row r="15" customFormat="false" ht="13.5" hidden="false" customHeight="true" outlineLevel="0" collapsed="false">
      <c r="A15" s="30" t="s">
        <v>249</v>
      </c>
      <c r="B15" s="34" t="n">
        <v>35.5</v>
      </c>
      <c r="C15" s="34" t="n">
        <v>43.1</v>
      </c>
      <c r="D15" s="34" t="n">
        <v>53.65</v>
      </c>
      <c r="E15" s="34" t="n">
        <v>68.71</v>
      </c>
      <c r="F15" s="34" t="n">
        <v>80.85</v>
      </c>
      <c r="G15" s="34" t="n">
        <v>99.06</v>
      </c>
      <c r="H15" s="33" t="n">
        <v>0.02</v>
      </c>
      <c r="I15" s="38" t="n">
        <f aca="false">(IF($B$6&lt;=25,B15,IF($B$6&lt;=50,C15,IF($B$6&lt;=100,D15,IF($B$6&lt;=150,E15,IF($B$6&lt;=200,F15,G15))))))/$B$6*(1+$B$8)</f>
        <v>0.70415625</v>
      </c>
      <c r="J15" s="74" t="n">
        <f aca="false">$B$31*H15</f>
        <v>21.8325020487568</v>
      </c>
      <c r="K15" s="35" t="n">
        <f aca="false">I15*J15</f>
        <v>15.3734927707699</v>
      </c>
    </row>
    <row r="16" customFormat="false" ht="13.5" hidden="false" customHeight="true" outlineLevel="0" collapsed="false">
      <c r="A16" s="30" t="s">
        <v>250</v>
      </c>
      <c r="B16" s="34" t="n">
        <v>37.7</v>
      </c>
      <c r="C16" s="34" t="n">
        <v>49.44</v>
      </c>
      <c r="D16" s="34" t="n">
        <v>61.97</v>
      </c>
      <c r="E16" s="34" t="n">
        <v>75.31</v>
      </c>
      <c r="F16" s="34" t="n">
        <v>90.68</v>
      </c>
      <c r="G16" s="34" t="n">
        <v>100.84</v>
      </c>
      <c r="H16" s="33" t="n">
        <v>0.1</v>
      </c>
      <c r="I16" s="38" t="n">
        <f aca="false">(IF($B$6&lt;=25,B16,IF($B$6&lt;=50,C16,IF($B$6&lt;=100,D16,IF($B$6&lt;=150,E16,IF($B$6&lt;=200,F16,G16))))))/$B$6*(1+$B$8)</f>
        <v>0.81335625</v>
      </c>
      <c r="J16" s="74" t="n">
        <f aca="false">$B$31*H16</f>
        <v>109.162510243784</v>
      </c>
      <c r="K16" s="35" t="n">
        <f aca="false">I16*J16</f>
        <v>88.7880099724706</v>
      </c>
    </row>
    <row r="17" customFormat="false" ht="13.5" hidden="false" customHeight="true" outlineLevel="0" collapsed="false">
      <c r="A17" s="30" t="s">
        <v>251</v>
      </c>
      <c r="B17" s="34" t="n">
        <v>30.81</v>
      </c>
      <c r="C17" s="34" t="n">
        <v>40.86</v>
      </c>
      <c r="D17" s="34" t="n">
        <v>51.93</v>
      </c>
      <c r="E17" s="34" t="n">
        <v>65.67</v>
      </c>
      <c r="F17" s="34" t="n">
        <v>75.28</v>
      </c>
      <c r="G17" s="34" t="n">
        <v>87.47</v>
      </c>
      <c r="H17" s="33" t="n">
        <v>0.14</v>
      </c>
      <c r="I17" s="38" t="n">
        <f aca="false">(IF($B$6&lt;=25,B17,IF($B$6&lt;=50,C17,IF($B$6&lt;=100,D17,IF($B$6&lt;=150,E17,IF($B$6&lt;=200,F17,G17))))))/$B$6*(1+$B$8)</f>
        <v>0.68158125</v>
      </c>
      <c r="J17" s="74" t="n">
        <f aca="false">$B$31*H17</f>
        <v>152.827514341297</v>
      </c>
      <c r="K17" s="35" t="n">
        <f aca="false">I17*J17</f>
        <v>104.164368259134</v>
      </c>
    </row>
    <row r="18" customFormat="false" ht="13.5" hidden="false" customHeight="true" outlineLevel="0" collapsed="false">
      <c r="A18" s="30" t="s">
        <v>252</v>
      </c>
      <c r="B18" s="34" t="n">
        <v>29.42</v>
      </c>
      <c r="C18" s="34" t="n">
        <v>42.71</v>
      </c>
      <c r="D18" s="34" t="n">
        <v>54.18</v>
      </c>
      <c r="E18" s="34" t="n">
        <v>66.64</v>
      </c>
      <c r="F18" s="34" t="n">
        <v>77.35</v>
      </c>
      <c r="G18" s="34" t="n">
        <v>91.02</v>
      </c>
      <c r="H18" s="33" t="n">
        <v>0.2</v>
      </c>
      <c r="I18" s="38" t="n">
        <f aca="false">(IF($B$6&lt;=25,B18,IF($B$6&lt;=50,C18,IF($B$6&lt;=100,D18,IF($B$6&lt;=150,E18,IF($B$6&lt;=200,F18,G18))))))/$B$6*(1+$B$8)</f>
        <v>0.7111125</v>
      </c>
      <c r="J18" s="74" t="n">
        <f aca="false">$B$31*H18</f>
        <v>218.325020487568</v>
      </c>
      <c r="K18" s="35" t="n">
        <f aca="false">I18*J18</f>
        <v>155.253651131465</v>
      </c>
    </row>
    <row r="19" customFormat="false" ht="13.5" hidden="false" customHeight="true" outlineLevel="0" collapsed="false">
      <c r="A19" s="30" t="s">
        <v>253</v>
      </c>
      <c r="B19" s="34" t="n">
        <v>31.15</v>
      </c>
      <c r="C19" s="34" t="n">
        <v>41.35</v>
      </c>
      <c r="D19" s="34" t="n">
        <v>61.65</v>
      </c>
      <c r="E19" s="34" t="n">
        <v>69.37</v>
      </c>
      <c r="F19" s="34" t="n">
        <v>77.2</v>
      </c>
      <c r="G19" s="34" t="n">
        <v>84.84</v>
      </c>
      <c r="H19" s="33" t="n">
        <v>0.12</v>
      </c>
      <c r="I19" s="38" t="n">
        <f aca="false">(IF($B$6&lt;=25,B19,IF($B$6&lt;=50,C19,IF($B$6&lt;=100,D19,IF($B$6&lt;=150,E19,IF($B$6&lt;=200,F19,G19))))))/$B$6*(1+$B$8)</f>
        <v>0.80915625</v>
      </c>
      <c r="J19" s="74" t="n">
        <f aca="false">$B$31*H19</f>
        <v>130.995012292541</v>
      </c>
      <c r="K19" s="35" t="n">
        <f aca="false">I19*J19</f>
        <v>105.995432915336</v>
      </c>
    </row>
    <row r="20" customFormat="false" ht="13.5" hidden="false" customHeight="true" outlineLevel="0" collapsed="false">
      <c r="A20" s="30" t="s">
        <v>254</v>
      </c>
      <c r="B20" s="34" t="n">
        <v>28.39</v>
      </c>
      <c r="C20" s="34" t="n">
        <v>42.97</v>
      </c>
      <c r="D20" s="34" t="n">
        <v>59.11</v>
      </c>
      <c r="E20" s="34" t="n">
        <v>73.62</v>
      </c>
      <c r="F20" s="34" t="n">
        <v>85.18</v>
      </c>
      <c r="G20" s="34" t="n">
        <v>98.3</v>
      </c>
      <c r="H20" s="33" t="n">
        <v>0.03</v>
      </c>
      <c r="I20" s="38" t="n">
        <f aca="false">(IF($B$6&lt;=25,B20,IF($B$6&lt;=50,C20,IF($B$6&lt;=100,D20,IF($B$6&lt;=150,E20,IF($B$6&lt;=200,F20,G20))))))/$B$6*(1+$B$8)</f>
        <v>0.77581875</v>
      </c>
      <c r="J20" s="74" t="n">
        <f aca="false">$B$31*H20</f>
        <v>32.7487530731351</v>
      </c>
      <c r="K20" s="35" t="n">
        <f aca="false">I20*J20</f>
        <v>25.4070966732584</v>
      </c>
    </row>
    <row r="21" customFormat="false" ht="13.5" hidden="false" customHeight="true" outlineLevel="0" collapsed="false">
      <c r="A21" s="30" t="s">
        <v>255</v>
      </c>
      <c r="B21" s="34" t="n">
        <v>28.39</v>
      </c>
      <c r="C21" s="34" t="n">
        <v>42.97</v>
      </c>
      <c r="D21" s="34" t="n">
        <v>59.11</v>
      </c>
      <c r="E21" s="34" t="n">
        <v>73.62</v>
      </c>
      <c r="F21" s="34" t="n">
        <v>85.18</v>
      </c>
      <c r="G21" s="34" t="n">
        <v>98.3</v>
      </c>
      <c r="H21" s="33" t="n">
        <v>0.05</v>
      </c>
      <c r="I21" s="38" t="n">
        <f aca="false">(IF($B$6&lt;=25,B21,IF($B$6&lt;=50,C21,IF($B$6&lt;=100,D21,IF($B$6&lt;=150,E21,IF($B$6&lt;=200,F21,G21))))))/$B$6*(1+$B$8)</f>
        <v>0.77581875</v>
      </c>
      <c r="J21" s="74" t="n">
        <f aca="false">$B$31*H21</f>
        <v>54.5812551218919</v>
      </c>
      <c r="K21" s="35" t="n">
        <f aca="false">I21*J21</f>
        <v>42.3451611220973</v>
      </c>
    </row>
    <row r="22" customFormat="false" ht="13.5" hidden="false" customHeight="true" outlineLevel="0" collapsed="false">
      <c r="A22" s="30" t="s">
        <v>256</v>
      </c>
      <c r="B22" s="34" t="n">
        <v>36.87</v>
      </c>
      <c r="C22" s="34" t="n">
        <v>48.96</v>
      </c>
      <c r="D22" s="34" t="n">
        <v>73.02</v>
      </c>
      <c r="E22" s="34" t="n">
        <v>82.15</v>
      </c>
      <c r="F22" s="34" t="n">
        <v>91.44</v>
      </c>
      <c r="G22" s="34" t="n">
        <v>100.49</v>
      </c>
      <c r="H22" s="33" t="n">
        <v>0.02</v>
      </c>
      <c r="I22" s="38" t="n">
        <f aca="false">(IF($B$6&lt;=25,B22,IF($B$6&lt;=50,C22,IF($B$6&lt;=100,D22,IF($B$6&lt;=150,E22,IF($B$6&lt;=200,F22,G22))))))/$B$6*(1+$B$8)</f>
        <v>0.9583875</v>
      </c>
      <c r="J22" s="74" t="n">
        <f aca="false">$B$31*H22</f>
        <v>21.8325020487568</v>
      </c>
      <c r="K22" s="35" t="n">
        <f aca="false">I22*J22</f>
        <v>20.9239970572529</v>
      </c>
    </row>
    <row r="23" customFormat="false" ht="13.5" hidden="false" customHeight="true" outlineLevel="0" collapsed="false">
      <c r="A23" s="30" t="s">
        <v>257</v>
      </c>
      <c r="B23" s="34" t="n">
        <v>35.9</v>
      </c>
      <c r="C23" s="34" t="n">
        <v>47.66</v>
      </c>
      <c r="D23" s="34" t="n">
        <v>71.08</v>
      </c>
      <c r="E23" s="34" t="n">
        <v>79.96</v>
      </c>
      <c r="F23" s="34" t="n">
        <v>88.98</v>
      </c>
      <c r="G23" s="34" t="n">
        <v>97.8</v>
      </c>
      <c r="H23" s="33" t="n">
        <v>0.04</v>
      </c>
      <c r="I23" s="38" t="n">
        <f aca="false">(IF($B$6&lt;=25,B23,IF($B$6&lt;=50,C23,IF($B$6&lt;=100,D23,IF($B$6&lt;=150,E23,IF($B$6&lt;=200,F23,G23))))))/$B$6*(1+$B$8)</f>
        <v>0.932925</v>
      </c>
      <c r="J23" s="74" t="n">
        <f aca="false">$B$31*H23</f>
        <v>43.6650040975135</v>
      </c>
      <c r="K23" s="35" t="n">
        <f aca="false">I23*J23</f>
        <v>40.7361739476728</v>
      </c>
    </row>
    <row r="24" customFormat="false" ht="13.5" hidden="false" customHeight="true" outlineLevel="0" collapsed="false">
      <c r="A24" s="30" t="s">
        <v>258</v>
      </c>
      <c r="B24" s="34" t="n">
        <v>36.87</v>
      </c>
      <c r="C24" s="34" t="n">
        <v>48.96</v>
      </c>
      <c r="D24" s="34" t="n">
        <v>73.02</v>
      </c>
      <c r="E24" s="34" t="n">
        <v>82.15</v>
      </c>
      <c r="F24" s="34" t="n">
        <v>91.44</v>
      </c>
      <c r="G24" s="34" t="n">
        <v>100.49</v>
      </c>
      <c r="H24" s="33" t="n">
        <v>0.02</v>
      </c>
      <c r="I24" s="38" t="n">
        <f aca="false">(IF($B$6&lt;=25,B24,IF($B$6&lt;=50,C24,IF($B$6&lt;=100,D24,IF($B$6&lt;=150,E24,IF($B$6&lt;=200,F24,G24))))))/$B$6*(1+$B$8)</f>
        <v>0.9583875</v>
      </c>
      <c r="J24" s="74" t="n">
        <f aca="false">$B$31*H24</f>
        <v>21.8325020487568</v>
      </c>
      <c r="K24" s="35" t="n">
        <f aca="false">I24*J24</f>
        <v>20.9239970572529</v>
      </c>
    </row>
    <row r="25" customFormat="false" ht="13.5" hidden="false" customHeight="true" outlineLevel="0" collapsed="false">
      <c r="A25" s="30" t="s">
        <v>259</v>
      </c>
      <c r="B25" s="34" t="n">
        <v>35.36</v>
      </c>
      <c r="C25" s="34" t="n">
        <v>42.9</v>
      </c>
      <c r="D25" s="34" t="n">
        <v>53.41</v>
      </c>
      <c r="E25" s="34" t="n">
        <v>68.41</v>
      </c>
      <c r="F25" s="34" t="n">
        <v>80.5</v>
      </c>
      <c r="G25" s="34" t="n">
        <v>98.63</v>
      </c>
      <c r="H25" s="33" t="n">
        <v>0.06</v>
      </c>
      <c r="I25" s="38" t="n">
        <f aca="false">(IF($B$6&lt;=25,B25,IF($B$6&lt;=50,C25,IF($B$6&lt;=100,D25,IF($B$6&lt;=150,E25,IF($B$6&lt;=200,F25,G25))))))/$B$6*(1+$B$8)</f>
        <v>0.70100625</v>
      </c>
      <c r="J25" s="74" t="n">
        <f aca="false">$B$31*H25</f>
        <v>65.4975061462703</v>
      </c>
      <c r="K25" s="35" t="n">
        <f aca="false">I25*J25</f>
        <v>45.9141611679489</v>
      </c>
    </row>
    <row r="26" customFormat="false" ht="13.5" hidden="false" customHeight="true" outlineLevel="0" collapsed="false">
      <c r="A26" s="47" t="s">
        <v>260</v>
      </c>
      <c r="B26" s="47"/>
      <c r="C26" s="47"/>
      <c r="D26" s="47"/>
      <c r="E26" s="47"/>
      <c r="F26" s="47"/>
      <c r="G26" s="47"/>
      <c r="H26" s="48" t="n">
        <f aca="false">SUM(H12:H25)</f>
        <v>1</v>
      </c>
      <c r="I26" s="47"/>
      <c r="J26" s="78" t="n">
        <f aca="false">SUM(J12:J25)</f>
        <v>1091.62510243784</v>
      </c>
      <c r="K26" s="79" t="n">
        <f aca="false">SUM(K12:K25)</f>
        <v>837.743600887096</v>
      </c>
    </row>
    <row r="27" customFormat="false" ht="13.5" hidden="false" customHeight="true" outlineLevel="0" collapsed="false"/>
    <row r="28" customFormat="false" ht="13.5" hidden="false" customHeight="true" outlineLevel="0" collapsed="false">
      <c r="A28" s="9" t="s">
        <v>261</v>
      </c>
      <c r="B28" s="9"/>
      <c r="C28" s="9"/>
      <c r="D28" s="9"/>
      <c r="E28" s="9"/>
      <c r="F28" s="9"/>
    </row>
    <row r="29" customFormat="false" ht="13.5" hidden="false" customHeight="true" outlineLevel="0" collapsed="false">
      <c r="A29" s="6" t="s">
        <v>262</v>
      </c>
      <c r="B29" s="80" t="n">
        <f aca="false">Modelo_Mensual!$CH$26</f>
        <v>3118.92886410811</v>
      </c>
    </row>
    <row r="30" customFormat="false" ht="13.5" hidden="false" customHeight="true" outlineLevel="0" collapsed="false">
      <c r="A30" s="6" t="s">
        <v>263</v>
      </c>
      <c r="B30" s="80" t="n">
        <f aca="false">$B$29*(1-$B$5)</f>
        <v>2027.30376167027</v>
      </c>
    </row>
    <row r="31" customFormat="false" ht="13.5" hidden="false" customHeight="true" outlineLevel="0" collapsed="false">
      <c r="A31" s="6" t="s">
        <v>264</v>
      </c>
      <c r="B31" s="80" t="n">
        <f aca="false">$B$29*$B$5</f>
        <v>1091.62510243784</v>
      </c>
    </row>
    <row r="32" customFormat="false" ht="13.5" hidden="false" customHeight="true" outlineLevel="0" collapsed="false">
      <c r="A32" s="6" t="s">
        <v>265</v>
      </c>
      <c r="B32" s="52" t="n">
        <f aca="false">$B$30*$B$7</f>
        <v>364.914677100649</v>
      </c>
    </row>
    <row r="33" customFormat="false" ht="13.5" hidden="false" customHeight="true" outlineLevel="0" collapsed="false">
      <c r="A33" s="6" t="s">
        <v>266</v>
      </c>
      <c r="B33" s="52" t="n">
        <f aca="false">K26</f>
        <v>837.743600887096</v>
      </c>
    </row>
    <row r="34" customFormat="false" ht="13.5" hidden="false" customHeight="true" outlineLevel="0" collapsed="false">
      <c r="A34" s="22" t="s">
        <v>267</v>
      </c>
      <c r="B34" s="81" t="n">
        <f aca="false">$B$32+$B$33</f>
        <v>1202.65827798775</v>
      </c>
    </row>
    <row r="35" customFormat="false" ht="13.5" hidden="false" customHeight="true" outlineLevel="0" collapsed="false">
      <c r="A35" s="6" t="s">
        <v>268</v>
      </c>
      <c r="B35" s="82" t="n">
        <f aca="false">IFERROR($B$34/$B$29,0)</f>
        <v>0.385599778125</v>
      </c>
    </row>
    <row r="36" customFormat="false" ht="13.5" hidden="false" customHeight="true" outlineLevel="0" collapsed="false">
      <c r="A36" s="6" t="s">
        <v>269</v>
      </c>
      <c r="B36" s="83" t="n">
        <f aca="false">IFERROR($B$34/Modelo_Mensual!$CH$36,0)</f>
        <v>0.0102838006658156</v>
      </c>
    </row>
    <row r="37" customFormat="false" ht="13.5" hidden="false" customHeight="true" outlineLevel="0" collapsed="false">
      <c r="A37" s="4" t="s">
        <v>270</v>
      </c>
    </row>
    <row r="38" customFormat="false" ht="13.5" hidden="false" customHeight="true" outlineLevel="0" collapsed="false"/>
    <row r="39" customFormat="false" ht="13.5" hidden="false" customHeight="true" outlineLevel="0" collapsed="false">
      <c r="A39" s="6" t="s">
        <v>271</v>
      </c>
      <c r="B39" s="84" t="n">
        <f aca="false">IFERROR(SUMPRODUCT(H12:H25,I12:I25)/SUM(H12:H25),0)</f>
        <v>0.7674279375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40" activePane="bottomLeft" state="frozen"/>
      <selection pane="topLeft" activeCell="A1" activeCellId="0" sqref="A1"/>
      <selection pane="bottomLeft" activeCell="D44" activeCellId="0" sqref="D44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16"/>
    <col collapsed="false" customWidth="true" hidden="false" outlineLevel="0" max="5" min="3" style="1" width="14"/>
    <col collapsed="false" customWidth="true" hidden="false" outlineLevel="0" max="6" min="6" style="1" width="18.34"/>
    <col collapsed="false" customWidth="true" hidden="false" outlineLevel="0" max="7" min="7" style="1" width="14"/>
    <col collapsed="false" customWidth="true" hidden="false" outlineLevel="0" max="9" min="9" style="1" width="10.44"/>
  </cols>
  <sheetData>
    <row r="1" customFormat="false" ht="18" hidden="false" customHeight="true" outlineLevel="0" collapsed="false">
      <c r="A1" s="8" t="s">
        <v>272</v>
      </c>
    </row>
    <row r="2" customFormat="false" ht="13.5" hidden="false" customHeight="true" outlineLevel="0" collapsed="false">
      <c r="A2" s="4" t="s">
        <v>273</v>
      </c>
    </row>
    <row r="3" customFormat="false" ht="13.5" hidden="false" customHeight="true" outlineLevel="0" collapsed="false"/>
    <row r="4" customFormat="false" ht="13.5" hidden="false" customHeight="true" outlineLevel="0" collapsed="false">
      <c r="A4" s="22" t="s">
        <v>274</v>
      </c>
      <c r="C4" s="85" t="n">
        <v>2</v>
      </c>
      <c r="D4" s="86" t="str">
        <f aca="false">CHOOSE($C$4,"CONSERVADOR","BASE","OPTIMISTA")</f>
        <v>BASE</v>
      </c>
    </row>
    <row r="5" customFormat="false" ht="13.5" hidden="false" customHeight="true" outlineLevel="0" collapsed="false"/>
    <row r="6" customFormat="false" ht="13.5" hidden="false" customHeight="true" outlineLevel="0" collapsed="false">
      <c r="A6" s="87" t="s">
        <v>275</v>
      </c>
      <c r="B6" s="87" t="s">
        <v>276</v>
      </c>
      <c r="C6" s="87" t="s">
        <v>277</v>
      </c>
      <c r="D6" s="87" t="s">
        <v>278</v>
      </c>
      <c r="E6" s="87" t="s">
        <v>279</v>
      </c>
      <c r="F6" s="87" t="s">
        <v>280</v>
      </c>
    </row>
    <row r="7" customFormat="false" ht="13.5" hidden="false" customHeight="true" outlineLevel="0" collapsed="false">
      <c r="A7" s="9" t="s">
        <v>281</v>
      </c>
      <c r="B7" s="9"/>
      <c r="C7" s="9"/>
      <c r="D7" s="9"/>
      <c r="E7" s="9"/>
      <c r="F7" s="9"/>
    </row>
    <row r="8" customFormat="false" ht="13.5" hidden="false" customHeight="true" outlineLevel="0" collapsed="false">
      <c r="A8" s="6" t="s">
        <v>282</v>
      </c>
      <c r="B8" s="88" t="s">
        <v>283</v>
      </c>
      <c r="D8" s="85" t="n">
        <v>32</v>
      </c>
    </row>
    <row r="9" customFormat="false" ht="13.5" hidden="false" customHeight="true" outlineLevel="0" collapsed="false">
      <c r="A9" s="6" t="s">
        <v>284</v>
      </c>
      <c r="B9" s="88" t="s">
        <v>285</v>
      </c>
      <c r="D9" s="26" t="n">
        <v>24</v>
      </c>
    </row>
    <row r="10" customFormat="false" ht="13.5" hidden="false" customHeight="true" outlineLevel="0" collapsed="false">
      <c r="A10" s="6" t="s">
        <v>286</v>
      </c>
      <c r="B10" s="88" t="s">
        <v>287</v>
      </c>
      <c r="D10" s="85" t="n">
        <v>6</v>
      </c>
    </row>
    <row r="11" customFormat="false" ht="13.5" hidden="false" customHeight="true" outlineLevel="0" collapsed="false">
      <c r="A11" s="6" t="s">
        <v>288</v>
      </c>
      <c r="B11" s="88" t="s">
        <v>289</v>
      </c>
      <c r="D11" s="24" t="n">
        <v>0.15</v>
      </c>
    </row>
    <row r="12" customFormat="false" ht="13.5" hidden="false" customHeight="true" outlineLevel="0" collapsed="false">
      <c r="A12" s="6" t="s">
        <v>290</v>
      </c>
      <c r="B12" s="88" t="s">
        <v>283</v>
      </c>
      <c r="D12" s="89" t="n">
        <f aca="false">ROUNDDOWN(D9/D11,0)</f>
        <v>160</v>
      </c>
    </row>
    <row r="13" customFormat="false" ht="13.5" hidden="false" customHeight="true" outlineLevel="0" collapsed="false">
      <c r="A13" s="6" t="s">
        <v>291</v>
      </c>
      <c r="B13" s="88" t="s">
        <v>283</v>
      </c>
      <c r="D13" s="89" t="n">
        <f aca="false">D12*D10</f>
        <v>960</v>
      </c>
    </row>
    <row r="14" customFormat="false" ht="13.5" hidden="false" customHeight="true" outlineLevel="0" collapsed="false">
      <c r="A14" s="6" t="s">
        <v>292</v>
      </c>
      <c r="B14" s="88" t="s">
        <v>293</v>
      </c>
      <c r="D14" s="90" t="n">
        <f aca="false">D9*D10</f>
        <v>144</v>
      </c>
    </row>
    <row r="15" customFormat="false" ht="13.5" hidden="false" customHeight="true" outlineLevel="0" collapsed="false">
      <c r="A15" s="9" t="s">
        <v>294</v>
      </c>
      <c r="B15" s="9"/>
      <c r="C15" s="9"/>
      <c r="D15" s="9"/>
      <c r="E15" s="9"/>
      <c r="F15" s="9"/>
    </row>
    <row r="16" customFormat="false" ht="13.5" hidden="false" customHeight="true" outlineLevel="0" collapsed="false">
      <c r="A16" s="6" t="s">
        <v>295</v>
      </c>
      <c r="B16" s="88" t="s">
        <v>296</v>
      </c>
      <c r="C16" s="75" t="n">
        <v>1</v>
      </c>
      <c r="D16" s="75" t="n">
        <v>1.2</v>
      </c>
      <c r="E16" s="75" t="n">
        <v>1.35</v>
      </c>
      <c r="F16" s="91" t="n">
        <f aca="false">CHOOSE($C$4,C16,D16,E16)</f>
        <v>1.2</v>
      </c>
    </row>
    <row r="17" customFormat="false" ht="13.5" hidden="false" customHeight="true" outlineLevel="0" collapsed="false">
      <c r="A17" s="6" t="s">
        <v>297</v>
      </c>
      <c r="B17" s="88" t="s">
        <v>296</v>
      </c>
      <c r="C17" s="75" t="n">
        <v>0.92</v>
      </c>
      <c r="D17" s="75" t="n">
        <v>1</v>
      </c>
      <c r="E17" s="75" t="n">
        <v>1.06</v>
      </c>
      <c r="F17" s="91" t="n">
        <f aca="false">CHOOSE($C$4,C17,D17,E17)</f>
        <v>1</v>
      </c>
    </row>
    <row r="18" customFormat="false" ht="13.5" hidden="false" customHeight="true" outlineLevel="0" collapsed="false">
      <c r="A18" s="6" t="s">
        <v>298</v>
      </c>
      <c r="B18" s="88" t="s">
        <v>296</v>
      </c>
      <c r="C18" s="75" t="n">
        <v>1</v>
      </c>
      <c r="D18" s="75" t="n">
        <v>0.85</v>
      </c>
      <c r="E18" s="75" t="n">
        <v>0.75</v>
      </c>
      <c r="F18" s="91" t="n">
        <f aca="false">CHOOSE($C$4,C18,D18,E18)</f>
        <v>0.85</v>
      </c>
    </row>
    <row r="19" customFormat="false" ht="13.5" hidden="false" customHeight="true" outlineLevel="0" collapsed="false">
      <c r="A19" s="9" t="s">
        <v>299</v>
      </c>
      <c r="B19" s="9"/>
      <c r="C19" s="9"/>
      <c r="D19" s="9"/>
      <c r="E19" s="9"/>
      <c r="F19" s="9"/>
    </row>
    <row r="20" customFormat="false" ht="13.5" hidden="false" customHeight="true" outlineLevel="0" collapsed="false">
      <c r="A20" s="6" t="s">
        <v>300</v>
      </c>
      <c r="B20" s="88" t="s">
        <v>301</v>
      </c>
      <c r="C20" s="92" t="n">
        <f aca="false">Producto!$T$32*Hipótesis!$C$16*Hipótesis!$C$17</f>
        <v>45.4360114958231</v>
      </c>
      <c r="D20" s="92" t="n">
        <f aca="false">Producto!$T$32*Hipótesis!$D$16*Hipótesis!$D$17</f>
        <v>59.2643628206388</v>
      </c>
      <c r="E20" s="92" t="n">
        <f aca="false">Producto!$T$32*Hipótesis!$E$16*Hipótesis!$E$17</f>
        <v>70.6727526636118</v>
      </c>
      <c r="F20" s="84" t="n">
        <f aca="false">CHOOSE($C$4,C20,D20,E20)</f>
        <v>59.2643628206388</v>
      </c>
    </row>
    <row r="21" customFormat="false" ht="13.5" hidden="false" customHeight="true" outlineLevel="0" collapsed="false">
      <c r="A21" s="6" t="s">
        <v>302</v>
      </c>
      <c r="B21" s="88" t="s">
        <v>301</v>
      </c>
      <c r="C21" s="92" t="n">
        <f aca="false">Producto!$T$32/Producto!$D$5*Hipótesis!$C$16*Hipótesis!$C$17</f>
        <v>34.9507780737101</v>
      </c>
      <c r="D21" s="92" t="n">
        <f aca="false">Producto!$T$32/Producto!$D$5*Hipótesis!$D$16*Hipótesis!$D$17</f>
        <v>45.5879714004914</v>
      </c>
      <c r="E21" s="92" t="n">
        <f aca="false">Producto!$T$32/Producto!$D$5*Hipótesis!$E$16*Hipótesis!$E$17</f>
        <v>54.363655895086</v>
      </c>
      <c r="F21" s="84" t="n">
        <f aca="false">CHOOSE($C$4,C21,D21,E21)</f>
        <v>45.5879714004914</v>
      </c>
    </row>
    <row r="22" customFormat="false" ht="13.5" hidden="false" customHeight="true" outlineLevel="0" collapsed="false">
      <c r="A22" s="6" t="s">
        <v>303</v>
      </c>
      <c r="B22" s="88" t="s">
        <v>301</v>
      </c>
      <c r="C22" s="92" t="n">
        <f aca="false">Producto!$S$32*Hipótesis!$C$18</f>
        <v>8.05503682678133</v>
      </c>
      <c r="D22" s="92" t="n">
        <f aca="false">Producto!$S$32*Hipótesis!$D$18</f>
        <v>6.84678130276413</v>
      </c>
      <c r="E22" s="92" t="n">
        <f aca="false">Producto!$S$32*Hipótesis!$E$18</f>
        <v>6.041277620086</v>
      </c>
      <c r="F22" s="84" t="n">
        <f aca="false">CHOOSE($C$4,C22,D22,E22)</f>
        <v>6.84678130276413</v>
      </c>
    </row>
    <row r="23" customFormat="false" ht="13.5" hidden="false" customHeight="true" outlineLevel="0" collapsed="false">
      <c r="A23" s="6" t="s">
        <v>304</v>
      </c>
      <c r="B23" s="88" t="s">
        <v>305</v>
      </c>
      <c r="C23" s="93" t="n">
        <f aca="false">Producto!$M$32*Hipótesis!$C$17</f>
        <v>1.13805647410319</v>
      </c>
      <c r="D23" s="93" t="n">
        <f aca="false">Producto!$M$32*Hipótesis!$D$17</f>
        <v>1.23701790663391</v>
      </c>
      <c r="E23" s="93" t="n">
        <f aca="false">Producto!$M$32*Hipótesis!$E$17</f>
        <v>1.31123898103194</v>
      </c>
      <c r="F23" s="94" t="n">
        <f aca="false">CHOOSE($C$4,C23,D23,E23)</f>
        <v>1.23701790663391</v>
      </c>
    </row>
    <row r="24" customFormat="false" ht="13.5" hidden="false" customHeight="true" outlineLevel="0" collapsed="false">
      <c r="A24" s="6" t="s">
        <v>306</v>
      </c>
      <c r="B24" s="88" t="s">
        <v>307</v>
      </c>
      <c r="C24" s="93" t="n">
        <f aca="false">Producto!$J$32</f>
        <v>6.85271683046683</v>
      </c>
      <c r="D24" s="93" t="n">
        <f aca="false">Producto!$J$32</f>
        <v>6.85271683046683</v>
      </c>
      <c r="E24" s="93" t="n">
        <f aca="false">Producto!$J$32</f>
        <v>6.85271683046683</v>
      </c>
      <c r="F24" s="94" t="n">
        <f aca="false">CHOOSE($C$4,C24,D24,E24)</f>
        <v>6.85271683046683</v>
      </c>
    </row>
    <row r="25" customFormat="false" ht="13.5" hidden="false" customHeight="true" outlineLevel="0" collapsed="false">
      <c r="A25" s="9" t="s">
        <v>308</v>
      </c>
      <c r="B25" s="9"/>
      <c r="C25" s="9"/>
      <c r="D25" s="9"/>
      <c r="E25" s="9"/>
      <c r="F25" s="9"/>
    </row>
    <row r="26" customFormat="false" ht="13.5" hidden="false" customHeight="true" outlineLevel="0" collapsed="false">
      <c r="A26" s="6" t="s">
        <v>309</v>
      </c>
      <c r="B26" s="88" t="s">
        <v>310</v>
      </c>
      <c r="C26" s="85" t="n">
        <v>3</v>
      </c>
      <c r="D26" s="85" t="n">
        <v>3</v>
      </c>
      <c r="E26" s="85" t="n">
        <v>3</v>
      </c>
      <c r="F26" s="95" t="n">
        <f aca="false">CHOOSE($C$4,C26,D26,E26)</f>
        <v>3</v>
      </c>
    </row>
    <row r="27" customFormat="false" ht="13.5" hidden="false" customHeight="true" outlineLevel="0" collapsed="false">
      <c r="A27" s="6" t="s">
        <v>311</v>
      </c>
      <c r="B27" s="88" t="s">
        <v>310</v>
      </c>
      <c r="C27" s="85" t="n">
        <v>1</v>
      </c>
      <c r="D27" s="85" t="n">
        <v>1</v>
      </c>
      <c r="E27" s="85" t="n">
        <v>1</v>
      </c>
      <c r="F27" s="95" t="n">
        <f aca="false">CHOOSE($C$4,C27,D27,E27)</f>
        <v>1</v>
      </c>
    </row>
    <row r="28" customFormat="false" ht="13.5" hidden="false" customHeight="true" outlineLevel="0" collapsed="false">
      <c r="A28" s="6" t="s">
        <v>312</v>
      </c>
      <c r="B28" s="88" t="s">
        <v>313</v>
      </c>
      <c r="C28" s="24" t="n">
        <v>0.5</v>
      </c>
      <c r="D28" s="24" t="n">
        <v>0.5</v>
      </c>
      <c r="E28" s="24" t="n">
        <v>0.5</v>
      </c>
      <c r="F28" s="94" t="n">
        <f aca="false">CHOOSE($C$4,C28,D28,E28)</f>
        <v>0.5</v>
      </c>
    </row>
    <row r="29" customFormat="false" ht="13.5" hidden="false" customHeight="true" outlineLevel="0" collapsed="false">
      <c r="A29" s="6" t="s">
        <v>314</v>
      </c>
      <c r="B29" s="88" t="s">
        <v>315</v>
      </c>
      <c r="C29" s="85" t="n">
        <v>6</v>
      </c>
      <c r="D29" s="85" t="n">
        <v>6</v>
      </c>
      <c r="E29" s="85" t="n">
        <v>6</v>
      </c>
      <c r="F29" s="95" t="n">
        <f aca="false">CHOOSE($C$4,C29,D29,E29)</f>
        <v>6</v>
      </c>
    </row>
    <row r="30" customFormat="false" ht="13.5" hidden="false" customHeight="true" outlineLevel="0" collapsed="false">
      <c r="A30" s="6" t="s">
        <v>316</v>
      </c>
      <c r="B30" s="88" t="s">
        <v>296</v>
      </c>
      <c r="C30" s="75" t="n">
        <v>0.3</v>
      </c>
      <c r="D30" s="75" t="n">
        <v>0.3</v>
      </c>
      <c r="E30" s="75" t="n">
        <v>0.3</v>
      </c>
      <c r="F30" s="91" t="n">
        <f aca="false">CHOOSE($C$4,C30,D30,E30)</f>
        <v>0.3</v>
      </c>
    </row>
    <row r="31" customFormat="false" ht="13.5" hidden="false" customHeight="true" outlineLevel="0" collapsed="false">
      <c r="A31" s="6" t="s">
        <v>317</v>
      </c>
      <c r="B31" s="88" t="s">
        <v>296</v>
      </c>
      <c r="C31" s="75" t="n">
        <v>0</v>
      </c>
      <c r="D31" s="75" t="n">
        <v>0</v>
      </c>
      <c r="E31" s="75" t="n">
        <v>0</v>
      </c>
      <c r="F31" s="91" t="n">
        <f aca="false">CHOOSE($C$4,C31,D31,E31)</f>
        <v>0</v>
      </c>
    </row>
    <row r="32" customFormat="false" ht="13.5" hidden="false" customHeight="true" outlineLevel="0" collapsed="false">
      <c r="A32" s="6" t="s">
        <v>318</v>
      </c>
      <c r="B32" s="88" t="s">
        <v>296</v>
      </c>
      <c r="C32" s="75" t="n">
        <v>0.55</v>
      </c>
      <c r="D32" s="75" t="n">
        <v>0.55</v>
      </c>
      <c r="E32" s="75" t="n">
        <v>0.55</v>
      </c>
      <c r="F32" s="91" t="n">
        <f aca="false">CHOOSE($C$4,C32,D32,E32)</f>
        <v>0.55</v>
      </c>
    </row>
    <row r="33" customFormat="false" ht="13.5" hidden="false" customHeight="true" outlineLevel="0" collapsed="false">
      <c r="A33" s="6" t="s">
        <v>319</v>
      </c>
      <c r="B33" s="88" t="s">
        <v>320</v>
      </c>
      <c r="C33" s="85" t="n">
        <v>36</v>
      </c>
      <c r="D33" s="85" t="n">
        <v>36</v>
      </c>
      <c r="E33" s="85" t="n">
        <v>36</v>
      </c>
      <c r="F33" s="95" t="n">
        <f aca="false">CHOOSE($C$4,C33,D33,E33)</f>
        <v>36</v>
      </c>
    </row>
    <row r="34" customFormat="false" ht="13.5" hidden="false" customHeight="true" outlineLevel="0" collapsed="false">
      <c r="A34" s="6" t="s">
        <v>321</v>
      </c>
      <c r="B34" s="88" t="s">
        <v>296</v>
      </c>
      <c r="C34" s="75" t="n">
        <v>0.1</v>
      </c>
      <c r="D34" s="75" t="n">
        <v>0.1</v>
      </c>
      <c r="E34" s="75" t="n">
        <v>0.1</v>
      </c>
      <c r="F34" s="91" t="n">
        <f aca="false">CHOOSE($C$4,C34,D34,E34)</f>
        <v>0.1</v>
      </c>
    </row>
    <row r="35" customFormat="false" ht="13.5" hidden="false" customHeight="true" outlineLevel="0" collapsed="false">
      <c r="A35" s="9" t="s">
        <v>322</v>
      </c>
      <c r="B35" s="9"/>
      <c r="C35" s="9"/>
      <c r="D35" s="9"/>
      <c r="E35" s="9"/>
      <c r="F35" s="9"/>
    </row>
    <row r="36" customFormat="false" ht="13.5" hidden="false" customHeight="true" outlineLevel="0" collapsed="false">
      <c r="A36" s="6" t="s">
        <v>323</v>
      </c>
      <c r="B36" s="88" t="s">
        <v>163</v>
      </c>
      <c r="C36" s="96" t="n">
        <v>2250</v>
      </c>
      <c r="D36" s="96" t="n">
        <v>2000</v>
      </c>
      <c r="E36" s="96" t="n">
        <v>1800</v>
      </c>
      <c r="F36" s="97" t="n">
        <f aca="false">CHOOSE($C$4,C36,D36,E36)</f>
        <v>2000</v>
      </c>
    </row>
    <row r="37" customFormat="false" ht="13.5" hidden="false" customHeight="true" outlineLevel="0" collapsed="false">
      <c r="A37" s="6" t="s">
        <v>324</v>
      </c>
      <c r="B37" s="88" t="s">
        <v>163</v>
      </c>
      <c r="C37" s="96" t="n">
        <v>400</v>
      </c>
      <c r="D37" s="96" t="n">
        <v>1000</v>
      </c>
      <c r="E37" s="96" t="n">
        <v>300</v>
      </c>
      <c r="F37" s="97" t="n">
        <f aca="false">CHOOSE($C$4,C37,D37,E37)</f>
        <v>1000</v>
      </c>
    </row>
    <row r="38" customFormat="false" ht="13.5" hidden="false" customHeight="true" outlineLevel="0" collapsed="false">
      <c r="A38" s="6" t="s">
        <v>325</v>
      </c>
      <c r="B38" s="88" t="s">
        <v>326</v>
      </c>
      <c r="C38" s="24" t="n">
        <v>0.75</v>
      </c>
      <c r="D38" s="24" t="n">
        <v>0.55</v>
      </c>
      <c r="E38" s="24" t="n">
        <v>0.55</v>
      </c>
      <c r="F38" s="94" t="n">
        <f aca="false">CHOOSE($C$4,C38,D38,E38)</f>
        <v>0.55</v>
      </c>
    </row>
    <row r="39" customFormat="false" ht="13.5" hidden="false" customHeight="true" outlineLevel="0" collapsed="false">
      <c r="A39" s="6" t="s">
        <v>327</v>
      </c>
      <c r="B39" s="88" t="s">
        <v>163</v>
      </c>
      <c r="C39" s="96" t="n">
        <v>700</v>
      </c>
      <c r="D39" s="96" t="n">
        <v>800</v>
      </c>
      <c r="E39" s="96" t="n">
        <v>500</v>
      </c>
      <c r="F39" s="97" t="n">
        <f aca="false">CHOOSE($C$4,C39,D39,E39)</f>
        <v>800</v>
      </c>
    </row>
    <row r="40" customFormat="false" ht="13.5" hidden="false" customHeight="true" outlineLevel="0" collapsed="false">
      <c r="A40" s="6" t="s">
        <v>328</v>
      </c>
      <c r="B40" s="88" t="s">
        <v>163</v>
      </c>
      <c r="C40" s="96" t="n">
        <v>700</v>
      </c>
      <c r="D40" s="96" t="n">
        <v>500</v>
      </c>
      <c r="E40" s="96" t="n">
        <v>500</v>
      </c>
      <c r="F40" s="97" t="n">
        <f aca="false">CHOOSE($C$4,C40,D40,E40)</f>
        <v>500</v>
      </c>
    </row>
    <row r="41" customFormat="false" ht="13.5" hidden="false" customHeight="true" outlineLevel="0" collapsed="false">
      <c r="A41" s="9" t="s">
        <v>329</v>
      </c>
      <c r="B41" s="9"/>
      <c r="C41" s="9"/>
      <c r="D41" s="9"/>
      <c r="E41" s="9"/>
      <c r="F41" s="9"/>
      <c r="G41" s="9"/>
    </row>
    <row r="42" customFormat="false" ht="13.5" hidden="false" customHeight="true" outlineLevel="0" collapsed="false">
      <c r="A42" s="6" t="s">
        <v>330</v>
      </c>
      <c r="B42" s="88" t="s">
        <v>296</v>
      </c>
      <c r="D42" s="75" t="n">
        <v>0.32</v>
      </c>
    </row>
    <row r="43" customFormat="false" ht="13.5" hidden="false" customHeight="true" outlineLevel="0" collapsed="false">
      <c r="A43" s="22" t="s">
        <v>331</v>
      </c>
      <c r="C43" s="87" t="s">
        <v>332</v>
      </c>
      <c r="D43" s="87" t="s">
        <v>333</v>
      </c>
      <c r="E43" s="87" t="s">
        <v>334</v>
      </c>
      <c r="F43" s="87" t="s">
        <v>335</v>
      </c>
      <c r="G43" s="87" t="s">
        <v>336</v>
      </c>
      <c r="H43" s="87" t="s">
        <v>337</v>
      </c>
      <c r="I43" s="87" t="s">
        <v>338</v>
      </c>
    </row>
    <row r="44" customFormat="false" ht="13.5" hidden="false" customHeight="true" outlineLevel="0" collapsed="false">
      <c r="A44" s="6" t="s">
        <v>339</v>
      </c>
      <c r="C44" s="96" t="n">
        <v>2200</v>
      </c>
      <c r="D44" s="96" t="n">
        <v>3500</v>
      </c>
      <c r="E44" s="96" t="n">
        <v>4000</v>
      </c>
      <c r="F44" s="96" t="n">
        <v>4500</v>
      </c>
      <c r="G44" s="96" t="n">
        <v>5000</v>
      </c>
      <c r="H44" s="96" t="n">
        <v>5500</v>
      </c>
      <c r="I44" s="96" t="n">
        <v>6000</v>
      </c>
    </row>
    <row r="45" customFormat="false" ht="13.5" hidden="false" customHeight="true" outlineLevel="0" collapsed="false">
      <c r="A45" s="6" t="s">
        <v>340</v>
      </c>
      <c r="B45" s="88" t="s">
        <v>341</v>
      </c>
      <c r="D45" s="75" t="n">
        <v>0.03</v>
      </c>
    </row>
    <row r="46" customFormat="false" ht="13.5" hidden="false" customHeight="true" outlineLevel="0" collapsed="false">
      <c r="A46" s="4" t="s">
        <v>342</v>
      </c>
    </row>
    <row r="47" customFormat="false" ht="13.5" hidden="false" customHeight="true" outlineLevel="0" collapsed="false">
      <c r="A47" s="10" t="s">
        <v>343</v>
      </c>
      <c r="B47" s="87" t="s">
        <v>344</v>
      </c>
      <c r="C47" s="87" t="s">
        <v>345</v>
      </c>
      <c r="D47" s="87" t="s">
        <v>346</v>
      </c>
      <c r="E47" s="87" t="s">
        <v>347</v>
      </c>
      <c r="F47" s="87" t="s">
        <v>348</v>
      </c>
      <c r="G47" s="87" t="s">
        <v>349</v>
      </c>
    </row>
    <row r="48" customFormat="false" ht="13.5" hidden="false" customHeight="true" outlineLevel="0" collapsed="false">
      <c r="A48" s="6" t="s">
        <v>350</v>
      </c>
      <c r="B48" s="85" t="n">
        <v>1</v>
      </c>
      <c r="C48" s="96" t="n">
        <v>2250</v>
      </c>
      <c r="D48" s="85" t="n">
        <v>1</v>
      </c>
      <c r="E48" s="98" t="n">
        <f aca="false">B48*IF(G48=1,Hipótesis!$C$44,C48)*(1+Hipótesis!$D$42)</f>
        <v>2904</v>
      </c>
      <c r="F48" s="85" t="n">
        <v>0</v>
      </c>
      <c r="G48" s="85" t="n">
        <v>1</v>
      </c>
    </row>
    <row r="49" customFormat="false" ht="13.5" hidden="false" customHeight="true" outlineLevel="0" collapsed="false">
      <c r="A49" s="6" t="s">
        <v>351</v>
      </c>
      <c r="B49" s="85" t="n">
        <v>1</v>
      </c>
      <c r="C49" s="96" t="n">
        <v>2250</v>
      </c>
      <c r="D49" s="85" t="n">
        <v>1</v>
      </c>
      <c r="E49" s="98" t="n">
        <f aca="false">B49*IF(G49=1,Hipótesis!$C$44,C49)*(1+Hipótesis!$D$42)</f>
        <v>2904</v>
      </c>
      <c r="F49" s="85" t="n">
        <v>0</v>
      </c>
      <c r="G49" s="85" t="n">
        <v>1</v>
      </c>
    </row>
    <row r="50" customFormat="false" ht="13.5" hidden="false" customHeight="true" outlineLevel="0" collapsed="false">
      <c r="A50" s="6" t="s">
        <v>352</v>
      </c>
      <c r="B50" s="85" t="n">
        <v>1</v>
      </c>
      <c r="C50" s="96" t="n">
        <v>2250</v>
      </c>
      <c r="D50" s="85" t="n">
        <v>1</v>
      </c>
      <c r="E50" s="98" t="n">
        <f aca="false">B50*IF(G50=1,Hipótesis!$C$44,C50)*(1+Hipótesis!$D$42)</f>
        <v>2904</v>
      </c>
      <c r="F50" s="85" t="n">
        <v>160</v>
      </c>
      <c r="G50" s="85" t="n">
        <v>1</v>
      </c>
    </row>
    <row r="51" customFormat="false" ht="13.5" hidden="false" customHeight="true" outlineLevel="0" collapsed="false">
      <c r="A51" s="6" t="s">
        <v>353</v>
      </c>
      <c r="B51" s="85" t="n">
        <v>1</v>
      </c>
      <c r="C51" s="96" t="n">
        <v>2000</v>
      </c>
      <c r="D51" s="85" t="n">
        <v>1</v>
      </c>
      <c r="E51" s="98" t="n">
        <f aca="false">B51*IF(G51=1,Hipótesis!$C$44,C51)*(1+Hipótesis!$D$42)</f>
        <v>2640</v>
      </c>
      <c r="F51" s="85" t="n">
        <v>160</v>
      </c>
      <c r="G51" s="85" t="n">
        <v>0</v>
      </c>
    </row>
    <row r="52" customFormat="false" ht="13.5" hidden="false" customHeight="true" outlineLevel="0" collapsed="false">
      <c r="A52" s="6" t="s">
        <v>354</v>
      </c>
      <c r="B52" s="85" t="n">
        <v>1</v>
      </c>
      <c r="C52" s="96" t="n">
        <v>2000</v>
      </c>
      <c r="D52" s="85" t="n">
        <v>20</v>
      </c>
      <c r="E52" s="98" t="n">
        <f aca="false">B52*IF(G52=1,Hipótesis!$C$44,C52)*(1+Hipótesis!$D$42)</f>
        <v>2640</v>
      </c>
      <c r="F52" s="85" t="n">
        <v>0</v>
      </c>
      <c r="G52" s="85" t="n">
        <v>0</v>
      </c>
    </row>
    <row r="53" customFormat="false" ht="13.5" hidden="false" customHeight="true" outlineLevel="0" collapsed="false">
      <c r="A53" s="61" t="s">
        <v>355</v>
      </c>
      <c r="B53" s="99" t="n">
        <v>0</v>
      </c>
      <c r="C53" s="100" t="n">
        <v>1700</v>
      </c>
      <c r="D53" s="99" t="n">
        <v>24</v>
      </c>
      <c r="E53" s="98" t="n">
        <f aca="false">B53*IF(G53=1,Hipótesis!$C$44,C53)*(1+Hipótesis!$D$42)</f>
        <v>0</v>
      </c>
      <c r="F53" s="99" t="n">
        <v>160</v>
      </c>
      <c r="G53" s="99" t="n">
        <v>0</v>
      </c>
    </row>
    <row r="54" customFormat="false" ht="13.5" hidden="false" customHeight="true" outlineLevel="0" collapsed="false">
      <c r="A54" s="6" t="s">
        <v>356</v>
      </c>
      <c r="E54" s="79" t="n">
        <f aca="false">SUMPRODUCT($B$48:$B$53,IF($G$48:$G$53=1,Hipótesis!$I$44,$C$48:$C$53*(1+Hipótesis!$D$45)^6))*(1+Hipótesis!$D$42)</f>
        <v>30064.5961256731</v>
      </c>
    </row>
    <row r="55" customFormat="false" ht="13.5" hidden="false" customHeight="true" outlineLevel="0" collapsed="false">
      <c r="A55" s="6" t="s">
        <v>357</v>
      </c>
      <c r="E55" s="97" t="n">
        <f aca="false">SUMPRODUCT(($D$48:$D$53&lt;=1)*($B$48:$B$53)*IF($G$48:$G$53=1,Hipótesis!$C$44,$C$48:$C$53))*(1+Hipótesis!$D$42)</f>
        <v>11352</v>
      </c>
    </row>
    <row r="56" customFormat="false" ht="13.5" hidden="false" customHeight="true" outlineLevel="0" collapsed="false">
      <c r="A56" s="22" t="s">
        <v>358</v>
      </c>
      <c r="B56" s="88" t="s">
        <v>359</v>
      </c>
      <c r="D56" s="96" t="n">
        <v>200000</v>
      </c>
    </row>
    <row r="57" customFormat="false" ht="13.5" hidden="false" customHeight="true" outlineLevel="0" collapsed="false">
      <c r="A57" s="22" t="s">
        <v>360</v>
      </c>
      <c r="C57" s="52" t="n">
        <f aca="false">IFERROR(MAX(0,((Hipótesis!$D$56-CAPEX!$E$22)/CAPEX!$C$23-(Hipótesis!$C$36+Hipótesis!$C$37+Hipótesis!$C$39+Hipótesis!$C$40)-SUMPRODUCT(($D$48:$D$53&lt;=1)*($B$48:$B$53)*($G$48:$G$53=0)*($C$48:$C$53))*(1+Hipótesis!$D$42))/(SUMPRODUCT(($D$48:$D$53&lt;=1)*($B$48:$B$53)*($G$48:$G$53=1))*(1+Hipótesis!$D$42))),0)</f>
        <v>5433.71212121212</v>
      </c>
      <c r="D57" s="52" t="n">
        <f aca="false">IFERROR(MAX(0,((Hipótesis!$D$56-CAPEX!$F$22)/CAPEX!$C$23-(Hipótesis!$D$36+Hipótesis!$D$37+Hipótesis!$D$39+Hipótesis!$D$40)-SUMPRODUCT(($D$48:$D$53&lt;=1)*($B$48:$B$53)*($G$48:$G$53=0)*($C$48:$C$53))*(1+Hipótesis!$D$42))/(SUMPRODUCT(($D$48:$D$53&lt;=1)*($B$48:$B$53)*($G$48:$G$53=1))*(1+Hipótesis!$D$42))),0)</f>
        <v>4644.57070707071</v>
      </c>
      <c r="E57" s="52" t="n">
        <f aca="false">IFERROR(MAX(0,((Hipótesis!$D$56-CAPEX!$G$22)/CAPEX!$C$23-(Hipótesis!$E$36+Hipótesis!$E$37+Hipótesis!$E$39+Hipótesis!$E$40)-SUMPRODUCT(($D$48:$D$53&lt;=1)*($B$48:$B$53)*($G$48:$G$53=0)*($C$48:$C$53))*(1+Hipótesis!$D$42))/(SUMPRODUCT(($D$48:$D$53&lt;=1)*($B$48:$B$53)*($G$48:$G$53=1))*(1+Hipótesis!$D$42))),0)</f>
        <v>3132.57575757576</v>
      </c>
      <c r="F57" s="81" t="n">
        <f aca="false">CHOOSE($C$4,C57,D57,E57)</f>
        <v>4644.57070707071</v>
      </c>
    </row>
    <row r="58" customFormat="false" ht="13.5" hidden="false" customHeight="true" outlineLevel="0" collapsed="false">
      <c r="A58" s="4" t="s">
        <v>361</v>
      </c>
    </row>
    <row r="59" customFormat="false" ht="13.5" hidden="false" customHeight="true" outlineLevel="0" collapsed="false">
      <c r="A59" s="6" t="s">
        <v>362</v>
      </c>
      <c r="E59" s="95" t="n">
        <f aca="false">SUMPRODUCT($B$48:$B$53,$F$48:$F$53)</f>
        <v>320</v>
      </c>
    </row>
    <row r="60" customFormat="false" ht="13.5" hidden="false" customHeight="true" outlineLevel="0" collapsed="false">
      <c r="A60" s="22" t="s">
        <v>363</v>
      </c>
    </row>
    <row r="61" customFormat="false" ht="13.5" hidden="false" customHeight="true" outlineLevel="0" collapsed="false">
      <c r="A61" s="6" t="s">
        <v>364</v>
      </c>
      <c r="B61" s="88" t="s">
        <v>163</v>
      </c>
      <c r="D61" s="96" t="n">
        <v>1700</v>
      </c>
    </row>
    <row r="62" customFormat="false" ht="13.5" hidden="false" customHeight="true" outlineLevel="0" collapsed="false">
      <c r="A62" s="6" t="s">
        <v>365</v>
      </c>
      <c r="B62" s="88" t="s">
        <v>163</v>
      </c>
      <c r="D62" s="98" t="n">
        <f aca="false">Hipótesis!$D$61*(1+Hipótesis!$D$42)</f>
        <v>2244</v>
      </c>
    </row>
    <row r="63" customFormat="false" ht="13.5" hidden="false" customHeight="true" outlineLevel="0" collapsed="false">
      <c r="A63" s="6" t="s">
        <v>366</v>
      </c>
      <c r="B63" s="88" t="s">
        <v>367</v>
      </c>
      <c r="D63" s="85" t="n">
        <v>160</v>
      </c>
    </row>
    <row r="64" customFormat="false" ht="13.5" hidden="false" customHeight="true" outlineLevel="0" collapsed="false">
      <c r="A64" s="4" t="s">
        <v>368</v>
      </c>
    </row>
    <row r="65" customFormat="false" ht="13.5" hidden="false" customHeight="true" outlineLevel="0" collapsed="false">
      <c r="A65" s="9" t="s">
        <v>369</v>
      </c>
      <c r="B65" s="9"/>
      <c r="C65" s="9"/>
      <c r="D65" s="9"/>
      <c r="E65" s="9"/>
      <c r="F65" s="9"/>
    </row>
    <row r="66" customFormat="false" ht="13.5" hidden="false" customHeight="true" outlineLevel="0" collapsed="false">
      <c r="A66" s="6" t="s">
        <v>370</v>
      </c>
      <c r="B66" s="88" t="s">
        <v>371</v>
      </c>
      <c r="C66" s="85" t="n">
        <v>40</v>
      </c>
      <c r="D66" s="85" t="n">
        <v>30</v>
      </c>
      <c r="E66" s="85" t="n">
        <v>25</v>
      </c>
      <c r="F66" s="95" t="n">
        <f aca="false">CHOOSE($C$4,C66,D66,E66)</f>
        <v>30</v>
      </c>
    </row>
    <row r="67" customFormat="false" ht="13.5" hidden="false" customHeight="true" outlineLevel="0" collapsed="false">
      <c r="A67" s="6" t="s">
        <v>372</v>
      </c>
      <c r="B67" s="88" t="s">
        <v>371</v>
      </c>
      <c r="C67" s="85" t="n">
        <v>30</v>
      </c>
      <c r="D67" s="85" t="n">
        <v>30</v>
      </c>
      <c r="E67" s="85" t="n">
        <v>45</v>
      </c>
      <c r="F67" s="95" t="n">
        <f aca="false">CHOOSE($C$4,C67,D67,E67)</f>
        <v>30</v>
      </c>
    </row>
    <row r="68" customFormat="false" ht="13.5" hidden="false" customHeight="true" outlineLevel="0" collapsed="false">
      <c r="A68" s="6" t="s">
        <v>373</v>
      </c>
      <c r="B68" s="88" t="s">
        <v>296</v>
      </c>
      <c r="D68" s="75" t="n">
        <v>0.02</v>
      </c>
    </row>
    <row r="69" customFormat="false" ht="13.5" hidden="false" customHeight="true" outlineLevel="0" collapsed="false">
      <c r="A69" s="9" t="s">
        <v>374</v>
      </c>
      <c r="B69" s="9"/>
      <c r="C69" s="9"/>
      <c r="D69" s="9"/>
      <c r="E69" s="9"/>
      <c r="F69" s="9"/>
    </row>
    <row r="70" customFormat="false" ht="13.5" hidden="false" customHeight="true" outlineLevel="0" collapsed="false">
      <c r="A70" s="6" t="s">
        <v>375</v>
      </c>
      <c r="B70" s="88" t="s">
        <v>359</v>
      </c>
      <c r="D70" s="96" t="n">
        <v>50000</v>
      </c>
    </row>
    <row r="71" customFormat="false" ht="13.5" hidden="false" customHeight="true" outlineLevel="0" collapsed="false">
      <c r="A71" s="6" t="s">
        <v>376</v>
      </c>
      <c r="B71" s="88" t="s">
        <v>296</v>
      </c>
      <c r="D71" s="75" t="n">
        <v>0.055</v>
      </c>
    </row>
    <row r="72" customFormat="false" ht="13.5" hidden="false" customHeight="true" outlineLevel="0" collapsed="false">
      <c r="A72" s="6" t="s">
        <v>377</v>
      </c>
      <c r="B72" s="88" t="s">
        <v>359</v>
      </c>
      <c r="D72" s="96" t="n">
        <v>30000</v>
      </c>
    </row>
    <row r="73" customFormat="false" ht="13.5" hidden="false" customHeight="true" outlineLevel="0" collapsed="false">
      <c r="A73" s="6" t="s">
        <v>378</v>
      </c>
      <c r="B73" s="88" t="s">
        <v>296</v>
      </c>
      <c r="D73" s="75" t="n">
        <v>0.6</v>
      </c>
    </row>
    <row r="74" customFormat="false" ht="13.5" hidden="false" customHeight="true" outlineLevel="0" collapsed="false">
      <c r="A74" s="6" t="s">
        <v>379</v>
      </c>
      <c r="B74" s="88" t="s">
        <v>296</v>
      </c>
      <c r="D74" s="75" t="n">
        <v>0.075</v>
      </c>
    </row>
    <row r="75" customFormat="false" ht="13.5" hidden="false" customHeight="true" outlineLevel="0" collapsed="false">
      <c r="A75" s="9" t="s">
        <v>380</v>
      </c>
      <c r="B75" s="9"/>
      <c r="C75" s="9"/>
      <c r="D75" s="9"/>
      <c r="E75" s="9"/>
      <c r="F75" s="9"/>
    </row>
    <row r="76" customFormat="false" ht="13.5" hidden="false" customHeight="true" outlineLevel="0" collapsed="false">
      <c r="A76" s="6" t="s">
        <v>381</v>
      </c>
      <c r="B76" s="88" t="s">
        <v>315</v>
      </c>
      <c r="D76" s="85" t="n">
        <v>37</v>
      </c>
    </row>
    <row r="77" customFormat="false" ht="13.5" hidden="false" customHeight="true" outlineLevel="0" collapsed="false">
      <c r="A77" s="6" t="s">
        <v>382</v>
      </c>
      <c r="B77" s="88" t="s">
        <v>296</v>
      </c>
      <c r="D77" s="75" t="n">
        <v>0.4</v>
      </c>
    </row>
    <row r="78" customFormat="false" ht="13.5" hidden="false" customHeight="true" outlineLevel="0" collapsed="false">
      <c r="A78" s="6" t="s">
        <v>383</v>
      </c>
      <c r="B78" s="88" t="s">
        <v>315</v>
      </c>
      <c r="D78" s="85" t="n">
        <v>37</v>
      </c>
    </row>
    <row r="79" customFormat="false" ht="13.5" hidden="false" customHeight="true" outlineLevel="0" collapsed="false">
      <c r="A79" s="6" t="s">
        <v>384</v>
      </c>
      <c r="B79" s="88" t="s">
        <v>296</v>
      </c>
      <c r="D79" s="75" t="n">
        <v>0.5</v>
      </c>
    </row>
    <row r="80" customFormat="false" ht="13.5" hidden="false" customHeight="true" outlineLevel="0" collapsed="false">
      <c r="A80" s="6" t="s">
        <v>385</v>
      </c>
      <c r="B80" s="88" t="s">
        <v>359</v>
      </c>
      <c r="D80" s="96" t="n">
        <v>60000</v>
      </c>
    </row>
    <row r="81" customFormat="false" ht="13.5" hidden="false" customHeight="true" outlineLevel="0" collapsed="false">
      <c r="A81" s="6" t="s">
        <v>386</v>
      </c>
      <c r="B81" s="88" t="s">
        <v>359</v>
      </c>
      <c r="D81" s="96" t="n">
        <v>100030</v>
      </c>
    </row>
    <row r="82" customFormat="false" ht="13.5" hidden="false" customHeight="true" outlineLevel="0" collapsed="false">
      <c r="A82" s="6" t="s">
        <v>387</v>
      </c>
      <c r="B82" s="88" t="s">
        <v>296</v>
      </c>
      <c r="D82" s="75" t="n">
        <v>0.3</v>
      </c>
    </row>
    <row r="83" customFormat="false" ht="13.5" hidden="false" customHeight="true" outlineLevel="0" collapsed="false">
      <c r="A83" s="6" t="s">
        <v>388</v>
      </c>
      <c r="B83" s="88" t="s">
        <v>296</v>
      </c>
      <c r="D83" s="75" t="n">
        <v>0.3</v>
      </c>
    </row>
    <row r="84" customFormat="false" ht="13.5" hidden="false" customHeight="true" outlineLevel="0" collapsed="false">
      <c r="A84" s="6" t="s">
        <v>389</v>
      </c>
      <c r="B84" s="88" t="s">
        <v>296</v>
      </c>
      <c r="D84" s="75" t="n">
        <v>0.21</v>
      </c>
    </row>
    <row r="85" customFormat="false" ht="13.5" hidden="false" customHeight="true" outlineLevel="0" collapsed="false">
      <c r="A85" s="9" t="s">
        <v>390</v>
      </c>
      <c r="B85" s="9"/>
      <c r="C85" s="9"/>
      <c r="D85" s="9"/>
      <c r="E85" s="9"/>
      <c r="F85" s="9"/>
    </row>
    <row r="86" customFormat="false" ht="13.5" hidden="false" customHeight="true" outlineLevel="0" collapsed="false">
      <c r="A86" s="6" t="s">
        <v>391</v>
      </c>
      <c r="B86" s="88" t="s">
        <v>392</v>
      </c>
      <c r="C86" s="26" t="n">
        <v>7</v>
      </c>
      <c r="D86" s="26" t="n">
        <v>7</v>
      </c>
      <c r="E86" s="26" t="n">
        <v>7</v>
      </c>
      <c r="F86" s="28" t="n">
        <f aca="false">CHOOSE($C$4,C86,D86,E86)</f>
        <v>7</v>
      </c>
    </row>
    <row r="87" customFormat="false" ht="13.5" hidden="false" customHeight="true" outlineLevel="0" collapsed="false">
      <c r="A87" s="6" t="s">
        <v>393</v>
      </c>
      <c r="B87" s="88" t="s">
        <v>296</v>
      </c>
      <c r="C87" s="75" t="n">
        <v>0.15</v>
      </c>
      <c r="D87" s="75" t="n">
        <v>0.15</v>
      </c>
      <c r="E87" s="75" t="n">
        <v>0.15</v>
      </c>
      <c r="F87" s="91" t="n">
        <f aca="false">CHOOSE($C$4,C87,D87,E87)</f>
        <v>0.15</v>
      </c>
    </row>
    <row r="88" customFormat="false" ht="13.5" hidden="false" customHeight="true" outlineLevel="0" collapsed="false">
      <c r="A88" s="6" t="s">
        <v>394</v>
      </c>
      <c r="B88" s="88" t="s">
        <v>296</v>
      </c>
      <c r="C88" s="75" t="n">
        <v>0.25</v>
      </c>
      <c r="D88" s="75" t="n">
        <v>0.25</v>
      </c>
      <c r="E88" s="75" t="n">
        <v>0.25</v>
      </c>
      <c r="F88" s="91" t="n">
        <f aca="false">CHOOSE($C$4,C88,D88,E88)</f>
        <v>0.25</v>
      </c>
    </row>
    <row r="89" customFormat="false" ht="13.5" hidden="false" customHeight="true" outlineLevel="0" collapsed="false">
      <c r="A89" s="6" t="s">
        <v>395</v>
      </c>
      <c r="B89" s="88" t="s">
        <v>396</v>
      </c>
      <c r="D89" s="85" t="n">
        <v>4</v>
      </c>
    </row>
    <row r="90" customFormat="false" ht="13.5" hidden="false" customHeight="true" outlineLevel="0" collapsed="false">
      <c r="A90" s="9" t="s">
        <v>397</v>
      </c>
      <c r="B90" s="9"/>
      <c r="C90" s="9"/>
      <c r="D90" s="9"/>
      <c r="E90" s="9"/>
      <c r="F90" s="9"/>
    </row>
    <row r="91" customFormat="false" ht="13.5" hidden="false" customHeight="true" outlineLevel="0" collapsed="false">
      <c r="A91" s="6" t="s">
        <v>398</v>
      </c>
      <c r="B91" s="88" t="s">
        <v>399</v>
      </c>
      <c r="D91" s="85" t="n">
        <v>1</v>
      </c>
    </row>
    <row r="92" customFormat="false" ht="13.5" hidden="false" customHeight="true" outlineLevel="0" collapsed="false">
      <c r="A92" s="6" t="s">
        <v>400</v>
      </c>
      <c r="B92" s="88" t="s">
        <v>359</v>
      </c>
      <c r="D92" s="96" t="n">
        <v>100000</v>
      </c>
    </row>
    <row r="93" customFormat="false" ht="13.5" hidden="false" customHeight="true" outlineLevel="0" collapsed="false">
      <c r="A93" s="6" t="s">
        <v>401</v>
      </c>
      <c r="B93" s="88" t="s">
        <v>359</v>
      </c>
      <c r="D93" s="98" t="n">
        <f aca="false">Hipótesis!$D$91*Hipótesis!$D$92</f>
        <v>100000</v>
      </c>
    </row>
    <row r="94" customFormat="false" ht="13.5" hidden="false" customHeight="true" outlineLevel="0" collapsed="false">
      <c r="A94" s="6" t="s">
        <v>402</v>
      </c>
      <c r="B94" s="88" t="s">
        <v>403</v>
      </c>
      <c r="D94" s="85" t="n">
        <v>5</v>
      </c>
    </row>
    <row r="95" customFormat="false" ht="13.5" hidden="false" customHeight="true" outlineLevel="0" collapsed="false">
      <c r="A95" s="6" t="s">
        <v>404</v>
      </c>
      <c r="B95" s="88" t="s">
        <v>296</v>
      </c>
      <c r="D95" s="75" t="n">
        <v>0.08</v>
      </c>
    </row>
    <row r="96" customFormat="false" ht="13.5" hidden="false" customHeight="true" outlineLevel="0" collapsed="false">
      <c r="A96" s="6" t="s">
        <v>405</v>
      </c>
      <c r="B96" s="88" t="s">
        <v>320</v>
      </c>
      <c r="D96" s="85" t="n">
        <v>48</v>
      </c>
    </row>
    <row r="97" customFormat="false" ht="13.5" hidden="false" customHeight="true" outlineLevel="0" collapsed="false">
      <c r="A97" s="6" t="s">
        <v>406</v>
      </c>
      <c r="B97" s="88" t="s">
        <v>320</v>
      </c>
      <c r="D97" s="85" t="n">
        <v>6</v>
      </c>
    </row>
    <row r="98" customFormat="false" ht="13.5" hidden="false" customHeight="true" outlineLevel="0" collapsed="false">
      <c r="A98" s="6" t="s">
        <v>407</v>
      </c>
      <c r="B98" s="88" t="s">
        <v>296</v>
      </c>
      <c r="D98" s="75" t="n">
        <v>0.05</v>
      </c>
    </row>
    <row r="99" customFormat="false" ht="13.5" hidden="false" customHeight="true" outlineLevel="0" collapsed="false">
      <c r="A99" s="6" t="s">
        <v>408</v>
      </c>
      <c r="B99" s="88" t="s">
        <v>296</v>
      </c>
      <c r="D99" s="75" t="n">
        <v>0.4</v>
      </c>
    </row>
    <row r="100" customFormat="false" ht="13.5" hidden="false" customHeight="true" outlineLevel="0" collapsed="false">
      <c r="A100" s="6" t="s">
        <v>409</v>
      </c>
      <c r="B100" s="88" t="s">
        <v>296</v>
      </c>
      <c r="D100" s="75" t="n">
        <v>0.13</v>
      </c>
    </row>
    <row r="101" customFormat="false" ht="13.5" hidden="false" customHeight="true" outlineLevel="0" collapsed="false">
      <c r="A101" s="6" t="s">
        <v>410</v>
      </c>
      <c r="B101" s="88" t="s">
        <v>411</v>
      </c>
      <c r="D101" s="101" t="n">
        <v>2</v>
      </c>
    </row>
    <row r="102" customFormat="false" ht="13.5" hidden="false" customHeight="true" outlineLevel="0" collapsed="false">
      <c r="A102" s="9" t="s">
        <v>412</v>
      </c>
      <c r="B102" s="9"/>
      <c r="C102" s="9"/>
      <c r="D102" s="9"/>
      <c r="E102" s="9"/>
      <c r="F102" s="9"/>
    </row>
    <row r="103" customFormat="false" ht="13.5" hidden="false" customHeight="true" outlineLevel="0" collapsed="false">
      <c r="A103" s="6" t="s">
        <v>398</v>
      </c>
      <c r="B103" s="88" t="s">
        <v>399</v>
      </c>
      <c r="D103" s="85" t="n">
        <v>1</v>
      </c>
    </row>
    <row r="104" customFormat="false" ht="13.5" hidden="false" customHeight="true" outlineLevel="0" collapsed="false">
      <c r="A104" s="6" t="s">
        <v>413</v>
      </c>
      <c r="B104" s="88" t="s">
        <v>359</v>
      </c>
      <c r="D104" s="96" t="n">
        <v>100000</v>
      </c>
    </row>
    <row r="105" customFormat="false" ht="13.5" hidden="false" customHeight="true" outlineLevel="0" collapsed="false">
      <c r="A105" s="6" t="s">
        <v>414</v>
      </c>
      <c r="B105" s="88" t="s">
        <v>359</v>
      </c>
      <c r="D105" s="98" t="n">
        <f aca="false">Hipótesis!$D$103*Hipótesis!$D$104</f>
        <v>100000</v>
      </c>
    </row>
    <row r="106" customFormat="false" ht="13.5" hidden="false" customHeight="true" outlineLevel="0" collapsed="false">
      <c r="A106" s="6" t="s">
        <v>415</v>
      </c>
      <c r="B106" s="88" t="s">
        <v>296</v>
      </c>
      <c r="D106" s="75" t="n">
        <v>0.04</v>
      </c>
    </row>
    <row r="107" customFormat="false" ht="13.5" hidden="false" customHeight="true" outlineLevel="0" collapsed="false">
      <c r="A107" s="6" t="s">
        <v>416</v>
      </c>
      <c r="B107" s="88" t="s">
        <v>296</v>
      </c>
      <c r="D107" s="75" t="n">
        <v>0.02</v>
      </c>
    </row>
    <row r="108" customFormat="false" ht="13.5" hidden="false" customHeight="true" outlineLevel="0" collapsed="false">
      <c r="A108" s="6" t="s">
        <v>417</v>
      </c>
      <c r="B108" s="88" t="s">
        <v>320</v>
      </c>
      <c r="D108" s="85" t="n">
        <v>84</v>
      </c>
    </row>
    <row r="109" customFormat="false" ht="13.5" hidden="false" customHeight="true" outlineLevel="0" collapsed="false">
      <c r="A109" s="6" t="s">
        <v>406</v>
      </c>
      <c r="B109" s="88" t="s">
        <v>320</v>
      </c>
      <c r="D109" s="85" t="n">
        <v>24</v>
      </c>
    </row>
    <row r="110" customFormat="false" ht="13.5" hidden="false" customHeight="true" outlineLevel="0" collapsed="false">
      <c r="A110" s="9" t="s">
        <v>418</v>
      </c>
      <c r="B110" s="9"/>
      <c r="C110" s="9"/>
      <c r="D110" s="9"/>
      <c r="E110" s="9"/>
      <c r="F110" s="9"/>
    </row>
    <row r="111" customFormat="false" ht="13.5" hidden="false" customHeight="true" outlineLevel="0" collapsed="false">
      <c r="A111" s="6" t="s">
        <v>419</v>
      </c>
      <c r="B111" s="88" t="s">
        <v>399</v>
      </c>
      <c r="D111" s="85" t="n">
        <v>0</v>
      </c>
    </row>
    <row r="112" customFormat="false" ht="13.5" hidden="false" customHeight="true" outlineLevel="0" collapsed="false">
      <c r="A112" s="6" t="s">
        <v>420</v>
      </c>
      <c r="B112" s="88" t="s">
        <v>359</v>
      </c>
      <c r="D112" s="96" t="n">
        <v>90000</v>
      </c>
    </row>
    <row r="113" customFormat="false" ht="13.5" hidden="false" customHeight="true" outlineLevel="0" collapsed="false">
      <c r="A113" s="6" t="s">
        <v>421</v>
      </c>
      <c r="B113" s="88" t="s">
        <v>359</v>
      </c>
      <c r="D113" s="98" t="n">
        <f aca="false">Hipótesis!$D$111*Hipótesis!$D$112</f>
        <v>0</v>
      </c>
    </row>
    <row r="114" customFormat="false" ht="13.5" hidden="false" customHeight="true" outlineLevel="0" collapsed="false">
      <c r="A114" s="6" t="s">
        <v>422</v>
      </c>
      <c r="B114" s="88" t="s">
        <v>296</v>
      </c>
      <c r="D114" s="75" t="n">
        <v>0.06</v>
      </c>
    </row>
    <row r="115" customFormat="false" ht="13.5" hidden="false" customHeight="true" outlineLevel="0" collapsed="false">
      <c r="A115" s="6" t="s">
        <v>417</v>
      </c>
      <c r="B115" s="88" t="s">
        <v>320</v>
      </c>
      <c r="D115" s="85" t="n">
        <v>84</v>
      </c>
    </row>
    <row r="116" customFormat="false" ht="13.5" hidden="false" customHeight="true" outlineLevel="0" collapsed="false">
      <c r="A116" s="6" t="s">
        <v>406</v>
      </c>
      <c r="B116" s="88" t="s">
        <v>320</v>
      </c>
      <c r="D116" s="85" t="n">
        <v>12</v>
      </c>
    </row>
    <row r="117" customFormat="false" ht="13.5" hidden="false" customHeight="true" outlineLevel="0" collapsed="false">
      <c r="A117" s="6" t="s">
        <v>423</v>
      </c>
      <c r="B117" s="88" t="s">
        <v>296</v>
      </c>
      <c r="D117" s="75" t="n">
        <v>0.15</v>
      </c>
    </row>
    <row r="118" customFormat="false" ht="13.5" hidden="false" customHeight="true" outlineLevel="0" collapsed="false">
      <c r="A118" s="9" t="s">
        <v>424</v>
      </c>
      <c r="B118" s="9"/>
      <c r="C118" s="9"/>
      <c r="D118" s="9"/>
      <c r="E118" s="9"/>
      <c r="F118" s="9"/>
    </row>
    <row r="119" customFormat="false" ht="13.5" hidden="false" customHeight="true" outlineLevel="0" collapsed="false">
      <c r="A119" s="6" t="s">
        <v>425</v>
      </c>
      <c r="B119" s="88" t="s">
        <v>296</v>
      </c>
      <c r="D119" s="75" t="n">
        <v>0.1</v>
      </c>
    </row>
    <row r="120" customFormat="false" ht="13.5" hidden="false" customHeight="true" outlineLevel="0" collapsed="false">
      <c r="A120" s="6" t="s">
        <v>426</v>
      </c>
      <c r="B120" s="88" t="s">
        <v>427</v>
      </c>
      <c r="D120" s="101" t="n">
        <v>6</v>
      </c>
    </row>
    <row r="121" customFormat="false" ht="13.5" hidden="false" customHeight="true" outlineLevel="0" collapsed="false">
      <c r="A121" s="6" t="s">
        <v>428</v>
      </c>
      <c r="B121" s="88" t="s">
        <v>296</v>
      </c>
      <c r="D121" s="75" t="n">
        <v>0.12</v>
      </c>
    </row>
    <row r="122" customFormat="false" ht="13.5" hidden="false" customHeight="true" outlineLevel="0" collapsed="false">
      <c r="A122" s="102" t="s">
        <v>429</v>
      </c>
      <c r="B122" s="88" t="s">
        <v>359</v>
      </c>
      <c r="D122" s="52" t="n">
        <f aca="false">Hipótesis!$D$93+Hipótesis!$D$105+Hipótesis!$D$113</f>
        <v>200000</v>
      </c>
    </row>
    <row r="123" customFormat="false" ht="15" hidden="false" customHeight="true" outlineLevel="0" collapsed="false">
      <c r="A123" s="103" t="s">
        <v>430</v>
      </c>
    </row>
    <row r="124" customFormat="false" ht="15" hidden="false" customHeight="true" outlineLevel="0" collapsed="false">
      <c r="A124" s="1" t="s">
        <v>431</v>
      </c>
      <c r="B124" s="1" t="s">
        <v>315</v>
      </c>
      <c r="D124" s="1" t="n">
        <v>48</v>
      </c>
    </row>
    <row r="125" customFormat="false" ht="15" hidden="false" customHeight="true" outlineLevel="0" collapsed="false">
      <c r="A125" s="1" t="s">
        <v>432</v>
      </c>
      <c r="B125" s="1" t="s">
        <v>399</v>
      </c>
      <c r="D125" s="1" t="n">
        <v>1</v>
      </c>
    </row>
    <row r="126" customFormat="false" ht="15" hidden="false" customHeight="true" outlineLevel="0" collapsed="false">
      <c r="A126" s="1" t="s">
        <v>433</v>
      </c>
      <c r="B126" s="1" t="s">
        <v>315</v>
      </c>
      <c r="D126" s="1" t="n">
        <v>0</v>
      </c>
    </row>
    <row r="127" customFormat="false" ht="15" hidden="false" customHeight="true" outlineLevel="0" collapsed="false">
      <c r="A127" s="1" t="s">
        <v>434</v>
      </c>
      <c r="B127" s="1" t="s">
        <v>411</v>
      </c>
      <c r="D127" s="1" t="n">
        <v>1.5</v>
      </c>
    </row>
  </sheetData>
  <dataValidations count="6">
    <dataValidation allowBlank="false" errorStyle="stop" operator="equal" showDropDown="false" showErrorMessage="false" showInputMessage="false" sqref="C4" type="list">
      <formula1>"1,2,3"</formula1>
      <formula2>0</formula2>
    </dataValidation>
    <dataValidation allowBlank="false" errorStyle="stop" operator="equal" showDropDown="false" showErrorMessage="false" showInputMessage="false" sqref="B48:B53" type="list">
      <formula1>"0,1"</formula1>
      <formula2>0</formula2>
    </dataValidation>
    <dataValidation allowBlank="false" errorStyle="stop" operator="equal" showDropDown="false" showErrorMessage="false" showInputMessage="false" sqref="D91" type="list">
      <formula1>"0,1"</formula1>
      <formula2>0</formula2>
    </dataValidation>
    <dataValidation allowBlank="false" errorStyle="stop" operator="equal" showDropDown="false" showErrorMessage="false" showInputMessage="false" sqref="D94" type="list">
      <formula1>"1,2,3,4"</formula1>
      <formula2>0</formula2>
    </dataValidation>
    <dataValidation allowBlank="false" errorStyle="stop" operator="equal" showDropDown="false" showErrorMessage="false" showInputMessage="false" sqref="D103" type="list">
      <formula1>"0,1"</formula1>
      <formula2>0</formula2>
    </dataValidation>
    <dataValidation allowBlank="false" errorStyle="stop" operator="equal" showDropDown="false" showErrorMessage="false" showInputMessage="false" sqref="D111" type="list">
      <formula1>"0,1"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false" showRowColHeaders="true" showZeros="true" rightToLeft="false" tabSelected="false" showOutlineSymbols="true" defaultGridColor="true" view="normal" topLeftCell="AK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0"/>
    <col collapsed="false" customWidth="true" hidden="false" outlineLevel="0" max="8" min="2" style="1" width="15"/>
  </cols>
  <sheetData>
    <row r="1" customFormat="false" ht="18" hidden="false" customHeight="true" outlineLevel="0" collapsed="false">
      <c r="A1" s="8" t="s">
        <v>435</v>
      </c>
    </row>
    <row r="2" customFormat="false" ht="13.5" hidden="false" customHeight="true" outlineLevel="0" collapsed="false">
      <c r="A2" s="4" t="s">
        <v>436</v>
      </c>
    </row>
    <row r="3" customFormat="false" ht="13.5" hidden="false" customHeight="true" outlineLevel="0" collapsed="false"/>
    <row r="4" customFormat="false" ht="13.5" hidden="false" customHeight="true" outlineLevel="0" collapsed="false">
      <c r="A4" s="9" t="s">
        <v>437</v>
      </c>
      <c r="B4" s="9"/>
      <c r="C4" s="9"/>
      <c r="D4" s="9"/>
    </row>
    <row r="5" customFormat="false" ht="13.5" hidden="false" customHeight="true" outlineLevel="0" collapsed="false">
      <c r="A5" s="6" t="s">
        <v>438</v>
      </c>
      <c r="B5" s="104" t="n">
        <f aca="false">Producto!$D$8</f>
        <v>4</v>
      </c>
    </row>
    <row r="6" customFormat="false" ht="13.5" hidden="false" customHeight="true" outlineLevel="0" collapsed="false">
      <c r="A6" s="6" t="s">
        <v>439</v>
      </c>
      <c r="B6" s="104" t="n">
        <f aca="false">Producto!$D$9</f>
        <v>3</v>
      </c>
    </row>
    <row r="7" customFormat="false" ht="13.5" hidden="false" customHeight="true" outlineLevel="0" collapsed="false">
      <c r="A7" s="6" t="s">
        <v>440</v>
      </c>
      <c r="B7" s="104" t="n">
        <f aca="false">Producto!$D$10</f>
        <v>2</v>
      </c>
    </row>
    <row r="8" customFormat="false" ht="13.5" hidden="false" customHeight="true" outlineLevel="0" collapsed="false">
      <c r="A8" s="22" t="s">
        <v>441</v>
      </c>
      <c r="B8" s="105" t="n">
        <f aca="false">Producto!$D$11</f>
        <v>3</v>
      </c>
    </row>
    <row r="9" customFormat="false" ht="13.5" hidden="false" customHeight="true" outlineLevel="0" collapsed="false">
      <c r="A9" s="6" t="s">
        <v>442</v>
      </c>
      <c r="B9" s="51" t="str">
        <f aca="false">CHOOSE(Hipótesis!$C$4,"Conservador","Base","Optimista")</f>
        <v>Base</v>
      </c>
    </row>
    <row r="10" customFormat="false" ht="13.5" hidden="false" customHeight="true" outlineLevel="0" collapsed="false"/>
    <row r="11" customFormat="false" ht="13.5" hidden="false" customHeight="true" outlineLevel="0" collapsed="false">
      <c r="A11" s="9" t="s">
        <v>443</v>
      </c>
      <c r="B11" s="9"/>
      <c r="C11" s="9"/>
      <c r="D11" s="9"/>
    </row>
    <row r="12" customFormat="false" ht="13.5" hidden="false" customHeight="true" outlineLevel="0" collapsed="false">
      <c r="A12" s="77" t="s">
        <v>343</v>
      </c>
      <c r="B12" s="11" t="s">
        <v>280</v>
      </c>
      <c r="C12" s="11" t="s">
        <v>346</v>
      </c>
      <c r="D12" s="11" t="s">
        <v>348</v>
      </c>
      <c r="E12" s="11" t="s">
        <v>444</v>
      </c>
    </row>
    <row r="13" customFormat="false" ht="13.5" hidden="false" customHeight="true" outlineLevel="0" collapsed="false">
      <c r="A13" s="30" t="str">
        <f aca="false">Hipótesis!A48</f>
        <v>Pedro — socio (finanzas)</v>
      </c>
      <c r="B13" s="62" t="n">
        <f aca="false">Hipótesis!B48</f>
        <v>1</v>
      </c>
      <c r="C13" s="62" t="n">
        <f aca="false">Hipótesis!D48</f>
        <v>1</v>
      </c>
      <c r="D13" s="62" t="n">
        <f aca="false">Hipótesis!F48</f>
        <v>0</v>
      </c>
      <c r="E13" s="62" t="n">
        <f aca="false">Hipótesis!G48</f>
        <v>1</v>
      </c>
    </row>
    <row r="14" customFormat="false" ht="13.5" hidden="false" customHeight="true" outlineLevel="0" collapsed="false">
      <c r="A14" s="30" t="str">
        <f aca="false">Hipótesis!A49</f>
        <v>Nico — socio (comercial)</v>
      </c>
      <c r="B14" s="62" t="n">
        <f aca="false">Hipótesis!B49</f>
        <v>1</v>
      </c>
      <c r="C14" s="62" t="n">
        <f aca="false">Hipótesis!D49</f>
        <v>1</v>
      </c>
      <c r="D14" s="62" t="n">
        <f aca="false">Hipótesis!F49</f>
        <v>0</v>
      </c>
      <c r="E14" s="62" t="n">
        <f aca="false">Hipótesis!G49</f>
        <v>1</v>
      </c>
    </row>
    <row r="15" customFormat="false" ht="13.5" hidden="false" customHeight="true" outlineLevel="0" collapsed="false">
      <c r="A15" s="30" t="str">
        <f aca="false">Hipótesis!A50</f>
        <v>Guzmán — socio (producción)</v>
      </c>
      <c r="B15" s="62" t="n">
        <f aca="false">Hipótesis!B50</f>
        <v>1</v>
      </c>
      <c r="C15" s="62" t="n">
        <f aca="false">Hipótesis!D50</f>
        <v>1</v>
      </c>
      <c r="D15" s="62" t="n">
        <f aca="false">Hipótesis!F50</f>
        <v>160</v>
      </c>
      <c r="E15" s="62" t="n">
        <f aca="false">Hipótesis!G50</f>
        <v>1</v>
      </c>
    </row>
    <row r="16" customFormat="false" ht="13.5" hidden="false" customHeight="true" outlineLevel="0" collapsed="false">
      <c r="A16" s="30" t="str">
        <f aca="false">Hipótesis!A51</f>
        <v>Encargado de producción</v>
      </c>
      <c r="B16" s="62" t="n">
        <f aca="false">Hipótesis!B51</f>
        <v>1</v>
      </c>
      <c r="C16" s="62" t="n">
        <f aca="false">Hipótesis!D51</f>
        <v>1</v>
      </c>
      <c r="D16" s="62" t="n">
        <f aca="false">Hipótesis!F51</f>
        <v>160</v>
      </c>
      <c r="E16" s="62" t="n">
        <f aca="false">Hipótesis!G51</f>
        <v>0</v>
      </c>
    </row>
    <row r="17" customFormat="false" ht="13.5" hidden="false" customHeight="true" outlineLevel="0" collapsed="false">
      <c r="A17" s="30" t="str">
        <f aca="false">Hipótesis!A52</f>
        <v>Comercial / KAM</v>
      </c>
      <c r="B17" s="62" t="n">
        <f aca="false">Hipótesis!B52</f>
        <v>1</v>
      </c>
      <c r="C17" s="62" t="n">
        <f aca="false">Hipótesis!D52</f>
        <v>20</v>
      </c>
      <c r="D17" s="62" t="n">
        <f aca="false">Hipótesis!F52</f>
        <v>0</v>
      </c>
      <c r="E17" s="62" t="n">
        <f aca="false">Hipótesis!G52</f>
        <v>0</v>
      </c>
    </row>
    <row r="18" customFormat="false" ht="13.5" hidden="false" customHeight="true" outlineLevel="0" collapsed="false">
      <c r="A18" s="30" t="str">
        <f aca="false">Hipótesis!A53</f>
        <v>(rol fijo libre)</v>
      </c>
      <c r="B18" s="62" t="n">
        <f aca="false">Hipótesis!B53</f>
        <v>0</v>
      </c>
      <c r="C18" s="62" t="n">
        <f aca="false">Hipótesis!D53</f>
        <v>24</v>
      </c>
      <c r="D18" s="62" t="n">
        <f aca="false">Hipótesis!F53</f>
        <v>160</v>
      </c>
      <c r="E18" s="62" t="n">
        <f aca="false">Hipótesis!G53</f>
        <v>0</v>
      </c>
    </row>
    <row r="19" customFormat="false" ht="13.5" hidden="false" customHeight="true" outlineLevel="0" collapsed="false">
      <c r="A19" s="22" t="s">
        <v>445</v>
      </c>
      <c r="D19" s="106" t="n">
        <f aca="false">SUMPRODUCT(Hipótesis!$B$48:$B$53,Hipótesis!$F$48:$F$53)</f>
        <v>320</v>
      </c>
    </row>
    <row r="20" customFormat="false" ht="13.5" hidden="false" customHeight="true" outlineLevel="0" collapsed="false"/>
    <row r="21" customFormat="false" ht="13.5" hidden="false" customHeight="true" outlineLevel="0" collapsed="false">
      <c r="A21" s="9" t="s">
        <v>446</v>
      </c>
      <c r="B21" s="9"/>
      <c r="C21" s="9"/>
      <c r="D21" s="9"/>
    </row>
    <row r="22" customFormat="false" ht="13.5" hidden="false" customHeight="true" outlineLevel="0" collapsed="false">
      <c r="A22" s="6" t="s">
        <v>447</v>
      </c>
      <c r="B22" s="80" t="n">
        <f aca="false">Modelo_Mensual!$CH$27</f>
        <v>17794.51918575</v>
      </c>
    </row>
    <row r="23" customFormat="false" ht="13.5" hidden="false" customHeight="true" outlineLevel="0" collapsed="false">
      <c r="A23" s="6" t="s">
        <v>448</v>
      </c>
      <c r="B23" s="80" t="n">
        <f aca="false">Modelo_Mensual!$CH$28</f>
        <v>889.725959287499</v>
      </c>
    </row>
    <row r="24" customFormat="false" ht="13.5" hidden="false" customHeight="true" outlineLevel="0" collapsed="false">
      <c r="A24" s="6" t="s">
        <v>449</v>
      </c>
      <c r="B24" s="80" t="n">
        <f aca="false">Modelo_Mensual!$CH$29</f>
        <v>320</v>
      </c>
    </row>
    <row r="25" customFormat="false" ht="13.5" hidden="false" customHeight="true" outlineLevel="0" collapsed="false">
      <c r="A25" s="6" t="s">
        <v>450</v>
      </c>
      <c r="B25" s="80" t="n">
        <f aca="false">Modelo_Mensual!$CH$30</f>
        <v>4</v>
      </c>
    </row>
    <row r="26" customFormat="false" ht="13.5" hidden="false" customHeight="true" outlineLevel="0" collapsed="false">
      <c r="A26" s="6" t="s">
        <v>451</v>
      </c>
      <c r="B26" s="52" t="n">
        <f aca="false">-Modelo_Mensual!$CH$50</f>
        <v>10717.8134136443</v>
      </c>
    </row>
    <row r="27" customFormat="false" ht="13.5" hidden="false" customHeight="true" outlineLevel="0" collapsed="false">
      <c r="A27" s="6" t="s">
        <v>452</v>
      </c>
      <c r="B27" s="80" t="n">
        <f aca="false">Modelo_Mensual!$CH$31</f>
        <v>9</v>
      </c>
    </row>
    <row r="28" customFormat="false" ht="13.5" hidden="false" customHeight="true" outlineLevel="0" collapsed="false">
      <c r="A28" s="6" t="s">
        <v>453</v>
      </c>
      <c r="B28" s="52" t="n">
        <f aca="false">-Modelo_Mensual!$CH$51</f>
        <v>40782.4095393174</v>
      </c>
    </row>
    <row r="29" customFormat="false" ht="13.5" hidden="false" customHeight="true" outlineLevel="0" collapsed="false"/>
    <row r="30" customFormat="false" ht="13.5" hidden="false" customHeight="true" outlineLevel="0" collapsed="false">
      <c r="A30" s="4" t="s">
        <v>454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6"/>
    <col collapsed="false" customWidth="true" hidden="false" outlineLevel="0" max="2" min="2" style="1" width="3"/>
    <col collapsed="false" customWidth="true" hidden="false" outlineLevel="0" max="3" min="3" style="1" width="16"/>
    <col collapsed="false" customWidth="true" hidden="false" outlineLevel="0" max="4" min="4" style="1" width="46"/>
    <col collapsed="false" customWidth="true" hidden="false" outlineLevel="0" max="7" min="5" style="1" width="15"/>
  </cols>
  <sheetData>
    <row r="1" customFormat="false" ht="18" hidden="false" customHeight="true" outlineLevel="0" collapsed="false">
      <c r="A1" s="8" t="s">
        <v>455</v>
      </c>
    </row>
    <row r="2" customFormat="false" ht="13.5" hidden="false" customHeight="true" outlineLevel="0" collapsed="false">
      <c r="A2" s="4" t="s">
        <v>456</v>
      </c>
    </row>
    <row r="3" customFormat="false" ht="13.5" hidden="false" customHeight="true" outlineLevel="0" collapsed="false"/>
    <row r="4" customFormat="false" ht="13.5" hidden="false" customHeight="true" outlineLevel="0" collapsed="false">
      <c r="A4" s="10" t="s">
        <v>275</v>
      </c>
      <c r="C4" s="87" t="s">
        <v>457</v>
      </c>
      <c r="D4" s="10" t="s">
        <v>458</v>
      </c>
      <c r="E4" s="11" t="s">
        <v>33</v>
      </c>
      <c r="F4" s="11" t="s">
        <v>34</v>
      </c>
      <c r="G4" s="11" t="s">
        <v>35</v>
      </c>
    </row>
    <row r="5" customFormat="false" ht="13.5" hidden="false" customHeight="true" outlineLevel="0" collapsed="false">
      <c r="A5" s="6" t="s">
        <v>459</v>
      </c>
      <c r="C5" s="107" t="n">
        <v>40000</v>
      </c>
    </row>
    <row r="6" customFormat="false" ht="13.5" hidden="false" customHeight="true" outlineLevel="0" collapsed="false">
      <c r="A6" s="22" t="s">
        <v>460</v>
      </c>
    </row>
    <row r="7" customFormat="false" ht="13.5" hidden="false" customHeight="true" outlineLevel="0" collapsed="false">
      <c r="A7" s="6" t="s">
        <v>461</v>
      </c>
      <c r="C7" s="107" t="n">
        <v>3000</v>
      </c>
      <c r="D7" s="4" t="s">
        <v>462</v>
      </c>
    </row>
    <row r="8" customFormat="false" ht="13.5" hidden="false" customHeight="true" outlineLevel="0" collapsed="false">
      <c r="A8" s="6" t="s">
        <v>463</v>
      </c>
      <c r="C8" s="107" t="n">
        <v>7000</v>
      </c>
      <c r="D8" s="4" t="s">
        <v>462</v>
      </c>
    </row>
    <row r="9" customFormat="false" ht="13.5" hidden="false" customHeight="true" outlineLevel="0" collapsed="false">
      <c r="A9" s="6" t="s">
        <v>464</v>
      </c>
      <c r="C9" s="107" t="n">
        <v>25000</v>
      </c>
      <c r="D9" s="4" t="s">
        <v>465</v>
      </c>
    </row>
    <row r="10" customFormat="false" ht="13.5" hidden="false" customHeight="true" outlineLevel="0" collapsed="false">
      <c r="A10" s="6" t="s">
        <v>466</v>
      </c>
      <c r="C10" s="108" t="n">
        <f aca="false">IF(Hipótesis!$C$4&gt;=2,C7+C8,0)+IF(Hipótesis!$C$4=3,C9,0)</f>
        <v>10000</v>
      </c>
      <c r="D10" s="4" t="s">
        <v>467</v>
      </c>
      <c r="E10" s="109" t="n">
        <f aca="false">0</f>
        <v>0</v>
      </c>
      <c r="F10" s="109" t="n">
        <f aca="false">C7+C8</f>
        <v>10000</v>
      </c>
      <c r="G10" s="109" t="n">
        <f aca="false">C7+C8+C9</f>
        <v>35000</v>
      </c>
    </row>
    <row r="11" customFormat="false" ht="13.5" hidden="false" customHeight="true" outlineLevel="0" collapsed="false">
      <c r="A11" s="6" t="s">
        <v>468</v>
      </c>
      <c r="C11" s="107" t="n">
        <v>1600</v>
      </c>
    </row>
    <row r="12" customFormat="false" ht="13.5" hidden="false" customHeight="true" outlineLevel="0" collapsed="false">
      <c r="A12" s="6" t="s">
        <v>469</v>
      </c>
      <c r="C12" s="110" t="n">
        <f aca="false">Hipótesis!$F$26</f>
        <v>3</v>
      </c>
      <c r="D12" s="4" t="s">
        <v>470</v>
      </c>
    </row>
    <row r="13" customFormat="false" ht="13.5" hidden="false" customHeight="true" outlineLevel="0" collapsed="false">
      <c r="A13" s="6" t="s">
        <v>471</v>
      </c>
      <c r="C13" s="109" t="n">
        <f aca="false">C11*C12</f>
        <v>4800</v>
      </c>
    </row>
    <row r="14" customFormat="false" ht="13.5" hidden="false" customHeight="true" outlineLevel="0" collapsed="false">
      <c r="A14" s="6" t="s">
        <v>472</v>
      </c>
      <c r="C14" s="107" t="n">
        <v>10000</v>
      </c>
    </row>
    <row r="15" customFormat="false" ht="13.5" hidden="false" customHeight="true" outlineLevel="0" collapsed="false">
      <c r="A15" s="6" t="s">
        <v>473</v>
      </c>
      <c r="C15" s="107" t="n">
        <v>0</v>
      </c>
    </row>
    <row r="16" customFormat="false" ht="13.5" hidden="false" customHeight="true" outlineLevel="0" collapsed="false">
      <c r="A16" s="6" t="s">
        <v>474</v>
      </c>
      <c r="C16" s="107" t="n">
        <v>10000</v>
      </c>
    </row>
    <row r="17" customFormat="false" ht="13.5" hidden="false" customHeight="true" outlineLevel="0" collapsed="false">
      <c r="A17" s="6" t="s">
        <v>475</v>
      </c>
      <c r="C17" s="107" t="n">
        <v>6000</v>
      </c>
    </row>
    <row r="18" customFormat="false" ht="13.5" hidden="false" customHeight="true" outlineLevel="0" collapsed="false">
      <c r="A18" s="6" t="s">
        <v>476</v>
      </c>
      <c r="C18" s="107" t="n">
        <v>5000</v>
      </c>
    </row>
    <row r="19" customFormat="false" ht="13.5" hidden="false" customHeight="true" outlineLevel="0" collapsed="false">
      <c r="A19" s="47" t="s">
        <v>477</v>
      </c>
      <c r="C19" s="71" t="n">
        <f aca="false">$C$38+C10+C15+C17+C18</f>
        <v>85800</v>
      </c>
      <c r="D19" s="1" t="s">
        <v>478</v>
      </c>
      <c r="E19" s="109" t="n">
        <f aca="false">$C$38+E10+C15+C17+C18</f>
        <v>75800</v>
      </c>
      <c r="F19" s="109" t="n">
        <f aca="false">$C$38+F10+C15+C17+C18</f>
        <v>85800</v>
      </c>
      <c r="G19" s="109" t="n">
        <f aca="false">$C$38+G10+C15+C17+C18</f>
        <v>110800</v>
      </c>
    </row>
    <row r="20" customFormat="false" ht="13.5" hidden="false" customHeight="true" outlineLevel="0" collapsed="false">
      <c r="A20" s="6" t="s">
        <v>479</v>
      </c>
      <c r="C20" s="111" t="n">
        <v>0.15</v>
      </c>
      <c r="D20" s="4" t="s">
        <v>480</v>
      </c>
    </row>
    <row r="21" customFormat="false" ht="13.5" hidden="false" customHeight="true" outlineLevel="0" collapsed="false">
      <c r="A21" s="6" t="s">
        <v>481</v>
      </c>
      <c r="C21" s="109" t="n">
        <f aca="false">C19*C20</f>
        <v>12870</v>
      </c>
      <c r="E21" s="109" t="n">
        <f aca="false">E19*C20</f>
        <v>11370</v>
      </c>
      <c r="F21" s="109" t="n">
        <f aca="false">F19*C20</f>
        <v>12870</v>
      </c>
      <c r="G21" s="109" t="n">
        <f aca="false">G19*C20</f>
        <v>16620</v>
      </c>
    </row>
    <row r="22" customFormat="false" ht="13.5" hidden="false" customHeight="true" outlineLevel="0" collapsed="false">
      <c r="A22" s="47" t="s">
        <v>482</v>
      </c>
      <c r="C22" s="71" t="n">
        <f aca="false">C19+C21</f>
        <v>98670</v>
      </c>
      <c r="E22" s="71" t="n">
        <f aca="false">E19+E21</f>
        <v>87170</v>
      </c>
      <c r="F22" s="71" t="n">
        <f aca="false">F19+F21</f>
        <v>98670</v>
      </c>
      <c r="G22" s="71" t="n">
        <f aca="false">G19+G21</f>
        <v>127420</v>
      </c>
    </row>
    <row r="23" customFormat="false" ht="13.5" hidden="false" customHeight="true" outlineLevel="0" collapsed="false">
      <c r="A23" s="6" t="s">
        <v>483</v>
      </c>
      <c r="C23" s="112" t="n">
        <v>4</v>
      </c>
      <c r="D23" s="4" t="s">
        <v>484</v>
      </c>
    </row>
    <row r="24" customFormat="false" ht="13.5" hidden="false" customHeight="true" outlineLevel="0" collapsed="false">
      <c r="A24" s="6" t="s">
        <v>485</v>
      </c>
      <c r="C24" s="109" t="n">
        <f aca="false">Hipótesis!$F$36+Hipótesis!$F$37+Hipótesis!$F$39+Hipótesis!$F$40+Hipótesis!$E$55</f>
        <v>15652</v>
      </c>
      <c r="D24" s="4" t="s">
        <v>486</v>
      </c>
      <c r="E24" s="109" t="n">
        <f aca="false">Hipótesis!$C$36+Hipótesis!$C$37+Hipótesis!$C$39+Hipótesis!$C$40+Hipótesis!$E$55</f>
        <v>15402</v>
      </c>
      <c r="F24" s="109" t="n">
        <f aca="false">Hipótesis!$D$36+Hipótesis!$D$37+Hipótesis!$D$39+Hipótesis!$D$40+Hipótesis!$E$55</f>
        <v>15652</v>
      </c>
      <c r="G24" s="109" t="n">
        <f aca="false">Hipótesis!$E$36+Hipótesis!$E$37+Hipótesis!$E$39+Hipótesis!$E$40+Hipótesis!$E$55</f>
        <v>14452</v>
      </c>
    </row>
    <row r="25" customFormat="false" ht="13.5" hidden="false" customHeight="true" outlineLevel="0" collapsed="false">
      <c r="A25" s="6" t="s">
        <v>487</v>
      </c>
      <c r="C25" s="109" t="n">
        <f aca="false">C23*C24</f>
        <v>62608</v>
      </c>
      <c r="E25" s="109" t="n">
        <f aca="false">C23*E24</f>
        <v>61608</v>
      </c>
      <c r="F25" s="109" t="n">
        <f aca="false">C23*F24</f>
        <v>62608</v>
      </c>
      <c r="G25" s="109" t="n">
        <f aca="false">C23*G24</f>
        <v>57808</v>
      </c>
    </row>
    <row r="26" customFormat="false" ht="13.5" hidden="false" customHeight="true" outlineLevel="0" collapsed="false">
      <c r="A26" s="102" t="s">
        <v>488</v>
      </c>
      <c r="C26" s="14" t="n">
        <f aca="false">C22+C25</f>
        <v>161278</v>
      </c>
      <c r="E26" s="14" t="n">
        <f aca="false">E22+E25</f>
        <v>148778</v>
      </c>
      <c r="F26" s="14" t="n">
        <f aca="false">F22+F25</f>
        <v>161278</v>
      </c>
      <c r="G26" s="14" t="n">
        <f aca="false">G22+G25</f>
        <v>185228</v>
      </c>
    </row>
    <row r="27" customFormat="false" ht="13.5" hidden="false" customHeight="true" outlineLevel="0" collapsed="false">
      <c r="A27" s="6" t="s">
        <v>489</v>
      </c>
      <c r="E27" s="109" t="n">
        <f aca="false">MAX(Esc_Conservador!$C$70:$CH$70)</f>
        <v>24063.2232064929</v>
      </c>
      <c r="F27" s="109" t="n">
        <f aca="false">MAX(Esc_Base!$C$70:$CH$70)</f>
        <v>24933.5990904571</v>
      </c>
      <c r="G27" s="109" t="n">
        <f aca="false">MAX(Esc_Optimista!$C$70:$CH$70)</f>
        <v>18342.0616628602</v>
      </c>
    </row>
    <row r="28" customFormat="false" ht="13.5" hidden="false" customHeight="true" outlineLevel="0" collapsed="false">
      <c r="A28" s="6" t="s">
        <v>490</v>
      </c>
      <c r="C28" s="51" t="s">
        <v>491</v>
      </c>
      <c r="D28" s="51" t="s">
        <v>492</v>
      </c>
      <c r="E28" s="109" t="n">
        <f aca="false">MAX(Esc_Conservador!$C$81:$CH$81)</f>
        <v>23291.6710710134</v>
      </c>
      <c r="F28" s="109" t="n">
        <f aca="false">MAX(Esc_Base!$C$81:$CH$81)</f>
        <v>3133.46141452048</v>
      </c>
      <c r="G28" s="109" t="n">
        <f aca="false">MAX(Esc_Optimista!$C$81:$CH$81)</f>
        <v>6183.34455181468</v>
      </c>
      <c r="H28" s="51" t="s">
        <v>493</v>
      </c>
      <c r="I28" s="51" t="s">
        <v>494</v>
      </c>
      <c r="J28" s="51" t="s">
        <v>495</v>
      </c>
      <c r="K28" s="51" t="s">
        <v>496</v>
      </c>
      <c r="L28" s="51" t="s">
        <v>497</v>
      </c>
      <c r="M28" s="51" t="s">
        <v>498</v>
      </c>
      <c r="N28" s="51" t="s">
        <v>499</v>
      </c>
    </row>
    <row r="29" customFormat="false" ht="13.5" hidden="false" customHeight="true" outlineLevel="0" collapsed="false">
      <c r="A29" s="6" t="s">
        <v>500</v>
      </c>
      <c r="C29" s="75" t="n">
        <v>0.3</v>
      </c>
      <c r="D29" s="75" t="n">
        <v>0.14</v>
      </c>
      <c r="E29" s="75" t="n">
        <v>0.1</v>
      </c>
      <c r="F29" s="75" t="n">
        <v>0.09</v>
      </c>
      <c r="G29" s="75" t="n">
        <v>0.08</v>
      </c>
      <c r="H29" s="75" t="n">
        <v>0.07</v>
      </c>
      <c r="I29" s="75" t="n">
        <v>0.06</v>
      </c>
      <c r="J29" s="75" t="n">
        <v>0.05</v>
      </c>
      <c r="K29" s="75" t="n">
        <v>0.04</v>
      </c>
      <c r="L29" s="75" t="n">
        <v>0.03</v>
      </c>
      <c r="M29" s="75" t="n">
        <v>0.02</v>
      </c>
      <c r="N29" s="75" t="n">
        <v>0.02</v>
      </c>
    </row>
    <row r="30" customFormat="false" ht="13.5" hidden="false" customHeight="true" outlineLevel="0" collapsed="false">
      <c r="A30" s="4" t="s">
        <v>501</v>
      </c>
      <c r="C30" s="113" t="n">
        <f aca="false">SUM(C29:N29)</f>
        <v>1</v>
      </c>
    </row>
    <row r="31" customFormat="false" ht="13.5" hidden="false" customHeight="true" outlineLevel="0" collapsed="false"/>
    <row r="32" customFormat="false" ht="13.5" hidden="false" customHeight="true" outlineLevel="0" collapsed="false">
      <c r="A32" s="4" t="s">
        <v>502</v>
      </c>
    </row>
    <row r="34" customFormat="false" ht="15" hidden="false" customHeight="false" outlineLevel="0" collapsed="false">
      <c r="A34" s="54" t="s">
        <v>503</v>
      </c>
    </row>
    <row r="35" customFormat="false" ht="15" hidden="false" customHeight="false" outlineLevel="0" collapsed="false">
      <c r="A35" s="58" t="s">
        <v>504</v>
      </c>
      <c r="C35" s="58" t="n">
        <f aca="false">C5+C13+C14+C16</f>
        <v>64800</v>
      </c>
      <c r="D35" s="58"/>
    </row>
    <row r="36" customFormat="false" ht="15" hidden="false" customHeight="false" outlineLevel="0" collapsed="false">
      <c r="A36" s="58" t="s">
        <v>505</v>
      </c>
      <c r="C36" s="57" t="n">
        <v>0</v>
      </c>
      <c r="D36" s="58" t="s">
        <v>506</v>
      </c>
    </row>
    <row r="37" customFormat="false" ht="15" hidden="false" customHeight="false" outlineLevel="0" collapsed="false">
      <c r="A37" s="58" t="s">
        <v>507</v>
      </c>
      <c r="C37" s="57" t="n">
        <v>0</v>
      </c>
      <c r="D37" s="58" t="s">
        <v>508</v>
      </c>
    </row>
    <row r="38" customFormat="false" ht="15" hidden="false" customHeight="false" outlineLevel="0" collapsed="false">
      <c r="A38" s="114" t="s">
        <v>509</v>
      </c>
      <c r="C38" s="58" t="n">
        <f aca="false">IF($C$36&gt;0,$C$36,$C$35*(1+$C$37))</f>
        <v>64800</v>
      </c>
      <c r="D38" s="5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H1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8"/>
    <col collapsed="false" customWidth="true" hidden="false" outlineLevel="0" max="2" min="2" style="1" width="13"/>
    <col collapsed="false" customWidth="true" hidden="false" outlineLevel="0" max="86" min="3" style="1" width="11"/>
  </cols>
  <sheetData>
    <row r="1" customFormat="false" ht="18" hidden="false" customHeight="true" outlineLevel="0" collapsed="false">
      <c r="A1" s="8" t="s">
        <v>510</v>
      </c>
    </row>
    <row r="2" customFormat="false" ht="13.5" hidden="false" customHeight="true" outlineLevel="0" collapsed="false">
      <c r="A2" s="4" t="s">
        <v>511</v>
      </c>
    </row>
    <row r="3" customFormat="false" ht="13.5" hidden="false" customHeight="true" outlineLevel="0" collapsed="false">
      <c r="A3" s="115" t="s">
        <v>512</v>
      </c>
      <c r="C3" s="116" t="n">
        <v>1</v>
      </c>
      <c r="D3" s="116" t="n">
        <v>2</v>
      </c>
      <c r="E3" s="116" t="n">
        <v>3</v>
      </c>
      <c r="F3" s="116" t="n">
        <v>4</v>
      </c>
      <c r="G3" s="116" t="n">
        <v>5</v>
      </c>
      <c r="H3" s="116" t="n">
        <v>6</v>
      </c>
      <c r="I3" s="116" t="n">
        <v>7</v>
      </c>
      <c r="J3" s="116" t="n">
        <v>8</v>
      </c>
      <c r="K3" s="116" t="n">
        <v>9</v>
      </c>
      <c r="L3" s="116" t="n">
        <v>10</v>
      </c>
      <c r="M3" s="116" t="n">
        <v>11</v>
      </c>
      <c r="N3" s="116" t="n">
        <v>12</v>
      </c>
      <c r="O3" s="116" t="n">
        <v>13</v>
      </c>
      <c r="P3" s="116" t="n">
        <v>14</v>
      </c>
      <c r="Q3" s="116" t="n">
        <v>15</v>
      </c>
      <c r="R3" s="116" t="n">
        <v>16</v>
      </c>
      <c r="S3" s="116" t="n">
        <v>17</v>
      </c>
      <c r="T3" s="116" t="n">
        <v>18</v>
      </c>
      <c r="U3" s="116" t="n">
        <v>19</v>
      </c>
      <c r="V3" s="116" t="n">
        <v>20</v>
      </c>
      <c r="W3" s="116" t="n">
        <v>21</v>
      </c>
      <c r="X3" s="116" t="n">
        <v>22</v>
      </c>
      <c r="Y3" s="116" t="n">
        <v>23</v>
      </c>
      <c r="Z3" s="116" t="n">
        <v>24</v>
      </c>
      <c r="AA3" s="116" t="n">
        <v>25</v>
      </c>
      <c r="AB3" s="116" t="n">
        <v>26</v>
      </c>
      <c r="AC3" s="116" t="n">
        <v>27</v>
      </c>
      <c r="AD3" s="116" t="n">
        <v>28</v>
      </c>
      <c r="AE3" s="116" t="n">
        <v>29</v>
      </c>
      <c r="AF3" s="116" t="n">
        <v>30</v>
      </c>
      <c r="AG3" s="116" t="n">
        <v>31</v>
      </c>
      <c r="AH3" s="116" t="n">
        <v>32</v>
      </c>
      <c r="AI3" s="116" t="n">
        <v>33</v>
      </c>
      <c r="AJ3" s="116" t="n">
        <v>34</v>
      </c>
      <c r="AK3" s="116" t="n">
        <v>35</v>
      </c>
      <c r="AL3" s="116" t="n">
        <v>36</v>
      </c>
      <c r="AM3" s="116" t="n">
        <v>37</v>
      </c>
      <c r="AN3" s="116" t="n">
        <v>38</v>
      </c>
      <c r="AO3" s="116" t="n">
        <v>39</v>
      </c>
      <c r="AP3" s="116" t="n">
        <v>40</v>
      </c>
      <c r="AQ3" s="116" t="n">
        <v>41</v>
      </c>
      <c r="AR3" s="116" t="n">
        <v>42</v>
      </c>
      <c r="AS3" s="116" t="n">
        <v>43</v>
      </c>
      <c r="AT3" s="116" t="n">
        <v>44</v>
      </c>
      <c r="AU3" s="116" t="n">
        <v>45</v>
      </c>
      <c r="AV3" s="116" t="n">
        <v>46</v>
      </c>
      <c r="AW3" s="116" t="n">
        <v>47</v>
      </c>
      <c r="AX3" s="116" t="n">
        <v>48</v>
      </c>
      <c r="AY3" s="116" t="n">
        <v>49</v>
      </c>
      <c r="AZ3" s="116" t="n">
        <v>50</v>
      </c>
      <c r="BA3" s="116" t="n">
        <v>51</v>
      </c>
      <c r="BB3" s="116" t="n">
        <v>52</v>
      </c>
      <c r="BC3" s="116" t="n">
        <v>53</v>
      </c>
      <c r="BD3" s="116" t="n">
        <v>54</v>
      </c>
      <c r="BE3" s="116" t="n">
        <v>55</v>
      </c>
      <c r="BF3" s="116" t="n">
        <v>56</v>
      </c>
      <c r="BG3" s="116" t="n">
        <v>57</v>
      </c>
      <c r="BH3" s="116" t="n">
        <v>58</v>
      </c>
      <c r="BI3" s="116" t="n">
        <v>59</v>
      </c>
      <c r="BJ3" s="116" t="n">
        <v>60</v>
      </c>
      <c r="BK3" s="116" t="n">
        <v>61</v>
      </c>
      <c r="BL3" s="116" t="n">
        <v>62</v>
      </c>
      <c r="BM3" s="116" t="n">
        <v>63</v>
      </c>
      <c r="BN3" s="116" t="n">
        <v>64</v>
      </c>
      <c r="BO3" s="116" t="n">
        <v>65</v>
      </c>
      <c r="BP3" s="116" t="n">
        <v>66</v>
      </c>
      <c r="BQ3" s="116" t="n">
        <v>67</v>
      </c>
      <c r="BR3" s="116" t="n">
        <v>68</v>
      </c>
      <c r="BS3" s="116" t="n">
        <v>69</v>
      </c>
      <c r="BT3" s="116" t="n">
        <v>70</v>
      </c>
      <c r="BU3" s="116" t="n">
        <v>71</v>
      </c>
      <c r="BV3" s="116" t="n">
        <v>72</v>
      </c>
      <c r="BW3" s="116" t="n">
        <v>73</v>
      </c>
      <c r="BX3" s="116" t="n">
        <v>74</v>
      </c>
      <c r="BY3" s="116" t="n">
        <v>75</v>
      </c>
      <c r="BZ3" s="116" t="n">
        <v>76</v>
      </c>
      <c r="CA3" s="116" t="n">
        <v>77</v>
      </c>
      <c r="CB3" s="116" t="n">
        <v>78</v>
      </c>
      <c r="CC3" s="116" t="n">
        <v>79</v>
      </c>
      <c r="CD3" s="116" t="n">
        <v>80</v>
      </c>
      <c r="CE3" s="116" t="n">
        <v>81</v>
      </c>
      <c r="CF3" s="116" t="n">
        <v>82</v>
      </c>
      <c r="CG3" s="116" t="n">
        <v>83</v>
      </c>
      <c r="CH3" s="116" t="n">
        <v>84</v>
      </c>
    </row>
    <row r="4" customFormat="false" ht="13.5" hidden="false" customHeight="true" outlineLevel="0" collapsed="false">
      <c r="A4" s="115" t="s">
        <v>513</v>
      </c>
      <c r="C4" s="117" t="n">
        <f aca="false">INT((1-1)/12)+1</f>
        <v>1</v>
      </c>
      <c r="D4" s="117" t="n">
        <f aca="false">INT((2-1)/12)+1</f>
        <v>1</v>
      </c>
      <c r="E4" s="117" t="n">
        <f aca="false">INT((3-1)/12)+1</f>
        <v>1</v>
      </c>
      <c r="F4" s="117" t="n">
        <f aca="false">INT((4-1)/12)+1</f>
        <v>1</v>
      </c>
      <c r="G4" s="117" t="n">
        <f aca="false">INT((5-1)/12)+1</f>
        <v>1</v>
      </c>
      <c r="H4" s="117" t="n">
        <f aca="false">INT((6-1)/12)+1</f>
        <v>1</v>
      </c>
      <c r="I4" s="117" t="n">
        <f aca="false">INT((7-1)/12)+1</f>
        <v>1</v>
      </c>
      <c r="J4" s="117" t="n">
        <f aca="false">INT((8-1)/12)+1</f>
        <v>1</v>
      </c>
      <c r="K4" s="117" t="n">
        <f aca="false">INT((9-1)/12)+1</f>
        <v>1</v>
      </c>
      <c r="L4" s="117" t="n">
        <f aca="false">INT((10-1)/12)+1</f>
        <v>1</v>
      </c>
      <c r="M4" s="117" t="n">
        <f aca="false">INT((11-1)/12)+1</f>
        <v>1</v>
      </c>
      <c r="N4" s="117" t="n">
        <f aca="false">INT((12-1)/12)+1</f>
        <v>1</v>
      </c>
      <c r="O4" s="117" t="n">
        <f aca="false">INT((13-1)/12)+1</f>
        <v>2</v>
      </c>
      <c r="P4" s="117" t="n">
        <f aca="false">INT((14-1)/12)+1</f>
        <v>2</v>
      </c>
      <c r="Q4" s="117" t="n">
        <f aca="false">INT((15-1)/12)+1</f>
        <v>2</v>
      </c>
      <c r="R4" s="117" t="n">
        <f aca="false">INT((16-1)/12)+1</f>
        <v>2</v>
      </c>
      <c r="S4" s="117" t="n">
        <f aca="false">INT((17-1)/12)+1</f>
        <v>2</v>
      </c>
      <c r="T4" s="117" t="n">
        <f aca="false">INT((18-1)/12)+1</f>
        <v>2</v>
      </c>
      <c r="U4" s="117" t="n">
        <f aca="false">INT((19-1)/12)+1</f>
        <v>2</v>
      </c>
      <c r="V4" s="117" t="n">
        <f aca="false">INT((20-1)/12)+1</f>
        <v>2</v>
      </c>
      <c r="W4" s="117" t="n">
        <f aca="false">INT((21-1)/12)+1</f>
        <v>2</v>
      </c>
      <c r="X4" s="117" t="n">
        <f aca="false">INT((22-1)/12)+1</f>
        <v>2</v>
      </c>
      <c r="Y4" s="117" t="n">
        <f aca="false">INT((23-1)/12)+1</f>
        <v>2</v>
      </c>
      <c r="Z4" s="117" t="n">
        <f aca="false">INT((24-1)/12)+1</f>
        <v>2</v>
      </c>
      <c r="AA4" s="117" t="n">
        <f aca="false">INT((25-1)/12)+1</f>
        <v>3</v>
      </c>
      <c r="AB4" s="117" t="n">
        <f aca="false">INT((26-1)/12)+1</f>
        <v>3</v>
      </c>
      <c r="AC4" s="117" t="n">
        <f aca="false">INT((27-1)/12)+1</f>
        <v>3</v>
      </c>
      <c r="AD4" s="117" t="n">
        <f aca="false">INT((28-1)/12)+1</f>
        <v>3</v>
      </c>
      <c r="AE4" s="117" t="n">
        <f aca="false">INT((29-1)/12)+1</f>
        <v>3</v>
      </c>
      <c r="AF4" s="117" t="n">
        <f aca="false">INT((30-1)/12)+1</f>
        <v>3</v>
      </c>
      <c r="AG4" s="117" t="n">
        <f aca="false">INT((31-1)/12)+1</f>
        <v>3</v>
      </c>
      <c r="AH4" s="117" t="n">
        <f aca="false">INT((32-1)/12)+1</f>
        <v>3</v>
      </c>
      <c r="AI4" s="117" t="n">
        <f aca="false">INT((33-1)/12)+1</f>
        <v>3</v>
      </c>
      <c r="AJ4" s="117" t="n">
        <f aca="false">INT((34-1)/12)+1</f>
        <v>3</v>
      </c>
      <c r="AK4" s="117" t="n">
        <f aca="false">INT((35-1)/12)+1</f>
        <v>3</v>
      </c>
      <c r="AL4" s="117" t="n">
        <f aca="false">INT((36-1)/12)+1</f>
        <v>3</v>
      </c>
      <c r="AM4" s="117" t="n">
        <f aca="false">INT((37-1)/12)+1</f>
        <v>4</v>
      </c>
      <c r="AN4" s="117" t="n">
        <f aca="false">INT((38-1)/12)+1</f>
        <v>4</v>
      </c>
      <c r="AO4" s="117" t="n">
        <f aca="false">INT((39-1)/12)+1</f>
        <v>4</v>
      </c>
      <c r="AP4" s="117" t="n">
        <f aca="false">INT((40-1)/12)+1</f>
        <v>4</v>
      </c>
      <c r="AQ4" s="117" t="n">
        <f aca="false">INT((41-1)/12)+1</f>
        <v>4</v>
      </c>
      <c r="AR4" s="117" t="n">
        <f aca="false">INT((42-1)/12)+1</f>
        <v>4</v>
      </c>
      <c r="AS4" s="117" t="n">
        <f aca="false">INT((43-1)/12)+1</f>
        <v>4</v>
      </c>
      <c r="AT4" s="117" t="n">
        <f aca="false">INT((44-1)/12)+1</f>
        <v>4</v>
      </c>
      <c r="AU4" s="117" t="n">
        <f aca="false">INT((45-1)/12)+1</f>
        <v>4</v>
      </c>
      <c r="AV4" s="117" t="n">
        <f aca="false">INT((46-1)/12)+1</f>
        <v>4</v>
      </c>
      <c r="AW4" s="117" t="n">
        <f aca="false">INT((47-1)/12)+1</f>
        <v>4</v>
      </c>
      <c r="AX4" s="117" t="n">
        <f aca="false">INT((48-1)/12)+1</f>
        <v>4</v>
      </c>
      <c r="AY4" s="117" t="n">
        <f aca="false">INT((49-1)/12)+1</f>
        <v>5</v>
      </c>
      <c r="AZ4" s="117" t="n">
        <f aca="false">INT((50-1)/12)+1</f>
        <v>5</v>
      </c>
      <c r="BA4" s="117" t="n">
        <f aca="false">INT((51-1)/12)+1</f>
        <v>5</v>
      </c>
      <c r="BB4" s="117" t="n">
        <f aca="false">INT((52-1)/12)+1</f>
        <v>5</v>
      </c>
      <c r="BC4" s="117" t="n">
        <f aca="false">INT((53-1)/12)+1</f>
        <v>5</v>
      </c>
      <c r="BD4" s="117" t="n">
        <f aca="false">INT((54-1)/12)+1</f>
        <v>5</v>
      </c>
      <c r="BE4" s="117" t="n">
        <f aca="false">INT((55-1)/12)+1</f>
        <v>5</v>
      </c>
      <c r="BF4" s="117" t="n">
        <f aca="false">INT((56-1)/12)+1</f>
        <v>5</v>
      </c>
      <c r="BG4" s="117" t="n">
        <f aca="false">INT((57-1)/12)+1</f>
        <v>5</v>
      </c>
      <c r="BH4" s="117" t="n">
        <f aca="false">INT((58-1)/12)+1</f>
        <v>5</v>
      </c>
      <c r="BI4" s="117" t="n">
        <f aca="false">INT((59-1)/12)+1</f>
        <v>5</v>
      </c>
      <c r="BJ4" s="117" t="n">
        <f aca="false">INT((60-1)/12)+1</f>
        <v>5</v>
      </c>
      <c r="BK4" s="117" t="n">
        <f aca="false">INT((61-1)/12)+1</f>
        <v>6</v>
      </c>
      <c r="BL4" s="117" t="n">
        <f aca="false">INT((62-1)/12)+1</f>
        <v>6</v>
      </c>
      <c r="BM4" s="117" t="n">
        <f aca="false">INT((63-1)/12)+1</f>
        <v>6</v>
      </c>
      <c r="BN4" s="117" t="n">
        <f aca="false">INT((64-1)/12)+1</f>
        <v>6</v>
      </c>
      <c r="BO4" s="117" t="n">
        <f aca="false">INT((65-1)/12)+1</f>
        <v>6</v>
      </c>
      <c r="BP4" s="117" t="n">
        <f aca="false">INT((66-1)/12)+1</f>
        <v>6</v>
      </c>
      <c r="BQ4" s="117" t="n">
        <f aca="false">INT((67-1)/12)+1</f>
        <v>6</v>
      </c>
      <c r="BR4" s="117" t="n">
        <f aca="false">INT((68-1)/12)+1</f>
        <v>6</v>
      </c>
      <c r="BS4" s="117" t="n">
        <f aca="false">INT((69-1)/12)+1</f>
        <v>6</v>
      </c>
      <c r="BT4" s="117" t="n">
        <f aca="false">INT((70-1)/12)+1</f>
        <v>6</v>
      </c>
      <c r="BU4" s="117" t="n">
        <f aca="false">INT((71-1)/12)+1</f>
        <v>6</v>
      </c>
      <c r="BV4" s="117" t="n">
        <f aca="false">INT((72-1)/12)+1</f>
        <v>6</v>
      </c>
      <c r="BW4" s="117" t="n">
        <f aca="false">INT((73-1)/12)+1</f>
        <v>7</v>
      </c>
      <c r="BX4" s="117" t="n">
        <f aca="false">INT((74-1)/12)+1</f>
        <v>7</v>
      </c>
      <c r="BY4" s="117" t="n">
        <f aca="false">INT((75-1)/12)+1</f>
        <v>7</v>
      </c>
      <c r="BZ4" s="117" t="n">
        <f aca="false">INT((76-1)/12)+1</f>
        <v>7</v>
      </c>
      <c r="CA4" s="117" t="n">
        <f aca="false">INT((77-1)/12)+1</f>
        <v>7</v>
      </c>
      <c r="CB4" s="117" t="n">
        <f aca="false">INT((78-1)/12)+1</f>
        <v>7</v>
      </c>
      <c r="CC4" s="117" t="n">
        <f aca="false">INT((79-1)/12)+1</f>
        <v>7</v>
      </c>
      <c r="CD4" s="117" t="n">
        <f aca="false">INT((80-1)/12)+1</f>
        <v>7</v>
      </c>
      <c r="CE4" s="117" t="n">
        <f aca="false">INT((81-1)/12)+1</f>
        <v>7</v>
      </c>
      <c r="CF4" s="117" t="n">
        <f aca="false">INT((82-1)/12)+1</f>
        <v>7</v>
      </c>
      <c r="CG4" s="117" t="n">
        <f aca="false">INT((83-1)/12)+1</f>
        <v>7</v>
      </c>
      <c r="CH4" s="117" t="n">
        <f aca="false">INT((84-1)/12)+1</f>
        <v>7</v>
      </c>
    </row>
    <row r="5" customFormat="false" ht="13.5" hidden="false" customHeight="true" outlineLevel="0" collapsed="false"/>
    <row r="6" customFormat="false" ht="12.75" hidden="false" customHeight="true" outlineLevel="0" collapsed="false">
      <c r="A6" s="9" t="s">
        <v>514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</row>
    <row r="7" customFormat="false" ht="13.5" hidden="false" customHeight="true" outlineLevel="0" collapsed="false">
      <c r="A7" s="6" t="s">
        <v>515</v>
      </c>
      <c r="C7" s="118" t="n">
        <f aca="false">MIN(Hipótesis!$F$26,Hipótesis!$F$27+Hipótesis!$F$28*(1-1))</f>
        <v>1</v>
      </c>
      <c r="D7" s="118" t="n">
        <f aca="false">MIN(Hipótesis!$F$26,Hipótesis!$F$27+Hipótesis!$F$28*(2-1))</f>
        <v>1.5</v>
      </c>
      <c r="E7" s="118" t="n">
        <f aca="false">MIN(Hipótesis!$F$26,Hipótesis!$F$27+Hipótesis!$F$28*(3-1))</f>
        <v>2</v>
      </c>
      <c r="F7" s="118" t="n">
        <f aca="false">MIN(Hipótesis!$F$26,Hipótesis!$F$27+Hipótesis!$F$28*(4-1))</f>
        <v>2.5</v>
      </c>
      <c r="G7" s="118" t="n">
        <f aca="false">MIN(Hipótesis!$F$26,Hipótesis!$F$27+Hipótesis!$F$28*(5-1))</f>
        <v>3</v>
      </c>
      <c r="H7" s="118" t="n">
        <f aca="false">MIN(Hipótesis!$F$26,Hipótesis!$F$27+Hipótesis!$F$28*(6-1))</f>
        <v>3</v>
      </c>
      <c r="I7" s="118" t="n">
        <f aca="false">MIN(Hipótesis!$F$26,Hipótesis!$F$27+Hipótesis!$F$28*(7-1))</f>
        <v>3</v>
      </c>
      <c r="J7" s="118" t="n">
        <f aca="false">MIN(Hipótesis!$F$26,Hipótesis!$F$27+Hipótesis!$F$28*(8-1))</f>
        <v>3</v>
      </c>
      <c r="K7" s="118" t="n">
        <f aca="false">MIN(Hipótesis!$F$26,Hipótesis!$F$27+Hipótesis!$F$28*(9-1))</f>
        <v>3</v>
      </c>
      <c r="L7" s="118" t="n">
        <f aca="false">MIN(Hipótesis!$F$26,Hipótesis!$F$27+Hipótesis!$F$28*(10-1))</f>
        <v>3</v>
      </c>
      <c r="M7" s="118" t="n">
        <f aca="false">MIN(Hipótesis!$F$26,Hipótesis!$F$27+Hipótesis!$F$28*(11-1))</f>
        <v>3</v>
      </c>
      <c r="N7" s="118" t="n">
        <f aca="false">MIN(Hipótesis!$F$26,Hipótesis!$F$27+Hipótesis!$F$28*(12-1))</f>
        <v>3</v>
      </c>
      <c r="O7" s="118" t="n">
        <f aca="false">MIN(Hipótesis!$F$26,Hipótesis!$F$27+Hipótesis!$F$28*(13-1))</f>
        <v>3</v>
      </c>
      <c r="P7" s="118" t="n">
        <f aca="false">MIN(Hipótesis!$F$26,Hipótesis!$F$27+Hipótesis!$F$28*(14-1))</f>
        <v>3</v>
      </c>
      <c r="Q7" s="118" t="n">
        <f aca="false">MIN(Hipótesis!$F$26,Hipótesis!$F$27+Hipótesis!$F$28*(15-1))</f>
        <v>3</v>
      </c>
      <c r="R7" s="118" t="n">
        <f aca="false">MIN(Hipótesis!$F$26,Hipótesis!$F$27+Hipótesis!$F$28*(16-1))</f>
        <v>3</v>
      </c>
      <c r="S7" s="118" t="n">
        <f aca="false">MIN(Hipótesis!$F$26,Hipótesis!$F$27+Hipótesis!$F$28*(17-1))</f>
        <v>3</v>
      </c>
      <c r="T7" s="118" t="n">
        <f aca="false">MIN(Hipótesis!$F$26,Hipótesis!$F$27+Hipótesis!$F$28*(18-1))</f>
        <v>3</v>
      </c>
      <c r="U7" s="118" t="n">
        <f aca="false">MIN(Hipótesis!$F$26,Hipótesis!$F$27+Hipótesis!$F$28*(19-1))</f>
        <v>3</v>
      </c>
      <c r="V7" s="118" t="n">
        <f aca="false">MIN(Hipótesis!$F$26,Hipótesis!$F$27+Hipótesis!$F$28*(20-1))</f>
        <v>3</v>
      </c>
      <c r="W7" s="118" t="n">
        <f aca="false">MIN(Hipótesis!$F$26,Hipótesis!$F$27+Hipótesis!$F$28*(21-1))</f>
        <v>3</v>
      </c>
      <c r="X7" s="118" t="n">
        <f aca="false">MIN(Hipótesis!$F$26,Hipótesis!$F$27+Hipótesis!$F$28*(22-1))</f>
        <v>3</v>
      </c>
      <c r="Y7" s="118" t="n">
        <f aca="false">MIN(Hipótesis!$F$26,Hipótesis!$F$27+Hipótesis!$F$28*(23-1))</f>
        <v>3</v>
      </c>
      <c r="Z7" s="118" t="n">
        <f aca="false">MIN(Hipótesis!$F$26,Hipótesis!$F$27+Hipótesis!$F$28*(24-1))</f>
        <v>3</v>
      </c>
      <c r="AA7" s="118" t="n">
        <f aca="false">MIN(Hipótesis!$F$26,Hipótesis!$F$27+Hipótesis!$F$28*(25-1))</f>
        <v>3</v>
      </c>
      <c r="AB7" s="118" t="n">
        <f aca="false">MIN(Hipótesis!$F$26,Hipótesis!$F$27+Hipótesis!$F$28*(26-1))</f>
        <v>3</v>
      </c>
      <c r="AC7" s="118" t="n">
        <f aca="false">MIN(Hipótesis!$F$26,Hipótesis!$F$27+Hipótesis!$F$28*(27-1))</f>
        <v>3</v>
      </c>
      <c r="AD7" s="118" t="n">
        <f aca="false">MIN(Hipótesis!$F$26,Hipótesis!$F$27+Hipótesis!$F$28*(28-1))</f>
        <v>3</v>
      </c>
      <c r="AE7" s="118" t="n">
        <f aca="false">MIN(Hipótesis!$F$26,Hipótesis!$F$27+Hipótesis!$F$28*(29-1))</f>
        <v>3</v>
      </c>
      <c r="AF7" s="118" t="n">
        <f aca="false">MIN(Hipótesis!$F$26,Hipótesis!$F$27+Hipótesis!$F$28*(30-1))</f>
        <v>3</v>
      </c>
      <c r="AG7" s="118" t="n">
        <f aca="false">MIN(Hipótesis!$F$26,Hipótesis!$F$27+Hipótesis!$F$28*(31-1))</f>
        <v>3</v>
      </c>
      <c r="AH7" s="118" t="n">
        <f aca="false">MIN(Hipótesis!$F$26,Hipótesis!$F$27+Hipótesis!$F$28*(32-1))</f>
        <v>3</v>
      </c>
      <c r="AI7" s="118" t="n">
        <f aca="false">MIN(Hipótesis!$F$26,Hipótesis!$F$27+Hipótesis!$F$28*(33-1))</f>
        <v>3</v>
      </c>
      <c r="AJ7" s="118" t="n">
        <f aca="false">MIN(Hipótesis!$F$26,Hipótesis!$F$27+Hipótesis!$F$28*(34-1))</f>
        <v>3</v>
      </c>
      <c r="AK7" s="118" t="n">
        <f aca="false">MIN(Hipótesis!$F$26,Hipótesis!$F$27+Hipótesis!$F$28*(35-1))</f>
        <v>3</v>
      </c>
      <c r="AL7" s="118" t="n">
        <f aca="false">MIN(Hipótesis!$F$26,Hipótesis!$F$27+Hipótesis!$F$28*(36-1))</f>
        <v>3</v>
      </c>
      <c r="AM7" s="118" t="n">
        <f aca="false">MIN(Hipótesis!$F$26,Hipótesis!$F$27+Hipótesis!$F$28*(37-1))</f>
        <v>3</v>
      </c>
      <c r="AN7" s="118" t="n">
        <f aca="false">MIN(Hipótesis!$F$26,Hipótesis!$F$27+Hipótesis!$F$28*(38-1))</f>
        <v>3</v>
      </c>
      <c r="AO7" s="118" t="n">
        <f aca="false">MIN(Hipótesis!$F$26,Hipótesis!$F$27+Hipótesis!$F$28*(39-1))</f>
        <v>3</v>
      </c>
      <c r="AP7" s="118" t="n">
        <f aca="false">MIN(Hipótesis!$F$26,Hipótesis!$F$27+Hipótesis!$F$28*(40-1))</f>
        <v>3</v>
      </c>
      <c r="AQ7" s="118" t="n">
        <f aca="false">MIN(Hipótesis!$F$26,Hipótesis!$F$27+Hipótesis!$F$28*(41-1))</f>
        <v>3</v>
      </c>
      <c r="AR7" s="118" t="n">
        <f aca="false">MIN(Hipótesis!$F$26,Hipótesis!$F$27+Hipótesis!$F$28*(42-1))</f>
        <v>3</v>
      </c>
      <c r="AS7" s="118" t="n">
        <f aca="false">MIN(Hipótesis!$F$26,Hipótesis!$F$27+Hipótesis!$F$28*(43-1))</f>
        <v>3</v>
      </c>
      <c r="AT7" s="118" t="n">
        <f aca="false">MIN(Hipótesis!$F$26,Hipótesis!$F$27+Hipótesis!$F$28*(44-1))</f>
        <v>3</v>
      </c>
      <c r="AU7" s="118" t="n">
        <f aca="false">MIN(Hipótesis!$F$26,Hipótesis!$F$27+Hipótesis!$F$28*(45-1))</f>
        <v>3</v>
      </c>
      <c r="AV7" s="118" t="n">
        <f aca="false">MIN(Hipótesis!$F$26,Hipótesis!$F$27+Hipótesis!$F$28*(46-1))</f>
        <v>3</v>
      </c>
      <c r="AW7" s="118" t="n">
        <f aca="false">MIN(Hipótesis!$F$26,Hipótesis!$F$27+Hipótesis!$F$28*(47-1))</f>
        <v>3</v>
      </c>
      <c r="AX7" s="118" t="n">
        <f aca="false">MIN(Hipótesis!$F$26,Hipótesis!$F$27+Hipótesis!$F$28*(48-1))</f>
        <v>3</v>
      </c>
      <c r="AY7" s="118" t="n">
        <f aca="false">MIN(Hipótesis!$F$26,Hipótesis!$F$27+Hipótesis!$F$28*(49-1))</f>
        <v>3</v>
      </c>
      <c r="AZ7" s="118" t="n">
        <f aca="false">MIN(Hipótesis!$F$26,Hipótesis!$F$27+Hipótesis!$F$28*(50-1))</f>
        <v>3</v>
      </c>
      <c r="BA7" s="118" t="n">
        <f aca="false">MIN(Hipótesis!$F$26,Hipótesis!$F$27+Hipótesis!$F$28*(51-1))</f>
        <v>3</v>
      </c>
      <c r="BB7" s="118" t="n">
        <f aca="false">MIN(Hipótesis!$F$26,Hipótesis!$F$27+Hipótesis!$F$28*(52-1))</f>
        <v>3</v>
      </c>
      <c r="BC7" s="118" t="n">
        <f aca="false">MIN(Hipótesis!$F$26,Hipótesis!$F$27+Hipótesis!$F$28*(53-1))</f>
        <v>3</v>
      </c>
      <c r="BD7" s="118" t="n">
        <f aca="false">MIN(Hipótesis!$F$26,Hipótesis!$F$27+Hipótesis!$F$28*(54-1))</f>
        <v>3</v>
      </c>
      <c r="BE7" s="118" t="n">
        <f aca="false">MIN(Hipótesis!$F$26,Hipótesis!$F$27+Hipótesis!$F$28*(55-1))</f>
        <v>3</v>
      </c>
      <c r="BF7" s="118" t="n">
        <f aca="false">MIN(Hipótesis!$F$26,Hipótesis!$F$27+Hipótesis!$F$28*(56-1))</f>
        <v>3</v>
      </c>
      <c r="BG7" s="118" t="n">
        <f aca="false">MIN(Hipótesis!$F$26,Hipótesis!$F$27+Hipótesis!$F$28*(57-1))</f>
        <v>3</v>
      </c>
      <c r="BH7" s="118" t="n">
        <f aca="false">MIN(Hipótesis!$F$26,Hipótesis!$F$27+Hipótesis!$F$28*(58-1))</f>
        <v>3</v>
      </c>
      <c r="BI7" s="118" t="n">
        <f aca="false">MIN(Hipótesis!$F$26,Hipótesis!$F$27+Hipótesis!$F$28*(59-1))</f>
        <v>3</v>
      </c>
      <c r="BJ7" s="118" t="n">
        <f aca="false">MIN(Hipótesis!$F$26,Hipótesis!$F$27+Hipótesis!$F$28*(60-1))</f>
        <v>3</v>
      </c>
      <c r="BK7" s="118" t="n">
        <f aca="false">MIN(Hipótesis!$F$26,Hipótesis!$F$27+Hipótesis!$F$28*(61-1))</f>
        <v>3</v>
      </c>
      <c r="BL7" s="118" t="n">
        <f aca="false">MIN(Hipótesis!$F$26,Hipótesis!$F$27+Hipótesis!$F$28*(62-1))</f>
        <v>3</v>
      </c>
      <c r="BM7" s="118" t="n">
        <f aca="false">MIN(Hipótesis!$F$26,Hipótesis!$F$27+Hipótesis!$F$28*(63-1))</f>
        <v>3</v>
      </c>
      <c r="BN7" s="118" t="n">
        <f aca="false">MIN(Hipótesis!$F$26,Hipótesis!$F$27+Hipótesis!$F$28*(64-1))</f>
        <v>3</v>
      </c>
      <c r="BO7" s="118" t="n">
        <f aca="false">MIN(Hipótesis!$F$26,Hipótesis!$F$27+Hipótesis!$F$28*(65-1))</f>
        <v>3</v>
      </c>
      <c r="BP7" s="118" t="n">
        <f aca="false">MIN(Hipótesis!$F$26,Hipótesis!$F$27+Hipótesis!$F$28*(66-1))</f>
        <v>3</v>
      </c>
      <c r="BQ7" s="118" t="n">
        <f aca="false">MIN(Hipótesis!$F$26,Hipótesis!$F$27+Hipótesis!$F$28*(67-1))</f>
        <v>3</v>
      </c>
      <c r="BR7" s="118" t="n">
        <f aca="false">MIN(Hipótesis!$F$26,Hipótesis!$F$27+Hipótesis!$F$28*(68-1))</f>
        <v>3</v>
      </c>
      <c r="BS7" s="118" t="n">
        <f aca="false">MIN(Hipótesis!$F$26,Hipótesis!$F$27+Hipótesis!$F$28*(69-1))</f>
        <v>3</v>
      </c>
      <c r="BT7" s="118" t="n">
        <f aca="false">MIN(Hipótesis!$F$26,Hipótesis!$F$27+Hipótesis!$F$28*(70-1))</f>
        <v>3</v>
      </c>
      <c r="BU7" s="118" t="n">
        <f aca="false">MIN(Hipótesis!$F$26,Hipótesis!$F$27+Hipótesis!$F$28*(71-1))</f>
        <v>3</v>
      </c>
      <c r="BV7" s="118" t="n">
        <f aca="false">MIN(Hipótesis!$F$26,Hipótesis!$F$27+Hipótesis!$F$28*(72-1))</f>
        <v>3</v>
      </c>
      <c r="BW7" s="118" t="n">
        <f aca="false">MIN(Hipótesis!$F$26,Hipótesis!$F$27+Hipótesis!$F$28*(73-1))</f>
        <v>3</v>
      </c>
      <c r="BX7" s="118" t="n">
        <f aca="false">MIN(Hipótesis!$F$26,Hipótesis!$F$27+Hipótesis!$F$28*(74-1))</f>
        <v>3</v>
      </c>
      <c r="BY7" s="118" t="n">
        <f aca="false">MIN(Hipótesis!$F$26,Hipótesis!$F$27+Hipótesis!$F$28*(75-1))</f>
        <v>3</v>
      </c>
      <c r="BZ7" s="118" t="n">
        <f aca="false">MIN(Hipótesis!$F$26,Hipótesis!$F$27+Hipótesis!$F$28*(76-1))</f>
        <v>3</v>
      </c>
      <c r="CA7" s="118" t="n">
        <f aca="false">MIN(Hipótesis!$F$26,Hipótesis!$F$27+Hipótesis!$F$28*(77-1))</f>
        <v>3</v>
      </c>
      <c r="CB7" s="118" t="n">
        <f aca="false">MIN(Hipótesis!$F$26,Hipótesis!$F$27+Hipótesis!$F$28*(78-1))</f>
        <v>3</v>
      </c>
      <c r="CC7" s="118" t="n">
        <f aca="false">MIN(Hipótesis!$F$26,Hipótesis!$F$27+Hipótesis!$F$28*(79-1))</f>
        <v>3</v>
      </c>
      <c r="CD7" s="118" t="n">
        <f aca="false">MIN(Hipótesis!$F$26,Hipótesis!$F$27+Hipótesis!$F$28*(80-1))</f>
        <v>3</v>
      </c>
      <c r="CE7" s="118" t="n">
        <f aca="false">MIN(Hipótesis!$F$26,Hipótesis!$F$27+Hipótesis!$F$28*(81-1))</f>
        <v>3</v>
      </c>
      <c r="CF7" s="118" t="n">
        <f aca="false">MIN(Hipótesis!$F$26,Hipótesis!$F$27+Hipótesis!$F$28*(82-1))</f>
        <v>3</v>
      </c>
      <c r="CG7" s="118" t="n">
        <f aca="false">MIN(Hipótesis!$F$26,Hipótesis!$F$27+Hipótesis!$F$28*(83-1))</f>
        <v>3</v>
      </c>
      <c r="CH7" s="118" t="n">
        <f aca="false">MIN(Hipótesis!$F$26,Hipótesis!$F$27+Hipótesis!$F$28*(84-1))</f>
        <v>3</v>
      </c>
    </row>
    <row r="8" customFormat="false" ht="13.5" hidden="false" customHeight="true" outlineLevel="0" collapsed="false">
      <c r="A8" s="6" t="s">
        <v>516</v>
      </c>
      <c r="C8" s="110" t="n">
        <f aca="false">C7*Hipótesis!$D$13</f>
        <v>960</v>
      </c>
      <c r="D8" s="110" t="n">
        <f aca="false">D7*Hipótesis!$D$13</f>
        <v>1440</v>
      </c>
      <c r="E8" s="110" t="n">
        <f aca="false">E7*Hipótesis!$D$13</f>
        <v>1920</v>
      </c>
      <c r="F8" s="110" t="n">
        <f aca="false">F7*Hipótesis!$D$13</f>
        <v>2400</v>
      </c>
      <c r="G8" s="110" t="n">
        <f aca="false">G7*Hipótesis!$D$13</f>
        <v>2880</v>
      </c>
      <c r="H8" s="110" t="n">
        <f aca="false">H7*Hipótesis!$D$13</f>
        <v>2880</v>
      </c>
      <c r="I8" s="110" t="n">
        <f aca="false">I7*Hipótesis!$D$13</f>
        <v>2880</v>
      </c>
      <c r="J8" s="110" t="n">
        <f aca="false">J7*Hipótesis!$D$13</f>
        <v>2880</v>
      </c>
      <c r="K8" s="110" t="n">
        <f aca="false">K7*Hipótesis!$D$13</f>
        <v>2880</v>
      </c>
      <c r="L8" s="110" t="n">
        <f aca="false">L7*Hipótesis!$D$13</f>
        <v>2880</v>
      </c>
      <c r="M8" s="110" t="n">
        <f aca="false">M7*Hipótesis!$D$13</f>
        <v>2880</v>
      </c>
      <c r="N8" s="110" t="n">
        <f aca="false">N7*Hipótesis!$D$13</f>
        <v>2880</v>
      </c>
      <c r="O8" s="110" t="n">
        <f aca="false">O7*Hipótesis!$D$13</f>
        <v>2880</v>
      </c>
      <c r="P8" s="110" t="n">
        <f aca="false">P7*Hipótesis!$D$13</f>
        <v>2880</v>
      </c>
      <c r="Q8" s="110" t="n">
        <f aca="false">Q7*Hipótesis!$D$13</f>
        <v>2880</v>
      </c>
      <c r="R8" s="110" t="n">
        <f aca="false">R7*Hipótesis!$D$13</f>
        <v>2880</v>
      </c>
      <c r="S8" s="110" t="n">
        <f aca="false">S7*Hipótesis!$D$13</f>
        <v>2880</v>
      </c>
      <c r="T8" s="110" t="n">
        <f aca="false">T7*Hipótesis!$D$13</f>
        <v>2880</v>
      </c>
      <c r="U8" s="110" t="n">
        <f aca="false">U7*Hipótesis!$D$13</f>
        <v>2880</v>
      </c>
      <c r="V8" s="110" t="n">
        <f aca="false">V7*Hipótesis!$D$13</f>
        <v>2880</v>
      </c>
      <c r="W8" s="110" t="n">
        <f aca="false">W7*Hipótesis!$D$13</f>
        <v>2880</v>
      </c>
      <c r="X8" s="110" t="n">
        <f aca="false">X7*Hipótesis!$D$13</f>
        <v>2880</v>
      </c>
      <c r="Y8" s="110" t="n">
        <f aca="false">Y7*Hipótesis!$D$13</f>
        <v>2880</v>
      </c>
      <c r="Z8" s="110" t="n">
        <f aca="false">Z7*Hipótesis!$D$13</f>
        <v>2880</v>
      </c>
      <c r="AA8" s="110" t="n">
        <f aca="false">AA7*Hipótesis!$D$13</f>
        <v>2880</v>
      </c>
      <c r="AB8" s="110" t="n">
        <f aca="false">AB7*Hipótesis!$D$13</f>
        <v>2880</v>
      </c>
      <c r="AC8" s="110" t="n">
        <f aca="false">AC7*Hipótesis!$D$13</f>
        <v>2880</v>
      </c>
      <c r="AD8" s="110" t="n">
        <f aca="false">AD7*Hipótesis!$D$13</f>
        <v>2880</v>
      </c>
      <c r="AE8" s="110" t="n">
        <f aca="false">AE7*Hipótesis!$D$13</f>
        <v>2880</v>
      </c>
      <c r="AF8" s="110" t="n">
        <f aca="false">AF7*Hipótesis!$D$13</f>
        <v>2880</v>
      </c>
      <c r="AG8" s="110" t="n">
        <f aca="false">AG7*Hipótesis!$D$13</f>
        <v>2880</v>
      </c>
      <c r="AH8" s="110" t="n">
        <f aca="false">AH7*Hipótesis!$D$13</f>
        <v>2880</v>
      </c>
      <c r="AI8" s="110" t="n">
        <f aca="false">AI7*Hipótesis!$D$13</f>
        <v>2880</v>
      </c>
      <c r="AJ8" s="110" t="n">
        <f aca="false">AJ7*Hipótesis!$D$13</f>
        <v>2880</v>
      </c>
      <c r="AK8" s="110" t="n">
        <f aca="false">AK7*Hipótesis!$D$13</f>
        <v>2880</v>
      </c>
      <c r="AL8" s="110" t="n">
        <f aca="false">AL7*Hipótesis!$D$13</f>
        <v>2880</v>
      </c>
      <c r="AM8" s="110" t="n">
        <f aca="false">AM7*Hipótesis!$D$13</f>
        <v>2880</v>
      </c>
      <c r="AN8" s="110" t="n">
        <f aca="false">AN7*Hipótesis!$D$13</f>
        <v>2880</v>
      </c>
      <c r="AO8" s="110" t="n">
        <f aca="false">AO7*Hipótesis!$D$13</f>
        <v>2880</v>
      </c>
      <c r="AP8" s="110" t="n">
        <f aca="false">AP7*Hipótesis!$D$13</f>
        <v>2880</v>
      </c>
      <c r="AQ8" s="110" t="n">
        <f aca="false">AQ7*Hipótesis!$D$13</f>
        <v>2880</v>
      </c>
      <c r="AR8" s="110" t="n">
        <f aca="false">AR7*Hipótesis!$D$13</f>
        <v>2880</v>
      </c>
      <c r="AS8" s="110" t="n">
        <f aca="false">AS7*Hipótesis!$D$13</f>
        <v>2880</v>
      </c>
      <c r="AT8" s="110" t="n">
        <f aca="false">AT7*Hipótesis!$D$13</f>
        <v>2880</v>
      </c>
      <c r="AU8" s="110" t="n">
        <f aca="false">AU7*Hipótesis!$D$13</f>
        <v>2880</v>
      </c>
      <c r="AV8" s="110" t="n">
        <f aca="false">AV7*Hipótesis!$D$13</f>
        <v>2880</v>
      </c>
      <c r="AW8" s="110" t="n">
        <f aca="false">AW7*Hipótesis!$D$13</f>
        <v>2880</v>
      </c>
      <c r="AX8" s="110" t="n">
        <f aca="false">AX7*Hipótesis!$D$13</f>
        <v>2880</v>
      </c>
      <c r="AY8" s="110" t="n">
        <f aca="false">AY7*Hipótesis!$D$13</f>
        <v>2880</v>
      </c>
      <c r="AZ8" s="110" t="n">
        <f aca="false">AZ7*Hipótesis!$D$13</f>
        <v>2880</v>
      </c>
      <c r="BA8" s="110" t="n">
        <f aca="false">BA7*Hipótesis!$D$13</f>
        <v>2880</v>
      </c>
      <c r="BB8" s="110" t="n">
        <f aca="false">BB7*Hipótesis!$D$13</f>
        <v>2880</v>
      </c>
      <c r="BC8" s="110" t="n">
        <f aca="false">BC7*Hipótesis!$D$13</f>
        <v>2880</v>
      </c>
      <c r="BD8" s="110" t="n">
        <f aca="false">BD7*Hipótesis!$D$13</f>
        <v>2880</v>
      </c>
      <c r="BE8" s="110" t="n">
        <f aca="false">BE7*Hipótesis!$D$13</f>
        <v>2880</v>
      </c>
      <c r="BF8" s="110" t="n">
        <f aca="false">BF7*Hipótesis!$D$13</f>
        <v>2880</v>
      </c>
      <c r="BG8" s="110" t="n">
        <f aca="false">BG7*Hipótesis!$D$13</f>
        <v>2880</v>
      </c>
      <c r="BH8" s="110" t="n">
        <f aca="false">BH7*Hipótesis!$D$13</f>
        <v>2880</v>
      </c>
      <c r="BI8" s="110" t="n">
        <f aca="false">BI7*Hipótesis!$D$13</f>
        <v>2880</v>
      </c>
      <c r="BJ8" s="110" t="n">
        <f aca="false">BJ7*Hipótesis!$D$13</f>
        <v>2880</v>
      </c>
      <c r="BK8" s="110" t="n">
        <f aca="false">BK7*Hipótesis!$D$13</f>
        <v>2880</v>
      </c>
      <c r="BL8" s="110" t="n">
        <f aca="false">BL7*Hipótesis!$D$13</f>
        <v>2880</v>
      </c>
      <c r="BM8" s="110" t="n">
        <f aca="false">BM7*Hipótesis!$D$13</f>
        <v>2880</v>
      </c>
      <c r="BN8" s="110" t="n">
        <f aca="false">BN7*Hipótesis!$D$13</f>
        <v>2880</v>
      </c>
      <c r="BO8" s="110" t="n">
        <f aca="false">BO7*Hipótesis!$D$13</f>
        <v>2880</v>
      </c>
      <c r="BP8" s="110" t="n">
        <f aca="false">BP7*Hipótesis!$D$13</f>
        <v>2880</v>
      </c>
      <c r="BQ8" s="110" t="n">
        <f aca="false">BQ7*Hipótesis!$D$13</f>
        <v>2880</v>
      </c>
      <c r="BR8" s="110" t="n">
        <f aca="false">BR7*Hipótesis!$D$13</f>
        <v>2880</v>
      </c>
      <c r="BS8" s="110" t="n">
        <f aca="false">BS7*Hipótesis!$D$13</f>
        <v>2880</v>
      </c>
      <c r="BT8" s="110" t="n">
        <f aca="false">BT7*Hipótesis!$D$13</f>
        <v>2880</v>
      </c>
      <c r="BU8" s="110" t="n">
        <f aca="false">BU7*Hipótesis!$D$13</f>
        <v>2880</v>
      </c>
      <c r="BV8" s="110" t="n">
        <f aca="false">BV7*Hipótesis!$D$13</f>
        <v>2880</v>
      </c>
      <c r="BW8" s="110" t="n">
        <f aca="false">BW7*Hipótesis!$D$13</f>
        <v>2880</v>
      </c>
      <c r="BX8" s="110" t="n">
        <f aca="false">BX7*Hipótesis!$D$13</f>
        <v>2880</v>
      </c>
      <c r="BY8" s="110" t="n">
        <f aca="false">BY7*Hipótesis!$D$13</f>
        <v>2880</v>
      </c>
      <c r="BZ8" s="110" t="n">
        <f aca="false">BZ7*Hipótesis!$D$13</f>
        <v>2880</v>
      </c>
      <c r="CA8" s="110" t="n">
        <f aca="false">CA7*Hipótesis!$D$13</f>
        <v>2880</v>
      </c>
      <c r="CB8" s="110" t="n">
        <f aca="false">CB7*Hipótesis!$D$13</f>
        <v>2880</v>
      </c>
      <c r="CC8" s="110" t="n">
        <f aca="false">CC7*Hipótesis!$D$13</f>
        <v>2880</v>
      </c>
      <c r="CD8" s="110" t="n">
        <f aca="false">CD7*Hipótesis!$D$13</f>
        <v>2880</v>
      </c>
      <c r="CE8" s="110" t="n">
        <f aca="false">CE7*Hipótesis!$D$13</f>
        <v>2880</v>
      </c>
      <c r="CF8" s="110" t="n">
        <f aca="false">CF7*Hipótesis!$D$13</f>
        <v>2880</v>
      </c>
      <c r="CG8" s="110" t="n">
        <f aca="false">CG7*Hipótesis!$D$13</f>
        <v>2880</v>
      </c>
      <c r="CH8" s="110" t="n">
        <f aca="false">CH7*Hipótesis!$D$13</f>
        <v>2880</v>
      </c>
    </row>
    <row r="9" customFormat="false" ht="13.5" hidden="false" customHeight="true" outlineLevel="0" collapsed="false">
      <c r="A9" s="6" t="s">
        <v>517</v>
      </c>
      <c r="C9" s="109" t="n">
        <f aca="false">Pipeline!$Q$16*Pipeline!$D$16*MIN(1,MAX(0,(1-Pipeline!$E$16+1)/MAX(Pipeline!$F$16,1)))</f>
        <v>1005.575</v>
      </c>
      <c r="D9" s="109" t="n">
        <f aca="false">Pipeline!$Q$16*Pipeline!$D$16*MIN(1,MAX(0,(2-Pipeline!$E$16+1)/MAX(Pipeline!$F$16,1)))</f>
        <v>2011.15</v>
      </c>
      <c r="E9" s="109" t="n">
        <f aca="false">Pipeline!$Q$16*Pipeline!$D$16*MIN(1,MAX(0,(3-Pipeline!$E$16+1)/MAX(Pipeline!$F$16,1)))</f>
        <v>3016.725</v>
      </c>
      <c r="F9" s="109" t="n">
        <f aca="false">Pipeline!$Q$16*Pipeline!$D$16*MIN(1,MAX(0,(4-Pipeline!$E$16+1)/MAX(Pipeline!$F$16,1)))</f>
        <v>3016.725</v>
      </c>
      <c r="G9" s="109" t="n">
        <f aca="false">Pipeline!$Q$16*Pipeline!$D$16*MIN(1,MAX(0,(5-Pipeline!$E$16+1)/MAX(Pipeline!$F$16,1)))</f>
        <v>3016.725</v>
      </c>
      <c r="H9" s="109" t="n">
        <f aca="false">Pipeline!$Q$16*Pipeline!$D$16*MIN(1,MAX(0,(6-Pipeline!$E$16+1)/MAX(Pipeline!$F$16,1)))</f>
        <v>3016.725</v>
      </c>
      <c r="I9" s="109" t="n">
        <f aca="false">Pipeline!$Q$16*Pipeline!$D$16*MIN(1,MAX(0,(7-Pipeline!$E$16+1)/MAX(Pipeline!$F$16,1)))</f>
        <v>3016.725</v>
      </c>
      <c r="J9" s="109" t="n">
        <f aca="false">Pipeline!$Q$16*Pipeline!$D$16*MIN(1,MAX(0,(8-Pipeline!$E$16+1)/MAX(Pipeline!$F$16,1)))</f>
        <v>3016.725</v>
      </c>
      <c r="K9" s="109" t="n">
        <f aca="false">Pipeline!$Q$16*Pipeline!$D$16*MIN(1,MAX(0,(9-Pipeline!$E$16+1)/MAX(Pipeline!$F$16,1)))</f>
        <v>3016.725</v>
      </c>
      <c r="L9" s="109" t="n">
        <f aca="false">Pipeline!$Q$16*Pipeline!$D$16*MIN(1,MAX(0,(10-Pipeline!$E$16+1)/MAX(Pipeline!$F$16,1)))</f>
        <v>3016.725</v>
      </c>
      <c r="M9" s="109" t="n">
        <f aca="false">Pipeline!$Q$16*Pipeline!$D$16*MIN(1,MAX(0,(11-Pipeline!$E$16+1)/MAX(Pipeline!$F$16,1)))</f>
        <v>3016.725</v>
      </c>
      <c r="N9" s="109" t="n">
        <f aca="false">Pipeline!$Q$16*Pipeline!$D$16*MIN(1,MAX(0,(12-Pipeline!$E$16+1)/MAX(Pipeline!$F$16,1)))</f>
        <v>3016.725</v>
      </c>
      <c r="O9" s="109" t="n">
        <f aca="false">Pipeline!$Q$16*Pipeline!$D$16*MIN(1,MAX(0,(13-Pipeline!$E$16+1)/MAX(Pipeline!$F$16,1)))</f>
        <v>3016.725</v>
      </c>
      <c r="P9" s="109" t="n">
        <f aca="false">Pipeline!$Q$16*Pipeline!$D$16*MIN(1,MAX(0,(14-Pipeline!$E$16+1)/MAX(Pipeline!$F$16,1)))</f>
        <v>3016.725</v>
      </c>
      <c r="Q9" s="109" t="n">
        <f aca="false">Pipeline!$Q$16*Pipeline!$D$16*MIN(1,MAX(0,(15-Pipeline!$E$16+1)/MAX(Pipeline!$F$16,1)))</f>
        <v>3016.725</v>
      </c>
      <c r="R9" s="109" t="n">
        <f aca="false">Pipeline!$Q$16*Pipeline!$D$16*MIN(1,MAX(0,(16-Pipeline!$E$16+1)/MAX(Pipeline!$F$16,1)))</f>
        <v>3016.725</v>
      </c>
      <c r="S9" s="109" t="n">
        <f aca="false">Pipeline!$Q$16*Pipeline!$D$16*MIN(1,MAX(0,(17-Pipeline!$E$16+1)/MAX(Pipeline!$F$16,1)))</f>
        <v>3016.725</v>
      </c>
      <c r="T9" s="109" t="n">
        <f aca="false">Pipeline!$Q$16*Pipeline!$D$16*MIN(1,MAX(0,(18-Pipeline!$E$16+1)/MAX(Pipeline!$F$16,1)))</f>
        <v>3016.725</v>
      </c>
      <c r="U9" s="109" t="n">
        <f aca="false">Pipeline!$Q$16*Pipeline!$D$16*MIN(1,MAX(0,(19-Pipeline!$E$16+1)/MAX(Pipeline!$F$16,1)))</f>
        <v>3016.725</v>
      </c>
      <c r="V9" s="109" t="n">
        <f aca="false">Pipeline!$Q$16*Pipeline!$D$16*MIN(1,MAX(0,(20-Pipeline!$E$16+1)/MAX(Pipeline!$F$16,1)))</f>
        <v>3016.725</v>
      </c>
      <c r="W9" s="109" t="n">
        <f aca="false">Pipeline!$Q$16*Pipeline!$D$16*MIN(1,MAX(0,(21-Pipeline!$E$16+1)/MAX(Pipeline!$F$16,1)))</f>
        <v>3016.725</v>
      </c>
      <c r="X9" s="109" t="n">
        <f aca="false">Pipeline!$Q$16*Pipeline!$D$16*MIN(1,MAX(0,(22-Pipeline!$E$16+1)/MAX(Pipeline!$F$16,1)))</f>
        <v>3016.725</v>
      </c>
      <c r="Y9" s="109" t="n">
        <f aca="false">Pipeline!$Q$16*Pipeline!$D$16*MIN(1,MAX(0,(23-Pipeline!$E$16+1)/MAX(Pipeline!$F$16,1)))</f>
        <v>3016.725</v>
      </c>
      <c r="Z9" s="109" t="n">
        <f aca="false">Pipeline!$Q$16*Pipeline!$D$16*MIN(1,MAX(0,(24-Pipeline!$E$16+1)/MAX(Pipeline!$F$16,1)))</f>
        <v>3016.725</v>
      </c>
      <c r="AA9" s="109" t="n">
        <f aca="false">Pipeline!$Q$16*Pipeline!$D$16*MIN(1,MAX(0,(25-Pipeline!$E$16+1)/MAX(Pipeline!$F$16,1)))</f>
        <v>3016.725</v>
      </c>
      <c r="AB9" s="109" t="n">
        <f aca="false">Pipeline!$Q$16*Pipeline!$D$16*MIN(1,MAX(0,(26-Pipeline!$E$16+1)/MAX(Pipeline!$F$16,1)))</f>
        <v>3016.725</v>
      </c>
      <c r="AC9" s="109" t="n">
        <f aca="false">Pipeline!$Q$16*Pipeline!$D$16*MIN(1,MAX(0,(27-Pipeline!$E$16+1)/MAX(Pipeline!$F$16,1)))</f>
        <v>3016.725</v>
      </c>
      <c r="AD9" s="109" t="n">
        <f aca="false">Pipeline!$Q$16*Pipeline!$D$16*MIN(1,MAX(0,(28-Pipeline!$E$16+1)/MAX(Pipeline!$F$16,1)))</f>
        <v>3016.725</v>
      </c>
      <c r="AE9" s="109" t="n">
        <f aca="false">Pipeline!$Q$16*Pipeline!$D$16*MIN(1,MAX(0,(29-Pipeline!$E$16+1)/MAX(Pipeline!$F$16,1)))</f>
        <v>3016.725</v>
      </c>
      <c r="AF9" s="109" t="n">
        <f aca="false">Pipeline!$Q$16*Pipeline!$D$16*MIN(1,MAX(0,(30-Pipeline!$E$16+1)/MAX(Pipeline!$F$16,1)))</f>
        <v>3016.725</v>
      </c>
      <c r="AG9" s="109" t="n">
        <f aca="false">Pipeline!$Q$16*Pipeline!$D$16*MIN(1,MAX(0,(31-Pipeline!$E$16+1)/MAX(Pipeline!$F$16,1)))</f>
        <v>3016.725</v>
      </c>
      <c r="AH9" s="109" t="n">
        <f aca="false">Pipeline!$Q$16*Pipeline!$D$16*MIN(1,MAX(0,(32-Pipeline!$E$16+1)/MAX(Pipeline!$F$16,1)))</f>
        <v>3016.725</v>
      </c>
      <c r="AI9" s="109" t="n">
        <f aca="false">Pipeline!$Q$16*Pipeline!$D$16*MIN(1,MAX(0,(33-Pipeline!$E$16+1)/MAX(Pipeline!$F$16,1)))</f>
        <v>3016.725</v>
      </c>
      <c r="AJ9" s="109" t="n">
        <f aca="false">Pipeline!$Q$16*Pipeline!$D$16*MIN(1,MAX(0,(34-Pipeline!$E$16+1)/MAX(Pipeline!$F$16,1)))</f>
        <v>3016.725</v>
      </c>
      <c r="AK9" s="109" t="n">
        <f aca="false">Pipeline!$Q$16*Pipeline!$D$16*MIN(1,MAX(0,(35-Pipeline!$E$16+1)/MAX(Pipeline!$F$16,1)))</f>
        <v>3016.725</v>
      </c>
      <c r="AL9" s="109" t="n">
        <f aca="false">Pipeline!$Q$16*Pipeline!$D$16*MIN(1,MAX(0,(36-Pipeline!$E$16+1)/MAX(Pipeline!$F$16,1)))</f>
        <v>3016.725</v>
      </c>
      <c r="AM9" s="109" t="n">
        <f aca="false">Pipeline!$Q$16*Pipeline!$D$16*MIN(1,MAX(0,(37-Pipeline!$E$16+1)/MAX(Pipeline!$F$16,1)))</f>
        <v>3016.725</v>
      </c>
      <c r="AN9" s="109" t="n">
        <f aca="false">Pipeline!$Q$16*Pipeline!$D$16*MIN(1,MAX(0,(38-Pipeline!$E$16+1)/MAX(Pipeline!$F$16,1)))</f>
        <v>3016.725</v>
      </c>
      <c r="AO9" s="109" t="n">
        <f aca="false">Pipeline!$Q$16*Pipeline!$D$16*MIN(1,MAX(0,(39-Pipeline!$E$16+1)/MAX(Pipeline!$F$16,1)))</f>
        <v>3016.725</v>
      </c>
      <c r="AP9" s="109" t="n">
        <f aca="false">Pipeline!$Q$16*Pipeline!$D$16*MIN(1,MAX(0,(40-Pipeline!$E$16+1)/MAX(Pipeline!$F$16,1)))</f>
        <v>3016.725</v>
      </c>
      <c r="AQ9" s="109" t="n">
        <f aca="false">Pipeline!$Q$16*Pipeline!$D$16*MIN(1,MAX(0,(41-Pipeline!$E$16+1)/MAX(Pipeline!$F$16,1)))</f>
        <v>3016.725</v>
      </c>
      <c r="AR9" s="109" t="n">
        <f aca="false">Pipeline!$Q$16*Pipeline!$D$16*MIN(1,MAX(0,(42-Pipeline!$E$16+1)/MAX(Pipeline!$F$16,1)))</f>
        <v>3016.725</v>
      </c>
      <c r="AS9" s="109" t="n">
        <f aca="false">Pipeline!$Q$16*Pipeline!$D$16*MIN(1,MAX(0,(43-Pipeline!$E$16+1)/MAX(Pipeline!$F$16,1)))</f>
        <v>3016.725</v>
      </c>
      <c r="AT9" s="109" t="n">
        <f aca="false">Pipeline!$Q$16*Pipeline!$D$16*MIN(1,MAX(0,(44-Pipeline!$E$16+1)/MAX(Pipeline!$F$16,1)))</f>
        <v>3016.725</v>
      </c>
      <c r="AU9" s="109" t="n">
        <f aca="false">Pipeline!$Q$16*Pipeline!$D$16*MIN(1,MAX(0,(45-Pipeline!$E$16+1)/MAX(Pipeline!$F$16,1)))</f>
        <v>3016.725</v>
      </c>
      <c r="AV9" s="109" t="n">
        <f aca="false">Pipeline!$Q$16*Pipeline!$D$16*MIN(1,MAX(0,(46-Pipeline!$E$16+1)/MAX(Pipeline!$F$16,1)))</f>
        <v>3016.725</v>
      </c>
      <c r="AW9" s="109" t="n">
        <f aca="false">Pipeline!$Q$16*Pipeline!$D$16*MIN(1,MAX(0,(47-Pipeline!$E$16+1)/MAX(Pipeline!$F$16,1)))</f>
        <v>3016.725</v>
      </c>
      <c r="AX9" s="109" t="n">
        <f aca="false">Pipeline!$Q$16*Pipeline!$D$16*MIN(1,MAX(0,(48-Pipeline!$E$16+1)/MAX(Pipeline!$F$16,1)))</f>
        <v>3016.725</v>
      </c>
      <c r="AY9" s="109" t="n">
        <f aca="false">Pipeline!$Q$16*Pipeline!$D$16*MIN(1,MAX(0,(49-Pipeline!$E$16+1)/MAX(Pipeline!$F$16,1)))</f>
        <v>3016.725</v>
      </c>
      <c r="AZ9" s="109" t="n">
        <f aca="false">Pipeline!$Q$16*Pipeline!$D$16*MIN(1,MAX(0,(50-Pipeline!$E$16+1)/MAX(Pipeline!$F$16,1)))</f>
        <v>3016.725</v>
      </c>
      <c r="BA9" s="109" t="n">
        <f aca="false">Pipeline!$Q$16*Pipeline!$D$16*MIN(1,MAX(0,(51-Pipeline!$E$16+1)/MAX(Pipeline!$F$16,1)))</f>
        <v>3016.725</v>
      </c>
      <c r="BB9" s="109" t="n">
        <f aca="false">Pipeline!$Q$16*Pipeline!$D$16*MIN(1,MAX(0,(52-Pipeline!$E$16+1)/MAX(Pipeline!$F$16,1)))</f>
        <v>3016.725</v>
      </c>
      <c r="BC9" s="109" t="n">
        <f aca="false">Pipeline!$Q$16*Pipeline!$D$16*MIN(1,MAX(0,(53-Pipeline!$E$16+1)/MAX(Pipeline!$F$16,1)))</f>
        <v>3016.725</v>
      </c>
      <c r="BD9" s="109" t="n">
        <f aca="false">Pipeline!$Q$16*Pipeline!$D$16*MIN(1,MAX(0,(54-Pipeline!$E$16+1)/MAX(Pipeline!$F$16,1)))</f>
        <v>3016.725</v>
      </c>
      <c r="BE9" s="109" t="n">
        <f aca="false">Pipeline!$Q$16*Pipeline!$D$16*MIN(1,MAX(0,(55-Pipeline!$E$16+1)/MAX(Pipeline!$F$16,1)))</f>
        <v>3016.725</v>
      </c>
      <c r="BF9" s="109" t="n">
        <f aca="false">Pipeline!$Q$16*Pipeline!$D$16*MIN(1,MAX(0,(56-Pipeline!$E$16+1)/MAX(Pipeline!$F$16,1)))</f>
        <v>3016.725</v>
      </c>
      <c r="BG9" s="109" t="n">
        <f aca="false">Pipeline!$Q$16*Pipeline!$D$16*MIN(1,MAX(0,(57-Pipeline!$E$16+1)/MAX(Pipeline!$F$16,1)))</f>
        <v>3016.725</v>
      </c>
      <c r="BH9" s="109" t="n">
        <f aca="false">Pipeline!$Q$16*Pipeline!$D$16*MIN(1,MAX(0,(58-Pipeline!$E$16+1)/MAX(Pipeline!$F$16,1)))</f>
        <v>3016.725</v>
      </c>
      <c r="BI9" s="109" t="n">
        <f aca="false">Pipeline!$Q$16*Pipeline!$D$16*MIN(1,MAX(0,(59-Pipeline!$E$16+1)/MAX(Pipeline!$F$16,1)))</f>
        <v>3016.725</v>
      </c>
      <c r="BJ9" s="109" t="n">
        <f aca="false">Pipeline!$Q$16*Pipeline!$D$16*MIN(1,MAX(0,(60-Pipeline!$E$16+1)/MAX(Pipeline!$F$16,1)))</f>
        <v>3016.725</v>
      </c>
      <c r="BK9" s="109" t="n">
        <f aca="false">Pipeline!$Q$16*Pipeline!$D$16*MIN(1,MAX(0,(61-Pipeline!$E$16+1)/MAX(Pipeline!$F$16,1)))</f>
        <v>3016.725</v>
      </c>
      <c r="BL9" s="109" t="n">
        <f aca="false">Pipeline!$Q$16*Pipeline!$D$16*MIN(1,MAX(0,(62-Pipeline!$E$16+1)/MAX(Pipeline!$F$16,1)))</f>
        <v>3016.725</v>
      </c>
      <c r="BM9" s="109" t="n">
        <f aca="false">Pipeline!$Q$16*Pipeline!$D$16*MIN(1,MAX(0,(63-Pipeline!$E$16+1)/MAX(Pipeline!$F$16,1)))</f>
        <v>3016.725</v>
      </c>
      <c r="BN9" s="109" t="n">
        <f aca="false">Pipeline!$Q$16*Pipeline!$D$16*MIN(1,MAX(0,(64-Pipeline!$E$16+1)/MAX(Pipeline!$F$16,1)))</f>
        <v>3016.725</v>
      </c>
      <c r="BO9" s="109" t="n">
        <f aca="false">Pipeline!$Q$16*Pipeline!$D$16*MIN(1,MAX(0,(65-Pipeline!$E$16+1)/MAX(Pipeline!$F$16,1)))</f>
        <v>3016.725</v>
      </c>
      <c r="BP9" s="109" t="n">
        <f aca="false">Pipeline!$Q$16*Pipeline!$D$16*MIN(1,MAX(0,(66-Pipeline!$E$16+1)/MAX(Pipeline!$F$16,1)))</f>
        <v>3016.725</v>
      </c>
      <c r="BQ9" s="109" t="n">
        <f aca="false">Pipeline!$Q$16*Pipeline!$D$16*MIN(1,MAX(0,(67-Pipeline!$E$16+1)/MAX(Pipeline!$F$16,1)))</f>
        <v>3016.725</v>
      </c>
      <c r="BR9" s="109" t="n">
        <f aca="false">Pipeline!$Q$16*Pipeline!$D$16*MIN(1,MAX(0,(68-Pipeline!$E$16+1)/MAX(Pipeline!$F$16,1)))</f>
        <v>3016.725</v>
      </c>
      <c r="BS9" s="109" t="n">
        <f aca="false">Pipeline!$Q$16*Pipeline!$D$16*MIN(1,MAX(0,(69-Pipeline!$E$16+1)/MAX(Pipeline!$F$16,1)))</f>
        <v>3016.725</v>
      </c>
      <c r="BT9" s="109" t="n">
        <f aca="false">Pipeline!$Q$16*Pipeline!$D$16*MIN(1,MAX(0,(70-Pipeline!$E$16+1)/MAX(Pipeline!$F$16,1)))</f>
        <v>3016.725</v>
      </c>
      <c r="BU9" s="109" t="n">
        <f aca="false">Pipeline!$Q$16*Pipeline!$D$16*MIN(1,MAX(0,(71-Pipeline!$E$16+1)/MAX(Pipeline!$F$16,1)))</f>
        <v>3016.725</v>
      </c>
      <c r="BV9" s="109" t="n">
        <f aca="false">Pipeline!$Q$16*Pipeline!$D$16*MIN(1,MAX(0,(72-Pipeline!$E$16+1)/MAX(Pipeline!$F$16,1)))</f>
        <v>3016.725</v>
      </c>
      <c r="BW9" s="109" t="n">
        <f aca="false">Pipeline!$Q$16*Pipeline!$D$16*MIN(1,MAX(0,(73-Pipeline!$E$16+1)/MAX(Pipeline!$F$16,1)))</f>
        <v>3016.725</v>
      </c>
      <c r="BX9" s="109" t="n">
        <f aca="false">Pipeline!$Q$16*Pipeline!$D$16*MIN(1,MAX(0,(74-Pipeline!$E$16+1)/MAX(Pipeline!$F$16,1)))</f>
        <v>3016.725</v>
      </c>
      <c r="BY9" s="109" t="n">
        <f aca="false">Pipeline!$Q$16*Pipeline!$D$16*MIN(1,MAX(0,(75-Pipeline!$E$16+1)/MAX(Pipeline!$F$16,1)))</f>
        <v>3016.725</v>
      </c>
      <c r="BZ9" s="109" t="n">
        <f aca="false">Pipeline!$Q$16*Pipeline!$D$16*MIN(1,MAX(0,(76-Pipeline!$E$16+1)/MAX(Pipeline!$F$16,1)))</f>
        <v>3016.725</v>
      </c>
      <c r="CA9" s="109" t="n">
        <f aca="false">Pipeline!$Q$16*Pipeline!$D$16*MIN(1,MAX(0,(77-Pipeline!$E$16+1)/MAX(Pipeline!$F$16,1)))</f>
        <v>3016.725</v>
      </c>
      <c r="CB9" s="109" t="n">
        <f aca="false">Pipeline!$Q$16*Pipeline!$D$16*MIN(1,MAX(0,(78-Pipeline!$E$16+1)/MAX(Pipeline!$F$16,1)))</f>
        <v>3016.725</v>
      </c>
      <c r="CC9" s="109" t="n">
        <f aca="false">Pipeline!$Q$16*Pipeline!$D$16*MIN(1,MAX(0,(79-Pipeline!$E$16+1)/MAX(Pipeline!$F$16,1)))</f>
        <v>3016.725</v>
      </c>
      <c r="CD9" s="109" t="n">
        <f aca="false">Pipeline!$Q$16*Pipeline!$D$16*MIN(1,MAX(0,(80-Pipeline!$E$16+1)/MAX(Pipeline!$F$16,1)))</f>
        <v>3016.725</v>
      </c>
      <c r="CE9" s="109" t="n">
        <f aca="false">Pipeline!$Q$16*Pipeline!$D$16*MIN(1,MAX(0,(81-Pipeline!$E$16+1)/MAX(Pipeline!$F$16,1)))</f>
        <v>3016.725</v>
      </c>
      <c r="CF9" s="109" t="n">
        <f aca="false">Pipeline!$Q$16*Pipeline!$D$16*MIN(1,MAX(0,(82-Pipeline!$E$16+1)/MAX(Pipeline!$F$16,1)))</f>
        <v>3016.725</v>
      </c>
      <c r="CG9" s="109" t="n">
        <f aca="false">Pipeline!$Q$16*Pipeline!$D$16*MIN(1,MAX(0,(83-Pipeline!$E$16+1)/MAX(Pipeline!$F$16,1)))</f>
        <v>3016.725</v>
      </c>
      <c r="CH9" s="109" t="n">
        <f aca="false">Pipeline!$Q$16*Pipeline!$D$16*MIN(1,MAX(0,(84-Pipeline!$E$16+1)/MAX(Pipeline!$F$16,1)))</f>
        <v>3016.725</v>
      </c>
    </row>
    <row r="10" customFormat="false" ht="13.5" hidden="false" customHeight="true" outlineLevel="0" collapsed="false">
      <c r="A10" s="6" t="s">
        <v>518</v>
      </c>
      <c r="C10" s="109" t="n">
        <f aca="false">Pipeline!$Q$17*Pipeline!$D$17*MIN(1,MAX(0,(1-Pipeline!$E$17+1)/MAX(Pipeline!$F$17,1)))</f>
        <v>0</v>
      </c>
      <c r="D10" s="109" t="n">
        <f aca="false">Pipeline!$Q$17*Pipeline!$D$17*MIN(1,MAX(0,(2-Pipeline!$E$17+1)/MAX(Pipeline!$F$17,1)))</f>
        <v>78.3</v>
      </c>
      <c r="E10" s="109" t="n">
        <f aca="false">Pipeline!$Q$17*Pipeline!$D$17*MIN(1,MAX(0,(3-Pipeline!$E$17+1)/MAX(Pipeline!$F$17,1)))</f>
        <v>156.6</v>
      </c>
      <c r="F10" s="109" t="n">
        <f aca="false">Pipeline!$Q$17*Pipeline!$D$17*MIN(1,MAX(0,(4-Pipeline!$E$17+1)/MAX(Pipeline!$F$17,1)))</f>
        <v>234.9</v>
      </c>
      <c r="G10" s="109" t="n">
        <f aca="false">Pipeline!$Q$17*Pipeline!$D$17*MIN(1,MAX(0,(5-Pipeline!$E$17+1)/MAX(Pipeline!$F$17,1)))</f>
        <v>234.9</v>
      </c>
      <c r="H10" s="109" t="n">
        <f aca="false">Pipeline!$Q$17*Pipeline!$D$17*MIN(1,MAX(0,(6-Pipeline!$E$17+1)/MAX(Pipeline!$F$17,1)))</f>
        <v>234.9</v>
      </c>
      <c r="I10" s="109" t="n">
        <f aca="false">Pipeline!$Q$17*Pipeline!$D$17*MIN(1,MAX(0,(7-Pipeline!$E$17+1)/MAX(Pipeline!$F$17,1)))</f>
        <v>234.9</v>
      </c>
      <c r="J10" s="109" t="n">
        <f aca="false">Pipeline!$Q$17*Pipeline!$D$17*MIN(1,MAX(0,(8-Pipeline!$E$17+1)/MAX(Pipeline!$F$17,1)))</f>
        <v>234.9</v>
      </c>
      <c r="K10" s="109" t="n">
        <f aca="false">Pipeline!$Q$17*Pipeline!$D$17*MIN(1,MAX(0,(9-Pipeline!$E$17+1)/MAX(Pipeline!$F$17,1)))</f>
        <v>234.9</v>
      </c>
      <c r="L10" s="109" t="n">
        <f aca="false">Pipeline!$Q$17*Pipeline!$D$17*MIN(1,MAX(0,(10-Pipeline!$E$17+1)/MAX(Pipeline!$F$17,1)))</f>
        <v>234.9</v>
      </c>
      <c r="M10" s="109" t="n">
        <f aca="false">Pipeline!$Q$17*Pipeline!$D$17*MIN(1,MAX(0,(11-Pipeline!$E$17+1)/MAX(Pipeline!$F$17,1)))</f>
        <v>234.9</v>
      </c>
      <c r="N10" s="109" t="n">
        <f aca="false">Pipeline!$Q$17*Pipeline!$D$17*MIN(1,MAX(0,(12-Pipeline!$E$17+1)/MAX(Pipeline!$F$17,1)))</f>
        <v>234.9</v>
      </c>
      <c r="O10" s="109" t="n">
        <f aca="false">Pipeline!$Q$17*Pipeline!$D$17*MIN(1,MAX(0,(13-Pipeline!$E$17+1)/MAX(Pipeline!$F$17,1)))</f>
        <v>234.9</v>
      </c>
      <c r="P10" s="109" t="n">
        <f aca="false">Pipeline!$Q$17*Pipeline!$D$17*MIN(1,MAX(0,(14-Pipeline!$E$17+1)/MAX(Pipeline!$F$17,1)))</f>
        <v>234.9</v>
      </c>
      <c r="Q10" s="109" t="n">
        <f aca="false">Pipeline!$Q$17*Pipeline!$D$17*MIN(1,MAX(0,(15-Pipeline!$E$17+1)/MAX(Pipeline!$F$17,1)))</f>
        <v>234.9</v>
      </c>
      <c r="R10" s="109" t="n">
        <f aca="false">Pipeline!$Q$17*Pipeline!$D$17*MIN(1,MAX(0,(16-Pipeline!$E$17+1)/MAX(Pipeline!$F$17,1)))</f>
        <v>234.9</v>
      </c>
      <c r="S10" s="109" t="n">
        <f aca="false">Pipeline!$Q$17*Pipeline!$D$17*MIN(1,MAX(0,(17-Pipeline!$E$17+1)/MAX(Pipeline!$F$17,1)))</f>
        <v>234.9</v>
      </c>
      <c r="T10" s="109" t="n">
        <f aca="false">Pipeline!$Q$17*Pipeline!$D$17*MIN(1,MAX(0,(18-Pipeline!$E$17+1)/MAX(Pipeline!$F$17,1)))</f>
        <v>234.9</v>
      </c>
      <c r="U10" s="109" t="n">
        <f aca="false">Pipeline!$Q$17*Pipeline!$D$17*MIN(1,MAX(0,(19-Pipeline!$E$17+1)/MAX(Pipeline!$F$17,1)))</f>
        <v>234.9</v>
      </c>
      <c r="V10" s="109" t="n">
        <f aca="false">Pipeline!$Q$17*Pipeline!$D$17*MIN(1,MAX(0,(20-Pipeline!$E$17+1)/MAX(Pipeline!$F$17,1)))</f>
        <v>234.9</v>
      </c>
      <c r="W10" s="109" t="n">
        <f aca="false">Pipeline!$Q$17*Pipeline!$D$17*MIN(1,MAX(0,(21-Pipeline!$E$17+1)/MAX(Pipeline!$F$17,1)))</f>
        <v>234.9</v>
      </c>
      <c r="X10" s="109" t="n">
        <f aca="false">Pipeline!$Q$17*Pipeline!$D$17*MIN(1,MAX(0,(22-Pipeline!$E$17+1)/MAX(Pipeline!$F$17,1)))</f>
        <v>234.9</v>
      </c>
      <c r="Y10" s="109" t="n">
        <f aca="false">Pipeline!$Q$17*Pipeline!$D$17*MIN(1,MAX(0,(23-Pipeline!$E$17+1)/MAX(Pipeline!$F$17,1)))</f>
        <v>234.9</v>
      </c>
      <c r="Z10" s="109" t="n">
        <f aca="false">Pipeline!$Q$17*Pipeline!$D$17*MIN(1,MAX(0,(24-Pipeline!$E$17+1)/MAX(Pipeline!$F$17,1)))</f>
        <v>234.9</v>
      </c>
      <c r="AA10" s="109" t="n">
        <f aca="false">Pipeline!$Q$17*Pipeline!$D$17*MIN(1,MAX(0,(25-Pipeline!$E$17+1)/MAX(Pipeline!$F$17,1)))</f>
        <v>234.9</v>
      </c>
      <c r="AB10" s="109" t="n">
        <f aca="false">Pipeline!$Q$17*Pipeline!$D$17*MIN(1,MAX(0,(26-Pipeline!$E$17+1)/MAX(Pipeline!$F$17,1)))</f>
        <v>234.9</v>
      </c>
      <c r="AC10" s="109" t="n">
        <f aca="false">Pipeline!$Q$17*Pipeline!$D$17*MIN(1,MAX(0,(27-Pipeline!$E$17+1)/MAX(Pipeline!$F$17,1)))</f>
        <v>234.9</v>
      </c>
      <c r="AD10" s="109" t="n">
        <f aca="false">Pipeline!$Q$17*Pipeline!$D$17*MIN(1,MAX(0,(28-Pipeline!$E$17+1)/MAX(Pipeline!$F$17,1)))</f>
        <v>234.9</v>
      </c>
      <c r="AE10" s="109" t="n">
        <f aca="false">Pipeline!$Q$17*Pipeline!$D$17*MIN(1,MAX(0,(29-Pipeline!$E$17+1)/MAX(Pipeline!$F$17,1)))</f>
        <v>234.9</v>
      </c>
      <c r="AF10" s="109" t="n">
        <f aca="false">Pipeline!$Q$17*Pipeline!$D$17*MIN(1,MAX(0,(30-Pipeline!$E$17+1)/MAX(Pipeline!$F$17,1)))</f>
        <v>234.9</v>
      </c>
      <c r="AG10" s="109" t="n">
        <f aca="false">Pipeline!$Q$17*Pipeline!$D$17*MIN(1,MAX(0,(31-Pipeline!$E$17+1)/MAX(Pipeline!$F$17,1)))</f>
        <v>234.9</v>
      </c>
      <c r="AH10" s="109" t="n">
        <f aca="false">Pipeline!$Q$17*Pipeline!$D$17*MIN(1,MAX(0,(32-Pipeline!$E$17+1)/MAX(Pipeline!$F$17,1)))</f>
        <v>234.9</v>
      </c>
      <c r="AI10" s="109" t="n">
        <f aca="false">Pipeline!$Q$17*Pipeline!$D$17*MIN(1,MAX(0,(33-Pipeline!$E$17+1)/MAX(Pipeline!$F$17,1)))</f>
        <v>234.9</v>
      </c>
      <c r="AJ10" s="109" t="n">
        <f aca="false">Pipeline!$Q$17*Pipeline!$D$17*MIN(1,MAX(0,(34-Pipeline!$E$17+1)/MAX(Pipeline!$F$17,1)))</f>
        <v>234.9</v>
      </c>
      <c r="AK10" s="109" t="n">
        <f aca="false">Pipeline!$Q$17*Pipeline!$D$17*MIN(1,MAX(0,(35-Pipeline!$E$17+1)/MAX(Pipeline!$F$17,1)))</f>
        <v>234.9</v>
      </c>
      <c r="AL10" s="109" t="n">
        <f aca="false">Pipeline!$Q$17*Pipeline!$D$17*MIN(1,MAX(0,(36-Pipeline!$E$17+1)/MAX(Pipeline!$F$17,1)))</f>
        <v>234.9</v>
      </c>
      <c r="AM10" s="109" t="n">
        <f aca="false">Pipeline!$Q$17*Pipeline!$D$17*MIN(1,MAX(0,(37-Pipeline!$E$17+1)/MAX(Pipeline!$F$17,1)))</f>
        <v>234.9</v>
      </c>
      <c r="AN10" s="109" t="n">
        <f aca="false">Pipeline!$Q$17*Pipeline!$D$17*MIN(1,MAX(0,(38-Pipeline!$E$17+1)/MAX(Pipeline!$F$17,1)))</f>
        <v>234.9</v>
      </c>
      <c r="AO10" s="109" t="n">
        <f aca="false">Pipeline!$Q$17*Pipeline!$D$17*MIN(1,MAX(0,(39-Pipeline!$E$17+1)/MAX(Pipeline!$F$17,1)))</f>
        <v>234.9</v>
      </c>
      <c r="AP10" s="109" t="n">
        <f aca="false">Pipeline!$Q$17*Pipeline!$D$17*MIN(1,MAX(0,(40-Pipeline!$E$17+1)/MAX(Pipeline!$F$17,1)))</f>
        <v>234.9</v>
      </c>
      <c r="AQ10" s="109" t="n">
        <f aca="false">Pipeline!$Q$17*Pipeline!$D$17*MIN(1,MAX(0,(41-Pipeline!$E$17+1)/MAX(Pipeline!$F$17,1)))</f>
        <v>234.9</v>
      </c>
      <c r="AR10" s="109" t="n">
        <f aca="false">Pipeline!$Q$17*Pipeline!$D$17*MIN(1,MAX(0,(42-Pipeline!$E$17+1)/MAX(Pipeline!$F$17,1)))</f>
        <v>234.9</v>
      </c>
      <c r="AS10" s="109" t="n">
        <f aca="false">Pipeline!$Q$17*Pipeline!$D$17*MIN(1,MAX(0,(43-Pipeline!$E$17+1)/MAX(Pipeline!$F$17,1)))</f>
        <v>234.9</v>
      </c>
      <c r="AT10" s="109" t="n">
        <f aca="false">Pipeline!$Q$17*Pipeline!$D$17*MIN(1,MAX(0,(44-Pipeline!$E$17+1)/MAX(Pipeline!$F$17,1)))</f>
        <v>234.9</v>
      </c>
      <c r="AU10" s="109" t="n">
        <f aca="false">Pipeline!$Q$17*Pipeline!$D$17*MIN(1,MAX(0,(45-Pipeline!$E$17+1)/MAX(Pipeline!$F$17,1)))</f>
        <v>234.9</v>
      </c>
      <c r="AV10" s="109" t="n">
        <f aca="false">Pipeline!$Q$17*Pipeline!$D$17*MIN(1,MAX(0,(46-Pipeline!$E$17+1)/MAX(Pipeline!$F$17,1)))</f>
        <v>234.9</v>
      </c>
      <c r="AW10" s="109" t="n">
        <f aca="false">Pipeline!$Q$17*Pipeline!$D$17*MIN(1,MAX(0,(47-Pipeline!$E$17+1)/MAX(Pipeline!$F$17,1)))</f>
        <v>234.9</v>
      </c>
      <c r="AX10" s="109" t="n">
        <f aca="false">Pipeline!$Q$17*Pipeline!$D$17*MIN(1,MAX(0,(48-Pipeline!$E$17+1)/MAX(Pipeline!$F$17,1)))</f>
        <v>234.9</v>
      </c>
      <c r="AY10" s="109" t="n">
        <f aca="false">Pipeline!$Q$17*Pipeline!$D$17*MIN(1,MAX(0,(49-Pipeline!$E$17+1)/MAX(Pipeline!$F$17,1)))</f>
        <v>234.9</v>
      </c>
      <c r="AZ10" s="109" t="n">
        <f aca="false">Pipeline!$Q$17*Pipeline!$D$17*MIN(1,MAX(0,(50-Pipeline!$E$17+1)/MAX(Pipeline!$F$17,1)))</f>
        <v>234.9</v>
      </c>
      <c r="BA10" s="109" t="n">
        <f aca="false">Pipeline!$Q$17*Pipeline!$D$17*MIN(1,MAX(0,(51-Pipeline!$E$17+1)/MAX(Pipeline!$F$17,1)))</f>
        <v>234.9</v>
      </c>
      <c r="BB10" s="109" t="n">
        <f aca="false">Pipeline!$Q$17*Pipeline!$D$17*MIN(1,MAX(0,(52-Pipeline!$E$17+1)/MAX(Pipeline!$F$17,1)))</f>
        <v>234.9</v>
      </c>
      <c r="BC10" s="109" t="n">
        <f aca="false">Pipeline!$Q$17*Pipeline!$D$17*MIN(1,MAX(0,(53-Pipeline!$E$17+1)/MAX(Pipeline!$F$17,1)))</f>
        <v>234.9</v>
      </c>
      <c r="BD10" s="109" t="n">
        <f aca="false">Pipeline!$Q$17*Pipeline!$D$17*MIN(1,MAX(0,(54-Pipeline!$E$17+1)/MAX(Pipeline!$F$17,1)))</f>
        <v>234.9</v>
      </c>
      <c r="BE10" s="109" t="n">
        <f aca="false">Pipeline!$Q$17*Pipeline!$D$17*MIN(1,MAX(0,(55-Pipeline!$E$17+1)/MAX(Pipeline!$F$17,1)))</f>
        <v>234.9</v>
      </c>
      <c r="BF10" s="109" t="n">
        <f aca="false">Pipeline!$Q$17*Pipeline!$D$17*MIN(1,MAX(0,(56-Pipeline!$E$17+1)/MAX(Pipeline!$F$17,1)))</f>
        <v>234.9</v>
      </c>
      <c r="BG10" s="109" t="n">
        <f aca="false">Pipeline!$Q$17*Pipeline!$D$17*MIN(1,MAX(0,(57-Pipeline!$E$17+1)/MAX(Pipeline!$F$17,1)))</f>
        <v>234.9</v>
      </c>
      <c r="BH10" s="109" t="n">
        <f aca="false">Pipeline!$Q$17*Pipeline!$D$17*MIN(1,MAX(0,(58-Pipeline!$E$17+1)/MAX(Pipeline!$F$17,1)))</f>
        <v>234.9</v>
      </c>
      <c r="BI10" s="109" t="n">
        <f aca="false">Pipeline!$Q$17*Pipeline!$D$17*MIN(1,MAX(0,(59-Pipeline!$E$17+1)/MAX(Pipeline!$F$17,1)))</f>
        <v>234.9</v>
      </c>
      <c r="BJ10" s="109" t="n">
        <f aca="false">Pipeline!$Q$17*Pipeline!$D$17*MIN(1,MAX(0,(60-Pipeline!$E$17+1)/MAX(Pipeline!$F$17,1)))</f>
        <v>234.9</v>
      </c>
      <c r="BK10" s="109" t="n">
        <f aca="false">Pipeline!$Q$17*Pipeline!$D$17*MIN(1,MAX(0,(61-Pipeline!$E$17+1)/MAX(Pipeline!$F$17,1)))</f>
        <v>234.9</v>
      </c>
      <c r="BL10" s="109" t="n">
        <f aca="false">Pipeline!$Q$17*Pipeline!$D$17*MIN(1,MAX(0,(62-Pipeline!$E$17+1)/MAX(Pipeline!$F$17,1)))</f>
        <v>234.9</v>
      </c>
      <c r="BM10" s="109" t="n">
        <f aca="false">Pipeline!$Q$17*Pipeline!$D$17*MIN(1,MAX(0,(63-Pipeline!$E$17+1)/MAX(Pipeline!$F$17,1)))</f>
        <v>234.9</v>
      </c>
      <c r="BN10" s="109" t="n">
        <f aca="false">Pipeline!$Q$17*Pipeline!$D$17*MIN(1,MAX(0,(64-Pipeline!$E$17+1)/MAX(Pipeline!$F$17,1)))</f>
        <v>234.9</v>
      </c>
      <c r="BO10" s="109" t="n">
        <f aca="false">Pipeline!$Q$17*Pipeline!$D$17*MIN(1,MAX(0,(65-Pipeline!$E$17+1)/MAX(Pipeline!$F$17,1)))</f>
        <v>234.9</v>
      </c>
      <c r="BP10" s="109" t="n">
        <f aca="false">Pipeline!$Q$17*Pipeline!$D$17*MIN(1,MAX(0,(66-Pipeline!$E$17+1)/MAX(Pipeline!$F$17,1)))</f>
        <v>234.9</v>
      </c>
      <c r="BQ10" s="109" t="n">
        <f aca="false">Pipeline!$Q$17*Pipeline!$D$17*MIN(1,MAX(0,(67-Pipeline!$E$17+1)/MAX(Pipeline!$F$17,1)))</f>
        <v>234.9</v>
      </c>
      <c r="BR10" s="109" t="n">
        <f aca="false">Pipeline!$Q$17*Pipeline!$D$17*MIN(1,MAX(0,(68-Pipeline!$E$17+1)/MAX(Pipeline!$F$17,1)))</f>
        <v>234.9</v>
      </c>
      <c r="BS10" s="109" t="n">
        <f aca="false">Pipeline!$Q$17*Pipeline!$D$17*MIN(1,MAX(0,(69-Pipeline!$E$17+1)/MAX(Pipeline!$F$17,1)))</f>
        <v>234.9</v>
      </c>
      <c r="BT10" s="109" t="n">
        <f aca="false">Pipeline!$Q$17*Pipeline!$D$17*MIN(1,MAX(0,(70-Pipeline!$E$17+1)/MAX(Pipeline!$F$17,1)))</f>
        <v>234.9</v>
      </c>
      <c r="BU10" s="109" t="n">
        <f aca="false">Pipeline!$Q$17*Pipeline!$D$17*MIN(1,MAX(0,(71-Pipeline!$E$17+1)/MAX(Pipeline!$F$17,1)))</f>
        <v>234.9</v>
      </c>
      <c r="BV10" s="109" t="n">
        <f aca="false">Pipeline!$Q$17*Pipeline!$D$17*MIN(1,MAX(0,(72-Pipeline!$E$17+1)/MAX(Pipeline!$F$17,1)))</f>
        <v>234.9</v>
      </c>
      <c r="BW10" s="109" t="n">
        <f aca="false">Pipeline!$Q$17*Pipeline!$D$17*MIN(1,MAX(0,(73-Pipeline!$E$17+1)/MAX(Pipeline!$F$17,1)))</f>
        <v>234.9</v>
      </c>
      <c r="BX10" s="109" t="n">
        <f aca="false">Pipeline!$Q$17*Pipeline!$D$17*MIN(1,MAX(0,(74-Pipeline!$E$17+1)/MAX(Pipeline!$F$17,1)))</f>
        <v>234.9</v>
      </c>
      <c r="BY10" s="109" t="n">
        <f aca="false">Pipeline!$Q$17*Pipeline!$D$17*MIN(1,MAX(0,(75-Pipeline!$E$17+1)/MAX(Pipeline!$F$17,1)))</f>
        <v>234.9</v>
      </c>
      <c r="BZ10" s="109" t="n">
        <f aca="false">Pipeline!$Q$17*Pipeline!$D$17*MIN(1,MAX(0,(76-Pipeline!$E$17+1)/MAX(Pipeline!$F$17,1)))</f>
        <v>234.9</v>
      </c>
      <c r="CA10" s="109" t="n">
        <f aca="false">Pipeline!$Q$17*Pipeline!$D$17*MIN(1,MAX(0,(77-Pipeline!$E$17+1)/MAX(Pipeline!$F$17,1)))</f>
        <v>234.9</v>
      </c>
      <c r="CB10" s="109" t="n">
        <f aca="false">Pipeline!$Q$17*Pipeline!$D$17*MIN(1,MAX(0,(78-Pipeline!$E$17+1)/MAX(Pipeline!$F$17,1)))</f>
        <v>234.9</v>
      </c>
      <c r="CC10" s="109" t="n">
        <f aca="false">Pipeline!$Q$17*Pipeline!$D$17*MIN(1,MAX(0,(79-Pipeline!$E$17+1)/MAX(Pipeline!$F$17,1)))</f>
        <v>234.9</v>
      </c>
      <c r="CD10" s="109" t="n">
        <f aca="false">Pipeline!$Q$17*Pipeline!$D$17*MIN(1,MAX(0,(80-Pipeline!$E$17+1)/MAX(Pipeline!$F$17,1)))</f>
        <v>234.9</v>
      </c>
      <c r="CE10" s="109" t="n">
        <f aca="false">Pipeline!$Q$17*Pipeline!$D$17*MIN(1,MAX(0,(81-Pipeline!$E$17+1)/MAX(Pipeline!$F$17,1)))</f>
        <v>234.9</v>
      </c>
      <c r="CF10" s="109" t="n">
        <f aca="false">Pipeline!$Q$17*Pipeline!$D$17*MIN(1,MAX(0,(82-Pipeline!$E$17+1)/MAX(Pipeline!$F$17,1)))</f>
        <v>234.9</v>
      </c>
      <c r="CG10" s="109" t="n">
        <f aca="false">Pipeline!$Q$17*Pipeline!$D$17*MIN(1,MAX(0,(83-Pipeline!$E$17+1)/MAX(Pipeline!$F$17,1)))</f>
        <v>234.9</v>
      </c>
      <c r="CH10" s="109" t="n">
        <f aca="false">Pipeline!$Q$17*Pipeline!$D$17*MIN(1,MAX(0,(84-Pipeline!$E$17+1)/MAX(Pipeline!$F$17,1)))</f>
        <v>234.9</v>
      </c>
    </row>
    <row r="11" customFormat="false" ht="13.5" hidden="false" customHeight="true" outlineLevel="0" collapsed="false">
      <c r="A11" s="6" t="s">
        <v>519</v>
      </c>
      <c r="C11" s="109" t="n">
        <f aca="false">Pipeline!$Q$18*Pipeline!$D$18*MIN(1,MAX(0,(1-Pipeline!$E$18+1)/MAX(Pipeline!$F$18,1)))</f>
        <v>0</v>
      </c>
      <c r="D11" s="109" t="n">
        <f aca="false">Pipeline!$Q$18*Pipeline!$D$18*MIN(1,MAX(0,(2-Pipeline!$E$18+1)/MAX(Pipeline!$F$18,1)))</f>
        <v>0</v>
      </c>
      <c r="E11" s="109" t="n">
        <f aca="false">Pipeline!$Q$18*Pipeline!$D$18*MIN(1,MAX(0,(3-Pipeline!$E$18+1)/MAX(Pipeline!$F$18,1)))</f>
        <v>1178.578125</v>
      </c>
      <c r="F11" s="109" t="n">
        <f aca="false">Pipeline!$Q$18*Pipeline!$D$18*MIN(1,MAX(0,(4-Pipeline!$E$18+1)/MAX(Pipeline!$F$18,1)))</f>
        <v>2357.15625</v>
      </c>
      <c r="G11" s="109" t="n">
        <f aca="false">Pipeline!$Q$18*Pipeline!$D$18*MIN(1,MAX(0,(5-Pipeline!$E$18+1)/MAX(Pipeline!$F$18,1)))</f>
        <v>3535.734375</v>
      </c>
      <c r="H11" s="109" t="n">
        <f aca="false">Pipeline!$Q$18*Pipeline!$D$18*MIN(1,MAX(0,(6-Pipeline!$E$18+1)/MAX(Pipeline!$F$18,1)))</f>
        <v>4714.3125</v>
      </c>
      <c r="I11" s="109" t="n">
        <f aca="false">Pipeline!$Q$18*Pipeline!$D$18*MIN(1,MAX(0,(7-Pipeline!$E$18+1)/MAX(Pipeline!$F$18,1)))</f>
        <v>5892.890625</v>
      </c>
      <c r="J11" s="109" t="n">
        <f aca="false">Pipeline!$Q$18*Pipeline!$D$18*MIN(1,MAX(0,(8-Pipeline!$E$18+1)/MAX(Pipeline!$F$18,1)))</f>
        <v>7071.46875</v>
      </c>
      <c r="K11" s="109" t="n">
        <f aca="false">Pipeline!$Q$18*Pipeline!$D$18*MIN(1,MAX(0,(9-Pipeline!$E$18+1)/MAX(Pipeline!$F$18,1)))</f>
        <v>8250.046875</v>
      </c>
      <c r="L11" s="109" t="n">
        <f aca="false">Pipeline!$Q$18*Pipeline!$D$18*MIN(1,MAX(0,(10-Pipeline!$E$18+1)/MAX(Pipeline!$F$18,1)))</f>
        <v>9428.625</v>
      </c>
      <c r="M11" s="109" t="n">
        <f aca="false">Pipeline!$Q$18*Pipeline!$D$18*MIN(1,MAX(0,(11-Pipeline!$E$18+1)/MAX(Pipeline!$F$18,1)))</f>
        <v>9428.625</v>
      </c>
      <c r="N11" s="109" t="n">
        <f aca="false">Pipeline!$Q$18*Pipeline!$D$18*MIN(1,MAX(0,(12-Pipeline!$E$18+1)/MAX(Pipeline!$F$18,1)))</f>
        <v>9428.625</v>
      </c>
      <c r="O11" s="109" t="n">
        <f aca="false">Pipeline!$Q$18*Pipeline!$D$18*MIN(1,MAX(0,(13-Pipeline!$E$18+1)/MAX(Pipeline!$F$18,1)))</f>
        <v>9428.625</v>
      </c>
      <c r="P11" s="109" t="n">
        <f aca="false">Pipeline!$Q$18*Pipeline!$D$18*MIN(1,MAX(0,(14-Pipeline!$E$18+1)/MAX(Pipeline!$F$18,1)))</f>
        <v>9428.625</v>
      </c>
      <c r="Q11" s="109" t="n">
        <f aca="false">Pipeline!$Q$18*Pipeline!$D$18*MIN(1,MAX(0,(15-Pipeline!$E$18+1)/MAX(Pipeline!$F$18,1)))</f>
        <v>9428.625</v>
      </c>
      <c r="R11" s="109" t="n">
        <f aca="false">Pipeline!$Q$18*Pipeline!$D$18*MIN(1,MAX(0,(16-Pipeline!$E$18+1)/MAX(Pipeline!$F$18,1)))</f>
        <v>9428.625</v>
      </c>
      <c r="S11" s="109" t="n">
        <f aca="false">Pipeline!$Q$18*Pipeline!$D$18*MIN(1,MAX(0,(17-Pipeline!$E$18+1)/MAX(Pipeline!$F$18,1)))</f>
        <v>9428.625</v>
      </c>
      <c r="T11" s="109" t="n">
        <f aca="false">Pipeline!$Q$18*Pipeline!$D$18*MIN(1,MAX(0,(18-Pipeline!$E$18+1)/MAX(Pipeline!$F$18,1)))</f>
        <v>9428.625</v>
      </c>
      <c r="U11" s="109" t="n">
        <f aca="false">Pipeline!$Q$18*Pipeline!$D$18*MIN(1,MAX(0,(19-Pipeline!$E$18+1)/MAX(Pipeline!$F$18,1)))</f>
        <v>9428.625</v>
      </c>
      <c r="V11" s="109" t="n">
        <f aca="false">Pipeline!$Q$18*Pipeline!$D$18*MIN(1,MAX(0,(20-Pipeline!$E$18+1)/MAX(Pipeline!$F$18,1)))</f>
        <v>9428.625</v>
      </c>
      <c r="W11" s="109" t="n">
        <f aca="false">Pipeline!$Q$18*Pipeline!$D$18*MIN(1,MAX(0,(21-Pipeline!$E$18+1)/MAX(Pipeline!$F$18,1)))</f>
        <v>9428.625</v>
      </c>
      <c r="X11" s="109" t="n">
        <f aca="false">Pipeline!$Q$18*Pipeline!$D$18*MIN(1,MAX(0,(22-Pipeline!$E$18+1)/MAX(Pipeline!$F$18,1)))</f>
        <v>9428.625</v>
      </c>
      <c r="Y11" s="109" t="n">
        <f aca="false">Pipeline!$Q$18*Pipeline!$D$18*MIN(1,MAX(0,(23-Pipeline!$E$18+1)/MAX(Pipeline!$F$18,1)))</f>
        <v>9428.625</v>
      </c>
      <c r="Z11" s="109" t="n">
        <f aca="false">Pipeline!$Q$18*Pipeline!$D$18*MIN(1,MAX(0,(24-Pipeline!$E$18+1)/MAX(Pipeline!$F$18,1)))</f>
        <v>9428.625</v>
      </c>
      <c r="AA11" s="109" t="n">
        <f aca="false">Pipeline!$Q$18*Pipeline!$D$18*MIN(1,MAX(0,(25-Pipeline!$E$18+1)/MAX(Pipeline!$F$18,1)))</f>
        <v>9428.625</v>
      </c>
      <c r="AB11" s="109" t="n">
        <f aca="false">Pipeline!$Q$18*Pipeline!$D$18*MIN(1,MAX(0,(26-Pipeline!$E$18+1)/MAX(Pipeline!$F$18,1)))</f>
        <v>9428.625</v>
      </c>
      <c r="AC11" s="109" t="n">
        <f aca="false">Pipeline!$Q$18*Pipeline!$D$18*MIN(1,MAX(0,(27-Pipeline!$E$18+1)/MAX(Pipeline!$F$18,1)))</f>
        <v>9428.625</v>
      </c>
      <c r="AD11" s="109" t="n">
        <f aca="false">Pipeline!$Q$18*Pipeline!$D$18*MIN(1,MAX(0,(28-Pipeline!$E$18+1)/MAX(Pipeline!$F$18,1)))</f>
        <v>9428.625</v>
      </c>
      <c r="AE11" s="109" t="n">
        <f aca="false">Pipeline!$Q$18*Pipeline!$D$18*MIN(1,MAX(0,(29-Pipeline!$E$18+1)/MAX(Pipeline!$F$18,1)))</f>
        <v>9428.625</v>
      </c>
      <c r="AF11" s="109" t="n">
        <f aca="false">Pipeline!$Q$18*Pipeline!$D$18*MIN(1,MAX(0,(30-Pipeline!$E$18+1)/MAX(Pipeline!$F$18,1)))</f>
        <v>9428.625</v>
      </c>
      <c r="AG11" s="109" t="n">
        <f aca="false">Pipeline!$Q$18*Pipeline!$D$18*MIN(1,MAX(0,(31-Pipeline!$E$18+1)/MAX(Pipeline!$F$18,1)))</f>
        <v>9428.625</v>
      </c>
      <c r="AH11" s="109" t="n">
        <f aca="false">Pipeline!$Q$18*Pipeline!$D$18*MIN(1,MAX(0,(32-Pipeline!$E$18+1)/MAX(Pipeline!$F$18,1)))</f>
        <v>9428.625</v>
      </c>
      <c r="AI11" s="109" t="n">
        <f aca="false">Pipeline!$Q$18*Pipeline!$D$18*MIN(1,MAX(0,(33-Pipeline!$E$18+1)/MAX(Pipeline!$F$18,1)))</f>
        <v>9428.625</v>
      </c>
      <c r="AJ11" s="109" t="n">
        <f aca="false">Pipeline!$Q$18*Pipeline!$D$18*MIN(1,MAX(0,(34-Pipeline!$E$18+1)/MAX(Pipeline!$F$18,1)))</f>
        <v>9428.625</v>
      </c>
      <c r="AK11" s="109" t="n">
        <f aca="false">Pipeline!$Q$18*Pipeline!$D$18*MIN(1,MAX(0,(35-Pipeline!$E$18+1)/MAX(Pipeline!$F$18,1)))</f>
        <v>9428.625</v>
      </c>
      <c r="AL11" s="109" t="n">
        <f aca="false">Pipeline!$Q$18*Pipeline!$D$18*MIN(1,MAX(0,(36-Pipeline!$E$18+1)/MAX(Pipeline!$F$18,1)))</f>
        <v>9428.625</v>
      </c>
      <c r="AM11" s="109" t="n">
        <f aca="false">Pipeline!$Q$18*Pipeline!$D$18*MIN(1,MAX(0,(37-Pipeline!$E$18+1)/MAX(Pipeline!$F$18,1)))</f>
        <v>9428.625</v>
      </c>
      <c r="AN11" s="109" t="n">
        <f aca="false">Pipeline!$Q$18*Pipeline!$D$18*MIN(1,MAX(0,(38-Pipeline!$E$18+1)/MAX(Pipeline!$F$18,1)))</f>
        <v>9428.625</v>
      </c>
      <c r="AO11" s="109" t="n">
        <f aca="false">Pipeline!$Q$18*Pipeline!$D$18*MIN(1,MAX(0,(39-Pipeline!$E$18+1)/MAX(Pipeline!$F$18,1)))</f>
        <v>9428.625</v>
      </c>
      <c r="AP11" s="109" t="n">
        <f aca="false">Pipeline!$Q$18*Pipeline!$D$18*MIN(1,MAX(0,(40-Pipeline!$E$18+1)/MAX(Pipeline!$F$18,1)))</f>
        <v>9428.625</v>
      </c>
      <c r="AQ11" s="109" t="n">
        <f aca="false">Pipeline!$Q$18*Pipeline!$D$18*MIN(1,MAX(0,(41-Pipeline!$E$18+1)/MAX(Pipeline!$F$18,1)))</f>
        <v>9428.625</v>
      </c>
      <c r="AR11" s="109" t="n">
        <f aca="false">Pipeline!$Q$18*Pipeline!$D$18*MIN(1,MAX(0,(42-Pipeline!$E$18+1)/MAX(Pipeline!$F$18,1)))</f>
        <v>9428.625</v>
      </c>
      <c r="AS11" s="109" t="n">
        <f aca="false">Pipeline!$Q$18*Pipeline!$D$18*MIN(1,MAX(0,(43-Pipeline!$E$18+1)/MAX(Pipeline!$F$18,1)))</f>
        <v>9428.625</v>
      </c>
      <c r="AT11" s="109" t="n">
        <f aca="false">Pipeline!$Q$18*Pipeline!$D$18*MIN(1,MAX(0,(44-Pipeline!$E$18+1)/MAX(Pipeline!$F$18,1)))</f>
        <v>9428.625</v>
      </c>
      <c r="AU11" s="109" t="n">
        <f aca="false">Pipeline!$Q$18*Pipeline!$D$18*MIN(1,MAX(0,(45-Pipeline!$E$18+1)/MAX(Pipeline!$F$18,1)))</f>
        <v>9428.625</v>
      </c>
      <c r="AV11" s="109" t="n">
        <f aca="false">Pipeline!$Q$18*Pipeline!$D$18*MIN(1,MAX(0,(46-Pipeline!$E$18+1)/MAX(Pipeline!$F$18,1)))</f>
        <v>9428.625</v>
      </c>
      <c r="AW11" s="109" t="n">
        <f aca="false">Pipeline!$Q$18*Pipeline!$D$18*MIN(1,MAX(0,(47-Pipeline!$E$18+1)/MAX(Pipeline!$F$18,1)))</f>
        <v>9428.625</v>
      </c>
      <c r="AX11" s="109" t="n">
        <f aca="false">Pipeline!$Q$18*Pipeline!$D$18*MIN(1,MAX(0,(48-Pipeline!$E$18+1)/MAX(Pipeline!$F$18,1)))</f>
        <v>9428.625</v>
      </c>
      <c r="AY11" s="109" t="n">
        <f aca="false">Pipeline!$Q$18*Pipeline!$D$18*MIN(1,MAX(0,(49-Pipeline!$E$18+1)/MAX(Pipeline!$F$18,1)))</f>
        <v>9428.625</v>
      </c>
      <c r="AZ11" s="109" t="n">
        <f aca="false">Pipeline!$Q$18*Pipeline!$D$18*MIN(1,MAX(0,(50-Pipeline!$E$18+1)/MAX(Pipeline!$F$18,1)))</f>
        <v>9428.625</v>
      </c>
      <c r="BA11" s="109" t="n">
        <f aca="false">Pipeline!$Q$18*Pipeline!$D$18*MIN(1,MAX(0,(51-Pipeline!$E$18+1)/MAX(Pipeline!$F$18,1)))</f>
        <v>9428.625</v>
      </c>
      <c r="BB11" s="109" t="n">
        <f aca="false">Pipeline!$Q$18*Pipeline!$D$18*MIN(1,MAX(0,(52-Pipeline!$E$18+1)/MAX(Pipeline!$F$18,1)))</f>
        <v>9428.625</v>
      </c>
      <c r="BC11" s="109" t="n">
        <f aca="false">Pipeline!$Q$18*Pipeline!$D$18*MIN(1,MAX(0,(53-Pipeline!$E$18+1)/MAX(Pipeline!$F$18,1)))</f>
        <v>9428.625</v>
      </c>
      <c r="BD11" s="109" t="n">
        <f aca="false">Pipeline!$Q$18*Pipeline!$D$18*MIN(1,MAX(0,(54-Pipeline!$E$18+1)/MAX(Pipeline!$F$18,1)))</f>
        <v>9428.625</v>
      </c>
      <c r="BE11" s="109" t="n">
        <f aca="false">Pipeline!$Q$18*Pipeline!$D$18*MIN(1,MAX(0,(55-Pipeline!$E$18+1)/MAX(Pipeline!$F$18,1)))</f>
        <v>9428.625</v>
      </c>
      <c r="BF11" s="109" t="n">
        <f aca="false">Pipeline!$Q$18*Pipeline!$D$18*MIN(1,MAX(0,(56-Pipeline!$E$18+1)/MAX(Pipeline!$F$18,1)))</f>
        <v>9428.625</v>
      </c>
      <c r="BG11" s="109" t="n">
        <f aca="false">Pipeline!$Q$18*Pipeline!$D$18*MIN(1,MAX(0,(57-Pipeline!$E$18+1)/MAX(Pipeline!$F$18,1)))</f>
        <v>9428.625</v>
      </c>
      <c r="BH11" s="109" t="n">
        <f aca="false">Pipeline!$Q$18*Pipeline!$D$18*MIN(1,MAX(0,(58-Pipeline!$E$18+1)/MAX(Pipeline!$F$18,1)))</f>
        <v>9428.625</v>
      </c>
      <c r="BI11" s="109" t="n">
        <f aca="false">Pipeline!$Q$18*Pipeline!$D$18*MIN(1,MAX(0,(59-Pipeline!$E$18+1)/MAX(Pipeline!$F$18,1)))</f>
        <v>9428.625</v>
      </c>
      <c r="BJ11" s="109" t="n">
        <f aca="false">Pipeline!$Q$18*Pipeline!$D$18*MIN(1,MAX(0,(60-Pipeline!$E$18+1)/MAX(Pipeline!$F$18,1)))</f>
        <v>9428.625</v>
      </c>
      <c r="BK11" s="109" t="n">
        <f aca="false">Pipeline!$Q$18*Pipeline!$D$18*MIN(1,MAX(0,(61-Pipeline!$E$18+1)/MAX(Pipeline!$F$18,1)))</f>
        <v>9428.625</v>
      </c>
      <c r="BL11" s="109" t="n">
        <f aca="false">Pipeline!$Q$18*Pipeline!$D$18*MIN(1,MAX(0,(62-Pipeline!$E$18+1)/MAX(Pipeline!$F$18,1)))</f>
        <v>9428.625</v>
      </c>
      <c r="BM11" s="109" t="n">
        <f aca="false">Pipeline!$Q$18*Pipeline!$D$18*MIN(1,MAX(0,(63-Pipeline!$E$18+1)/MAX(Pipeline!$F$18,1)))</f>
        <v>9428.625</v>
      </c>
      <c r="BN11" s="109" t="n">
        <f aca="false">Pipeline!$Q$18*Pipeline!$D$18*MIN(1,MAX(0,(64-Pipeline!$E$18+1)/MAX(Pipeline!$F$18,1)))</f>
        <v>9428.625</v>
      </c>
      <c r="BO11" s="109" t="n">
        <f aca="false">Pipeline!$Q$18*Pipeline!$D$18*MIN(1,MAX(0,(65-Pipeline!$E$18+1)/MAX(Pipeline!$F$18,1)))</f>
        <v>9428.625</v>
      </c>
      <c r="BP11" s="109" t="n">
        <f aca="false">Pipeline!$Q$18*Pipeline!$D$18*MIN(1,MAX(0,(66-Pipeline!$E$18+1)/MAX(Pipeline!$F$18,1)))</f>
        <v>9428.625</v>
      </c>
      <c r="BQ11" s="109" t="n">
        <f aca="false">Pipeline!$Q$18*Pipeline!$D$18*MIN(1,MAX(0,(67-Pipeline!$E$18+1)/MAX(Pipeline!$F$18,1)))</f>
        <v>9428.625</v>
      </c>
      <c r="BR11" s="109" t="n">
        <f aca="false">Pipeline!$Q$18*Pipeline!$D$18*MIN(1,MAX(0,(68-Pipeline!$E$18+1)/MAX(Pipeline!$F$18,1)))</f>
        <v>9428.625</v>
      </c>
      <c r="BS11" s="109" t="n">
        <f aca="false">Pipeline!$Q$18*Pipeline!$D$18*MIN(1,MAX(0,(69-Pipeline!$E$18+1)/MAX(Pipeline!$F$18,1)))</f>
        <v>9428.625</v>
      </c>
      <c r="BT11" s="109" t="n">
        <f aca="false">Pipeline!$Q$18*Pipeline!$D$18*MIN(1,MAX(0,(70-Pipeline!$E$18+1)/MAX(Pipeline!$F$18,1)))</f>
        <v>9428.625</v>
      </c>
      <c r="BU11" s="109" t="n">
        <f aca="false">Pipeline!$Q$18*Pipeline!$D$18*MIN(1,MAX(0,(71-Pipeline!$E$18+1)/MAX(Pipeline!$F$18,1)))</f>
        <v>9428.625</v>
      </c>
      <c r="BV11" s="109" t="n">
        <f aca="false">Pipeline!$Q$18*Pipeline!$D$18*MIN(1,MAX(0,(72-Pipeline!$E$18+1)/MAX(Pipeline!$F$18,1)))</f>
        <v>9428.625</v>
      </c>
      <c r="BW11" s="109" t="n">
        <f aca="false">Pipeline!$Q$18*Pipeline!$D$18*MIN(1,MAX(0,(73-Pipeline!$E$18+1)/MAX(Pipeline!$F$18,1)))</f>
        <v>9428.625</v>
      </c>
      <c r="BX11" s="109" t="n">
        <f aca="false">Pipeline!$Q$18*Pipeline!$D$18*MIN(1,MAX(0,(74-Pipeline!$E$18+1)/MAX(Pipeline!$F$18,1)))</f>
        <v>9428.625</v>
      </c>
      <c r="BY11" s="109" t="n">
        <f aca="false">Pipeline!$Q$18*Pipeline!$D$18*MIN(1,MAX(0,(75-Pipeline!$E$18+1)/MAX(Pipeline!$F$18,1)))</f>
        <v>9428.625</v>
      </c>
      <c r="BZ11" s="109" t="n">
        <f aca="false">Pipeline!$Q$18*Pipeline!$D$18*MIN(1,MAX(0,(76-Pipeline!$E$18+1)/MAX(Pipeline!$F$18,1)))</f>
        <v>9428.625</v>
      </c>
      <c r="CA11" s="109" t="n">
        <f aca="false">Pipeline!$Q$18*Pipeline!$D$18*MIN(1,MAX(0,(77-Pipeline!$E$18+1)/MAX(Pipeline!$F$18,1)))</f>
        <v>9428.625</v>
      </c>
      <c r="CB11" s="109" t="n">
        <f aca="false">Pipeline!$Q$18*Pipeline!$D$18*MIN(1,MAX(0,(78-Pipeline!$E$18+1)/MAX(Pipeline!$F$18,1)))</f>
        <v>9428.625</v>
      </c>
      <c r="CC11" s="109" t="n">
        <f aca="false">Pipeline!$Q$18*Pipeline!$D$18*MIN(1,MAX(0,(79-Pipeline!$E$18+1)/MAX(Pipeline!$F$18,1)))</f>
        <v>9428.625</v>
      </c>
      <c r="CD11" s="109" t="n">
        <f aca="false">Pipeline!$Q$18*Pipeline!$D$18*MIN(1,MAX(0,(80-Pipeline!$E$18+1)/MAX(Pipeline!$F$18,1)))</f>
        <v>9428.625</v>
      </c>
      <c r="CE11" s="109" t="n">
        <f aca="false">Pipeline!$Q$18*Pipeline!$D$18*MIN(1,MAX(0,(81-Pipeline!$E$18+1)/MAX(Pipeline!$F$18,1)))</f>
        <v>9428.625</v>
      </c>
      <c r="CF11" s="109" t="n">
        <f aca="false">Pipeline!$Q$18*Pipeline!$D$18*MIN(1,MAX(0,(82-Pipeline!$E$18+1)/MAX(Pipeline!$F$18,1)))</f>
        <v>9428.625</v>
      </c>
      <c r="CG11" s="109" t="n">
        <f aca="false">Pipeline!$Q$18*Pipeline!$D$18*MIN(1,MAX(0,(83-Pipeline!$E$18+1)/MAX(Pipeline!$F$18,1)))</f>
        <v>9428.625</v>
      </c>
      <c r="CH11" s="109" t="n">
        <f aca="false">Pipeline!$Q$18*Pipeline!$D$18*MIN(1,MAX(0,(84-Pipeline!$E$18+1)/MAX(Pipeline!$F$18,1)))</f>
        <v>9428.625</v>
      </c>
    </row>
    <row r="12" customFormat="false" ht="13.5" hidden="false" customHeight="true" outlineLevel="0" collapsed="false">
      <c r="A12" s="6" t="s">
        <v>520</v>
      </c>
      <c r="C12" s="109" t="n">
        <f aca="false">Pipeline!$Q$19*Pipeline!$D$19*MIN(1,MAX(0,(1-Pipeline!$E$19+1)/MAX(Pipeline!$F$19,1)))</f>
        <v>0</v>
      </c>
      <c r="D12" s="109" t="n">
        <f aca="false">Pipeline!$Q$19*Pipeline!$D$19*MIN(1,MAX(0,(2-Pipeline!$E$19+1)/MAX(Pipeline!$F$19,1)))</f>
        <v>0</v>
      </c>
      <c r="E12" s="109" t="n">
        <f aca="false">Pipeline!$Q$19*Pipeline!$D$19*MIN(1,MAX(0,(3-Pipeline!$E$19+1)/MAX(Pipeline!$F$19,1)))</f>
        <v>0</v>
      </c>
      <c r="F12" s="109" t="n">
        <f aca="false">Pipeline!$Q$19*Pipeline!$D$19*MIN(1,MAX(0,(4-Pipeline!$E$19+1)/MAX(Pipeline!$F$19,1)))</f>
        <v>0</v>
      </c>
      <c r="G12" s="109" t="n">
        <f aca="false">Pipeline!$Q$19*Pipeline!$D$19*MIN(1,MAX(0,(5-Pipeline!$E$19+1)/MAX(Pipeline!$F$19,1)))</f>
        <v>0</v>
      </c>
      <c r="H12" s="109" t="n">
        <f aca="false">Pipeline!$Q$19*Pipeline!$D$19*MIN(1,MAX(0,(6-Pipeline!$E$19+1)/MAX(Pipeline!$F$19,1)))</f>
        <v>717.75</v>
      </c>
      <c r="I12" s="109" t="n">
        <f aca="false">Pipeline!$Q$19*Pipeline!$D$19*MIN(1,MAX(0,(7-Pipeline!$E$19+1)/MAX(Pipeline!$F$19,1)))</f>
        <v>1435.5</v>
      </c>
      <c r="J12" s="109" t="n">
        <f aca="false">Pipeline!$Q$19*Pipeline!$D$19*MIN(1,MAX(0,(8-Pipeline!$E$19+1)/MAX(Pipeline!$F$19,1)))</f>
        <v>2153.25</v>
      </c>
      <c r="K12" s="109" t="n">
        <f aca="false">Pipeline!$Q$19*Pipeline!$D$19*MIN(1,MAX(0,(9-Pipeline!$E$19+1)/MAX(Pipeline!$F$19,1)))</f>
        <v>2871</v>
      </c>
      <c r="L12" s="109" t="n">
        <f aca="false">Pipeline!$Q$19*Pipeline!$D$19*MIN(1,MAX(0,(10-Pipeline!$E$19+1)/MAX(Pipeline!$F$19,1)))</f>
        <v>3588.75</v>
      </c>
      <c r="M12" s="109" t="n">
        <f aca="false">Pipeline!$Q$19*Pipeline!$D$19*MIN(1,MAX(0,(11-Pipeline!$E$19+1)/MAX(Pipeline!$F$19,1)))</f>
        <v>4306.5</v>
      </c>
      <c r="N12" s="109" t="n">
        <f aca="false">Pipeline!$Q$19*Pipeline!$D$19*MIN(1,MAX(0,(12-Pipeline!$E$19+1)/MAX(Pipeline!$F$19,1)))</f>
        <v>5024.25</v>
      </c>
      <c r="O12" s="109" t="n">
        <f aca="false">Pipeline!$Q$19*Pipeline!$D$19*MIN(1,MAX(0,(13-Pipeline!$E$19+1)/MAX(Pipeline!$F$19,1)))</f>
        <v>5742</v>
      </c>
      <c r="P12" s="109" t="n">
        <f aca="false">Pipeline!$Q$19*Pipeline!$D$19*MIN(1,MAX(0,(14-Pipeline!$E$19+1)/MAX(Pipeline!$F$19,1)))</f>
        <v>5742</v>
      </c>
      <c r="Q12" s="109" t="n">
        <f aca="false">Pipeline!$Q$19*Pipeline!$D$19*MIN(1,MAX(0,(15-Pipeline!$E$19+1)/MAX(Pipeline!$F$19,1)))</f>
        <v>5742</v>
      </c>
      <c r="R12" s="109" t="n">
        <f aca="false">Pipeline!$Q$19*Pipeline!$D$19*MIN(1,MAX(0,(16-Pipeline!$E$19+1)/MAX(Pipeline!$F$19,1)))</f>
        <v>5742</v>
      </c>
      <c r="S12" s="109" t="n">
        <f aca="false">Pipeline!$Q$19*Pipeline!$D$19*MIN(1,MAX(0,(17-Pipeline!$E$19+1)/MAX(Pipeline!$F$19,1)))</f>
        <v>5742</v>
      </c>
      <c r="T12" s="109" t="n">
        <f aca="false">Pipeline!$Q$19*Pipeline!$D$19*MIN(1,MAX(0,(18-Pipeline!$E$19+1)/MAX(Pipeline!$F$19,1)))</f>
        <v>5742</v>
      </c>
      <c r="U12" s="109" t="n">
        <f aca="false">Pipeline!$Q$19*Pipeline!$D$19*MIN(1,MAX(0,(19-Pipeline!$E$19+1)/MAX(Pipeline!$F$19,1)))</f>
        <v>5742</v>
      </c>
      <c r="V12" s="109" t="n">
        <f aca="false">Pipeline!$Q$19*Pipeline!$D$19*MIN(1,MAX(0,(20-Pipeline!$E$19+1)/MAX(Pipeline!$F$19,1)))</f>
        <v>5742</v>
      </c>
      <c r="W12" s="109" t="n">
        <f aca="false">Pipeline!$Q$19*Pipeline!$D$19*MIN(1,MAX(0,(21-Pipeline!$E$19+1)/MAX(Pipeline!$F$19,1)))</f>
        <v>5742</v>
      </c>
      <c r="X12" s="109" t="n">
        <f aca="false">Pipeline!$Q$19*Pipeline!$D$19*MIN(1,MAX(0,(22-Pipeline!$E$19+1)/MAX(Pipeline!$F$19,1)))</f>
        <v>5742</v>
      </c>
      <c r="Y12" s="109" t="n">
        <f aca="false">Pipeline!$Q$19*Pipeline!$D$19*MIN(1,MAX(0,(23-Pipeline!$E$19+1)/MAX(Pipeline!$F$19,1)))</f>
        <v>5742</v>
      </c>
      <c r="Z12" s="109" t="n">
        <f aca="false">Pipeline!$Q$19*Pipeline!$D$19*MIN(1,MAX(0,(24-Pipeline!$E$19+1)/MAX(Pipeline!$F$19,1)))</f>
        <v>5742</v>
      </c>
      <c r="AA12" s="109" t="n">
        <f aca="false">Pipeline!$Q$19*Pipeline!$D$19*MIN(1,MAX(0,(25-Pipeline!$E$19+1)/MAX(Pipeline!$F$19,1)))</f>
        <v>5742</v>
      </c>
      <c r="AB12" s="109" t="n">
        <f aca="false">Pipeline!$Q$19*Pipeline!$D$19*MIN(1,MAX(0,(26-Pipeline!$E$19+1)/MAX(Pipeline!$F$19,1)))</f>
        <v>5742</v>
      </c>
      <c r="AC12" s="109" t="n">
        <f aca="false">Pipeline!$Q$19*Pipeline!$D$19*MIN(1,MAX(0,(27-Pipeline!$E$19+1)/MAX(Pipeline!$F$19,1)))</f>
        <v>5742</v>
      </c>
      <c r="AD12" s="109" t="n">
        <f aca="false">Pipeline!$Q$19*Pipeline!$D$19*MIN(1,MAX(0,(28-Pipeline!$E$19+1)/MAX(Pipeline!$F$19,1)))</f>
        <v>5742</v>
      </c>
      <c r="AE12" s="109" t="n">
        <f aca="false">Pipeline!$Q$19*Pipeline!$D$19*MIN(1,MAX(0,(29-Pipeline!$E$19+1)/MAX(Pipeline!$F$19,1)))</f>
        <v>5742</v>
      </c>
      <c r="AF12" s="109" t="n">
        <f aca="false">Pipeline!$Q$19*Pipeline!$D$19*MIN(1,MAX(0,(30-Pipeline!$E$19+1)/MAX(Pipeline!$F$19,1)))</f>
        <v>5742</v>
      </c>
      <c r="AG12" s="109" t="n">
        <f aca="false">Pipeline!$Q$19*Pipeline!$D$19*MIN(1,MAX(0,(31-Pipeline!$E$19+1)/MAX(Pipeline!$F$19,1)))</f>
        <v>5742</v>
      </c>
      <c r="AH12" s="109" t="n">
        <f aca="false">Pipeline!$Q$19*Pipeline!$D$19*MIN(1,MAX(0,(32-Pipeline!$E$19+1)/MAX(Pipeline!$F$19,1)))</f>
        <v>5742</v>
      </c>
      <c r="AI12" s="109" t="n">
        <f aca="false">Pipeline!$Q$19*Pipeline!$D$19*MIN(1,MAX(0,(33-Pipeline!$E$19+1)/MAX(Pipeline!$F$19,1)))</f>
        <v>5742</v>
      </c>
      <c r="AJ12" s="109" t="n">
        <f aca="false">Pipeline!$Q$19*Pipeline!$D$19*MIN(1,MAX(0,(34-Pipeline!$E$19+1)/MAX(Pipeline!$F$19,1)))</f>
        <v>5742</v>
      </c>
      <c r="AK12" s="109" t="n">
        <f aca="false">Pipeline!$Q$19*Pipeline!$D$19*MIN(1,MAX(0,(35-Pipeline!$E$19+1)/MAX(Pipeline!$F$19,1)))</f>
        <v>5742</v>
      </c>
      <c r="AL12" s="109" t="n">
        <f aca="false">Pipeline!$Q$19*Pipeline!$D$19*MIN(1,MAX(0,(36-Pipeline!$E$19+1)/MAX(Pipeline!$F$19,1)))</f>
        <v>5742</v>
      </c>
      <c r="AM12" s="109" t="n">
        <f aca="false">Pipeline!$Q$19*Pipeline!$D$19*MIN(1,MAX(0,(37-Pipeline!$E$19+1)/MAX(Pipeline!$F$19,1)))</f>
        <v>5742</v>
      </c>
      <c r="AN12" s="109" t="n">
        <f aca="false">Pipeline!$Q$19*Pipeline!$D$19*MIN(1,MAX(0,(38-Pipeline!$E$19+1)/MAX(Pipeline!$F$19,1)))</f>
        <v>5742</v>
      </c>
      <c r="AO12" s="109" t="n">
        <f aca="false">Pipeline!$Q$19*Pipeline!$D$19*MIN(1,MAX(0,(39-Pipeline!$E$19+1)/MAX(Pipeline!$F$19,1)))</f>
        <v>5742</v>
      </c>
      <c r="AP12" s="109" t="n">
        <f aca="false">Pipeline!$Q$19*Pipeline!$D$19*MIN(1,MAX(0,(40-Pipeline!$E$19+1)/MAX(Pipeline!$F$19,1)))</f>
        <v>5742</v>
      </c>
      <c r="AQ12" s="109" t="n">
        <f aca="false">Pipeline!$Q$19*Pipeline!$D$19*MIN(1,MAX(0,(41-Pipeline!$E$19+1)/MAX(Pipeline!$F$19,1)))</f>
        <v>5742</v>
      </c>
      <c r="AR12" s="109" t="n">
        <f aca="false">Pipeline!$Q$19*Pipeline!$D$19*MIN(1,MAX(0,(42-Pipeline!$E$19+1)/MAX(Pipeline!$F$19,1)))</f>
        <v>5742</v>
      </c>
      <c r="AS12" s="109" t="n">
        <f aca="false">Pipeline!$Q$19*Pipeline!$D$19*MIN(1,MAX(0,(43-Pipeline!$E$19+1)/MAX(Pipeline!$F$19,1)))</f>
        <v>5742</v>
      </c>
      <c r="AT12" s="109" t="n">
        <f aca="false">Pipeline!$Q$19*Pipeline!$D$19*MIN(1,MAX(0,(44-Pipeline!$E$19+1)/MAX(Pipeline!$F$19,1)))</f>
        <v>5742</v>
      </c>
      <c r="AU12" s="109" t="n">
        <f aca="false">Pipeline!$Q$19*Pipeline!$D$19*MIN(1,MAX(0,(45-Pipeline!$E$19+1)/MAX(Pipeline!$F$19,1)))</f>
        <v>5742</v>
      </c>
      <c r="AV12" s="109" t="n">
        <f aca="false">Pipeline!$Q$19*Pipeline!$D$19*MIN(1,MAX(0,(46-Pipeline!$E$19+1)/MAX(Pipeline!$F$19,1)))</f>
        <v>5742</v>
      </c>
      <c r="AW12" s="109" t="n">
        <f aca="false">Pipeline!$Q$19*Pipeline!$D$19*MIN(1,MAX(0,(47-Pipeline!$E$19+1)/MAX(Pipeline!$F$19,1)))</f>
        <v>5742</v>
      </c>
      <c r="AX12" s="109" t="n">
        <f aca="false">Pipeline!$Q$19*Pipeline!$D$19*MIN(1,MAX(0,(48-Pipeline!$E$19+1)/MAX(Pipeline!$F$19,1)))</f>
        <v>5742</v>
      </c>
      <c r="AY12" s="109" t="n">
        <f aca="false">Pipeline!$Q$19*Pipeline!$D$19*MIN(1,MAX(0,(49-Pipeline!$E$19+1)/MAX(Pipeline!$F$19,1)))</f>
        <v>5742</v>
      </c>
      <c r="AZ12" s="109" t="n">
        <f aca="false">Pipeline!$Q$19*Pipeline!$D$19*MIN(1,MAX(0,(50-Pipeline!$E$19+1)/MAX(Pipeline!$F$19,1)))</f>
        <v>5742</v>
      </c>
      <c r="BA12" s="109" t="n">
        <f aca="false">Pipeline!$Q$19*Pipeline!$D$19*MIN(1,MAX(0,(51-Pipeline!$E$19+1)/MAX(Pipeline!$F$19,1)))</f>
        <v>5742</v>
      </c>
      <c r="BB12" s="109" t="n">
        <f aca="false">Pipeline!$Q$19*Pipeline!$D$19*MIN(1,MAX(0,(52-Pipeline!$E$19+1)/MAX(Pipeline!$F$19,1)))</f>
        <v>5742</v>
      </c>
      <c r="BC12" s="109" t="n">
        <f aca="false">Pipeline!$Q$19*Pipeline!$D$19*MIN(1,MAX(0,(53-Pipeline!$E$19+1)/MAX(Pipeline!$F$19,1)))</f>
        <v>5742</v>
      </c>
      <c r="BD12" s="109" t="n">
        <f aca="false">Pipeline!$Q$19*Pipeline!$D$19*MIN(1,MAX(0,(54-Pipeline!$E$19+1)/MAX(Pipeline!$F$19,1)))</f>
        <v>5742</v>
      </c>
      <c r="BE12" s="109" t="n">
        <f aca="false">Pipeline!$Q$19*Pipeline!$D$19*MIN(1,MAX(0,(55-Pipeline!$E$19+1)/MAX(Pipeline!$F$19,1)))</f>
        <v>5742</v>
      </c>
      <c r="BF12" s="109" t="n">
        <f aca="false">Pipeline!$Q$19*Pipeline!$D$19*MIN(1,MAX(0,(56-Pipeline!$E$19+1)/MAX(Pipeline!$F$19,1)))</f>
        <v>5742</v>
      </c>
      <c r="BG12" s="109" t="n">
        <f aca="false">Pipeline!$Q$19*Pipeline!$D$19*MIN(1,MAX(0,(57-Pipeline!$E$19+1)/MAX(Pipeline!$F$19,1)))</f>
        <v>5742</v>
      </c>
      <c r="BH12" s="109" t="n">
        <f aca="false">Pipeline!$Q$19*Pipeline!$D$19*MIN(1,MAX(0,(58-Pipeline!$E$19+1)/MAX(Pipeline!$F$19,1)))</f>
        <v>5742</v>
      </c>
      <c r="BI12" s="109" t="n">
        <f aca="false">Pipeline!$Q$19*Pipeline!$D$19*MIN(1,MAX(0,(59-Pipeline!$E$19+1)/MAX(Pipeline!$F$19,1)))</f>
        <v>5742</v>
      </c>
      <c r="BJ12" s="109" t="n">
        <f aca="false">Pipeline!$Q$19*Pipeline!$D$19*MIN(1,MAX(0,(60-Pipeline!$E$19+1)/MAX(Pipeline!$F$19,1)))</f>
        <v>5742</v>
      </c>
      <c r="BK12" s="109" t="n">
        <f aca="false">Pipeline!$Q$19*Pipeline!$D$19*MIN(1,MAX(0,(61-Pipeline!$E$19+1)/MAX(Pipeline!$F$19,1)))</f>
        <v>5742</v>
      </c>
      <c r="BL12" s="109" t="n">
        <f aca="false">Pipeline!$Q$19*Pipeline!$D$19*MIN(1,MAX(0,(62-Pipeline!$E$19+1)/MAX(Pipeline!$F$19,1)))</f>
        <v>5742</v>
      </c>
      <c r="BM12" s="109" t="n">
        <f aca="false">Pipeline!$Q$19*Pipeline!$D$19*MIN(1,MAX(0,(63-Pipeline!$E$19+1)/MAX(Pipeline!$F$19,1)))</f>
        <v>5742</v>
      </c>
      <c r="BN12" s="109" t="n">
        <f aca="false">Pipeline!$Q$19*Pipeline!$D$19*MIN(1,MAX(0,(64-Pipeline!$E$19+1)/MAX(Pipeline!$F$19,1)))</f>
        <v>5742</v>
      </c>
      <c r="BO12" s="109" t="n">
        <f aca="false">Pipeline!$Q$19*Pipeline!$D$19*MIN(1,MAX(0,(65-Pipeline!$E$19+1)/MAX(Pipeline!$F$19,1)))</f>
        <v>5742</v>
      </c>
      <c r="BP12" s="109" t="n">
        <f aca="false">Pipeline!$Q$19*Pipeline!$D$19*MIN(1,MAX(0,(66-Pipeline!$E$19+1)/MAX(Pipeline!$F$19,1)))</f>
        <v>5742</v>
      </c>
      <c r="BQ12" s="109" t="n">
        <f aca="false">Pipeline!$Q$19*Pipeline!$D$19*MIN(1,MAX(0,(67-Pipeline!$E$19+1)/MAX(Pipeline!$F$19,1)))</f>
        <v>5742</v>
      </c>
      <c r="BR12" s="109" t="n">
        <f aca="false">Pipeline!$Q$19*Pipeline!$D$19*MIN(1,MAX(0,(68-Pipeline!$E$19+1)/MAX(Pipeline!$F$19,1)))</f>
        <v>5742</v>
      </c>
      <c r="BS12" s="109" t="n">
        <f aca="false">Pipeline!$Q$19*Pipeline!$D$19*MIN(1,MAX(0,(69-Pipeline!$E$19+1)/MAX(Pipeline!$F$19,1)))</f>
        <v>5742</v>
      </c>
      <c r="BT12" s="109" t="n">
        <f aca="false">Pipeline!$Q$19*Pipeline!$D$19*MIN(1,MAX(0,(70-Pipeline!$E$19+1)/MAX(Pipeline!$F$19,1)))</f>
        <v>5742</v>
      </c>
      <c r="BU12" s="109" t="n">
        <f aca="false">Pipeline!$Q$19*Pipeline!$D$19*MIN(1,MAX(0,(71-Pipeline!$E$19+1)/MAX(Pipeline!$F$19,1)))</f>
        <v>5742</v>
      </c>
      <c r="BV12" s="109" t="n">
        <f aca="false">Pipeline!$Q$19*Pipeline!$D$19*MIN(1,MAX(0,(72-Pipeline!$E$19+1)/MAX(Pipeline!$F$19,1)))</f>
        <v>5742</v>
      </c>
      <c r="BW12" s="109" t="n">
        <f aca="false">Pipeline!$Q$19*Pipeline!$D$19*MIN(1,MAX(0,(73-Pipeline!$E$19+1)/MAX(Pipeline!$F$19,1)))</f>
        <v>5742</v>
      </c>
      <c r="BX12" s="109" t="n">
        <f aca="false">Pipeline!$Q$19*Pipeline!$D$19*MIN(1,MAX(0,(74-Pipeline!$E$19+1)/MAX(Pipeline!$F$19,1)))</f>
        <v>5742</v>
      </c>
      <c r="BY12" s="109" t="n">
        <f aca="false">Pipeline!$Q$19*Pipeline!$D$19*MIN(1,MAX(0,(75-Pipeline!$E$19+1)/MAX(Pipeline!$F$19,1)))</f>
        <v>5742</v>
      </c>
      <c r="BZ12" s="109" t="n">
        <f aca="false">Pipeline!$Q$19*Pipeline!$D$19*MIN(1,MAX(0,(76-Pipeline!$E$19+1)/MAX(Pipeline!$F$19,1)))</f>
        <v>5742</v>
      </c>
      <c r="CA12" s="109" t="n">
        <f aca="false">Pipeline!$Q$19*Pipeline!$D$19*MIN(1,MAX(0,(77-Pipeline!$E$19+1)/MAX(Pipeline!$F$19,1)))</f>
        <v>5742</v>
      </c>
      <c r="CB12" s="109" t="n">
        <f aca="false">Pipeline!$Q$19*Pipeline!$D$19*MIN(1,MAX(0,(78-Pipeline!$E$19+1)/MAX(Pipeline!$F$19,1)))</f>
        <v>5742</v>
      </c>
      <c r="CC12" s="109" t="n">
        <f aca="false">Pipeline!$Q$19*Pipeline!$D$19*MIN(1,MAX(0,(79-Pipeline!$E$19+1)/MAX(Pipeline!$F$19,1)))</f>
        <v>5742</v>
      </c>
      <c r="CD12" s="109" t="n">
        <f aca="false">Pipeline!$Q$19*Pipeline!$D$19*MIN(1,MAX(0,(80-Pipeline!$E$19+1)/MAX(Pipeline!$F$19,1)))</f>
        <v>5742</v>
      </c>
      <c r="CE12" s="109" t="n">
        <f aca="false">Pipeline!$Q$19*Pipeline!$D$19*MIN(1,MAX(0,(81-Pipeline!$E$19+1)/MAX(Pipeline!$F$19,1)))</f>
        <v>5742</v>
      </c>
      <c r="CF12" s="109" t="n">
        <f aca="false">Pipeline!$Q$19*Pipeline!$D$19*MIN(1,MAX(0,(82-Pipeline!$E$19+1)/MAX(Pipeline!$F$19,1)))</f>
        <v>5742</v>
      </c>
      <c r="CG12" s="109" t="n">
        <f aca="false">Pipeline!$Q$19*Pipeline!$D$19*MIN(1,MAX(0,(83-Pipeline!$E$19+1)/MAX(Pipeline!$F$19,1)))</f>
        <v>5742</v>
      </c>
      <c r="CH12" s="109" t="n">
        <f aca="false">Pipeline!$Q$19*Pipeline!$D$19*MIN(1,MAX(0,(84-Pipeline!$E$19+1)/MAX(Pipeline!$F$19,1)))</f>
        <v>5742</v>
      </c>
    </row>
    <row r="13" customFormat="false" ht="13.5" hidden="false" customHeight="true" outlineLevel="0" collapsed="false">
      <c r="A13" s="6" t="s">
        <v>521</v>
      </c>
      <c r="C13" s="109" t="n">
        <f aca="false">Pipeline!$Q$20*Pipeline!$D$20*MIN(1,MAX(0,(1-Pipeline!$E$20+1)/MAX(Pipeline!$F$20,1)))</f>
        <v>0</v>
      </c>
      <c r="D13" s="109" t="n">
        <f aca="false">Pipeline!$Q$20*Pipeline!$D$20*MIN(1,MAX(0,(2-Pipeline!$E$20+1)/MAX(Pipeline!$F$20,1)))</f>
        <v>0</v>
      </c>
      <c r="E13" s="109" t="n">
        <f aca="false">Pipeline!$Q$20*Pipeline!$D$20*MIN(1,MAX(0,(3-Pipeline!$E$20+1)/MAX(Pipeline!$F$20,1)))</f>
        <v>0</v>
      </c>
      <c r="F13" s="109" t="n">
        <f aca="false">Pipeline!$Q$20*Pipeline!$D$20*MIN(1,MAX(0,(4-Pipeline!$E$20+1)/MAX(Pipeline!$F$20,1)))</f>
        <v>0</v>
      </c>
      <c r="G13" s="109" t="n">
        <f aca="false">Pipeline!$Q$20*Pipeline!$D$20*MIN(1,MAX(0,(5-Pipeline!$E$20+1)/MAX(Pipeline!$F$20,1)))</f>
        <v>0</v>
      </c>
      <c r="H13" s="109" t="n">
        <f aca="false">Pipeline!$Q$20*Pipeline!$D$20*MIN(1,MAX(0,(6-Pipeline!$E$20+1)/MAX(Pipeline!$F$20,1)))</f>
        <v>0</v>
      </c>
      <c r="I13" s="109" t="n">
        <f aca="false">Pipeline!$Q$20*Pipeline!$D$20*MIN(1,MAX(0,(7-Pipeline!$E$20+1)/MAX(Pipeline!$F$20,1)))</f>
        <v>0</v>
      </c>
      <c r="J13" s="109" t="n">
        <f aca="false">Pipeline!$Q$20*Pipeline!$D$20*MIN(1,MAX(0,(8-Pipeline!$E$20+1)/MAX(Pipeline!$F$20,1)))</f>
        <v>0</v>
      </c>
      <c r="K13" s="109" t="n">
        <f aca="false">Pipeline!$Q$20*Pipeline!$D$20*MIN(1,MAX(0,(9-Pipeline!$E$20+1)/MAX(Pipeline!$F$20,1)))</f>
        <v>0</v>
      </c>
      <c r="L13" s="109" t="n">
        <f aca="false">Pipeline!$Q$20*Pipeline!$D$20*MIN(1,MAX(0,(10-Pipeline!$E$20+1)/MAX(Pipeline!$F$20,1)))</f>
        <v>0</v>
      </c>
      <c r="M13" s="109" t="n">
        <f aca="false">Pipeline!$Q$20*Pipeline!$D$20*MIN(1,MAX(0,(11-Pipeline!$E$20+1)/MAX(Pipeline!$F$20,1)))</f>
        <v>0</v>
      </c>
      <c r="N13" s="109" t="n">
        <f aca="false">Pipeline!$Q$20*Pipeline!$D$20*MIN(1,MAX(0,(12-Pipeline!$E$20+1)/MAX(Pipeline!$F$20,1)))</f>
        <v>978.75</v>
      </c>
      <c r="O13" s="109" t="n">
        <f aca="false">Pipeline!$Q$20*Pipeline!$D$20*MIN(1,MAX(0,(13-Pipeline!$E$20+1)/MAX(Pipeline!$F$20,1)))</f>
        <v>1957.5</v>
      </c>
      <c r="P13" s="109" t="n">
        <f aca="false">Pipeline!$Q$20*Pipeline!$D$20*MIN(1,MAX(0,(14-Pipeline!$E$20+1)/MAX(Pipeline!$F$20,1)))</f>
        <v>2936.25</v>
      </c>
      <c r="Q13" s="109" t="n">
        <f aca="false">Pipeline!$Q$20*Pipeline!$D$20*MIN(1,MAX(0,(15-Pipeline!$E$20+1)/MAX(Pipeline!$F$20,1)))</f>
        <v>3915</v>
      </c>
      <c r="R13" s="109" t="n">
        <f aca="false">Pipeline!$Q$20*Pipeline!$D$20*MIN(1,MAX(0,(16-Pipeline!$E$20+1)/MAX(Pipeline!$F$20,1)))</f>
        <v>4893.75</v>
      </c>
      <c r="S13" s="109" t="n">
        <f aca="false">Pipeline!$Q$20*Pipeline!$D$20*MIN(1,MAX(0,(17-Pipeline!$E$20+1)/MAX(Pipeline!$F$20,1)))</f>
        <v>5872.5</v>
      </c>
      <c r="T13" s="109" t="n">
        <f aca="false">Pipeline!$Q$20*Pipeline!$D$20*MIN(1,MAX(0,(18-Pipeline!$E$20+1)/MAX(Pipeline!$F$20,1)))</f>
        <v>6851.25</v>
      </c>
      <c r="U13" s="109" t="n">
        <f aca="false">Pipeline!$Q$20*Pipeline!$D$20*MIN(1,MAX(0,(19-Pipeline!$E$20+1)/MAX(Pipeline!$F$20,1)))</f>
        <v>7830</v>
      </c>
      <c r="V13" s="109" t="n">
        <f aca="false">Pipeline!$Q$20*Pipeline!$D$20*MIN(1,MAX(0,(20-Pipeline!$E$20+1)/MAX(Pipeline!$F$20,1)))</f>
        <v>8808.75</v>
      </c>
      <c r="W13" s="109" t="n">
        <f aca="false">Pipeline!$Q$20*Pipeline!$D$20*MIN(1,MAX(0,(21-Pipeline!$E$20+1)/MAX(Pipeline!$F$20,1)))</f>
        <v>9787.5</v>
      </c>
      <c r="X13" s="109" t="n">
        <f aca="false">Pipeline!$Q$20*Pipeline!$D$20*MIN(1,MAX(0,(22-Pipeline!$E$20+1)/MAX(Pipeline!$F$20,1)))</f>
        <v>9787.5</v>
      </c>
      <c r="Y13" s="109" t="n">
        <f aca="false">Pipeline!$Q$20*Pipeline!$D$20*MIN(1,MAX(0,(23-Pipeline!$E$20+1)/MAX(Pipeline!$F$20,1)))</f>
        <v>9787.5</v>
      </c>
      <c r="Z13" s="109" t="n">
        <f aca="false">Pipeline!$Q$20*Pipeline!$D$20*MIN(1,MAX(0,(24-Pipeline!$E$20+1)/MAX(Pipeline!$F$20,1)))</f>
        <v>9787.5</v>
      </c>
      <c r="AA13" s="109" t="n">
        <f aca="false">Pipeline!$Q$20*Pipeline!$D$20*MIN(1,MAX(0,(25-Pipeline!$E$20+1)/MAX(Pipeline!$F$20,1)))</f>
        <v>9787.5</v>
      </c>
      <c r="AB13" s="109" t="n">
        <f aca="false">Pipeline!$Q$20*Pipeline!$D$20*MIN(1,MAX(0,(26-Pipeline!$E$20+1)/MAX(Pipeline!$F$20,1)))</f>
        <v>9787.5</v>
      </c>
      <c r="AC13" s="109" t="n">
        <f aca="false">Pipeline!$Q$20*Pipeline!$D$20*MIN(1,MAX(0,(27-Pipeline!$E$20+1)/MAX(Pipeline!$F$20,1)))</f>
        <v>9787.5</v>
      </c>
      <c r="AD13" s="109" t="n">
        <f aca="false">Pipeline!$Q$20*Pipeline!$D$20*MIN(1,MAX(0,(28-Pipeline!$E$20+1)/MAX(Pipeline!$F$20,1)))</f>
        <v>9787.5</v>
      </c>
      <c r="AE13" s="109" t="n">
        <f aca="false">Pipeline!$Q$20*Pipeline!$D$20*MIN(1,MAX(0,(29-Pipeline!$E$20+1)/MAX(Pipeline!$F$20,1)))</f>
        <v>9787.5</v>
      </c>
      <c r="AF13" s="109" t="n">
        <f aca="false">Pipeline!$Q$20*Pipeline!$D$20*MIN(1,MAX(0,(30-Pipeline!$E$20+1)/MAX(Pipeline!$F$20,1)))</f>
        <v>9787.5</v>
      </c>
      <c r="AG13" s="109" t="n">
        <f aca="false">Pipeline!$Q$20*Pipeline!$D$20*MIN(1,MAX(0,(31-Pipeline!$E$20+1)/MAX(Pipeline!$F$20,1)))</f>
        <v>9787.5</v>
      </c>
      <c r="AH13" s="109" t="n">
        <f aca="false">Pipeline!$Q$20*Pipeline!$D$20*MIN(1,MAX(0,(32-Pipeline!$E$20+1)/MAX(Pipeline!$F$20,1)))</f>
        <v>9787.5</v>
      </c>
      <c r="AI13" s="109" t="n">
        <f aca="false">Pipeline!$Q$20*Pipeline!$D$20*MIN(1,MAX(0,(33-Pipeline!$E$20+1)/MAX(Pipeline!$F$20,1)))</f>
        <v>9787.5</v>
      </c>
      <c r="AJ13" s="109" t="n">
        <f aca="false">Pipeline!$Q$20*Pipeline!$D$20*MIN(1,MAX(0,(34-Pipeline!$E$20+1)/MAX(Pipeline!$F$20,1)))</f>
        <v>9787.5</v>
      </c>
      <c r="AK13" s="109" t="n">
        <f aca="false">Pipeline!$Q$20*Pipeline!$D$20*MIN(1,MAX(0,(35-Pipeline!$E$20+1)/MAX(Pipeline!$F$20,1)))</f>
        <v>9787.5</v>
      </c>
      <c r="AL13" s="109" t="n">
        <f aca="false">Pipeline!$Q$20*Pipeline!$D$20*MIN(1,MAX(0,(36-Pipeline!$E$20+1)/MAX(Pipeline!$F$20,1)))</f>
        <v>9787.5</v>
      </c>
      <c r="AM13" s="109" t="n">
        <f aca="false">Pipeline!$Q$20*Pipeline!$D$20*MIN(1,MAX(0,(37-Pipeline!$E$20+1)/MAX(Pipeline!$F$20,1)))</f>
        <v>9787.5</v>
      </c>
      <c r="AN13" s="109" t="n">
        <f aca="false">Pipeline!$Q$20*Pipeline!$D$20*MIN(1,MAX(0,(38-Pipeline!$E$20+1)/MAX(Pipeline!$F$20,1)))</f>
        <v>9787.5</v>
      </c>
      <c r="AO13" s="109" t="n">
        <f aca="false">Pipeline!$Q$20*Pipeline!$D$20*MIN(1,MAX(0,(39-Pipeline!$E$20+1)/MAX(Pipeline!$F$20,1)))</f>
        <v>9787.5</v>
      </c>
      <c r="AP13" s="109" t="n">
        <f aca="false">Pipeline!$Q$20*Pipeline!$D$20*MIN(1,MAX(0,(40-Pipeline!$E$20+1)/MAX(Pipeline!$F$20,1)))</f>
        <v>9787.5</v>
      </c>
      <c r="AQ13" s="109" t="n">
        <f aca="false">Pipeline!$Q$20*Pipeline!$D$20*MIN(1,MAX(0,(41-Pipeline!$E$20+1)/MAX(Pipeline!$F$20,1)))</f>
        <v>9787.5</v>
      </c>
      <c r="AR13" s="109" t="n">
        <f aca="false">Pipeline!$Q$20*Pipeline!$D$20*MIN(1,MAX(0,(42-Pipeline!$E$20+1)/MAX(Pipeline!$F$20,1)))</f>
        <v>9787.5</v>
      </c>
      <c r="AS13" s="109" t="n">
        <f aca="false">Pipeline!$Q$20*Pipeline!$D$20*MIN(1,MAX(0,(43-Pipeline!$E$20+1)/MAX(Pipeline!$F$20,1)))</f>
        <v>9787.5</v>
      </c>
      <c r="AT13" s="109" t="n">
        <f aca="false">Pipeline!$Q$20*Pipeline!$D$20*MIN(1,MAX(0,(44-Pipeline!$E$20+1)/MAX(Pipeline!$F$20,1)))</f>
        <v>9787.5</v>
      </c>
      <c r="AU13" s="109" t="n">
        <f aca="false">Pipeline!$Q$20*Pipeline!$D$20*MIN(1,MAX(0,(45-Pipeline!$E$20+1)/MAX(Pipeline!$F$20,1)))</f>
        <v>9787.5</v>
      </c>
      <c r="AV13" s="109" t="n">
        <f aca="false">Pipeline!$Q$20*Pipeline!$D$20*MIN(1,MAX(0,(46-Pipeline!$E$20+1)/MAX(Pipeline!$F$20,1)))</f>
        <v>9787.5</v>
      </c>
      <c r="AW13" s="109" t="n">
        <f aca="false">Pipeline!$Q$20*Pipeline!$D$20*MIN(1,MAX(0,(47-Pipeline!$E$20+1)/MAX(Pipeline!$F$20,1)))</f>
        <v>9787.5</v>
      </c>
      <c r="AX13" s="109" t="n">
        <f aca="false">Pipeline!$Q$20*Pipeline!$D$20*MIN(1,MAX(0,(48-Pipeline!$E$20+1)/MAX(Pipeline!$F$20,1)))</f>
        <v>9787.5</v>
      </c>
      <c r="AY13" s="109" t="n">
        <f aca="false">Pipeline!$Q$20*Pipeline!$D$20*MIN(1,MAX(0,(49-Pipeline!$E$20+1)/MAX(Pipeline!$F$20,1)))</f>
        <v>9787.5</v>
      </c>
      <c r="AZ13" s="109" t="n">
        <f aca="false">Pipeline!$Q$20*Pipeline!$D$20*MIN(1,MAX(0,(50-Pipeline!$E$20+1)/MAX(Pipeline!$F$20,1)))</f>
        <v>9787.5</v>
      </c>
      <c r="BA13" s="109" t="n">
        <f aca="false">Pipeline!$Q$20*Pipeline!$D$20*MIN(1,MAX(0,(51-Pipeline!$E$20+1)/MAX(Pipeline!$F$20,1)))</f>
        <v>9787.5</v>
      </c>
      <c r="BB13" s="109" t="n">
        <f aca="false">Pipeline!$Q$20*Pipeline!$D$20*MIN(1,MAX(0,(52-Pipeline!$E$20+1)/MAX(Pipeline!$F$20,1)))</f>
        <v>9787.5</v>
      </c>
      <c r="BC13" s="109" t="n">
        <f aca="false">Pipeline!$Q$20*Pipeline!$D$20*MIN(1,MAX(0,(53-Pipeline!$E$20+1)/MAX(Pipeline!$F$20,1)))</f>
        <v>9787.5</v>
      </c>
      <c r="BD13" s="109" t="n">
        <f aca="false">Pipeline!$Q$20*Pipeline!$D$20*MIN(1,MAX(0,(54-Pipeline!$E$20+1)/MAX(Pipeline!$F$20,1)))</f>
        <v>9787.5</v>
      </c>
      <c r="BE13" s="109" t="n">
        <f aca="false">Pipeline!$Q$20*Pipeline!$D$20*MIN(1,MAX(0,(55-Pipeline!$E$20+1)/MAX(Pipeline!$F$20,1)))</f>
        <v>9787.5</v>
      </c>
      <c r="BF13" s="109" t="n">
        <f aca="false">Pipeline!$Q$20*Pipeline!$D$20*MIN(1,MAX(0,(56-Pipeline!$E$20+1)/MAX(Pipeline!$F$20,1)))</f>
        <v>9787.5</v>
      </c>
      <c r="BG13" s="109" t="n">
        <f aca="false">Pipeline!$Q$20*Pipeline!$D$20*MIN(1,MAX(0,(57-Pipeline!$E$20+1)/MAX(Pipeline!$F$20,1)))</f>
        <v>9787.5</v>
      </c>
      <c r="BH13" s="109" t="n">
        <f aca="false">Pipeline!$Q$20*Pipeline!$D$20*MIN(1,MAX(0,(58-Pipeline!$E$20+1)/MAX(Pipeline!$F$20,1)))</f>
        <v>9787.5</v>
      </c>
      <c r="BI13" s="109" t="n">
        <f aca="false">Pipeline!$Q$20*Pipeline!$D$20*MIN(1,MAX(0,(59-Pipeline!$E$20+1)/MAX(Pipeline!$F$20,1)))</f>
        <v>9787.5</v>
      </c>
      <c r="BJ13" s="109" t="n">
        <f aca="false">Pipeline!$Q$20*Pipeline!$D$20*MIN(1,MAX(0,(60-Pipeline!$E$20+1)/MAX(Pipeline!$F$20,1)))</f>
        <v>9787.5</v>
      </c>
      <c r="BK13" s="109" t="n">
        <f aca="false">Pipeline!$Q$20*Pipeline!$D$20*MIN(1,MAX(0,(61-Pipeline!$E$20+1)/MAX(Pipeline!$F$20,1)))</f>
        <v>9787.5</v>
      </c>
      <c r="BL13" s="109" t="n">
        <f aca="false">Pipeline!$Q$20*Pipeline!$D$20*MIN(1,MAX(0,(62-Pipeline!$E$20+1)/MAX(Pipeline!$F$20,1)))</f>
        <v>9787.5</v>
      </c>
      <c r="BM13" s="109" t="n">
        <f aca="false">Pipeline!$Q$20*Pipeline!$D$20*MIN(1,MAX(0,(63-Pipeline!$E$20+1)/MAX(Pipeline!$F$20,1)))</f>
        <v>9787.5</v>
      </c>
      <c r="BN13" s="109" t="n">
        <f aca="false">Pipeline!$Q$20*Pipeline!$D$20*MIN(1,MAX(0,(64-Pipeline!$E$20+1)/MAX(Pipeline!$F$20,1)))</f>
        <v>9787.5</v>
      </c>
      <c r="BO13" s="109" t="n">
        <f aca="false">Pipeline!$Q$20*Pipeline!$D$20*MIN(1,MAX(0,(65-Pipeline!$E$20+1)/MAX(Pipeline!$F$20,1)))</f>
        <v>9787.5</v>
      </c>
      <c r="BP13" s="109" t="n">
        <f aca="false">Pipeline!$Q$20*Pipeline!$D$20*MIN(1,MAX(0,(66-Pipeline!$E$20+1)/MAX(Pipeline!$F$20,1)))</f>
        <v>9787.5</v>
      </c>
      <c r="BQ13" s="109" t="n">
        <f aca="false">Pipeline!$Q$20*Pipeline!$D$20*MIN(1,MAX(0,(67-Pipeline!$E$20+1)/MAX(Pipeline!$F$20,1)))</f>
        <v>9787.5</v>
      </c>
      <c r="BR13" s="109" t="n">
        <f aca="false">Pipeline!$Q$20*Pipeline!$D$20*MIN(1,MAX(0,(68-Pipeline!$E$20+1)/MAX(Pipeline!$F$20,1)))</f>
        <v>9787.5</v>
      </c>
      <c r="BS13" s="109" t="n">
        <f aca="false">Pipeline!$Q$20*Pipeline!$D$20*MIN(1,MAX(0,(69-Pipeline!$E$20+1)/MAX(Pipeline!$F$20,1)))</f>
        <v>9787.5</v>
      </c>
      <c r="BT13" s="109" t="n">
        <f aca="false">Pipeline!$Q$20*Pipeline!$D$20*MIN(1,MAX(0,(70-Pipeline!$E$20+1)/MAX(Pipeline!$F$20,1)))</f>
        <v>9787.5</v>
      </c>
      <c r="BU13" s="109" t="n">
        <f aca="false">Pipeline!$Q$20*Pipeline!$D$20*MIN(1,MAX(0,(71-Pipeline!$E$20+1)/MAX(Pipeline!$F$20,1)))</f>
        <v>9787.5</v>
      </c>
      <c r="BV13" s="109" t="n">
        <f aca="false">Pipeline!$Q$20*Pipeline!$D$20*MIN(1,MAX(0,(72-Pipeline!$E$20+1)/MAX(Pipeline!$F$20,1)))</f>
        <v>9787.5</v>
      </c>
      <c r="BW13" s="109" t="n">
        <f aca="false">Pipeline!$Q$20*Pipeline!$D$20*MIN(1,MAX(0,(73-Pipeline!$E$20+1)/MAX(Pipeline!$F$20,1)))</f>
        <v>9787.5</v>
      </c>
      <c r="BX13" s="109" t="n">
        <f aca="false">Pipeline!$Q$20*Pipeline!$D$20*MIN(1,MAX(0,(74-Pipeline!$E$20+1)/MAX(Pipeline!$F$20,1)))</f>
        <v>9787.5</v>
      </c>
      <c r="BY13" s="109" t="n">
        <f aca="false">Pipeline!$Q$20*Pipeline!$D$20*MIN(1,MAX(0,(75-Pipeline!$E$20+1)/MAX(Pipeline!$F$20,1)))</f>
        <v>9787.5</v>
      </c>
      <c r="BZ13" s="109" t="n">
        <f aca="false">Pipeline!$Q$20*Pipeline!$D$20*MIN(1,MAX(0,(76-Pipeline!$E$20+1)/MAX(Pipeline!$F$20,1)))</f>
        <v>9787.5</v>
      </c>
      <c r="CA13" s="109" t="n">
        <f aca="false">Pipeline!$Q$20*Pipeline!$D$20*MIN(1,MAX(0,(77-Pipeline!$E$20+1)/MAX(Pipeline!$F$20,1)))</f>
        <v>9787.5</v>
      </c>
      <c r="CB13" s="109" t="n">
        <f aca="false">Pipeline!$Q$20*Pipeline!$D$20*MIN(1,MAX(0,(78-Pipeline!$E$20+1)/MAX(Pipeline!$F$20,1)))</f>
        <v>9787.5</v>
      </c>
      <c r="CC13" s="109" t="n">
        <f aca="false">Pipeline!$Q$20*Pipeline!$D$20*MIN(1,MAX(0,(79-Pipeline!$E$20+1)/MAX(Pipeline!$F$20,1)))</f>
        <v>9787.5</v>
      </c>
      <c r="CD13" s="109" t="n">
        <f aca="false">Pipeline!$Q$20*Pipeline!$D$20*MIN(1,MAX(0,(80-Pipeline!$E$20+1)/MAX(Pipeline!$F$20,1)))</f>
        <v>9787.5</v>
      </c>
      <c r="CE13" s="109" t="n">
        <f aca="false">Pipeline!$Q$20*Pipeline!$D$20*MIN(1,MAX(0,(81-Pipeline!$E$20+1)/MAX(Pipeline!$F$20,1)))</f>
        <v>9787.5</v>
      </c>
      <c r="CF13" s="109" t="n">
        <f aca="false">Pipeline!$Q$20*Pipeline!$D$20*MIN(1,MAX(0,(82-Pipeline!$E$20+1)/MAX(Pipeline!$F$20,1)))</f>
        <v>9787.5</v>
      </c>
      <c r="CG13" s="109" t="n">
        <f aca="false">Pipeline!$Q$20*Pipeline!$D$20*MIN(1,MAX(0,(83-Pipeline!$E$20+1)/MAX(Pipeline!$F$20,1)))</f>
        <v>9787.5</v>
      </c>
      <c r="CH13" s="109" t="n">
        <f aca="false">Pipeline!$Q$20*Pipeline!$D$20*MIN(1,MAX(0,(84-Pipeline!$E$20+1)/MAX(Pipeline!$F$20,1)))</f>
        <v>9787.5</v>
      </c>
    </row>
    <row r="14" customFormat="false" ht="13.5" hidden="false" customHeight="true" outlineLevel="0" collapsed="false">
      <c r="A14" s="6" t="s">
        <v>522</v>
      </c>
      <c r="C14" s="109" t="n">
        <f aca="false">Pipeline!$Q$21*Pipeline!$D$21*MIN(1,MAX(0,(1-Pipeline!$E$21+1)/MAX(Pipeline!$F$21,1)))</f>
        <v>0</v>
      </c>
      <c r="D14" s="109" t="n">
        <f aca="false">Pipeline!$Q$21*Pipeline!$D$21*MIN(1,MAX(0,(2-Pipeline!$E$21+1)/MAX(Pipeline!$F$21,1)))</f>
        <v>0</v>
      </c>
      <c r="E14" s="109" t="n">
        <f aca="false">Pipeline!$Q$21*Pipeline!$D$21*MIN(1,MAX(0,(3-Pipeline!$E$21+1)/MAX(Pipeline!$F$21,1)))</f>
        <v>0</v>
      </c>
      <c r="F14" s="109" t="n">
        <f aca="false">Pipeline!$Q$21*Pipeline!$D$21*MIN(1,MAX(0,(4-Pipeline!$E$21+1)/MAX(Pipeline!$F$21,1)))</f>
        <v>0</v>
      </c>
      <c r="G14" s="109" t="n">
        <f aca="false">Pipeline!$Q$21*Pipeline!$D$21*MIN(1,MAX(0,(5-Pipeline!$E$21+1)/MAX(Pipeline!$F$21,1)))</f>
        <v>0</v>
      </c>
      <c r="H14" s="109" t="n">
        <f aca="false">Pipeline!$Q$21*Pipeline!$D$21*MIN(1,MAX(0,(6-Pipeline!$E$21+1)/MAX(Pipeline!$F$21,1)))</f>
        <v>0</v>
      </c>
      <c r="I14" s="109" t="n">
        <f aca="false">Pipeline!$Q$21*Pipeline!$D$21*MIN(1,MAX(0,(7-Pipeline!$E$21+1)/MAX(Pipeline!$F$21,1)))</f>
        <v>0</v>
      </c>
      <c r="J14" s="109" t="n">
        <f aca="false">Pipeline!$Q$21*Pipeline!$D$21*MIN(1,MAX(0,(8-Pipeline!$E$21+1)/MAX(Pipeline!$F$21,1)))</f>
        <v>0</v>
      </c>
      <c r="K14" s="109" t="n">
        <f aca="false">Pipeline!$Q$21*Pipeline!$D$21*MIN(1,MAX(0,(9-Pipeline!$E$21+1)/MAX(Pipeline!$F$21,1)))</f>
        <v>0</v>
      </c>
      <c r="L14" s="109" t="n">
        <f aca="false">Pipeline!$Q$21*Pipeline!$D$21*MIN(1,MAX(0,(10-Pipeline!$E$21+1)/MAX(Pipeline!$F$21,1)))</f>
        <v>0</v>
      </c>
      <c r="M14" s="109" t="n">
        <f aca="false">Pipeline!$Q$21*Pipeline!$D$21*MIN(1,MAX(0,(11-Pipeline!$E$21+1)/MAX(Pipeline!$F$21,1)))</f>
        <v>0</v>
      </c>
      <c r="N14" s="109" t="n">
        <f aca="false">Pipeline!$Q$21*Pipeline!$D$21*MIN(1,MAX(0,(12-Pipeline!$E$21+1)/MAX(Pipeline!$F$21,1)))</f>
        <v>0</v>
      </c>
      <c r="O14" s="109" t="n">
        <f aca="false">Pipeline!$Q$21*Pipeline!$D$21*MIN(1,MAX(0,(13-Pipeline!$E$21+1)/MAX(Pipeline!$F$21,1)))</f>
        <v>0</v>
      </c>
      <c r="P14" s="109" t="n">
        <f aca="false">Pipeline!$Q$21*Pipeline!$D$21*MIN(1,MAX(0,(14-Pipeline!$E$21+1)/MAX(Pipeline!$F$21,1)))</f>
        <v>365.4</v>
      </c>
      <c r="Q14" s="109" t="n">
        <f aca="false">Pipeline!$Q$21*Pipeline!$D$21*MIN(1,MAX(0,(15-Pipeline!$E$21+1)/MAX(Pipeline!$F$21,1)))</f>
        <v>730.8</v>
      </c>
      <c r="R14" s="109" t="n">
        <f aca="false">Pipeline!$Q$21*Pipeline!$D$21*MIN(1,MAX(0,(16-Pipeline!$E$21+1)/MAX(Pipeline!$F$21,1)))</f>
        <v>1096.2</v>
      </c>
      <c r="S14" s="109" t="n">
        <f aca="false">Pipeline!$Q$21*Pipeline!$D$21*MIN(1,MAX(0,(17-Pipeline!$E$21+1)/MAX(Pipeline!$F$21,1)))</f>
        <v>1461.6</v>
      </c>
      <c r="T14" s="109" t="n">
        <f aca="false">Pipeline!$Q$21*Pipeline!$D$21*MIN(1,MAX(0,(18-Pipeline!$E$21+1)/MAX(Pipeline!$F$21,1)))</f>
        <v>1827</v>
      </c>
      <c r="U14" s="109" t="n">
        <f aca="false">Pipeline!$Q$21*Pipeline!$D$21*MIN(1,MAX(0,(19-Pipeline!$E$21+1)/MAX(Pipeline!$F$21,1)))</f>
        <v>2192.4</v>
      </c>
      <c r="V14" s="109" t="n">
        <f aca="false">Pipeline!$Q$21*Pipeline!$D$21*MIN(1,MAX(0,(20-Pipeline!$E$21+1)/MAX(Pipeline!$F$21,1)))</f>
        <v>2557.8</v>
      </c>
      <c r="W14" s="109" t="n">
        <f aca="false">Pipeline!$Q$21*Pipeline!$D$21*MIN(1,MAX(0,(21-Pipeline!$E$21+1)/MAX(Pipeline!$F$21,1)))</f>
        <v>2923.2</v>
      </c>
      <c r="X14" s="109" t="n">
        <f aca="false">Pipeline!$Q$21*Pipeline!$D$21*MIN(1,MAX(0,(22-Pipeline!$E$21+1)/MAX(Pipeline!$F$21,1)))</f>
        <v>3288.6</v>
      </c>
      <c r="Y14" s="109" t="n">
        <f aca="false">Pipeline!$Q$21*Pipeline!$D$21*MIN(1,MAX(0,(23-Pipeline!$E$21+1)/MAX(Pipeline!$F$21,1)))</f>
        <v>3654</v>
      </c>
      <c r="Z14" s="109" t="n">
        <f aca="false">Pipeline!$Q$21*Pipeline!$D$21*MIN(1,MAX(0,(24-Pipeline!$E$21+1)/MAX(Pipeline!$F$21,1)))</f>
        <v>3654</v>
      </c>
      <c r="AA14" s="109" t="n">
        <f aca="false">Pipeline!$Q$21*Pipeline!$D$21*MIN(1,MAX(0,(25-Pipeline!$E$21+1)/MAX(Pipeline!$F$21,1)))</f>
        <v>3654</v>
      </c>
      <c r="AB14" s="109" t="n">
        <f aca="false">Pipeline!$Q$21*Pipeline!$D$21*MIN(1,MAX(0,(26-Pipeline!$E$21+1)/MAX(Pipeline!$F$21,1)))</f>
        <v>3654</v>
      </c>
      <c r="AC14" s="109" t="n">
        <f aca="false">Pipeline!$Q$21*Pipeline!$D$21*MIN(1,MAX(0,(27-Pipeline!$E$21+1)/MAX(Pipeline!$F$21,1)))</f>
        <v>3654</v>
      </c>
      <c r="AD14" s="109" t="n">
        <f aca="false">Pipeline!$Q$21*Pipeline!$D$21*MIN(1,MAX(0,(28-Pipeline!$E$21+1)/MAX(Pipeline!$F$21,1)))</f>
        <v>3654</v>
      </c>
      <c r="AE14" s="109" t="n">
        <f aca="false">Pipeline!$Q$21*Pipeline!$D$21*MIN(1,MAX(0,(29-Pipeline!$E$21+1)/MAX(Pipeline!$F$21,1)))</f>
        <v>3654</v>
      </c>
      <c r="AF14" s="109" t="n">
        <f aca="false">Pipeline!$Q$21*Pipeline!$D$21*MIN(1,MAX(0,(30-Pipeline!$E$21+1)/MAX(Pipeline!$F$21,1)))</f>
        <v>3654</v>
      </c>
      <c r="AG14" s="109" t="n">
        <f aca="false">Pipeline!$Q$21*Pipeline!$D$21*MIN(1,MAX(0,(31-Pipeline!$E$21+1)/MAX(Pipeline!$F$21,1)))</f>
        <v>3654</v>
      </c>
      <c r="AH14" s="109" t="n">
        <f aca="false">Pipeline!$Q$21*Pipeline!$D$21*MIN(1,MAX(0,(32-Pipeline!$E$21+1)/MAX(Pipeline!$F$21,1)))</f>
        <v>3654</v>
      </c>
      <c r="AI14" s="109" t="n">
        <f aca="false">Pipeline!$Q$21*Pipeline!$D$21*MIN(1,MAX(0,(33-Pipeline!$E$21+1)/MAX(Pipeline!$F$21,1)))</f>
        <v>3654</v>
      </c>
      <c r="AJ14" s="109" t="n">
        <f aca="false">Pipeline!$Q$21*Pipeline!$D$21*MIN(1,MAX(0,(34-Pipeline!$E$21+1)/MAX(Pipeline!$F$21,1)))</f>
        <v>3654</v>
      </c>
      <c r="AK14" s="109" t="n">
        <f aca="false">Pipeline!$Q$21*Pipeline!$D$21*MIN(1,MAX(0,(35-Pipeline!$E$21+1)/MAX(Pipeline!$F$21,1)))</f>
        <v>3654</v>
      </c>
      <c r="AL14" s="109" t="n">
        <f aca="false">Pipeline!$Q$21*Pipeline!$D$21*MIN(1,MAX(0,(36-Pipeline!$E$21+1)/MAX(Pipeline!$F$21,1)))</f>
        <v>3654</v>
      </c>
      <c r="AM14" s="109" t="n">
        <f aca="false">Pipeline!$Q$21*Pipeline!$D$21*MIN(1,MAX(0,(37-Pipeline!$E$21+1)/MAX(Pipeline!$F$21,1)))</f>
        <v>3654</v>
      </c>
      <c r="AN14" s="109" t="n">
        <f aca="false">Pipeline!$Q$21*Pipeline!$D$21*MIN(1,MAX(0,(38-Pipeline!$E$21+1)/MAX(Pipeline!$F$21,1)))</f>
        <v>3654</v>
      </c>
      <c r="AO14" s="109" t="n">
        <f aca="false">Pipeline!$Q$21*Pipeline!$D$21*MIN(1,MAX(0,(39-Pipeline!$E$21+1)/MAX(Pipeline!$F$21,1)))</f>
        <v>3654</v>
      </c>
      <c r="AP14" s="109" t="n">
        <f aca="false">Pipeline!$Q$21*Pipeline!$D$21*MIN(1,MAX(0,(40-Pipeline!$E$21+1)/MAX(Pipeline!$F$21,1)))</f>
        <v>3654</v>
      </c>
      <c r="AQ14" s="109" t="n">
        <f aca="false">Pipeline!$Q$21*Pipeline!$D$21*MIN(1,MAX(0,(41-Pipeline!$E$21+1)/MAX(Pipeline!$F$21,1)))</f>
        <v>3654</v>
      </c>
      <c r="AR14" s="109" t="n">
        <f aca="false">Pipeline!$Q$21*Pipeline!$D$21*MIN(1,MAX(0,(42-Pipeline!$E$21+1)/MAX(Pipeline!$F$21,1)))</f>
        <v>3654</v>
      </c>
      <c r="AS14" s="109" t="n">
        <f aca="false">Pipeline!$Q$21*Pipeline!$D$21*MIN(1,MAX(0,(43-Pipeline!$E$21+1)/MAX(Pipeline!$F$21,1)))</f>
        <v>3654</v>
      </c>
      <c r="AT14" s="109" t="n">
        <f aca="false">Pipeline!$Q$21*Pipeline!$D$21*MIN(1,MAX(0,(44-Pipeline!$E$21+1)/MAX(Pipeline!$F$21,1)))</f>
        <v>3654</v>
      </c>
      <c r="AU14" s="109" t="n">
        <f aca="false">Pipeline!$Q$21*Pipeline!$D$21*MIN(1,MAX(0,(45-Pipeline!$E$21+1)/MAX(Pipeline!$F$21,1)))</f>
        <v>3654</v>
      </c>
      <c r="AV14" s="109" t="n">
        <f aca="false">Pipeline!$Q$21*Pipeline!$D$21*MIN(1,MAX(0,(46-Pipeline!$E$21+1)/MAX(Pipeline!$F$21,1)))</f>
        <v>3654</v>
      </c>
      <c r="AW14" s="109" t="n">
        <f aca="false">Pipeline!$Q$21*Pipeline!$D$21*MIN(1,MAX(0,(47-Pipeline!$E$21+1)/MAX(Pipeline!$F$21,1)))</f>
        <v>3654</v>
      </c>
      <c r="AX14" s="109" t="n">
        <f aca="false">Pipeline!$Q$21*Pipeline!$D$21*MIN(1,MAX(0,(48-Pipeline!$E$21+1)/MAX(Pipeline!$F$21,1)))</f>
        <v>3654</v>
      </c>
      <c r="AY14" s="109" t="n">
        <f aca="false">Pipeline!$Q$21*Pipeline!$D$21*MIN(1,MAX(0,(49-Pipeline!$E$21+1)/MAX(Pipeline!$F$21,1)))</f>
        <v>3654</v>
      </c>
      <c r="AZ14" s="109" t="n">
        <f aca="false">Pipeline!$Q$21*Pipeline!$D$21*MIN(1,MAX(0,(50-Pipeline!$E$21+1)/MAX(Pipeline!$F$21,1)))</f>
        <v>3654</v>
      </c>
      <c r="BA14" s="109" t="n">
        <f aca="false">Pipeline!$Q$21*Pipeline!$D$21*MIN(1,MAX(0,(51-Pipeline!$E$21+1)/MAX(Pipeline!$F$21,1)))</f>
        <v>3654</v>
      </c>
      <c r="BB14" s="109" t="n">
        <f aca="false">Pipeline!$Q$21*Pipeline!$D$21*MIN(1,MAX(0,(52-Pipeline!$E$21+1)/MAX(Pipeline!$F$21,1)))</f>
        <v>3654</v>
      </c>
      <c r="BC14" s="109" t="n">
        <f aca="false">Pipeline!$Q$21*Pipeline!$D$21*MIN(1,MAX(0,(53-Pipeline!$E$21+1)/MAX(Pipeline!$F$21,1)))</f>
        <v>3654</v>
      </c>
      <c r="BD14" s="109" t="n">
        <f aca="false">Pipeline!$Q$21*Pipeline!$D$21*MIN(1,MAX(0,(54-Pipeline!$E$21+1)/MAX(Pipeline!$F$21,1)))</f>
        <v>3654</v>
      </c>
      <c r="BE14" s="109" t="n">
        <f aca="false">Pipeline!$Q$21*Pipeline!$D$21*MIN(1,MAX(0,(55-Pipeline!$E$21+1)/MAX(Pipeline!$F$21,1)))</f>
        <v>3654</v>
      </c>
      <c r="BF14" s="109" t="n">
        <f aca="false">Pipeline!$Q$21*Pipeline!$D$21*MIN(1,MAX(0,(56-Pipeline!$E$21+1)/MAX(Pipeline!$F$21,1)))</f>
        <v>3654</v>
      </c>
      <c r="BG14" s="109" t="n">
        <f aca="false">Pipeline!$Q$21*Pipeline!$D$21*MIN(1,MAX(0,(57-Pipeline!$E$21+1)/MAX(Pipeline!$F$21,1)))</f>
        <v>3654</v>
      </c>
      <c r="BH14" s="109" t="n">
        <f aca="false">Pipeline!$Q$21*Pipeline!$D$21*MIN(1,MAX(0,(58-Pipeline!$E$21+1)/MAX(Pipeline!$F$21,1)))</f>
        <v>3654</v>
      </c>
      <c r="BI14" s="109" t="n">
        <f aca="false">Pipeline!$Q$21*Pipeline!$D$21*MIN(1,MAX(0,(59-Pipeline!$E$21+1)/MAX(Pipeline!$F$21,1)))</f>
        <v>3654</v>
      </c>
      <c r="BJ14" s="109" t="n">
        <f aca="false">Pipeline!$Q$21*Pipeline!$D$21*MIN(1,MAX(0,(60-Pipeline!$E$21+1)/MAX(Pipeline!$F$21,1)))</f>
        <v>3654</v>
      </c>
      <c r="BK14" s="109" t="n">
        <f aca="false">Pipeline!$Q$21*Pipeline!$D$21*MIN(1,MAX(0,(61-Pipeline!$E$21+1)/MAX(Pipeline!$F$21,1)))</f>
        <v>3654</v>
      </c>
      <c r="BL14" s="109" t="n">
        <f aca="false">Pipeline!$Q$21*Pipeline!$D$21*MIN(1,MAX(0,(62-Pipeline!$E$21+1)/MAX(Pipeline!$F$21,1)))</f>
        <v>3654</v>
      </c>
      <c r="BM14" s="109" t="n">
        <f aca="false">Pipeline!$Q$21*Pipeline!$D$21*MIN(1,MAX(0,(63-Pipeline!$E$21+1)/MAX(Pipeline!$F$21,1)))</f>
        <v>3654</v>
      </c>
      <c r="BN14" s="109" t="n">
        <f aca="false">Pipeline!$Q$21*Pipeline!$D$21*MIN(1,MAX(0,(64-Pipeline!$E$21+1)/MAX(Pipeline!$F$21,1)))</f>
        <v>3654</v>
      </c>
      <c r="BO14" s="109" t="n">
        <f aca="false">Pipeline!$Q$21*Pipeline!$D$21*MIN(1,MAX(0,(65-Pipeline!$E$21+1)/MAX(Pipeline!$F$21,1)))</f>
        <v>3654</v>
      </c>
      <c r="BP14" s="109" t="n">
        <f aca="false">Pipeline!$Q$21*Pipeline!$D$21*MIN(1,MAX(0,(66-Pipeline!$E$21+1)/MAX(Pipeline!$F$21,1)))</f>
        <v>3654</v>
      </c>
      <c r="BQ14" s="109" t="n">
        <f aca="false">Pipeline!$Q$21*Pipeline!$D$21*MIN(1,MAX(0,(67-Pipeline!$E$21+1)/MAX(Pipeline!$F$21,1)))</f>
        <v>3654</v>
      </c>
      <c r="BR14" s="109" t="n">
        <f aca="false">Pipeline!$Q$21*Pipeline!$D$21*MIN(1,MAX(0,(68-Pipeline!$E$21+1)/MAX(Pipeline!$F$21,1)))</f>
        <v>3654</v>
      </c>
      <c r="BS14" s="109" t="n">
        <f aca="false">Pipeline!$Q$21*Pipeline!$D$21*MIN(1,MAX(0,(69-Pipeline!$E$21+1)/MAX(Pipeline!$F$21,1)))</f>
        <v>3654</v>
      </c>
      <c r="BT14" s="109" t="n">
        <f aca="false">Pipeline!$Q$21*Pipeline!$D$21*MIN(1,MAX(0,(70-Pipeline!$E$21+1)/MAX(Pipeline!$F$21,1)))</f>
        <v>3654</v>
      </c>
      <c r="BU14" s="109" t="n">
        <f aca="false">Pipeline!$Q$21*Pipeline!$D$21*MIN(1,MAX(0,(71-Pipeline!$E$21+1)/MAX(Pipeline!$F$21,1)))</f>
        <v>3654</v>
      </c>
      <c r="BV14" s="109" t="n">
        <f aca="false">Pipeline!$Q$21*Pipeline!$D$21*MIN(1,MAX(0,(72-Pipeline!$E$21+1)/MAX(Pipeline!$F$21,1)))</f>
        <v>3654</v>
      </c>
      <c r="BW14" s="109" t="n">
        <f aca="false">Pipeline!$Q$21*Pipeline!$D$21*MIN(1,MAX(0,(73-Pipeline!$E$21+1)/MAX(Pipeline!$F$21,1)))</f>
        <v>3654</v>
      </c>
      <c r="BX14" s="109" t="n">
        <f aca="false">Pipeline!$Q$21*Pipeline!$D$21*MIN(1,MAX(0,(74-Pipeline!$E$21+1)/MAX(Pipeline!$F$21,1)))</f>
        <v>3654</v>
      </c>
      <c r="BY14" s="109" t="n">
        <f aca="false">Pipeline!$Q$21*Pipeline!$D$21*MIN(1,MAX(0,(75-Pipeline!$E$21+1)/MAX(Pipeline!$F$21,1)))</f>
        <v>3654</v>
      </c>
      <c r="BZ14" s="109" t="n">
        <f aca="false">Pipeline!$Q$21*Pipeline!$D$21*MIN(1,MAX(0,(76-Pipeline!$E$21+1)/MAX(Pipeline!$F$21,1)))</f>
        <v>3654</v>
      </c>
      <c r="CA14" s="109" t="n">
        <f aca="false">Pipeline!$Q$21*Pipeline!$D$21*MIN(1,MAX(0,(77-Pipeline!$E$21+1)/MAX(Pipeline!$F$21,1)))</f>
        <v>3654</v>
      </c>
      <c r="CB14" s="109" t="n">
        <f aca="false">Pipeline!$Q$21*Pipeline!$D$21*MIN(1,MAX(0,(78-Pipeline!$E$21+1)/MAX(Pipeline!$F$21,1)))</f>
        <v>3654</v>
      </c>
      <c r="CC14" s="109" t="n">
        <f aca="false">Pipeline!$Q$21*Pipeline!$D$21*MIN(1,MAX(0,(79-Pipeline!$E$21+1)/MAX(Pipeline!$F$21,1)))</f>
        <v>3654</v>
      </c>
      <c r="CD14" s="109" t="n">
        <f aca="false">Pipeline!$Q$21*Pipeline!$D$21*MIN(1,MAX(0,(80-Pipeline!$E$21+1)/MAX(Pipeline!$F$21,1)))</f>
        <v>3654</v>
      </c>
      <c r="CE14" s="109" t="n">
        <f aca="false">Pipeline!$Q$21*Pipeline!$D$21*MIN(1,MAX(0,(81-Pipeline!$E$21+1)/MAX(Pipeline!$F$21,1)))</f>
        <v>3654</v>
      </c>
      <c r="CF14" s="109" t="n">
        <f aca="false">Pipeline!$Q$21*Pipeline!$D$21*MIN(1,MAX(0,(82-Pipeline!$E$21+1)/MAX(Pipeline!$F$21,1)))</f>
        <v>3654</v>
      </c>
      <c r="CG14" s="109" t="n">
        <f aca="false">Pipeline!$Q$21*Pipeline!$D$21*MIN(1,MAX(0,(83-Pipeline!$E$21+1)/MAX(Pipeline!$F$21,1)))</f>
        <v>3654</v>
      </c>
      <c r="CH14" s="109" t="n">
        <f aca="false">Pipeline!$Q$21*Pipeline!$D$21*MIN(1,MAX(0,(84-Pipeline!$E$21+1)/MAX(Pipeline!$F$21,1)))</f>
        <v>3654</v>
      </c>
    </row>
    <row r="15" customFormat="false" ht="13.5" hidden="false" customHeight="true" outlineLevel="0" collapsed="false">
      <c r="A15" s="6" t="s">
        <v>523</v>
      </c>
      <c r="C15" s="109" t="n">
        <f aca="false">Pipeline!$Q$22*Pipeline!$D$22*MIN(1,MAX(0,(1-Pipeline!$E$22+1)/MAX(Pipeline!$F$22,1)))</f>
        <v>0</v>
      </c>
      <c r="D15" s="109" t="n">
        <f aca="false">Pipeline!$Q$22*Pipeline!$D$22*MIN(1,MAX(0,(2-Pipeline!$E$22+1)/MAX(Pipeline!$F$22,1)))</f>
        <v>0</v>
      </c>
      <c r="E15" s="109" t="n">
        <f aca="false">Pipeline!$Q$22*Pipeline!$D$22*MIN(1,MAX(0,(3-Pipeline!$E$22+1)/MAX(Pipeline!$F$22,1)))</f>
        <v>0</v>
      </c>
      <c r="F15" s="109" t="n">
        <f aca="false">Pipeline!$Q$22*Pipeline!$D$22*MIN(1,MAX(0,(4-Pipeline!$E$22+1)/MAX(Pipeline!$F$22,1)))</f>
        <v>0</v>
      </c>
      <c r="G15" s="109" t="n">
        <f aca="false">Pipeline!$Q$22*Pipeline!$D$22*MIN(1,MAX(0,(5-Pipeline!$E$22+1)/MAX(Pipeline!$F$22,1)))</f>
        <v>0</v>
      </c>
      <c r="H15" s="109" t="n">
        <f aca="false">Pipeline!$Q$22*Pipeline!$D$22*MIN(1,MAX(0,(6-Pipeline!$E$22+1)/MAX(Pipeline!$F$22,1)))</f>
        <v>0</v>
      </c>
      <c r="I15" s="109" t="n">
        <f aca="false">Pipeline!$Q$22*Pipeline!$D$22*MIN(1,MAX(0,(7-Pipeline!$E$22+1)/MAX(Pipeline!$F$22,1)))</f>
        <v>0</v>
      </c>
      <c r="J15" s="109" t="n">
        <f aca="false">Pipeline!$Q$22*Pipeline!$D$22*MIN(1,MAX(0,(8-Pipeline!$E$22+1)/MAX(Pipeline!$F$22,1)))</f>
        <v>0</v>
      </c>
      <c r="K15" s="109" t="n">
        <f aca="false">Pipeline!$Q$22*Pipeline!$D$22*MIN(1,MAX(0,(9-Pipeline!$E$22+1)/MAX(Pipeline!$F$22,1)))</f>
        <v>0</v>
      </c>
      <c r="L15" s="109" t="n">
        <f aca="false">Pipeline!$Q$22*Pipeline!$D$22*MIN(1,MAX(0,(10-Pipeline!$E$22+1)/MAX(Pipeline!$F$22,1)))</f>
        <v>0</v>
      </c>
      <c r="M15" s="109" t="n">
        <f aca="false">Pipeline!$Q$22*Pipeline!$D$22*MIN(1,MAX(0,(11-Pipeline!$E$22+1)/MAX(Pipeline!$F$22,1)))</f>
        <v>0</v>
      </c>
      <c r="N15" s="109" t="n">
        <f aca="false">Pipeline!$Q$22*Pipeline!$D$22*MIN(1,MAX(0,(12-Pipeline!$E$22+1)/MAX(Pipeline!$F$22,1)))</f>
        <v>0</v>
      </c>
      <c r="O15" s="109" t="n">
        <f aca="false">Pipeline!$Q$22*Pipeline!$D$22*MIN(1,MAX(0,(13-Pipeline!$E$22+1)/MAX(Pipeline!$F$22,1)))</f>
        <v>0</v>
      </c>
      <c r="P15" s="109" t="n">
        <f aca="false">Pipeline!$Q$22*Pipeline!$D$22*MIN(1,MAX(0,(14-Pipeline!$E$22+1)/MAX(Pipeline!$F$22,1)))</f>
        <v>0</v>
      </c>
      <c r="Q15" s="109" t="n">
        <f aca="false">Pipeline!$Q$22*Pipeline!$D$22*MIN(1,MAX(0,(15-Pipeline!$E$22+1)/MAX(Pipeline!$F$22,1)))</f>
        <v>0</v>
      </c>
      <c r="R15" s="109" t="n">
        <f aca="false">Pipeline!$Q$22*Pipeline!$D$22*MIN(1,MAX(0,(16-Pipeline!$E$22+1)/MAX(Pipeline!$F$22,1)))</f>
        <v>0</v>
      </c>
      <c r="S15" s="109" t="n">
        <f aca="false">Pipeline!$Q$22*Pipeline!$D$22*MIN(1,MAX(0,(17-Pipeline!$E$22+1)/MAX(Pipeline!$F$22,1)))</f>
        <v>0</v>
      </c>
      <c r="T15" s="109" t="n">
        <f aca="false">Pipeline!$Q$22*Pipeline!$D$22*MIN(1,MAX(0,(18-Pipeline!$E$22+1)/MAX(Pipeline!$F$22,1)))</f>
        <v>0</v>
      </c>
      <c r="U15" s="109" t="n">
        <f aca="false">Pipeline!$Q$22*Pipeline!$D$22*MIN(1,MAX(0,(19-Pipeline!$E$22+1)/MAX(Pipeline!$F$22,1)))</f>
        <v>0</v>
      </c>
      <c r="V15" s="109" t="n">
        <f aca="false">Pipeline!$Q$22*Pipeline!$D$22*MIN(1,MAX(0,(20-Pipeline!$E$22+1)/MAX(Pipeline!$F$22,1)))</f>
        <v>0</v>
      </c>
      <c r="W15" s="109" t="n">
        <f aca="false">Pipeline!$Q$22*Pipeline!$D$22*MIN(1,MAX(0,(21-Pipeline!$E$22+1)/MAX(Pipeline!$F$22,1)))</f>
        <v>0</v>
      </c>
      <c r="X15" s="109" t="n">
        <f aca="false">Pipeline!$Q$22*Pipeline!$D$22*MIN(1,MAX(0,(22-Pipeline!$E$22+1)/MAX(Pipeline!$F$22,1)))</f>
        <v>0</v>
      </c>
      <c r="Y15" s="109" t="n">
        <f aca="false">Pipeline!$Q$22*Pipeline!$D$22*MIN(1,MAX(0,(23-Pipeline!$E$22+1)/MAX(Pipeline!$F$22,1)))</f>
        <v>0</v>
      </c>
      <c r="Z15" s="109" t="n">
        <f aca="false">Pipeline!$Q$22*Pipeline!$D$22*MIN(1,MAX(0,(24-Pipeline!$E$22+1)/MAX(Pipeline!$F$22,1)))</f>
        <v>0</v>
      </c>
      <c r="AA15" s="109" t="n">
        <f aca="false">Pipeline!$Q$22*Pipeline!$D$22*MIN(1,MAX(0,(25-Pipeline!$E$22+1)/MAX(Pipeline!$F$22,1)))</f>
        <v>0</v>
      </c>
      <c r="AB15" s="109" t="n">
        <f aca="false">Pipeline!$Q$22*Pipeline!$D$22*MIN(1,MAX(0,(26-Pipeline!$E$22+1)/MAX(Pipeline!$F$22,1)))</f>
        <v>0</v>
      </c>
      <c r="AC15" s="109" t="n">
        <f aca="false">Pipeline!$Q$22*Pipeline!$D$22*MIN(1,MAX(0,(27-Pipeline!$E$22+1)/MAX(Pipeline!$F$22,1)))</f>
        <v>0</v>
      </c>
      <c r="AD15" s="109" t="n">
        <f aca="false">Pipeline!$Q$22*Pipeline!$D$22*MIN(1,MAX(0,(28-Pipeline!$E$22+1)/MAX(Pipeline!$F$22,1)))</f>
        <v>0</v>
      </c>
      <c r="AE15" s="109" t="n">
        <f aca="false">Pipeline!$Q$22*Pipeline!$D$22*MIN(1,MAX(0,(29-Pipeline!$E$22+1)/MAX(Pipeline!$F$22,1)))</f>
        <v>0</v>
      </c>
      <c r="AF15" s="109" t="n">
        <f aca="false">Pipeline!$Q$22*Pipeline!$D$22*MIN(1,MAX(0,(30-Pipeline!$E$22+1)/MAX(Pipeline!$F$22,1)))</f>
        <v>0</v>
      </c>
      <c r="AG15" s="109" t="n">
        <f aca="false">Pipeline!$Q$22*Pipeline!$D$22*MIN(1,MAX(0,(31-Pipeline!$E$22+1)/MAX(Pipeline!$F$22,1)))</f>
        <v>0</v>
      </c>
      <c r="AH15" s="109" t="n">
        <f aca="false">Pipeline!$Q$22*Pipeline!$D$22*MIN(1,MAX(0,(32-Pipeline!$E$22+1)/MAX(Pipeline!$F$22,1)))</f>
        <v>0</v>
      </c>
      <c r="AI15" s="109" t="n">
        <f aca="false">Pipeline!$Q$22*Pipeline!$D$22*MIN(1,MAX(0,(33-Pipeline!$E$22+1)/MAX(Pipeline!$F$22,1)))</f>
        <v>0</v>
      </c>
      <c r="AJ15" s="109" t="n">
        <f aca="false">Pipeline!$Q$22*Pipeline!$D$22*MIN(1,MAX(0,(34-Pipeline!$E$22+1)/MAX(Pipeline!$F$22,1)))</f>
        <v>0</v>
      </c>
      <c r="AK15" s="109" t="n">
        <f aca="false">Pipeline!$Q$22*Pipeline!$D$22*MIN(1,MAX(0,(35-Pipeline!$E$22+1)/MAX(Pipeline!$F$22,1)))</f>
        <v>0</v>
      </c>
      <c r="AL15" s="109" t="n">
        <f aca="false">Pipeline!$Q$22*Pipeline!$D$22*MIN(1,MAX(0,(36-Pipeline!$E$22+1)/MAX(Pipeline!$F$22,1)))</f>
        <v>0</v>
      </c>
      <c r="AM15" s="109" t="n">
        <f aca="false">Pipeline!$Q$22*Pipeline!$D$22*MIN(1,MAX(0,(37-Pipeline!$E$22+1)/MAX(Pipeline!$F$22,1)))</f>
        <v>0</v>
      </c>
      <c r="AN15" s="109" t="n">
        <f aca="false">Pipeline!$Q$22*Pipeline!$D$22*MIN(1,MAX(0,(38-Pipeline!$E$22+1)/MAX(Pipeline!$F$22,1)))</f>
        <v>0</v>
      </c>
      <c r="AO15" s="109" t="n">
        <f aca="false">Pipeline!$Q$22*Pipeline!$D$22*MIN(1,MAX(0,(39-Pipeline!$E$22+1)/MAX(Pipeline!$F$22,1)))</f>
        <v>0</v>
      </c>
      <c r="AP15" s="109" t="n">
        <f aca="false">Pipeline!$Q$22*Pipeline!$D$22*MIN(1,MAX(0,(40-Pipeline!$E$22+1)/MAX(Pipeline!$F$22,1)))</f>
        <v>0</v>
      </c>
      <c r="AQ15" s="109" t="n">
        <f aca="false">Pipeline!$Q$22*Pipeline!$D$22*MIN(1,MAX(0,(41-Pipeline!$E$22+1)/MAX(Pipeline!$F$22,1)))</f>
        <v>0</v>
      </c>
      <c r="AR15" s="109" t="n">
        <f aca="false">Pipeline!$Q$22*Pipeline!$D$22*MIN(1,MAX(0,(42-Pipeline!$E$22+1)/MAX(Pipeline!$F$22,1)))</f>
        <v>0</v>
      </c>
      <c r="AS15" s="109" t="n">
        <f aca="false">Pipeline!$Q$22*Pipeline!$D$22*MIN(1,MAX(0,(43-Pipeline!$E$22+1)/MAX(Pipeline!$F$22,1)))</f>
        <v>0</v>
      </c>
      <c r="AT15" s="109" t="n">
        <f aca="false">Pipeline!$Q$22*Pipeline!$D$22*MIN(1,MAX(0,(44-Pipeline!$E$22+1)/MAX(Pipeline!$F$22,1)))</f>
        <v>0</v>
      </c>
      <c r="AU15" s="109" t="n">
        <f aca="false">Pipeline!$Q$22*Pipeline!$D$22*MIN(1,MAX(0,(45-Pipeline!$E$22+1)/MAX(Pipeline!$F$22,1)))</f>
        <v>0</v>
      </c>
      <c r="AV15" s="109" t="n">
        <f aca="false">Pipeline!$Q$22*Pipeline!$D$22*MIN(1,MAX(0,(46-Pipeline!$E$22+1)/MAX(Pipeline!$F$22,1)))</f>
        <v>0</v>
      </c>
      <c r="AW15" s="109" t="n">
        <f aca="false">Pipeline!$Q$22*Pipeline!$D$22*MIN(1,MAX(0,(47-Pipeline!$E$22+1)/MAX(Pipeline!$F$22,1)))</f>
        <v>0</v>
      </c>
      <c r="AX15" s="109" t="n">
        <f aca="false">Pipeline!$Q$22*Pipeline!$D$22*MIN(1,MAX(0,(48-Pipeline!$E$22+1)/MAX(Pipeline!$F$22,1)))</f>
        <v>0</v>
      </c>
      <c r="AY15" s="109" t="n">
        <f aca="false">Pipeline!$Q$22*Pipeline!$D$22*MIN(1,MAX(0,(49-Pipeline!$E$22+1)/MAX(Pipeline!$F$22,1)))</f>
        <v>0</v>
      </c>
      <c r="AZ15" s="109" t="n">
        <f aca="false">Pipeline!$Q$22*Pipeline!$D$22*MIN(1,MAX(0,(50-Pipeline!$E$22+1)/MAX(Pipeline!$F$22,1)))</f>
        <v>0</v>
      </c>
      <c r="BA15" s="109" t="n">
        <f aca="false">Pipeline!$Q$22*Pipeline!$D$22*MIN(1,MAX(0,(51-Pipeline!$E$22+1)/MAX(Pipeline!$F$22,1)))</f>
        <v>0</v>
      </c>
      <c r="BB15" s="109" t="n">
        <f aca="false">Pipeline!$Q$22*Pipeline!$D$22*MIN(1,MAX(0,(52-Pipeline!$E$22+1)/MAX(Pipeline!$F$22,1)))</f>
        <v>0</v>
      </c>
      <c r="BC15" s="109" t="n">
        <f aca="false">Pipeline!$Q$22*Pipeline!$D$22*MIN(1,MAX(0,(53-Pipeline!$E$22+1)/MAX(Pipeline!$F$22,1)))</f>
        <v>0</v>
      </c>
      <c r="BD15" s="109" t="n">
        <f aca="false">Pipeline!$Q$22*Pipeline!$D$22*MIN(1,MAX(0,(54-Pipeline!$E$22+1)/MAX(Pipeline!$F$22,1)))</f>
        <v>0</v>
      </c>
      <c r="BE15" s="109" t="n">
        <f aca="false">Pipeline!$Q$22*Pipeline!$D$22*MIN(1,MAX(0,(55-Pipeline!$E$22+1)/MAX(Pipeline!$F$22,1)))</f>
        <v>0</v>
      </c>
      <c r="BF15" s="109" t="n">
        <f aca="false">Pipeline!$Q$22*Pipeline!$D$22*MIN(1,MAX(0,(56-Pipeline!$E$22+1)/MAX(Pipeline!$F$22,1)))</f>
        <v>0</v>
      </c>
      <c r="BG15" s="109" t="n">
        <f aca="false">Pipeline!$Q$22*Pipeline!$D$22*MIN(1,MAX(0,(57-Pipeline!$E$22+1)/MAX(Pipeline!$F$22,1)))</f>
        <v>0</v>
      </c>
      <c r="BH15" s="109" t="n">
        <f aca="false">Pipeline!$Q$22*Pipeline!$D$22*MIN(1,MAX(0,(58-Pipeline!$E$22+1)/MAX(Pipeline!$F$22,1)))</f>
        <v>0</v>
      </c>
      <c r="BI15" s="109" t="n">
        <f aca="false">Pipeline!$Q$22*Pipeline!$D$22*MIN(1,MAX(0,(59-Pipeline!$E$22+1)/MAX(Pipeline!$F$22,1)))</f>
        <v>0</v>
      </c>
      <c r="BJ15" s="109" t="n">
        <f aca="false">Pipeline!$Q$22*Pipeline!$D$22*MIN(1,MAX(0,(60-Pipeline!$E$22+1)/MAX(Pipeline!$F$22,1)))</f>
        <v>0</v>
      </c>
      <c r="BK15" s="109" t="n">
        <f aca="false">Pipeline!$Q$22*Pipeline!$D$22*MIN(1,MAX(0,(61-Pipeline!$E$22+1)/MAX(Pipeline!$F$22,1)))</f>
        <v>0</v>
      </c>
      <c r="BL15" s="109" t="n">
        <f aca="false">Pipeline!$Q$22*Pipeline!$D$22*MIN(1,MAX(0,(62-Pipeline!$E$22+1)/MAX(Pipeline!$F$22,1)))</f>
        <v>0</v>
      </c>
      <c r="BM15" s="109" t="n">
        <f aca="false">Pipeline!$Q$22*Pipeline!$D$22*MIN(1,MAX(0,(63-Pipeline!$E$22+1)/MAX(Pipeline!$F$22,1)))</f>
        <v>0</v>
      </c>
      <c r="BN15" s="109" t="n">
        <f aca="false">Pipeline!$Q$22*Pipeline!$D$22*MIN(1,MAX(0,(64-Pipeline!$E$22+1)/MAX(Pipeline!$F$22,1)))</f>
        <v>0</v>
      </c>
      <c r="BO15" s="109" t="n">
        <f aca="false">Pipeline!$Q$22*Pipeline!$D$22*MIN(1,MAX(0,(65-Pipeline!$E$22+1)/MAX(Pipeline!$F$22,1)))</f>
        <v>0</v>
      </c>
      <c r="BP15" s="109" t="n">
        <f aca="false">Pipeline!$Q$22*Pipeline!$D$22*MIN(1,MAX(0,(66-Pipeline!$E$22+1)/MAX(Pipeline!$F$22,1)))</f>
        <v>0</v>
      </c>
      <c r="BQ15" s="109" t="n">
        <f aca="false">Pipeline!$Q$22*Pipeline!$D$22*MIN(1,MAX(0,(67-Pipeline!$E$22+1)/MAX(Pipeline!$F$22,1)))</f>
        <v>0</v>
      </c>
      <c r="BR15" s="109" t="n">
        <f aca="false">Pipeline!$Q$22*Pipeline!$D$22*MIN(1,MAX(0,(68-Pipeline!$E$22+1)/MAX(Pipeline!$F$22,1)))</f>
        <v>0</v>
      </c>
      <c r="BS15" s="109" t="n">
        <f aca="false">Pipeline!$Q$22*Pipeline!$D$22*MIN(1,MAX(0,(69-Pipeline!$E$22+1)/MAX(Pipeline!$F$22,1)))</f>
        <v>0</v>
      </c>
      <c r="BT15" s="109" t="n">
        <f aca="false">Pipeline!$Q$22*Pipeline!$D$22*MIN(1,MAX(0,(70-Pipeline!$E$22+1)/MAX(Pipeline!$F$22,1)))</f>
        <v>0</v>
      </c>
      <c r="BU15" s="109" t="n">
        <f aca="false">Pipeline!$Q$22*Pipeline!$D$22*MIN(1,MAX(0,(71-Pipeline!$E$22+1)/MAX(Pipeline!$F$22,1)))</f>
        <v>0</v>
      </c>
      <c r="BV15" s="109" t="n">
        <f aca="false">Pipeline!$Q$22*Pipeline!$D$22*MIN(1,MAX(0,(72-Pipeline!$E$22+1)/MAX(Pipeline!$F$22,1)))</f>
        <v>0</v>
      </c>
      <c r="BW15" s="109" t="n">
        <f aca="false">Pipeline!$Q$22*Pipeline!$D$22*MIN(1,MAX(0,(73-Pipeline!$E$22+1)/MAX(Pipeline!$F$22,1)))</f>
        <v>0</v>
      </c>
      <c r="BX15" s="109" t="n">
        <f aca="false">Pipeline!$Q$22*Pipeline!$D$22*MIN(1,MAX(0,(74-Pipeline!$E$22+1)/MAX(Pipeline!$F$22,1)))</f>
        <v>0</v>
      </c>
      <c r="BY15" s="109" t="n">
        <f aca="false">Pipeline!$Q$22*Pipeline!$D$22*MIN(1,MAX(0,(75-Pipeline!$E$22+1)/MAX(Pipeline!$F$22,1)))</f>
        <v>0</v>
      </c>
      <c r="BZ15" s="109" t="n">
        <f aca="false">Pipeline!$Q$22*Pipeline!$D$22*MIN(1,MAX(0,(76-Pipeline!$E$22+1)/MAX(Pipeline!$F$22,1)))</f>
        <v>0</v>
      </c>
      <c r="CA15" s="109" t="n">
        <f aca="false">Pipeline!$Q$22*Pipeline!$D$22*MIN(1,MAX(0,(77-Pipeline!$E$22+1)/MAX(Pipeline!$F$22,1)))</f>
        <v>0</v>
      </c>
      <c r="CB15" s="109" t="n">
        <f aca="false">Pipeline!$Q$22*Pipeline!$D$22*MIN(1,MAX(0,(78-Pipeline!$E$22+1)/MAX(Pipeline!$F$22,1)))</f>
        <v>0</v>
      </c>
      <c r="CC15" s="109" t="n">
        <f aca="false">Pipeline!$Q$22*Pipeline!$D$22*MIN(1,MAX(0,(79-Pipeline!$E$22+1)/MAX(Pipeline!$F$22,1)))</f>
        <v>0</v>
      </c>
      <c r="CD15" s="109" t="n">
        <f aca="false">Pipeline!$Q$22*Pipeline!$D$22*MIN(1,MAX(0,(80-Pipeline!$E$22+1)/MAX(Pipeline!$F$22,1)))</f>
        <v>0</v>
      </c>
      <c r="CE15" s="109" t="n">
        <f aca="false">Pipeline!$Q$22*Pipeline!$D$22*MIN(1,MAX(0,(81-Pipeline!$E$22+1)/MAX(Pipeline!$F$22,1)))</f>
        <v>0</v>
      </c>
      <c r="CF15" s="109" t="n">
        <f aca="false">Pipeline!$Q$22*Pipeline!$D$22*MIN(1,MAX(0,(82-Pipeline!$E$22+1)/MAX(Pipeline!$F$22,1)))</f>
        <v>0</v>
      </c>
      <c r="CG15" s="109" t="n">
        <f aca="false">Pipeline!$Q$22*Pipeline!$D$22*MIN(1,MAX(0,(83-Pipeline!$E$22+1)/MAX(Pipeline!$F$22,1)))</f>
        <v>0</v>
      </c>
      <c r="CH15" s="109" t="n">
        <f aca="false">Pipeline!$Q$22*Pipeline!$D$22*MIN(1,MAX(0,(84-Pipeline!$E$22+1)/MAX(Pipeline!$F$22,1)))</f>
        <v>0</v>
      </c>
    </row>
    <row r="16" customFormat="false" ht="13.5" hidden="false" customHeight="true" outlineLevel="0" collapsed="false">
      <c r="A16" s="22" t="s">
        <v>524</v>
      </c>
      <c r="C16" s="109" t="n">
        <f aca="false">SUM(C9:C15)</f>
        <v>1005.575</v>
      </c>
      <c r="D16" s="109" t="n">
        <f aca="false">SUM(D9:D15)</f>
        <v>2089.45</v>
      </c>
      <c r="E16" s="109" t="n">
        <f aca="false">SUM(E9:E15)</f>
        <v>4351.903125</v>
      </c>
      <c r="F16" s="109" t="n">
        <f aca="false">SUM(F9:F15)</f>
        <v>5608.78125</v>
      </c>
      <c r="G16" s="109" t="n">
        <f aca="false">SUM(G9:G15)</f>
        <v>6787.359375</v>
      </c>
      <c r="H16" s="109" t="n">
        <f aca="false">SUM(H9:H15)</f>
        <v>8683.6875</v>
      </c>
      <c r="I16" s="109" t="n">
        <f aca="false">SUM(I9:I15)</f>
        <v>10580.015625</v>
      </c>
      <c r="J16" s="109" t="n">
        <f aca="false">SUM(J9:J15)</f>
        <v>12476.34375</v>
      </c>
      <c r="K16" s="109" t="n">
        <f aca="false">SUM(K9:K15)</f>
        <v>14372.671875</v>
      </c>
      <c r="L16" s="109" t="n">
        <f aca="false">SUM(L9:L15)</f>
        <v>16269</v>
      </c>
      <c r="M16" s="109" t="n">
        <f aca="false">SUM(M9:M15)</f>
        <v>16986.75</v>
      </c>
      <c r="N16" s="109" t="n">
        <f aca="false">SUM(N9:N15)</f>
        <v>18683.25</v>
      </c>
      <c r="O16" s="109" t="n">
        <f aca="false">SUM(O9:O15)</f>
        <v>20379.75</v>
      </c>
      <c r="P16" s="109" t="n">
        <f aca="false">SUM(P9:P15)</f>
        <v>21723.9</v>
      </c>
      <c r="Q16" s="109" t="n">
        <f aca="false">SUM(Q9:Q15)</f>
        <v>23068.05</v>
      </c>
      <c r="R16" s="109" t="n">
        <f aca="false">SUM(R9:R15)</f>
        <v>24412.2</v>
      </c>
      <c r="S16" s="109" t="n">
        <f aca="false">SUM(S9:S15)</f>
        <v>25756.35</v>
      </c>
      <c r="T16" s="109" t="n">
        <f aca="false">SUM(T9:T15)</f>
        <v>27100.5</v>
      </c>
      <c r="U16" s="109" t="n">
        <f aca="false">SUM(U9:U15)</f>
        <v>28444.65</v>
      </c>
      <c r="V16" s="109" t="n">
        <f aca="false">SUM(V9:V15)</f>
        <v>29788.8</v>
      </c>
      <c r="W16" s="109" t="n">
        <f aca="false">SUM(W9:W15)</f>
        <v>31132.95</v>
      </c>
      <c r="X16" s="109" t="n">
        <f aca="false">SUM(X9:X15)</f>
        <v>31498.35</v>
      </c>
      <c r="Y16" s="109" t="n">
        <f aca="false">SUM(Y9:Y15)</f>
        <v>31863.75</v>
      </c>
      <c r="Z16" s="109" t="n">
        <f aca="false">SUM(Z9:Z15)</f>
        <v>31863.75</v>
      </c>
      <c r="AA16" s="109" t="n">
        <f aca="false">SUM(AA9:AA15)</f>
        <v>31863.75</v>
      </c>
      <c r="AB16" s="109" t="n">
        <f aca="false">SUM(AB9:AB15)</f>
        <v>31863.75</v>
      </c>
      <c r="AC16" s="109" t="n">
        <f aca="false">SUM(AC9:AC15)</f>
        <v>31863.75</v>
      </c>
      <c r="AD16" s="109" t="n">
        <f aca="false">SUM(AD9:AD15)</f>
        <v>31863.75</v>
      </c>
      <c r="AE16" s="109" t="n">
        <f aca="false">SUM(AE9:AE15)</f>
        <v>31863.75</v>
      </c>
      <c r="AF16" s="109" t="n">
        <f aca="false">SUM(AF9:AF15)</f>
        <v>31863.75</v>
      </c>
      <c r="AG16" s="109" t="n">
        <f aca="false">SUM(AG9:AG15)</f>
        <v>31863.75</v>
      </c>
      <c r="AH16" s="109" t="n">
        <f aca="false">SUM(AH9:AH15)</f>
        <v>31863.75</v>
      </c>
      <c r="AI16" s="109" t="n">
        <f aca="false">SUM(AI9:AI15)</f>
        <v>31863.75</v>
      </c>
      <c r="AJ16" s="109" t="n">
        <f aca="false">SUM(AJ9:AJ15)</f>
        <v>31863.75</v>
      </c>
      <c r="AK16" s="109" t="n">
        <f aca="false">SUM(AK9:AK15)</f>
        <v>31863.75</v>
      </c>
      <c r="AL16" s="109" t="n">
        <f aca="false">SUM(AL9:AL15)</f>
        <v>31863.75</v>
      </c>
      <c r="AM16" s="109" t="n">
        <f aca="false">SUM(AM9:AM15)</f>
        <v>31863.75</v>
      </c>
      <c r="AN16" s="109" t="n">
        <f aca="false">SUM(AN9:AN15)</f>
        <v>31863.75</v>
      </c>
      <c r="AO16" s="109" t="n">
        <f aca="false">SUM(AO9:AO15)</f>
        <v>31863.75</v>
      </c>
      <c r="AP16" s="109" t="n">
        <f aca="false">SUM(AP9:AP15)</f>
        <v>31863.75</v>
      </c>
      <c r="AQ16" s="109" t="n">
        <f aca="false">SUM(AQ9:AQ15)</f>
        <v>31863.75</v>
      </c>
      <c r="AR16" s="109" t="n">
        <f aca="false">SUM(AR9:AR15)</f>
        <v>31863.75</v>
      </c>
      <c r="AS16" s="109" t="n">
        <f aca="false">SUM(AS9:AS15)</f>
        <v>31863.75</v>
      </c>
      <c r="AT16" s="109" t="n">
        <f aca="false">SUM(AT9:AT15)</f>
        <v>31863.75</v>
      </c>
      <c r="AU16" s="109" t="n">
        <f aca="false">SUM(AU9:AU15)</f>
        <v>31863.75</v>
      </c>
      <c r="AV16" s="109" t="n">
        <f aca="false">SUM(AV9:AV15)</f>
        <v>31863.75</v>
      </c>
      <c r="AW16" s="109" t="n">
        <f aca="false">SUM(AW9:AW15)</f>
        <v>31863.75</v>
      </c>
      <c r="AX16" s="109" t="n">
        <f aca="false">SUM(AX9:AX15)</f>
        <v>31863.75</v>
      </c>
      <c r="AY16" s="109" t="n">
        <f aca="false">SUM(AY9:AY15)</f>
        <v>31863.75</v>
      </c>
      <c r="AZ16" s="109" t="n">
        <f aca="false">SUM(AZ9:AZ15)</f>
        <v>31863.75</v>
      </c>
      <c r="BA16" s="109" t="n">
        <f aca="false">SUM(BA9:BA15)</f>
        <v>31863.75</v>
      </c>
      <c r="BB16" s="109" t="n">
        <f aca="false">SUM(BB9:BB15)</f>
        <v>31863.75</v>
      </c>
      <c r="BC16" s="109" t="n">
        <f aca="false">SUM(BC9:BC15)</f>
        <v>31863.75</v>
      </c>
      <c r="BD16" s="109" t="n">
        <f aca="false">SUM(BD9:BD15)</f>
        <v>31863.75</v>
      </c>
      <c r="BE16" s="109" t="n">
        <f aca="false">SUM(BE9:BE15)</f>
        <v>31863.75</v>
      </c>
      <c r="BF16" s="109" t="n">
        <f aca="false">SUM(BF9:BF15)</f>
        <v>31863.75</v>
      </c>
      <c r="BG16" s="109" t="n">
        <f aca="false">SUM(BG9:BG15)</f>
        <v>31863.75</v>
      </c>
      <c r="BH16" s="109" t="n">
        <f aca="false">SUM(BH9:BH15)</f>
        <v>31863.75</v>
      </c>
      <c r="BI16" s="109" t="n">
        <f aca="false">SUM(BI9:BI15)</f>
        <v>31863.75</v>
      </c>
      <c r="BJ16" s="109" t="n">
        <f aca="false">SUM(BJ9:BJ15)</f>
        <v>31863.75</v>
      </c>
      <c r="BK16" s="109" t="n">
        <f aca="false">SUM(BK9:BK15)</f>
        <v>31863.75</v>
      </c>
      <c r="BL16" s="109" t="n">
        <f aca="false">SUM(BL9:BL15)</f>
        <v>31863.75</v>
      </c>
      <c r="BM16" s="109" t="n">
        <f aca="false">SUM(BM9:BM15)</f>
        <v>31863.75</v>
      </c>
      <c r="BN16" s="109" t="n">
        <f aca="false">SUM(BN9:BN15)</f>
        <v>31863.75</v>
      </c>
      <c r="BO16" s="109" t="n">
        <f aca="false">SUM(BO9:BO15)</f>
        <v>31863.75</v>
      </c>
      <c r="BP16" s="109" t="n">
        <f aca="false">SUM(BP9:BP15)</f>
        <v>31863.75</v>
      </c>
      <c r="BQ16" s="109" t="n">
        <f aca="false">SUM(BQ9:BQ15)</f>
        <v>31863.75</v>
      </c>
      <c r="BR16" s="109" t="n">
        <f aca="false">SUM(BR9:BR15)</f>
        <v>31863.75</v>
      </c>
      <c r="BS16" s="109" t="n">
        <f aca="false">SUM(BS9:BS15)</f>
        <v>31863.75</v>
      </c>
      <c r="BT16" s="109" t="n">
        <f aca="false">SUM(BT9:BT15)</f>
        <v>31863.75</v>
      </c>
      <c r="BU16" s="109" t="n">
        <f aca="false">SUM(BU9:BU15)</f>
        <v>31863.75</v>
      </c>
      <c r="BV16" s="109" t="n">
        <f aca="false">SUM(BV9:BV15)</f>
        <v>31863.75</v>
      </c>
      <c r="BW16" s="109" t="n">
        <f aca="false">SUM(BW9:BW15)</f>
        <v>31863.75</v>
      </c>
      <c r="BX16" s="109" t="n">
        <f aca="false">SUM(BX9:BX15)</f>
        <v>31863.75</v>
      </c>
      <c r="BY16" s="109" t="n">
        <f aca="false">SUM(BY9:BY15)</f>
        <v>31863.75</v>
      </c>
      <c r="BZ16" s="109" t="n">
        <f aca="false">SUM(BZ9:BZ15)</f>
        <v>31863.75</v>
      </c>
      <c r="CA16" s="109" t="n">
        <f aca="false">SUM(CA9:CA15)</f>
        <v>31863.75</v>
      </c>
      <c r="CB16" s="109" t="n">
        <f aca="false">SUM(CB9:CB15)</f>
        <v>31863.75</v>
      </c>
      <c r="CC16" s="109" t="n">
        <f aca="false">SUM(CC9:CC15)</f>
        <v>31863.75</v>
      </c>
      <c r="CD16" s="109" t="n">
        <f aca="false">SUM(CD9:CD15)</f>
        <v>31863.75</v>
      </c>
      <c r="CE16" s="109" t="n">
        <f aca="false">SUM(CE9:CE15)</f>
        <v>31863.75</v>
      </c>
      <c r="CF16" s="109" t="n">
        <f aca="false">SUM(CF9:CF15)</f>
        <v>31863.75</v>
      </c>
      <c r="CG16" s="109" t="n">
        <f aca="false">SUM(CG9:CG15)</f>
        <v>31863.75</v>
      </c>
      <c r="CH16" s="109" t="n">
        <f aca="false">SUM(CH9:CH15)</f>
        <v>31863.75</v>
      </c>
    </row>
    <row r="17" customFormat="false" ht="13.5" hidden="false" customHeight="true" outlineLevel="0" collapsed="false">
      <c r="A17" s="6" t="s">
        <v>525</v>
      </c>
      <c r="C17" s="110" t="n">
        <f aca="false">(Pipeline!$T$16*Pipeline!$D$16*MIN(1,MAX(0,(1-Pipeline!$E$16+1)/MAX(Pipeline!$F$16,1)))+Pipeline!$T$17*Pipeline!$D$17*MIN(1,MAX(0,(1-Pipeline!$E$17+1)/MAX(Pipeline!$F$17,1)))+Pipeline!$T$18*Pipeline!$D$18*MIN(1,MAX(0,(1-Pipeline!$E$18+1)/MAX(Pipeline!$F$18,1)))+Pipeline!$T$19*Pipeline!$D$19*MIN(1,MAX(0,(1-Pipeline!$E$19+1)/MAX(Pipeline!$F$19,1)))+Pipeline!$T$20*Pipeline!$D$20*MIN(1,MAX(0,(1-Pipeline!$E$20+1)/MAX(Pipeline!$F$20,1)))+Pipeline!$T$21*Pipeline!$D$21*MIN(1,MAX(0,(1-Pipeline!$E$21+1)/MAX(Pipeline!$F$21,1)))+Pipeline!$T$22*Pipeline!$D$22*MIN(1,MAX(0,(1-Pipeline!$E$22+1)/MAX(Pipeline!$F$22,1))))/Hipótesis!$F$17</f>
        <v>102.916666666667</v>
      </c>
      <c r="D17" s="110" t="n">
        <f aca="false">(Pipeline!$T$16*Pipeline!$D$16*MIN(1,MAX(0,(2-Pipeline!$E$16+1)/MAX(Pipeline!$F$16,1)))+Pipeline!$T$17*Pipeline!$D$17*MIN(1,MAX(0,(2-Pipeline!$E$17+1)/MAX(Pipeline!$F$17,1)))+Pipeline!$T$18*Pipeline!$D$18*MIN(1,MAX(0,(2-Pipeline!$E$18+1)/MAX(Pipeline!$F$18,1)))+Pipeline!$T$19*Pipeline!$D$19*MIN(1,MAX(0,(2-Pipeline!$E$19+1)/MAX(Pipeline!$F$19,1)))+Pipeline!$T$20*Pipeline!$D$20*MIN(1,MAX(0,(2-Pipeline!$E$20+1)/MAX(Pipeline!$F$20,1)))+Pipeline!$T$21*Pipeline!$D$21*MIN(1,MAX(0,(2-Pipeline!$E$21+1)/MAX(Pipeline!$F$21,1)))+Pipeline!$T$22*Pipeline!$D$22*MIN(1,MAX(0,(2-Pipeline!$E$22+1)/MAX(Pipeline!$F$22,1))))/Hipótesis!$F$17</f>
        <v>221.186274509804</v>
      </c>
      <c r="E17" s="110" t="n">
        <f aca="false">(Pipeline!$T$16*Pipeline!$D$16*MIN(1,MAX(0,(3-Pipeline!$E$16+1)/MAX(Pipeline!$F$16,1)))+Pipeline!$T$17*Pipeline!$D$17*MIN(1,MAX(0,(3-Pipeline!$E$17+1)/MAX(Pipeline!$F$17,1)))+Pipeline!$T$18*Pipeline!$D$18*MIN(1,MAX(0,(3-Pipeline!$E$18+1)/MAX(Pipeline!$F$18,1)))+Pipeline!$T$19*Pipeline!$D$19*MIN(1,MAX(0,(3-Pipeline!$E$19+1)/MAX(Pipeline!$F$19,1)))+Pipeline!$T$20*Pipeline!$D$20*MIN(1,MAX(0,(3-Pipeline!$E$20+1)/MAX(Pipeline!$F$20,1)))+Pipeline!$T$21*Pipeline!$D$21*MIN(1,MAX(0,(3-Pipeline!$E$21+1)/MAX(Pipeline!$F$21,1)))+Pipeline!$T$22*Pipeline!$D$22*MIN(1,MAX(0,(3-Pipeline!$E$22+1)/MAX(Pipeline!$F$22,1))))/Hipótesis!$F$17</f>
        <v>538.868509903962</v>
      </c>
      <c r="F17" s="110" t="n">
        <f aca="false">(Pipeline!$T$16*Pipeline!$D$16*MIN(1,MAX(0,(4-Pipeline!$E$16+1)/MAX(Pipeline!$F$16,1)))+Pipeline!$T$17*Pipeline!$D$17*MIN(1,MAX(0,(4-Pipeline!$E$17+1)/MAX(Pipeline!$F$17,1)))+Pipeline!$T$18*Pipeline!$D$18*MIN(1,MAX(0,(4-Pipeline!$E$18+1)/MAX(Pipeline!$F$18,1)))+Pipeline!$T$19*Pipeline!$D$19*MIN(1,MAX(0,(4-Pipeline!$E$19+1)/MAX(Pipeline!$F$19,1)))+Pipeline!$T$20*Pipeline!$D$20*MIN(1,MAX(0,(4-Pipeline!$E$20+1)/MAX(Pipeline!$F$20,1)))+Pipeline!$T$21*Pipeline!$D$21*MIN(1,MAX(0,(4-Pipeline!$E$21+1)/MAX(Pipeline!$F$21,1)))+Pipeline!$T$22*Pipeline!$D$22*MIN(1,MAX(0,(4-Pipeline!$E$22+1)/MAX(Pipeline!$F$22,1))))/Hipótesis!$F$17</f>
        <v>753.634078631453</v>
      </c>
      <c r="G17" s="110" t="n">
        <f aca="false">(Pipeline!$T$16*Pipeline!$D$16*MIN(1,MAX(0,(5-Pipeline!$E$16+1)/MAX(Pipeline!$F$16,1)))+Pipeline!$T$17*Pipeline!$D$17*MIN(1,MAX(0,(5-Pipeline!$E$17+1)/MAX(Pipeline!$F$17,1)))+Pipeline!$T$18*Pipeline!$D$18*MIN(1,MAX(0,(5-Pipeline!$E$18+1)/MAX(Pipeline!$F$18,1)))+Pipeline!$T$19*Pipeline!$D$19*MIN(1,MAX(0,(5-Pipeline!$E$19+1)/MAX(Pipeline!$F$19,1)))+Pipeline!$T$20*Pipeline!$D$20*MIN(1,MAX(0,(5-Pipeline!$E$20+1)/MAX(Pipeline!$F$20,1)))+Pipeline!$T$21*Pipeline!$D$21*MIN(1,MAX(0,(5-Pipeline!$E$21+1)/MAX(Pipeline!$F$21,1)))+Pipeline!$T$22*Pipeline!$D$22*MIN(1,MAX(0,(5-Pipeline!$E$22+1)/MAX(Pipeline!$F$22,1))))/Hipótesis!$F$17</f>
        <v>953.046706182473</v>
      </c>
      <c r="H17" s="110" t="n">
        <f aca="false">(Pipeline!$T$16*Pipeline!$D$16*MIN(1,MAX(0,(6-Pipeline!$E$16+1)/MAX(Pipeline!$F$16,1)))+Pipeline!$T$17*Pipeline!$D$17*MIN(1,MAX(0,(6-Pipeline!$E$17+1)/MAX(Pipeline!$F$17,1)))+Pipeline!$T$18*Pipeline!$D$18*MIN(1,MAX(0,(6-Pipeline!$E$18+1)/MAX(Pipeline!$F$18,1)))+Pipeline!$T$19*Pipeline!$D$19*MIN(1,MAX(0,(6-Pipeline!$E$19+1)/MAX(Pipeline!$F$19,1)))+Pipeline!$T$20*Pipeline!$D$20*MIN(1,MAX(0,(6-Pipeline!$E$20+1)/MAX(Pipeline!$F$20,1)))+Pipeline!$T$21*Pipeline!$D$21*MIN(1,MAX(0,(6-Pipeline!$E$21+1)/MAX(Pipeline!$F$21,1)))+Pipeline!$T$22*Pipeline!$D$22*MIN(1,MAX(0,(6-Pipeline!$E$22+1)/MAX(Pipeline!$F$22,1))))/Hipótesis!$F$17</f>
        <v>1328.37845138055</v>
      </c>
      <c r="I17" s="110" t="n">
        <f aca="false">(Pipeline!$T$16*Pipeline!$D$16*MIN(1,MAX(0,(7-Pipeline!$E$16+1)/MAX(Pipeline!$F$16,1)))+Pipeline!$T$17*Pipeline!$D$17*MIN(1,MAX(0,(7-Pipeline!$E$17+1)/MAX(Pipeline!$F$17,1)))+Pipeline!$T$18*Pipeline!$D$18*MIN(1,MAX(0,(7-Pipeline!$E$18+1)/MAX(Pipeline!$F$18,1)))+Pipeline!$T$19*Pipeline!$D$19*MIN(1,MAX(0,(7-Pipeline!$E$19+1)/MAX(Pipeline!$F$19,1)))+Pipeline!$T$20*Pipeline!$D$20*MIN(1,MAX(0,(7-Pipeline!$E$20+1)/MAX(Pipeline!$F$20,1)))+Pipeline!$T$21*Pipeline!$D$21*MIN(1,MAX(0,(7-Pipeline!$E$21+1)/MAX(Pipeline!$F$21,1)))+Pipeline!$T$22*Pipeline!$D$22*MIN(1,MAX(0,(7-Pipeline!$E$22+1)/MAX(Pipeline!$F$22,1))))/Hipótesis!$F$17</f>
        <v>1703.71019657863</v>
      </c>
      <c r="J17" s="110" t="n">
        <f aca="false">(Pipeline!$T$16*Pipeline!$D$16*MIN(1,MAX(0,(8-Pipeline!$E$16+1)/MAX(Pipeline!$F$16,1)))+Pipeline!$T$17*Pipeline!$D$17*MIN(1,MAX(0,(8-Pipeline!$E$17+1)/MAX(Pipeline!$F$17,1)))+Pipeline!$T$18*Pipeline!$D$18*MIN(1,MAX(0,(8-Pipeline!$E$18+1)/MAX(Pipeline!$F$18,1)))+Pipeline!$T$19*Pipeline!$D$19*MIN(1,MAX(0,(8-Pipeline!$E$19+1)/MAX(Pipeline!$F$19,1)))+Pipeline!$T$20*Pipeline!$D$20*MIN(1,MAX(0,(8-Pipeline!$E$20+1)/MAX(Pipeline!$F$20,1)))+Pipeline!$T$21*Pipeline!$D$21*MIN(1,MAX(0,(8-Pipeline!$E$21+1)/MAX(Pipeline!$F$21,1)))+Pipeline!$T$22*Pipeline!$D$22*MIN(1,MAX(0,(8-Pipeline!$E$22+1)/MAX(Pipeline!$F$22,1))))/Hipótesis!$F$17</f>
        <v>2079.04194177671</v>
      </c>
      <c r="K17" s="110" t="n">
        <f aca="false">(Pipeline!$T$16*Pipeline!$D$16*MIN(1,MAX(0,(9-Pipeline!$E$16+1)/MAX(Pipeline!$F$16,1)))+Pipeline!$T$17*Pipeline!$D$17*MIN(1,MAX(0,(9-Pipeline!$E$17+1)/MAX(Pipeline!$F$17,1)))+Pipeline!$T$18*Pipeline!$D$18*MIN(1,MAX(0,(9-Pipeline!$E$18+1)/MAX(Pipeline!$F$18,1)))+Pipeline!$T$19*Pipeline!$D$19*MIN(1,MAX(0,(9-Pipeline!$E$19+1)/MAX(Pipeline!$F$19,1)))+Pipeline!$T$20*Pipeline!$D$20*MIN(1,MAX(0,(9-Pipeline!$E$20+1)/MAX(Pipeline!$F$20,1)))+Pipeline!$T$21*Pipeline!$D$21*MIN(1,MAX(0,(9-Pipeline!$E$21+1)/MAX(Pipeline!$F$21,1)))+Pipeline!$T$22*Pipeline!$D$22*MIN(1,MAX(0,(9-Pipeline!$E$22+1)/MAX(Pipeline!$F$22,1))))/Hipótesis!$F$17</f>
        <v>2454.37368697479</v>
      </c>
      <c r="L17" s="110" t="n">
        <f aca="false">(Pipeline!$T$16*Pipeline!$D$16*MIN(1,MAX(0,(10-Pipeline!$E$16+1)/MAX(Pipeline!$F$16,1)))+Pipeline!$T$17*Pipeline!$D$17*MIN(1,MAX(0,(10-Pipeline!$E$17+1)/MAX(Pipeline!$F$17,1)))+Pipeline!$T$18*Pipeline!$D$18*MIN(1,MAX(0,(10-Pipeline!$E$18+1)/MAX(Pipeline!$F$18,1)))+Pipeline!$T$19*Pipeline!$D$19*MIN(1,MAX(0,(10-Pipeline!$E$19+1)/MAX(Pipeline!$F$19,1)))+Pipeline!$T$20*Pipeline!$D$20*MIN(1,MAX(0,(10-Pipeline!$E$20+1)/MAX(Pipeline!$F$20,1)))+Pipeline!$T$21*Pipeline!$D$21*MIN(1,MAX(0,(10-Pipeline!$E$21+1)/MAX(Pipeline!$F$21,1)))+Pipeline!$T$22*Pipeline!$D$22*MIN(1,MAX(0,(10-Pipeline!$E$22+1)/MAX(Pipeline!$F$22,1))))/Hipótesis!$F$17</f>
        <v>2829.70543217287</v>
      </c>
      <c r="M17" s="110" t="n">
        <f aca="false">(Pipeline!$T$16*Pipeline!$D$16*MIN(1,MAX(0,(11-Pipeline!$E$16+1)/MAX(Pipeline!$F$16,1)))+Pipeline!$T$17*Pipeline!$D$17*MIN(1,MAX(0,(11-Pipeline!$E$17+1)/MAX(Pipeline!$F$17,1)))+Pipeline!$T$18*Pipeline!$D$18*MIN(1,MAX(0,(11-Pipeline!$E$18+1)/MAX(Pipeline!$F$18,1)))+Pipeline!$T$19*Pipeline!$D$19*MIN(1,MAX(0,(11-Pipeline!$E$19+1)/MAX(Pipeline!$F$19,1)))+Pipeline!$T$20*Pipeline!$D$20*MIN(1,MAX(0,(11-Pipeline!$E$20+1)/MAX(Pipeline!$F$20,1)))+Pipeline!$T$21*Pipeline!$D$21*MIN(1,MAX(0,(11-Pipeline!$E$21+1)/MAX(Pipeline!$F$21,1)))+Pipeline!$T$22*Pipeline!$D$22*MIN(1,MAX(0,(11-Pipeline!$E$22+1)/MAX(Pipeline!$F$22,1))))/Hipótesis!$F$17</f>
        <v>3005.62454981993</v>
      </c>
      <c r="N17" s="110" t="n">
        <f aca="false">(Pipeline!$T$16*Pipeline!$D$16*MIN(1,MAX(0,(12-Pipeline!$E$16+1)/MAX(Pipeline!$F$16,1)))+Pipeline!$T$17*Pipeline!$D$17*MIN(1,MAX(0,(12-Pipeline!$E$17+1)/MAX(Pipeline!$F$17,1)))+Pipeline!$T$18*Pipeline!$D$18*MIN(1,MAX(0,(12-Pipeline!$E$18+1)/MAX(Pipeline!$F$18,1)))+Pipeline!$T$19*Pipeline!$D$19*MIN(1,MAX(0,(12-Pipeline!$E$19+1)/MAX(Pipeline!$F$19,1)))+Pipeline!$T$20*Pipeline!$D$20*MIN(1,MAX(0,(12-Pipeline!$E$20+1)/MAX(Pipeline!$F$20,1)))+Pipeline!$T$21*Pipeline!$D$21*MIN(1,MAX(0,(12-Pipeline!$E$21+1)/MAX(Pipeline!$F$21,1)))+Pipeline!$T$22*Pipeline!$D$22*MIN(1,MAX(0,(12-Pipeline!$E$22+1)/MAX(Pipeline!$F$22,1))))/Hipótesis!$F$17</f>
        <v>3437.42602040816</v>
      </c>
      <c r="O17" s="110" t="n">
        <f aca="false">(Pipeline!$T$16*Pipeline!$D$16*MIN(1,MAX(0,(13-Pipeline!$E$16+1)/MAX(Pipeline!$F$16,1)))+Pipeline!$T$17*Pipeline!$D$17*MIN(1,MAX(0,(13-Pipeline!$E$17+1)/MAX(Pipeline!$F$17,1)))+Pipeline!$T$18*Pipeline!$D$18*MIN(1,MAX(0,(13-Pipeline!$E$18+1)/MAX(Pipeline!$F$18,1)))+Pipeline!$T$19*Pipeline!$D$19*MIN(1,MAX(0,(13-Pipeline!$E$19+1)/MAX(Pipeline!$F$19,1)))+Pipeline!$T$20*Pipeline!$D$20*MIN(1,MAX(0,(13-Pipeline!$E$20+1)/MAX(Pipeline!$F$20,1)))+Pipeline!$T$21*Pipeline!$D$21*MIN(1,MAX(0,(13-Pipeline!$E$21+1)/MAX(Pipeline!$F$21,1)))+Pipeline!$T$22*Pipeline!$D$22*MIN(1,MAX(0,(13-Pipeline!$E$22+1)/MAX(Pipeline!$F$22,1))))/Hipótesis!$F$17</f>
        <v>3869.2274909964</v>
      </c>
      <c r="P17" s="110" t="n">
        <f aca="false">(Pipeline!$T$16*Pipeline!$D$16*MIN(1,MAX(0,(14-Pipeline!$E$16+1)/MAX(Pipeline!$F$16,1)))+Pipeline!$T$17*Pipeline!$D$17*MIN(1,MAX(0,(14-Pipeline!$E$17+1)/MAX(Pipeline!$F$17,1)))+Pipeline!$T$18*Pipeline!$D$18*MIN(1,MAX(0,(14-Pipeline!$E$18+1)/MAX(Pipeline!$F$18,1)))+Pipeline!$T$19*Pipeline!$D$19*MIN(1,MAX(0,(14-Pipeline!$E$19+1)/MAX(Pipeline!$F$19,1)))+Pipeline!$T$20*Pipeline!$D$20*MIN(1,MAX(0,(14-Pipeline!$E$20+1)/MAX(Pipeline!$F$20,1)))+Pipeline!$T$21*Pipeline!$D$21*MIN(1,MAX(0,(14-Pipeline!$E$21+1)/MAX(Pipeline!$F$21,1)))+Pipeline!$T$22*Pipeline!$D$22*MIN(1,MAX(0,(14-Pipeline!$E$22+1)/MAX(Pipeline!$F$22,1))))/Hipótesis!$F$17</f>
        <v>4227.46278511405</v>
      </c>
      <c r="Q17" s="110" t="n">
        <f aca="false">(Pipeline!$T$16*Pipeline!$D$16*MIN(1,MAX(0,(15-Pipeline!$E$16+1)/MAX(Pipeline!$F$16,1)))+Pipeline!$T$17*Pipeline!$D$17*MIN(1,MAX(0,(15-Pipeline!$E$17+1)/MAX(Pipeline!$F$17,1)))+Pipeline!$T$18*Pipeline!$D$18*MIN(1,MAX(0,(15-Pipeline!$E$18+1)/MAX(Pipeline!$F$18,1)))+Pipeline!$T$19*Pipeline!$D$19*MIN(1,MAX(0,(15-Pipeline!$E$19+1)/MAX(Pipeline!$F$19,1)))+Pipeline!$T$20*Pipeline!$D$20*MIN(1,MAX(0,(15-Pipeline!$E$20+1)/MAX(Pipeline!$F$20,1)))+Pipeline!$T$21*Pipeline!$D$21*MIN(1,MAX(0,(15-Pipeline!$E$21+1)/MAX(Pipeline!$F$21,1)))+Pipeline!$T$22*Pipeline!$D$22*MIN(1,MAX(0,(15-Pipeline!$E$22+1)/MAX(Pipeline!$F$22,1))))/Hipótesis!$F$17</f>
        <v>4585.69807923169</v>
      </c>
      <c r="R17" s="110" t="n">
        <f aca="false">(Pipeline!$T$16*Pipeline!$D$16*MIN(1,MAX(0,(16-Pipeline!$E$16+1)/MAX(Pipeline!$F$16,1)))+Pipeline!$T$17*Pipeline!$D$17*MIN(1,MAX(0,(16-Pipeline!$E$17+1)/MAX(Pipeline!$F$17,1)))+Pipeline!$T$18*Pipeline!$D$18*MIN(1,MAX(0,(16-Pipeline!$E$18+1)/MAX(Pipeline!$F$18,1)))+Pipeline!$T$19*Pipeline!$D$19*MIN(1,MAX(0,(16-Pipeline!$E$19+1)/MAX(Pipeline!$F$19,1)))+Pipeline!$T$20*Pipeline!$D$20*MIN(1,MAX(0,(16-Pipeline!$E$20+1)/MAX(Pipeline!$F$20,1)))+Pipeline!$T$21*Pipeline!$D$21*MIN(1,MAX(0,(16-Pipeline!$E$21+1)/MAX(Pipeline!$F$21,1)))+Pipeline!$T$22*Pipeline!$D$22*MIN(1,MAX(0,(16-Pipeline!$E$22+1)/MAX(Pipeline!$F$22,1))))/Hipótesis!$F$17</f>
        <v>4943.93337334934</v>
      </c>
      <c r="S17" s="110" t="n">
        <f aca="false">(Pipeline!$T$16*Pipeline!$D$16*MIN(1,MAX(0,(17-Pipeline!$E$16+1)/MAX(Pipeline!$F$16,1)))+Pipeline!$T$17*Pipeline!$D$17*MIN(1,MAX(0,(17-Pipeline!$E$17+1)/MAX(Pipeline!$F$17,1)))+Pipeline!$T$18*Pipeline!$D$18*MIN(1,MAX(0,(17-Pipeline!$E$18+1)/MAX(Pipeline!$F$18,1)))+Pipeline!$T$19*Pipeline!$D$19*MIN(1,MAX(0,(17-Pipeline!$E$19+1)/MAX(Pipeline!$F$19,1)))+Pipeline!$T$20*Pipeline!$D$20*MIN(1,MAX(0,(17-Pipeline!$E$20+1)/MAX(Pipeline!$F$20,1)))+Pipeline!$T$21*Pipeline!$D$21*MIN(1,MAX(0,(17-Pipeline!$E$21+1)/MAX(Pipeline!$F$21,1)))+Pipeline!$T$22*Pipeline!$D$22*MIN(1,MAX(0,(17-Pipeline!$E$22+1)/MAX(Pipeline!$F$22,1))))/Hipótesis!$F$17</f>
        <v>5302.16866746699</v>
      </c>
      <c r="T17" s="110" t="n">
        <f aca="false">(Pipeline!$T$16*Pipeline!$D$16*MIN(1,MAX(0,(18-Pipeline!$E$16+1)/MAX(Pipeline!$F$16,1)))+Pipeline!$T$17*Pipeline!$D$17*MIN(1,MAX(0,(18-Pipeline!$E$17+1)/MAX(Pipeline!$F$17,1)))+Pipeline!$T$18*Pipeline!$D$18*MIN(1,MAX(0,(18-Pipeline!$E$18+1)/MAX(Pipeline!$F$18,1)))+Pipeline!$T$19*Pipeline!$D$19*MIN(1,MAX(0,(18-Pipeline!$E$19+1)/MAX(Pipeline!$F$19,1)))+Pipeline!$T$20*Pipeline!$D$20*MIN(1,MAX(0,(18-Pipeline!$E$20+1)/MAX(Pipeline!$F$20,1)))+Pipeline!$T$21*Pipeline!$D$21*MIN(1,MAX(0,(18-Pipeline!$E$21+1)/MAX(Pipeline!$F$21,1)))+Pipeline!$T$22*Pipeline!$D$22*MIN(1,MAX(0,(18-Pipeline!$E$22+1)/MAX(Pipeline!$F$22,1))))/Hipótesis!$F$17</f>
        <v>5660.40396158463</v>
      </c>
      <c r="U17" s="110" t="n">
        <f aca="false">(Pipeline!$T$16*Pipeline!$D$16*MIN(1,MAX(0,(19-Pipeline!$E$16+1)/MAX(Pipeline!$F$16,1)))+Pipeline!$T$17*Pipeline!$D$17*MIN(1,MAX(0,(19-Pipeline!$E$17+1)/MAX(Pipeline!$F$17,1)))+Pipeline!$T$18*Pipeline!$D$18*MIN(1,MAX(0,(19-Pipeline!$E$18+1)/MAX(Pipeline!$F$18,1)))+Pipeline!$T$19*Pipeline!$D$19*MIN(1,MAX(0,(19-Pipeline!$E$19+1)/MAX(Pipeline!$F$19,1)))+Pipeline!$T$20*Pipeline!$D$20*MIN(1,MAX(0,(19-Pipeline!$E$20+1)/MAX(Pipeline!$F$20,1)))+Pipeline!$T$21*Pipeline!$D$21*MIN(1,MAX(0,(19-Pipeline!$E$21+1)/MAX(Pipeline!$F$21,1)))+Pipeline!$T$22*Pipeline!$D$22*MIN(1,MAX(0,(19-Pipeline!$E$22+1)/MAX(Pipeline!$F$22,1))))/Hipótesis!$F$17</f>
        <v>6018.63925570228</v>
      </c>
      <c r="V17" s="110" t="n">
        <f aca="false">(Pipeline!$T$16*Pipeline!$D$16*MIN(1,MAX(0,(20-Pipeline!$E$16+1)/MAX(Pipeline!$F$16,1)))+Pipeline!$T$17*Pipeline!$D$17*MIN(1,MAX(0,(20-Pipeline!$E$17+1)/MAX(Pipeline!$F$17,1)))+Pipeline!$T$18*Pipeline!$D$18*MIN(1,MAX(0,(20-Pipeline!$E$18+1)/MAX(Pipeline!$F$18,1)))+Pipeline!$T$19*Pipeline!$D$19*MIN(1,MAX(0,(20-Pipeline!$E$19+1)/MAX(Pipeline!$F$19,1)))+Pipeline!$T$20*Pipeline!$D$20*MIN(1,MAX(0,(20-Pipeline!$E$20+1)/MAX(Pipeline!$F$20,1)))+Pipeline!$T$21*Pipeline!$D$21*MIN(1,MAX(0,(20-Pipeline!$E$21+1)/MAX(Pipeline!$F$21,1)))+Pipeline!$T$22*Pipeline!$D$22*MIN(1,MAX(0,(20-Pipeline!$E$22+1)/MAX(Pipeline!$F$22,1))))/Hipótesis!$F$17</f>
        <v>6376.87454981993</v>
      </c>
      <c r="W17" s="110" t="n">
        <f aca="false">(Pipeline!$T$16*Pipeline!$D$16*MIN(1,MAX(0,(21-Pipeline!$E$16+1)/MAX(Pipeline!$F$16,1)))+Pipeline!$T$17*Pipeline!$D$17*MIN(1,MAX(0,(21-Pipeline!$E$17+1)/MAX(Pipeline!$F$17,1)))+Pipeline!$T$18*Pipeline!$D$18*MIN(1,MAX(0,(21-Pipeline!$E$18+1)/MAX(Pipeline!$F$18,1)))+Pipeline!$T$19*Pipeline!$D$19*MIN(1,MAX(0,(21-Pipeline!$E$19+1)/MAX(Pipeline!$F$19,1)))+Pipeline!$T$20*Pipeline!$D$20*MIN(1,MAX(0,(21-Pipeline!$E$20+1)/MAX(Pipeline!$F$20,1)))+Pipeline!$T$21*Pipeline!$D$21*MIN(1,MAX(0,(21-Pipeline!$E$21+1)/MAX(Pipeline!$F$21,1)))+Pipeline!$T$22*Pipeline!$D$22*MIN(1,MAX(0,(21-Pipeline!$E$22+1)/MAX(Pipeline!$F$22,1))))/Hipótesis!$F$17</f>
        <v>6735.10984393758</v>
      </c>
      <c r="X17" s="110" t="n">
        <f aca="false">(Pipeline!$T$16*Pipeline!$D$16*MIN(1,MAX(0,(22-Pipeline!$E$16+1)/MAX(Pipeline!$F$16,1)))+Pipeline!$T$17*Pipeline!$D$17*MIN(1,MAX(0,(22-Pipeline!$E$17+1)/MAX(Pipeline!$F$17,1)))+Pipeline!$T$18*Pipeline!$D$18*MIN(1,MAX(0,(22-Pipeline!$E$18+1)/MAX(Pipeline!$F$18,1)))+Pipeline!$T$19*Pipeline!$D$19*MIN(1,MAX(0,(22-Pipeline!$E$19+1)/MAX(Pipeline!$F$19,1)))+Pipeline!$T$20*Pipeline!$D$20*MIN(1,MAX(0,(22-Pipeline!$E$20+1)/MAX(Pipeline!$F$20,1)))+Pipeline!$T$21*Pipeline!$D$21*MIN(1,MAX(0,(22-Pipeline!$E$21+1)/MAX(Pipeline!$F$21,1)))+Pipeline!$T$22*Pipeline!$D$22*MIN(1,MAX(0,(22-Pipeline!$E$22+1)/MAX(Pipeline!$F$22,1))))/Hipótesis!$F$17</f>
        <v>6837.46278511405</v>
      </c>
      <c r="Y17" s="110" t="n">
        <f aca="false">(Pipeline!$T$16*Pipeline!$D$16*MIN(1,MAX(0,(23-Pipeline!$E$16+1)/MAX(Pipeline!$F$16,1)))+Pipeline!$T$17*Pipeline!$D$17*MIN(1,MAX(0,(23-Pipeline!$E$17+1)/MAX(Pipeline!$F$17,1)))+Pipeline!$T$18*Pipeline!$D$18*MIN(1,MAX(0,(23-Pipeline!$E$18+1)/MAX(Pipeline!$F$18,1)))+Pipeline!$T$19*Pipeline!$D$19*MIN(1,MAX(0,(23-Pipeline!$E$19+1)/MAX(Pipeline!$F$19,1)))+Pipeline!$T$20*Pipeline!$D$20*MIN(1,MAX(0,(23-Pipeline!$E$20+1)/MAX(Pipeline!$F$20,1)))+Pipeline!$T$21*Pipeline!$D$21*MIN(1,MAX(0,(23-Pipeline!$E$21+1)/MAX(Pipeline!$F$21,1)))+Pipeline!$T$22*Pipeline!$D$22*MIN(1,MAX(0,(23-Pipeline!$E$22+1)/MAX(Pipeline!$F$22,1))))/Hipótesis!$F$17</f>
        <v>6939.81572629052</v>
      </c>
      <c r="Z17" s="110" t="n">
        <f aca="false">(Pipeline!$T$16*Pipeline!$D$16*MIN(1,MAX(0,(24-Pipeline!$E$16+1)/MAX(Pipeline!$F$16,1)))+Pipeline!$T$17*Pipeline!$D$17*MIN(1,MAX(0,(24-Pipeline!$E$17+1)/MAX(Pipeline!$F$17,1)))+Pipeline!$T$18*Pipeline!$D$18*MIN(1,MAX(0,(24-Pipeline!$E$18+1)/MAX(Pipeline!$F$18,1)))+Pipeline!$T$19*Pipeline!$D$19*MIN(1,MAX(0,(24-Pipeline!$E$19+1)/MAX(Pipeline!$F$19,1)))+Pipeline!$T$20*Pipeline!$D$20*MIN(1,MAX(0,(24-Pipeline!$E$20+1)/MAX(Pipeline!$F$20,1)))+Pipeline!$T$21*Pipeline!$D$21*MIN(1,MAX(0,(24-Pipeline!$E$21+1)/MAX(Pipeline!$F$21,1)))+Pipeline!$T$22*Pipeline!$D$22*MIN(1,MAX(0,(24-Pipeline!$E$22+1)/MAX(Pipeline!$F$22,1))))/Hipótesis!$F$17</f>
        <v>6939.81572629052</v>
      </c>
      <c r="AA17" s="110" t="n">
        <f aca="false">(Pipeline!$T$16*Pipeline!$D$16*MIN(1,MAX(0,(25-Pipeline!$E$16+1)/MAX(Pipeline!$F$16,1)))+Pipeline!$T$17*Pipeline!$D$17*MIN(1,MAX(0,(25-Pipeline!$E$17+1)/MAX(Pipeline!$F$17,1)))+Pipeline!$T$18*Pipeline!$D$18*MIN(1,MAX(0,(25-Pipeline!$E$18+1)/MAX(Pipeline!$F$18,1)))+Pipeline!$T$19*Pipeline!$D$19*MIN(1,MAX(0,(25-Pipeline!$E$19+1)/MAX(Pipeline!$F$19,1)))+Pipeline!$T$20*Pipeline!$D$20*MIN(1,MAX(0,(25-Pipeline!$E$20+1)/MAX(Pipeline!$F$20,1)))+Pipeline!$T$21*Pipeline!$D$21*MIN(1,MAX(0,(25-Pipeline!$E$21+1)/MAX(Pipeline!$F$21,1)))+Pipeline!$T$22*Pipeline!$D$22*MIN(1,MAX(0,(25-Pipeline!$E$22+1)/MAX(Pipeline!$F$22,1))))/Hipótesis!$F$17</f>
        <v>6939.81572629052</v>
      </c>
      <c r="AB17" s="110" t="n">
        <f aca="false">(Pipeline!$T$16*Pipeline!$D$16*MIN(1,MAX(0,(26-Pipeline!$E$16+1)/MAX(Pipeline!$F$16,1)))+Pipeline!$T$17*Pipeline!$D$17*MIN(1,MAX(0,(26-Pipeline!$E$17+1)/MAX(Pipeline!$F$17,1)))+Pipeline!$T$18*Pipeline!$D$18*MIN(1,MAX(0,(26-Pipeline!$E$18+1)/MAX(Pipeline!$F$18,1)))+Pipeline!$T$19*Pipeline!$D$19*MIN(1,MAX(0,(26-Pipeline!$E$19+1)/MAX(Pipeline!$F$19,1)))+Pipeline!$T$20*Pipeline!$D$20*MIN(1,MAX(0,(26-Pipeline!$E$20+1)/MAX(Pipeline!$F$20,1)))+Pipeline!$T$21*Pipeline!$D$21*MIN(1,MAX(0,(26-Pipeline!$E$21+1)/MAX(Pipeline!$F$21,1)))+Pipeline!$T$22*Pipeline!$D$22*MIN(1,MAX(0,(26-Pipeline!$E$22+1)/MAX(Pipeline!$F$22,1))))/Hipótesis!$F$17</f>
        <v>6939.81572629052</v>
      </c>
      <c r="AC17" s="110" t="n">
        <f aca="false">(Pipeline!$T$16*Pipeline!$D$16*MIN(1,MAX(0,(27-Pipeline!$E$16+1)/MAX(Pipeline!$F$16,1)))+Pipeline!$T$17*Pipeline!$D$17*MIN(1,MAX(0,(27-Pipeline!$E$17+1)/MAX(Pipeline!$F$17,1)))+Pipeline!$T$18*Pipeline!$D$18*MIN(1,MAX(0,(27-Pipeline!$E$18+1)/MAX(Pipeline!$F$18,1)))+Pipeline!$T$19*Pipeline!$D$19*MIN(1,MAX(0,(27-Pipeline!$E$19+1)/MAX(Pipeline!$F$19,1)))+Pipeline!$T$20*Pipeline!$D$20*MIN(1,MAX(0,(27-Pipeline!$E$20+1)/MAX(Pipeline!$F$20,1)))+Pipeline!$T$21*Pipeline!$D$21*MIN(1,MAX(0,(27-Pipeline!$E$21+1)/MAX(Pipeline!$F$21,1)))+Pipeline!$T$22*Pipeline!$D$22*MIN(1,MAX(0,(27-Pipeline!$E$22+1)/MAX(Pipeline!$F$22,1))))/Hipótesis!$F$17</f>
        <v>6939.81572629052</v>
      </c>
      <c r="AD17" s="110" t="n">
        <f aca="false">(Pipeline!$T$16*Pipeline!$D$16*MIN(1,MAX(0,(28-Pipeline!$E$16+1)/MAX(Pipeline!$F$16,1)))+Pipeline!$T$17*Pipeline!$D$17*MIN(1,MAX(0,(28-Pipeline!$E$17+1)/MAX(Pipeline!$F$17,1)))+Pipeline!$T$18*Pipeline!$D$18*MIN(1,MAX(0,(28-Pipeline!$E$18+1)/MAX(Pipeline!$F$18,1)))+Pipeline!$T$19*Pipeline!$D$19*MIN(1,MAX(0,(28-Pipeline!$E$19+1)/MAX(Pipeline!$F$19,1)))+Pipeline!$T$20*Pipeline!$D$20*MIN(1,MAX(0,(28-Pipeline!$E$20+1)/MAX(Pipeline!$F$20,1)))+Pipeline!$T$21*Pipeline!$D$21*MIN(1,MAX(0,(28-Pipeline!$E$21+1)/MAX(Pipeline!$F$21,1)))+Pipeline!$T$22*Pipeline!$D$22*MIN(1,MAX(0,(28-Pipeline!$E$22+1)/MAX(Pipeline!$F$22,1))))/Hipótesis!$F$17</f>
        <v>6939.81572629052</v>
      </c>
      <c r="AE17" s="110" t="n">
        <f aca="false">(Pipeline!$T$16*Pipeline!$D$16*MIN(1,MAX(0,(29-Pipeline!$E$16+1)/MAX(Pipeline!$F$16,1)))+Pipeline!$T$17*Pipeline!$D$17*MIN(1,MAX(0,(29-Pipeline!$E$17+1)/MAX(Pipeline!$F$17,1)))+Pipeline!$T$18*Pipeline!$D$18*MIN(1,MAX(0,(29-Pipeline!$E$18+1)/MAX(Pipeline!$F$18,1)))+Pipeline!$T$19*Pipeline!$D$19*MIN(1,MAX(0,(29-Pipeline!$E$19+1)/MAX(Pipeline!$F$19,1)))+Pipeline!$T$20*Pipeline!$D$20*MIN(1,MAX(0,(29-Pipeline!$E$20+1)/MAX(Pipeline!$F$20,1)))+Pipeline!$T$21*Pipeline!$D$21*MIN(1,MAX(0,(29-Pipeline!$E$21+1)/MAX(Pipeline!$F$21,1)))+Pipeline!$T$22*Pipeline!$D$22*MIN(1,MAX(0,(29-Pipeline!$E$22+1)/MAX(Pipeline!$F$22,1))))/Hipótesis!$F$17</f>
        <v>6939.81572629052</v>
      </c>
      <c r="AF17" s="110" t="n">
        <f aca="false">(Pipeline!$T$16*Pipeline!$D$16*MIN(1,MAX(0,(30-Pipeline!$E$16+1)/MAX(Pipeline!$F$16,1)))+Pipeline!$T$17*Pipeline!$D$17*MIN(1,MAX(0,(30-Pipeline!$E$17+1)/MAX(Pipeline!$F$17,1)))+Pipeline!$T$18*Pipeline!$D$18*MIN(1,MAX(0,(30-Pipeline!$E$18+1)/MAX(Pipeline!$F$18,1)))+Pipeline!$T$19*Pipeline!$D$19*MIN(1,MAX(0,(30-Pipeline!$E$19+1)/MAX(Pipeline!$F$19,1)))+Pipeline!$T$20*Pipeline!$D$20*MIN(1,MAX(0,(30-Pipeline!$E$20+1)/MAX(Pipeline!$F$20,1)))+Pipeline!$T$21*Pipeline!$D$21*MIN(1,MAX(0,(30-Pipeline!$E$21+1)/MAX(Pipeline!$F$21,1)))+Pipeline!$T$22*Pipeline!$D$22*MIN(1,MAX(0,(30-Pipeline!$E$22+1)/MAX(Pipeline!$F$22,1))))/Hipótesis!$F$17</f>
        <v>6939.81572629052</v>
      </c>
      <c r="AG17" s="110" t="n">
        <f aca="false">(Pipeline!$T$16*Pipeline!$D$16*MIN(1,MAX(0,(31-Pipeline!$E$16+1)/MAX(Pipeline!$F$16,1)))+Pipeline!$T$17*Pipeline!$D$17*MIN(1,MAX(0,(31-Pipeline!$E$17+1)/MAX(Pipeline!$F$17,1)))+Pipeline!$T$18*Pipeline!$D$18*MIN(1,MAX(0,(31-Pipeline!$E$18+1)/MAX(Pipeline!$F$18,1)))+Pipeline!$T$19*Pipeline!$D$19*MIN(1,MAX(0,(31-Pipeline!$E$19+1)/MAX(Pipeline!$F$19,1)))+Pipeline!$T$20*Pipeline!$D$20*MIN(1,MAX(0,(31-Pipeline!$E$20+1)/MAX(Pipeline!$F$20,1)))+Pipeline!$T$21*Pipeline!$D$21*MIN(1,MAX(0,(31-Pipeline!$E$21+1)/MAX(Pipeline!$F$21,1)))+Pipeline!$T$22*Pipeline!$D$22*MIN(1,MAX(0,(31-Pipeline!$E$22+1)/MAX(Pipeline!$F$22,1))))/Hipótesis!$F$17</f>
        <v>6939.81572629052</v>
      </c>
      <c r="AH17" s="110" t="n">
        <f aca="false">(Pipeline!$T$16*Pipeline!$D$16*MIN(1,MAX(0,(32-Pipeline!$E$16+1)/MAX(Pipeline!$F$16,1)))+Pipeline!$T$17*Pipeline!$D$17*MIN(1,MAX(0,(32-Pipeline!$E$17+1)/MAX(Pipeline!$F$17,1)))+Pipeline!$T$18*Pipeline!$D$18*MIN(1,MAX(0,(32-Pipeline!$E$18+1)/MAX(Pipeline!$F$18,1)))+Pipeline!$T$19*Pipeline!$D$19*MIN(1,MAX(0,(32-Pipeline!$E$19+1)/MAX(Pipeline!$F$19,1)))+Pipeline!$T$20*Pipeline!$D$20*MIN(1,MAX(0,(32-Pipeline!$E$20+1)/MAX(Pipeline!$F$20,1)))+Pipeline!$T$21*Pipeline!$D$21*MIN(1,MAX(0,(32-Pipeline!$E$21+1)/MAX(Pipeline!$F$21,1)))+Pipeline!$T$22*Pipeline!$D$22*MIN(1,MAX(0,(32-Pipeline!$E$22+1)/MAX(Pipeline!$F$22,1))))/Hipótesis!$F$17</f>
        <v>6939.81572629052</v>
      </c>
      <c r="AI17" s="110" t="n">
        <f aca="false">(Pipeline!$T$16*Pipeline!$D$16*MIN(1,MAX(0,(33-Pipeline!$E$16+1)/MAX(Pipeline!$F$16,1)))+Pipeline!$T$17*Pipeline!$D$17*MIN(1,MAX(0,(33-Pipeline!$E$17+1)/MAX(Pipeline!$F$17,1)))+Pipeline!$T$18*Pipeline!$D$18*MIN(1,MAX(0,(33-Pipeline!$E$18+1)/MAX(Pipeline!$F$18,1)))+Pipeline!$T$19*Pipeline!$D$19*MIN(1,MAX(0,(33-Pipeline!$E$19+1)/MAX(Pipeline!$F$19,1)))+Pipeline!$T$20*Pipeline!$D$20*MIN(1,MAX(0,(33-Pipeline!$E$20+1)/MAX(Pipeline!$F$20,1)))+Pipeline!$T$21*Pipeline!$D$21*MIN(1,MAX(0,(33-Pipeline!$E$21+1)/MAX(Pipeline!$F$21,1)))+Pipeline!$T$22*Pipeline!$D$22*MIN(1,MAX(0,(33-Pipeline!$E$22+1)/MAX(Pipeline!$F$22,1))))/Hipótesis!$F$17</f>
        <v>6939.81572629052</v>
      </c>
      <c r="AJ17" s="110" t="n">
        <f aca="false">(Pipeline!$T$16*Pipeline!$D$16*MIN(1,MAX(0,(34-Pipeline!$E$16+1)/MAX(Pipeline!$F$16,1)))+Pipeline!$T$17*Pipeline!$D$17*MIN(1,MAX(0,(34-Pipeline!$E$17+1)/MAX(Pipeline!$F$17,1)))+Pipeline!$T$18*Pipeline!$D$18*MIN(1,MAX(0,(34-Pipeline!$E$18+1)/MAX(Pipeline!$F$18,1)))+Pipeline!$T$19*Pipeline!$D$19*MIN(1,MAX(0,(34-Pipeline!$E$19+1)/MAX(Pipeline!$F$19,1)))+Pipeline!$T$20*Pipeline!$D$20*MIN(1,MAX(0,(34-Pipeline!$E$20+1)/MAX(Pipeline!$F$20,1)))+Pipeline!$T$21*Pipeline!$D$21*MIN(1,MAX(0,(34-Pipeline!$E$21+1)/MAX(Pipeline!$F$21,1)))+Pipeline!$T$22*Pipeline!$D$22*MIN(1,MAX(0,(34-Pipeline!$E$22+1)/MAX(Pipeline!$F$22,1))))/Hipótesis!$F$17</f>
        <v>6939.81572629052</v>
      </c>
      <c r="AK17" s="110" t="n">
        <f aca="false">(Pipeline!$T$16*Pipeline!$D$16*MIN(1,MAX(0,(35-Pipeline!$E$16+1)/MAX(Pipeline!$F$16,1)))+Pipeline!$T$17*Pipeline!$D$17*MIN(1,MAX(0,(35-Pipeline!$E$17+1)/MAX(Pipeline!$F$17,1)))+Pipeline!$T$18*Pipeline!$D$18*MIN(1,MAX(0,(35-Pipeline!$E$18+1)/MAX(Pipeline!$F$18,1)))+Pipeline!$T$19*Pipeline!$D$19*MIN(1,MAX(0,(35-Pipeline!$E$19+1)/MAX(Pipeline!$F$19,1)))+Pipeline!$T$20*Pipeline!$D$20*MIN(1,MAX(0,(35-Pipeline!$E$20+1)/MAX(Pipeline!$F$20,1)))+Pipeline!$T$21*Pipeline!$D$21*MIN(1,MAX(0,(35-Pipeline!$E$21+1)/MAX(Pipeline!$F$21,1)))+Pipeline!$T$22*Pipeline!$D$22*MIN(1,MAX(0,(35-Pipeline!$E$22+1)/MAX(Pipeline!$F$22,1))))/Hipótesis!$F$17</f>
        <v>6939.81572629052</v>
      </c>
      <c r="AL17" s="110" t="n">
        <f aca="false">(Pipeline!$T$16*Pipeline!$D$16*MIN(1,MAX(0,(36-Pipeline!$E$16+1)/MAX(Pipeline!$F$16,1)))+Pipeline!$T$17*Pipeline!$D$17*MIN(1,MAX(0,(36-Pipeline!$E$17+1)/MAX(Pipeline!$F$17,1)))+Pipeline!$T$18*Pipeline!$D$18*MIN(1,MAX(0,(36-Pipeline!$E$18+1)/MAX(Pipeline!$F$18,1)))+Pipeline!$T$19*Pipeline!$D$19*MIN(1,MAX(0,(36-Pipeline!$E$19+1)/MAX(Pipeline!$F$19,1)))+Pipeline!$T$20*Pipeline!$D$20*MIN(1,MAX(0,(36-Pipeline!$E$20+1)/MAX(Pipeline!$F$20,1)))+Pipeline!$T$21*Pipeline!$D$21*MIN(1,MAX(0,(36-Pipeline!$E$21+1)/MAX(Pipeline!$F$21,1)))+Pipeline!$T$22*Pipeline!$D$22*MIN(1,MAX(0,(36-Pipeline!$E$22+1)/MAX(Pipeline!$F$22,1))))/Hipótesis!$F$17</f>
        <v>6939.81572629052</v>
      </c>
      <c r="AM17" s="110" t="n">
        <f aca="false">(Pipeline!$T$16*Pipeline!$D$16*MIN(1,MAX(0,(37-Pipeline!$E$16+1)/MAX(Pipeline!$F$16,1)))+Pipeline!$T$17*Pipeline!$D$17*MIN(1,MAX(0,(37-Pipeline!$E$17+1)/MAX(Pipeline!$F$17,1)))+Pipeline!$T$18*Pipeline!$D$18*MIN(1,MAX(0,(37-Pipeline!$E$18+1)/MAX(Pipeline!$F$18,1)))+Pipeline!$T$19*Pipeline!$D$19*MIN(1,MAX(0,(37-Pipeline!$E$19+1)/MAX(Pipeline!$F$19,1)))+Pipeline!$T$20*Pipeline!$D$20*MIN(1,MAX(0,(37-Pipeline!$E$20+1)/MAX(Pipeline!$F$20,1)))+Pipeline!$T$21*Pipeline!$D$21*MIN(1,MAX(0,(37-Pipeline!$E$21+1)/MAX(Pipeline!$F$21,1)))+Pipeline!$T$22*Pipeline!$D$22*MIN(1,MAX(0,(37-Pipeline!$E$22+1)/MAX(Pipeline!$F$22,1))))/Hipótesis!$F$17</f>
        <v>6939.81572629052</v>
      </c>
      <c r="AN17" s="110" t="n">
        <f aca="false">(Pipeline!$T$16*Pipeline!$D$16*MIN(1,MAX(0,(38-Pipeline!$E$16+1)/MAX(Pipeline!$F$16,1)))+Pipeline!$T$17*Pipeline!$D$17*MIN(1,MAX(0,(38-Pipeline!$E$17+1)/MAX(Pipeline!$F$17,1)))+Pipeline!$T$18*Pipeline!$D$18*MIN(1,MAX(0,(38-Pipeline!$E$18+1)/MAX(Pipeline!$F$18,1)))+Pipeline!$T$19*Pipeline!$D$19*MIN(1,MAX(0,(38-Pipeline!$E$19+1)/MAX(Pipeline!$F$19,1)))+Pipeline!$T$20*Pipeline!$D$20*MIN(1,MAX(0,(38-Pipeline!$E$20+1)/MAX(Pipeline!$F$20,1)))+Pipeline!$T$21*Pipeline!$D$21*MIN(1,MAX(0,(38-Pipeline!$E$21+1)/MAX(Pipeline!$F$21,1)))+Pipeline!$T$22*Pipeline!$D$22*MIN(1,MAX(0,(38-Pipeline!$E$22+1)/MAX(Pipeline!$F$22,1))))/Hipótesis!$F$17</f>
        <v>6939.81572629052</v>
      </c>
      <c r="AO17" s="110" t="n">
        <f aca="false">(Pipeline!$T$16*Pipeline!$D$16*MIN(1,MAX(0,(39-Pipeline!$E$16+1)/MAX(Pipeline!$F$16,1)))+Pipeline!$T$17*Pipeline!$D$17*MIN(1,MAX(0,(39-Pipeline!$E$17+1)/MAX(Pipeline!$F$17,1)))+Pipeline!$T$18*Pipeline!$D$18*MIN(1,MAX(0,(39-Pipeline!$E$18+1)/MAX(Pipeline!$F$18,1)))+Pipeline!$T$19*Pipeline!$D$19*MIN(1,MAX(0,(39-Pipeline!$E$19+1)/MAX(Pipeline!$F$19,1)))+Pipeline!$T$20*Pipeline!$D$20*MIN(1,MAX(0,(39-Pipeline!$E$20+1)/MAX(Pipeline!$F$20,1)))+Pipeline!$T$21*Pipeline!$D$21*MIN(1,MAX(0,(39-Pipeline!$E$21+1)/MAX(Pipeline!$F$21,1)))+Pipeline!$T$22*Pipeline!$D$22*MIN(1,MAX(0,(39-Pipeline!$E$22+1)/MAX(Pipeline!$F$22,1))))/Hipótesis!$F$17</f>
        <v>6939.81572629052</v>
      </c>
      <c r="AP17" s="110" t="n">
        <f aca="false">(Pipeline!$T$16*Pipeline!$D$16*MIN(1,MAX(0,(40-Pipeline!$E$16+1)/MAX(Pipeline!$F$16,1)))+Pipeline!$T$17*Pipeline!$D$17*MIN(1,MAX(0,(40-Pipeline!$E$17+1)/MAX(Pipeline!$F$17,1)))+Pipeline!$T$18*Pipeline!$D$18*MIN(1,MAX(0,(40-Pipeline!$E$18+1)/MAX(Pipeline!$F$18,1)))+Pipeline!$T$19*Pipeline!$D$19*MIN(1,MAX(0,(40-Pipeline!$E$19+1)/MAX(Pipeline!$F$19,1)))+Pipeline!$T$20*Pipeline!$D$20*MIN(1,MAX(0,(40-Pipeline!$E$20+1)/MAX(Pipeline!$F$20,1)))+Pipeline!$T$21*Pipeline!$D$21*MIN(1,MAX(0,(40-Pipeline!$E$21+1)/MAX(Pipeline!$F$21,1)))+Pipeline!$T$22*Pipeline!$D$22*MIN(1,MAX(0,(40-Pipeline!$E$22+1)/MAX(Pipeline!$F$22,1))))/Hipótesis!$F$17</f>
        <v>6939.81572629052</v>
      </c>
      <c r="AQ17" s="110" t="n">
        <f aca="false">(Pipeline!$T$16*Pipeline!$D$16*MIN(1,MAX(0,(41-Pipeline!$E$16+1)/MAX(Pipeline!$F$16,1)))+Pipeline!$T$17*Pipeline!$D$17*MIN(1,MAX(0,(41-Pipeline!$E$17+1)/MAX(Pipeline!$F$17,1)))+Pipeline!$T$18*Pipeline!$D$18*MIN(1,MAX(0,(41-Pipeline!$E$18+1)/MAX(Pipeline!$F$18,1)))+Pipeline!$T$19*Pipeline!$D$19*MIN(1,MAX(0,(41-Pipeline!$E$19+1)/MAX(Pipeline!$F$19,1)))+Pipeline!$T$20*Pipeline!$D$20*MIN(1,MAX(0,(41-Pipeline!$E$20+1)/MAX(Pipeline!$F$20,1)))+Pipeline!$T$21*Pipeline!$D$21*MIN(1,MAX(0,(41-Pipeline!$E$21+1)/MAX(Pipeline!$F$21,1)))+Pipeline!$T$22*Pipeline!$D$22*MIN(1,MAX(0,(41-Pipeline!$E$22+1)/MAX(Pipeline!$F$22,1))))/Hipótesis!$F$17</f>
        <v>6939.81572629052</v>
      </c>
      <c r="AR17" s="110" t="n">
        <f aca="false">(Pipeline!$T$16*Pipeline!$D$16*MIN(1,MAX(0,(42-Pipeline!$E$16+1)/MAX(Pipeline!$F$16,1)))+Pipeline!$T$17*Pipeline!$D$17*MIN(1,MAX(0,(42-Pipeline!$E$17+1)/MAX(Pipeline!$F$17,1)))+Pipeline!$T$18*Pipeline!$D$18*MIN(1,MAX(0,(42-Pipeline!$E$18+1)/MAX(Pipeline!$F$18,1)))+Pipeline!$T$19*Pipeline!$D$19*MIN(1,MAX(0,(42-Pipeline!$E$19+1)/MAX(Pipeline!$F$19,1)))+Pipeline!$T$20*Pipeline!$D$20*MIN(1,MAX(0,(42-Pipeline!$E$20+1)/MAX(Pipeline!$F$20,1)))+Pipeline!$T$21*Pipeline!$D$21*MIN(1,MAX(0,(42-Pipeline!$E$21+1)/MAX(Pipeline!$F$21,1)))+Pipeline!$T$22*Pipeline!$D$22*MIN(1,MAX(0,(42-Pipeline!$E$22+1)/MAX(Pipeline!$F$22,1))))/Hipótesis!$F$17</f>
        <v>6939.81572629052</v>
      </c>
      <c r="AS17" s="110" t="n">
        <f aca="false">(Pipeline!$T$16*Pipeline!$D$16*MIN(1,MAX(0,(43-Pipeline!$E$16+1)/MAX(Pipeline!$F$16,1)))+Pipeline!$T$17*Pipeline!$D$17*MIN(1,MAX(0,(43-Pipeline!$E$17+1)/MAX(Pipeline!$F$17,1)))+Pipeline!$T$18*Pipeline!$D$18*MIN(1,MAX(0,(43-Pipeline!$E$18+1)/MAX(Pipeline!$F$18,1)))+Pipeline!$T$19*Pipeline!$D$19*MIN(1,MAX(0,(43-Pipeline!$E$19+1)/MAX(Pipeline!$F$19,1)))+Pipeline!$T$20*Pipeline!$D$20*MIN(1,MAX(0,(43-Pipeline!$E$20+1)/MAX(Pipeline!$F$20,1)))+Pipeline!$T$21*Pipeline!$D$21*MIN(1,MAX(0,(43-Pipeline!$E$21+1)/MAX(Pipeline!$F$21,1)))+Pipeline!$T$22*Pipeline!$D$22*MIN(1,MAX(0,(43-Pipeline!$E$22+1)/MAX(Pipeline!$F$22,1))))/Hipótesis!$F$17</f>
        <v>6939.81572629052</v>
      </c>
      <c r="AT17" s="110" t="n">
        <f aca="false">(Pipeline!$T$16*Pipeline!$D$16*MIN(1,MAX(0,(44-Pipeline!$E$16+1)/MAX(Pipeline!$F$16,1)))+Pipeline!$T$17*Pipeline!$D$17*MIN(1,MAX(0,(44-Pipeline!$E$17+1)/MAX(Pipeline!$F$17,1)))+Pipeline!$T$18*Pipeline!$D$18*MIN(1,MAX(0,(44-Pipeline!$E$18+1)/MAX(Pipeline!$F$18,1)))+Pipeline!$T$19*Pipeline!$D$19*MIN(1,MAX(0,(44-Pipeline!$E$19+1)/MAX(Pipeline!$F$19,1)))+Pipeline!$T$20*Pipeline!$D$20*MIN(1,MAX(0,(44-Pipeline!$E$20+1)/MAX(Pipeline!$F$20,1)))+Pipeline!$T$21*Pipeline!$D$21*MIN(1,MAX(0,(44-Pipeline!$E$21+1)/MAX(Pipeline!$F$21,1)))+Pipeline!$T$22*Pipeline!$D$22*MIN(1,MAX(0,(44-Pipeline!$E$22+1)/MAX(Pipeline!$F$22,1))))/Hipótesis!$F$17</f>
        <v>6939.81572629052</v>
      </c>
      <c r="AU17" s="110" t="n">
        <f aca="false">(Pipeline!$T$16*Pipeline!$D$16*MIN(1,MAX(0,(45-Pipeline!$E$16+1)/MAX(Pipeline!$F$16,1)))+Pipeline!$T$17*Pipeline!$D$17*MIN(1,MAX(0,(45-Pipeline!$E$17+1)/MAX(Pipeline!$F$17,1)))+Pipeline!$T$18*Pipeline!$D$18*MIN(1,MAX(0,(45-Pipeline!$E$18+1)/MAX(Pipeline!$F$18,1)))+Pipeline!$T$19*Pipeline!$D$19*MIN(1,MAX(0,(45-Pipeline!$E$19+1)/MAX(Pipeline!$F$19,1)))+Pipeline!$T$20*Pipeline!$D$20*MIN(1,MAX(0,(45-Pipeline!$E$20+1)/MAX(Pipeline!$F$20,1)))+Pipeline!$T$21*Pipeline!$D$21*MIN(1,MAX(0,(45-Pipeline!$E$21+1)/MAX(Pipeline!$F$21,1)))+Pipeline!$T$22*Pipeline!$D$22*MIN(1,MAX(0,(45-Pipeline!$E$22+1)/MAX(Pipeline!$F$22,1))))/Hipótesis!$F$17</f>
        <v>6939.81572629052</v>
      </c>
      <c r="AV17" s="110" t="n">
        <f aca="false">(Pipeline!$T$16*Pipeline!$D$16*MIN(1,MAX(0,(46-Pipeline!$E$16+1)/MAX(Pipeline!$F$16,1)))+Pipeline!$T$17*Pipeline!$D$17*MIN(1,MAX(0,(46-Pipeline!$E$17+1)/MAX(Pipeline!$F$17,1)))+Pipeline!$T$18*Pipeline!$D$18*MIN(1,MAX(0,(46-Pipeline!$E$18+1)/MAX(Pipeline!$F$18,1)))+Pipeline!$T$19*Pipeline!$D$19*MIN(1,MAX(0,(46-Pipeline!$E$19+1)/MAX(Pipeline!$F$19,1)))+Pipeline!$T$20*Pipeline!$D$20*MIN(1,MAX(0,(46-Pipeline!$E$20+1)/MAX(Pipeline!$F$20,1)))+Pipeline!$T$21*Pipeline!$D$21*MIN(1,MAX(0,(46-Pipeline!$E$21+1)/MAX(Pipeline!$F$21,1)))+Pipeline!$T$22*Pipeline!$D$22*MIN(1,MAX(0,(46-Pipeline!$E$22+1)/MAX(Pipeline!$F$22,1))))/Hipótesis!$F$17</f>
        <v>6939.81572629052</v>
      </c>
      <c r="AW17" s="110" t="n">
        <f aca="false">(Pipeline!$T$16*Pipeline!$D$16*MIN(1,MAX(0,(47-Pipeline!$E$16+1)/MAX(Pipeline!$F$16,1)))+Pipeline!$T$17*Pipeline!$D$17*MIN(1,MAX(0,(47-Pipeline!$E$17+1)/MAX(Pipeline!$F$17,1)))+Pipeline!$T$18*Pipeline!$D$18*MIN(1,MAX(0,(47-Pipeline!$E$18+1)/MAX(Pipeline!$F$18,1)))+Pipeline!$T$19*Pipeline!$D$19*MIN(1,MAX(0,(47-Pipeline!$E$19+1)/MAX(Pipeline!$F$19,1)))+Pipeline!$T$20*Pipeline!$D$20*MIN(1,MAX(0,(47-Pipeline!$E$20+1)/MAX(Pipeline!$F$20,1)))+Pipeline!$T$21*Pipeline!$D$21*MIN(1,MAX(0,(47-Pipeline!$E$21+1)/MAX(Pipeline!$F$21,1)))+Pipeline!$T$22*Pipeline!$D$22*MIN(1,MAX(0,(47-Pipeline!$E$22+1)/MAX(Pipeline!$F$22,1))))/Hipótesis!$F$17</f>
        <v>6939.81572629052</v>
      </c>
      <c r="AX17" s="110" t="n">
        <f aca="false">(Pipeline!$T$16*Pipeline!$D$16*MIN(1,MAX(0,(48-Pipeline!$E$16+1)/MAX(Pipeline!$F$16,1)))+Pipeline!$T$17*Pipeline!$D$17*MIN(1,MAX(0,(48-Pipeline!$E$17+1)/MAX(Pipeline!$F$17,1)))+Pipeline!$T$18*Pipeline!$D$18*MIN(1,MAX(0,(48-Pipeline!$E$18+1)/MAX(Pipeline!$F$18,1)))+Pipeline!$T$19*Pipeline!$D$19*MIN(1,MAX(0,(48-Pipeline!$E$19+1)/MAX(Pipeline!$F$19,1)))+Pipeline!$T$20*Pipeline!$D$20*MIN(1,MAX(0,(48-Pipeline!$E$20+1)/MAX(Pipeline!$F$20,1)))+Pipeline!$T$21*Pipeline!$D$21*MIN(1,MAX(0,(48-Pipeline!$E$21+1)/MAX(Pipeline!$F$21,1)))+Pipeline!$T$22*Pipeline!$D$22*MIN(1,MAX(0,(48-Pipeline!$E$22+1)/MAX(Pipeline!$F$22,1))))/Hipótesis!$F$17</f>
        <v>6939.81572629052</v>
      </c>
      <c r="AY17" s="110" t="n">
        <f aca="false">(Pipeline!$T$16*Pipeline!$D$16*MIN(1,MAX(0,(49-Pipeline!$E$16+1)/MAX(Pipeline!$F$16,1)))+Pipeline!$T$17*Pipeline!$D$17*MIN(1,MAX(0,(49-Pipeline!$E$17+1)/MAX(Pipeline!$F$17,1)))+Pipeline!$T$18*Pipeline!$D$18*MIN(1,MAX(0,(49-Pipeline!$E$18+1)/MAX(Pipeline!$F$18,1)))+Pipeline!$T$19*Pipeline!$D$19*MIN(1,MAX(0,(49-Pipeline!$E$19+1)/MAX(Pipeline!$F$19,1)))+Pipeline!$T$20*Pipeline!$D$20*MIN(1,MAX(0,(49-Pipeline!$E$20+1)/MAX(Pipeline!$F$20,1)))+Pipeline!$T$21*Pipeline!$D$21*MIN(1,MAX(0,(49-Pipeline!$E$21+1)/MAX(Pipeline!$F$21,1)))+Pipeline!$T$22*Pipeline!$D$22*MIN(1,MAX(0,(49-Pipeline!$E$22+1)/MAX(Pipeline!$F$22,1))))/Hipótesis!$F$17</f>
        <v>6939.81572629052</v>
      </c>
      <c r="AZ17" s="110" t="n">
        <f aca="false">(Pipeline!$T$16*Pipeline!$D$16*MIN(1,MAX(0,(50-Pipeline!$E$16+1)/MAX(Pipeline!$F$16,1)))+Pipeline!$T$17*Pipeline!$D$17*MIN(1,MAX(0,(50-Pipeline!$E$17+1)/MAX(Pipeline!$F$17,1)))+Pipeline!$T$18*Pipeline!$D$18*MIN(1,MAX(0,(50-Pipeline!$E$18+1)/MAX(Pipeline!$F$18,1)))+Pipeline!$T$19*Pipeline!$D$19*MIN(1,MAX(0,(50-Pipeline!$E$19+1)/MAX(Pipeline!$F$19,1)))+Pipeline!$T$20*Pipeline!$D$20*MIN(1,MAX(0,(50-Pipeline!$E$20+1)/MAX(Pipeline!$F$20,1)))+Pipeline!$T$21*Pipeline!$D$21*MIN(1,MAX(0,(50-Pipeline!$E$21+1)/MAX(Pipeline!$F$21,1)))+Pipeline!$T$22*Pipeline!$D$22*MIN(1,MAX(0,(50-Pipeline!$E$22+1)/MAX(Pipeline!$F$22,1))))/Hipótesis!$F$17</f>
        <v>6939.81572629052</v>
      </c>
      <c r="BA17" s="110" t="n">
        <f aca="false">(Pipeline!$T$16*Pipeline!$D$16*MIN(1,MAX(0,(51-Pipeline!$E$16+1)/MAX(Pipeline!$F$16,1)))+Pipeline!$T$17*Pipeline!$D$17*MIN(1,MAX(0,(51-Pipeline!$E$17+1)/MAX(Pipeline!$F$17,1)))+Pipeline!$T$18*Pipeline!$D$18*MIN(1,MAX(0,(51-Pipeline!$E$18+1)/MAX(Pipeline!$F$18,1)))+Pipeline!$T$19*Pipeline!$D$19*MIN(1,MAX(0,(51-Pipeline!$E$19+1)/MAX(Pipeline!$F$19,1)))+Pipeline!$T$20*Pipeline!$D$20*MIN(1,MAX(0,(51-Pipeline!$E$20+1)/MAX(Pipeline!$F$20,1)))+Pipeline!$T$21*Pipeline!$D$21*MIN(1,MAX(0,(51-Pipeline!$E$21+1)/MAX(Pipeline!$F$21,1)))+Pipeline!$T$22*Pipeline!$D$22*MIN(1,MAX(0,(51-Pipeline!$E$22+1)/MAX(Pipeline!$F$22,1))))/Hipótesis!$F$17</f>
        <v>6939.81572629052</v>
      </c>
      <c r="BB17" s="110" t="n">
        <f aca="false">(Pipeline!$T$16*Pipeline!$D$16*MIN(1,MAX(0,(52-Pipeline!$E$16+1)/MAX(Pipeline!$F$16,1)))+Pipeline!$T$17*Pipeline!$D$17*MIN(1,MAX(0,(52-Pipeline!$E$17+1)/MAX(Pipeline!$F$17,1)))+Pipeline!$T$18*Pipeline!$D$18*MIN(1,MAX(0,(52-Pipeline!$E$18+1)/MAX(Pipeline!$F$18,1)))+Pipeline!$T$19*Pipeline!$D$19*MIN(1,MAX(0,(52-Pipeline!$E$19+1)/MAX(Pipeline!$F$19,1)))+Pipeline!$T$20*Pipeline!$D$20*MIN(1,MAX(0,(52-Pipeline!$E$20+1)/MAX(Pipeline!$F$20,1)))+Pipeline!$T$21*Pipeline!$D$21*MIN(1,MAX(0,(52-Pipeline!$E$21+1)/MAX(Pipeline!$F$21,1)))+Pipeline!$T$22*Pipeline!$D$22*MIN(1,MAX(0,(52-Pipeline!$E$22+1)/MAX(Pipeline!$F$22,1))))/Hipótesis!$F$17</f>
        <v>6939.81572629052</v>
      </c>
      <c r="BC17" s="110" t="n">
        <f aca="false">(Pipeline!$T$16*Pipeline!$D$16*MIN(1,MAX(0,(53-Pipeline!$E$16+1)/MAX(Pipeline!$F$16,1)))+Pipeline!$T$17*Pipeline!$D$17*MIN(1,MAX(0,(53-Pipeline!$E$17+1)/MAX(Pipeline!$F$17,1)))+Pipeline!$T$18*Pipeline!$D$18*MIN(1,MAX(0,(53-Pipeline!$E$18+1)/MAX(Pipeline!$F$18,1)))+Pipeline!$T$19*Pipeline!$D$19*MIN(1,MAX(0,(53-Pipeline!$E$19+1)/MAX(Pipeline!$F$19,1)))+Pipeline!$T$20*Pipeline!$D$20*MIN(1,MAX(0,(53-Pipeline!$E$20+1)/MAX(Pipeline!$F$20,1)))+Pipeline!$T$21*Pipeline!$D$21*MIN(1,MAX(0,(53-Pipeline!$E$21+1)/MAX(Pipeline!$F$21,1)))+Pipeline!$T$22*Pipeline!$D$22*MIN(1,MAX(0,(53-Pipeline!$E$22+1)/MAX(Pipeline!$F$22,1))))/Hipótesis!$F$17</f>
        <v>6939.81572629052</v>
      </c>
      <c r="BD17" s="110" t="n">
        <f aca="false">(Pipeline!$T$16*Pipeline!$D$16*MIN(1,MAX(0,(54-Pipeline!$E$16+1)/MAX(Pipeline!$F$16,1)))+Pipeline!$T$17*Pipeline!$D$17*MIN(1,MAX(0,(54-Pipeline!$E$17+1)/MAX(Pipeline!$F$17,1)))+Pipeline!$T$18*Pipeline!$D$18*MIN(1,MAX(0,(54-Pipeline!$E$18+1)/MAX(Pipeline!$F$18,1)))+Pipeline!$T$19*Pipeline!$D$19*MIN(1,MAX(0,(54-Pipeline!$E$19+1)/MAX(Pipeline!$F$19,1)))+Pipeline!$T$20*Pipeline!$D$20*MIN(1,MAX(0,(54-Pipeline!$E$20+1)/MAX(Pipeline!$F$20,1)))+Pipeline!$T$21*Pipeline!$D$21*MIN(1,MAX(0,(54-Pipeline!$E$21+1)/MAX(Pipeline!$F$21,1)))+Pipeline!$T$22*Pipeline!$D$22*MIN(1,MAX(0,(54-Pipeline!$E$22+1)/MAX(Pipeline!$F$22,1))))/Hipótesis!$F$17</f>
        <v>6939.81572629052</v>
      </c>
      <c r="BE17" s="110" t="n">
        <f aca="false">(Pipeline!$T$16*Pipeline!$D$16*MIN(1,MAX(0,(55-Pipeline!$E$16+1)/MAX(Pipeline!$F$16,1)))+Pipeline!$T$17*Pipeline!$D$17*MIN(1,MAX(0,(55-Pipeline!$E$17+1)/MAX(Pipeline!$F$17,1)))+Pipeline!$T$18*Pipeline!$D$18*MIN(1,MAX(0,(55-Pipeline!$E$18+1)/MAX(Pipeline!$F$18,1)))+Pipeline!$T$19*Pipeline!$D$19*MIN(1,MAX(0,(55-Pipeline!$E$19+1)/MAX(Pipeline!$F$19,1)))+Pipeline!$T$20*Pipeline!$D$20*MIN(1,MAX(0,(55-Pipeline!$E$20+1)/MAX(Pipeline!$F$20,1)))+Pipeline!$T$21*Pipeline!$D$21*MIN(1,MAX(0,(55-Pipeline!$E$21+1)/MAX(Pipeline!$F$21,1)))+Pipeline!$T$22*Pipeline!$D$22*MIN(1,MAX(0,(55-Pipeline!$E$22+1)/MAX(Pipeline!$F$22,1))))/Hipótesis!$F$17</f>
        <v>6939.81572629052</v>
      </c>
      <c r="BF17" s="110" t="n">
        <f aca="false">(Pipeline!$T$16*Pipeline!$D$16*MIN(1,MAX(0,(56-Pipeline!$E$16+1)/MAX(Pipeline!$F$16,1)))+Pipeline!$T$17*Pipeline!$D$17*MIN(1,MAX(0,(56-Pipeline!$E$17+1)/MAX(Pipeline!$F$17,1)))+Pipeline!$T$18*Pipeline!$D$18*MIN(1,MAX(0,(56-Pipeline!$E$18+1)/MAX(Pipeline!$F$18,1)))+Pipeline!$T$19*Pipeline!$D$19*MIN(1,MAX(0,(56-Pipeline!$E$19+1)/MAX(Pipeline!$F$19,1)))+Pipeline!$T$20*Pipeline!$D$20*MIN(1,MAX(0,(56-Pipeline!$E$20+1)/MAX(Pipeline!$F$20,1)))+Pipeline!$T$21*Pipeline!$D$21*MIN(1,MAX(0,(56-Pipeline!$E$21+1)/MAX(Pipeline!$F$21,1)))+Pipeline!$T$22*Pipeline!$D$22*MIN(1,MAX(0,(56-Pipeline!$E$22+1)/MAX(Pipeline!$F$22,1))))/Hipótesis!$F$17</f>
        <v>6939.81572629052</v>
      </c>
      <c r="BG17" s="110" t="n">
        <f aca="false">(Pipeline!$T$16*Pipeline!$D$16*MIN(1,MAX(0,(57-Pipeline!$E$16+1)/MAX(Pipeline!$F$16,1)))+Pipeline!$T$17*Pipeline!$D$17*MIN(1,MAX(0,(57-Pipeline!$E$17+1)/MAX(Pipeline!$F$17,1)))+Pipeline!$T$18*Pipeline!$D$18*MIN(1,MAX(0,(57-Pipeline!$E$18+1)/MAX(Pipeline!$F$18,1)))+Pipeline!$T$19*Pipeline!$D$19*MIN(1,MAX(0,(57-Pipeline!$E$19+1)/MAX(Pipeline!$F$19,1)))+Pipeline!$T$20*Pipeline!$D$20*MIN(1,MAX(0,(57-Pipeline!$E$20+1)/MAX(Pipeline!$F$20,1)))+Pipeline!$T$21*Pipeline!$D$21*MIN(1,MAX(0,(57-Pipeline!$E$21+1)/MAX(Pipeline!$F$21,1)))+Pipeline!$T$22*Pipeline!$D$22*MIN(1,MAX(0,(57-Pipeline!$E$22+1)/MAX(Pipeline!$F$22,1))))/Hipótesis!$F$17</f>
        <v>6939.81572629052</v>
      </c>
      <c r="BH17" s="110" t="n">
        <f aca="false">(Pipeline!$T$16*Pipeline!$D$16*MIN(1,MAX(0,(58-Pipeline!$E$16+1)/MAX(Pipeline!$F$16,1)))+Pipeline!$T$17*Pipeline!$D$17*MIN(1,MAX(0,(58-Pipeline!$E$17+1)/MAX(Pipeline!$F$17,1)))+Pipeline!$T$18*Pipeline!$D$18*MIN(1,MAX(0,(58-Pipeline!$E$18+1)/MAX(Pipeline!$F$18,1)))+Pipeline!$T$19*Pipeline!$D$19*MIN(1,MAX(0,(58-Pipeline!$E$19+1)/MAX(Pipeline!$F$19,1)))+Pipeline!$T$20*Pipeline!$D$20*MIN(1,MAX(0,(58-Pipeline!$E$20+1)/MAX(Pipeline!$F$20,1)))+Pipeline!$T$21*Pipeline!$D$21*MIN(1,MAX(0,(58-Pipeline!$E$21+1)/MAX(Pipeline!$F$21,1)))+Pipeline!$T$22*Pipeline!$D$22*MIN(1,MAX(0,(58-Pipeline!$E$22+1)/MAX(Pipeline!$F$22,1))))/Hipótesis!$F$17</f>
        <v>6939.81572629052</v>
      </c>
      <c r="BI17" s="110" t="n">
        <f aca="false">(Pipeline!$T$16*Pipeline!$D$16*MIN(1,MAX(0,(59-Pipeline!$E$16+1)/MAX(Pipeline!$F$16,1)))+Pipeline!$T$17*Pipeline!$D$17*MIN(1,MAX(0,(59-Pipeline!$E$17+1)/MAX(Pipeline!$F$17,1)))+Pipeline!$T$18*Pipeline!$D$18*MIN(1,MAX(0,(59-Pipeline!$E$18+1)/MAX(Pipeline!$F$18,1)))+Pipeline!$T$19*Pipeline!$D$19*MIN(1,MAX(0,(59-Pipeline!$E$19+1)/MAX(Pipeline!$F$19,1)))+Pipeline!$T$20*Pipeline!$D$20*MIN(1,MAX(0,(59-Pipeline!$E$20+1)/MAX(Pipeline!$F$20,1)))+Pipeline!$T$21*Pipeline!$D$21*MIN(1,MAX(0,(59-Pipeline!$E$21+1)/MAX(Pipeline!$F$21,1)))+Pipeline!$T$22*Pipeline!$D$22*MIN(1,MAX(0,(59-Pipeline!$E$22+1)/MAX(Pipeline!$F$22,1))))/Hipótesis!$F$17</f>
        <v>6939.81572629052</v>
      </c>
      <c r="BJ17" s="110" t="n">
        <f aca="false">(Pipeline!$T$16*Pipeline!$D$16*MIN(1,MAX(0,(60-Pipeline!$E$16+1)/MAX(Pipeline!$F$16,1)))+Pipeline!$T$17*Pipeline!$D$17*MIN(1,MAX(0,(60-Pipeline!$E$17+1)/MAX(Pipeline!$F$17,1)))+Pipeline!$T$18*Pipeline!$D$18*MIN(1,MAX(0,(60-Pipeline!$E$18+1)/MAX(Pipeline!$F$18,1)))+Pipeline!$T$19*Pipeline!$D$19*MIN(1,MAX(0,(60-Pipeline!$E$19+1)/MAX(Pipeline!$F$19,1)))+Pipeline!$T$20*Pipeline!$D$20*MIN(1,MAX(0,(60-Pipeline!$E$20+1)/MAX(Pipeline!$F$20,1)))+Pipeline!$T$21*Pipeline!$D$21*MIN(1,MAX(0,(60-Pipeline!$E$21+1)/MAX(Pipeline!$F$21,1)))+Pipeline!$T$22*Pipeline!$D$22*MIN(1,MAX(0,(60-Pipeline!$E$22+1)/MAX(Pipeline!$F$22,1))))/Hipótesis!$F$17</f>
        <v>6939.81572629052</v>
      </c>
      <c r="BK17" s="110" t="n">
        <f aca="false">(Pipeline!$T$16*Pipeline!$D$16*MIN(1,MAX(0,(61-Pipeline!$E$16+1)/MAX(Pipeline!$F$16,1)))+Pipeline!$T$17*Pipeline!$D$17*MIN(1,MAX(0,(61-Pipeline!$E$17+1)/MAX(Pipeline!$F$17,1)))+Pipeline!$T$18*Pipeline!$D$18*MIN(1,MAX(0,(61-Pipeline!$E$18+1)/MAX(Pipeline!$F$18,1)))+Pipeline!$T$19*Pipeline!$D$19*MIN(1,MAX(0,(61-Pipeline!$E$19+1)/MAX(Pipeline!$F$19,1)))+Pipeline!$T$20*Pipeline!$D$20*MIN(1,MAX(0,(61-Pipeline!$E$20+1)/MAX(Pipeline!$F$20,1)))+Pipeline!$T$21*Pipeline!$D$21*MIN(1,MAX(0,(61-Pipeline!$E$21+1)/MAX(Pipeline!$F$21,1)))+Pipeline!$T$22*Pipeline!$D$22*MIN(1,MAX(0,(61-Pipeline!$E$22+1)/MAX(Pipeline!$F$22,1))))/Hipótesis!$F$17</f>
        <v>6939.81572629052</v>
      </c>
      <c r="BL17" s="110" t="n">
        <f aca="false">(Pipeline!$T$16*Pipeline!$D$16*MIN(1,MAX(0,(62-Pipeline!$E$16+1)/MAX(Pipeline!$F$16,1)))+Pipeline!$T$17*Pipeline!$D$17*MIN(1,MAX(0,(62-Pipeline!$E$17+1)/MAX(Pipeline!$F$17,1)))+Pipeline!$T$18*Pipeline!$D$18*MIN(1,MAX(0,(62-Pipeline!$E$18+1)/MAX(Pipeline!$F$18,1)))+Pipeline!$T$19*Pipeline!$D$19*MIN(1,MAX(0,(62-Pipeline!$E$19+1)/MAX(Pipeline!$F$19,1)))+Pipeline!$T$20*Pipeline!$D$20*MIN(1,MAX(0,(62-Pipeline!$E$20+1)/MAX(Pipeline!$F$20,1)))+Pipeline!$T$21*Pipeline!$D$21*MIN(1,MAX(0,(62-Pipeline!$E$21+1)/MAX(Pipeline!$F$21,1)))+Pipeline!$T$22*Pipeline!$D$22*MIN(1,MAX(0,(62-Pipeline!$E$22+1)/MAX(Pipeline!$F$22,1))))/Hipótesis!$F$17</f>
        <v>6939.81572629052</v>
      </c>
      <c r="BM17" s="110" t="n">
        <f aca="false">(Pipeline!$T$16*Pipeline!$D$16*MIN(1,MAX(0,(63-Pipeline!$E$16+1)/MAX(Pipeline!$F$16,1)))+Pipeline!$T$17*Pipeline!$D$17*MIN(1,MAX(0,(63-Pipeline!$E$17+1)/MAX(Pipeline!$F$17,1)))+Pipeline!$T$18*Pipeline!$D$18*MIN(1,MAX(0,(63-Pipeline!$E$18+1)/MAX(Pipeline!$F$18,1)))+Pipeline!$T$19*Pipeline!$D$19*MIN(1,MAX(0,(63-Pipeline!$E$19+1)/MAX(Pipeline!$F$19,1)))+Pipeline!$T$20*Pipeline!$D$20*MIN(1,MAX(0,(63-Pipeline!$E$20+1)/MAX(Pipeline!$F$20,1)))+Pipeline!$T$21*Pipeline!$D$21*MIN(1,MAX(0,(63-Pipeline!$E$21+1)/MAX(Pipeline!$F$21,1)))+Pipeline!$T$22*Pipeline!$D$22*MIN(1,MAX(0,(63-Pipeline!$E$22+1)/MAX(Pipeline!$F$22,1))))/Hipótesis!$F$17</f>
        <v>6939.81572629052</v>
      </c>
      <c r="BN17" s="110" t="n">
        <f aca="false">(Pipeline!$T$16*Pipeline!$D$16*MIN(1,MAX(0,(64-Pipeline!$E$16+1)/MAX(Pipeline!$F$16,1)))+Pipeline!$T$17*Pipeline!$D$17*MIN(1,MAX(0,(64-Pipeline!$E$17+1)/MAX(Pipeline!$F$17,1)))+Pipeline!$T$18*Pipeline!$D$18*MIN(1,MAX(0,(64-Pipeline!$E$18+1)/MAX(Pipeline!$F$18,1)))+Pipeline!$T$19*Pipeline!$D$19*MIN(1,MAX(0,(64-Pipeline!$E$19+1)/MAX(Pipeline!$F$19,1)))+Pipeline!$T$20*Pipeline!$D$20*MIN(1,MAX(0,(64-Pipeline!$E$20+1)/MAX(Pipeline!$F$20,1)))+Pipeline!$T$21*Pipeline!$D$21*MIN(1,MAX(0,(64-Pipeline!$E$21+1)/MAX(Pipeline!$F$21,1)))+Pipeline!$T$22*Pipeline!$D$22*MIN(1,MAX(0,(64-Pipeline!$E$22+1)/MAX(Pipeline!$F$22,1))))/Hipótesis!$F$17</f>
        <v>6939.81572629052</v>
      </c>
      <c r="BO17" s="110" t="n">
        <f aca="false">(Pipeline!$T$16*Pipeline!$D$16*MIN(1,MAX(0,(65-Pipeline!$E$16+1)/MAX(Pipeline!$F$16,1)))+Pipeline!$T$17*Pipeline!$D$17*MIN(1,MAX(0,(65-Pipeline!$E$17+1)/MAX(Pipeline!$F$17,1)))+Pipeline!$T$18*Pipeline!$D$18*MIN(1,MAX(0,(65-Pipeline!$E$18+1)/MAX(Pipeline!$F$18,1)))+Pipeline!$T$19*Pipeline!$D$19*MIN(1,MAX(0,(65-Pipeline!$E$19+1)/MAX(Pipeline!$F$19,1)))+Pipeline!$T$20*Pipeline!$D$20*MIN(1,MAX(0,(65-Pipeline!$E$20+1)/MAX(Pipeline!$F$20,1)))+Pipeline!$T$21*Pipeline!$D$21*MIN(1,MAX(0,(65-Pipeline!$E$21+1)/MAX(Pipeline!$F$21,1)))+Pipeline!$T$22*Pipeline!$D$22*MIN(1,MAX(0,(65-Pipeline!$E$22+1)/MAX(Pipeline!$F$22,1))))/Hipótesis!$F$17</f>
        <v>6939.81572629052</v>
      </c>
      <c r="BP17" s="110" t="n">
        <f aca="false">(Pipeline!$T$16*Pipeline!$D$16*MIN(1,MAX(0,(66-Pipeline!$E$16+1)/MAX(Pipeline!$F$16,1)))+Pipeline!$T$17*Pipeline!$D$17*MIN(1,MAX(0,(66-Pipeline!$E$17+1)/MAX(Pipeline!$F$17,1)))+Pipeline!$T$18*Pipeline!$D$18*MIN(1,MAX(0,(66-Pipeline!$E$18+1)/MAX(Pipeline!$F$18,1)))+Pipeline!$T$19*Pipeline!$D$19*MIN(1,MAX(0,(66-Pipeline!$E$19+1)/MAX(Pipeline!$F$19,1)))+Pipeline!$T$20*Pipeline!$D$20*MIN(1,MAX(0,(66-Pipeline!$E$20+1)/MAX(Pipeline!$F$20,1)))+Pipeline!$T$21*Pipeline!$D$21*MIN(1,MAX(0,(66-Pipeline!$E$21+1)/MAX(Pipeline!$F$21,1)))+Pipeline!$T$22*Pipeline!$D$22*MIN(1,MAX(0,(66-Pipeline!$E$22+1)/MAX(Pipeline!$F$22,1))))/Hipótesis!$F$17</f>
        <v>6939.81572629052</v>
      </c>
      <c r="BQ17" s="110" t="n">
        <f aca="false">(Pipeline!$T$16*Pipeline!$D$16*MIN(1,MAX(0,(67-Pipeline!$E$16+1)/MAX(Pipeline!$F$16,1)))+Pipeline!$T$17*Pipeline!$D$17*MIN(1,MAX(0,(67-Pipeline!$E$17+1)/MAX(Pipeline!$F$17,1)))+Pipeline!$T$18*Pipeline!$D$18*MIN(1,MAX(0,(67-Pipeline!$E$18+1)/MAX(Pipeline!$F$18,1)))+Pipeline!$T$19*Pipeline!$D$19*MIN(1,MAX(0,(67-Pipeline!$E$19+1)/MAX(Pipeline!$F$19,1)))+Pipeline!$T$20*Pipeline!$D$20*MIN(1,MAX(0,(67-Pipeline!$E$20+1)/MAX(Pipeline!$F$20,1)))+Pipeline!$T$21*Pipeline!$D$21*MIN(1,MAX(0,(67-Pipeline!$E$21+1)/MAX(Pipeline!$F$21,1)))+Pipeline!$T$22*Pipeline!$D$22*MIN(1,MAX(0,(67-Pipeline!$E$22+1)/MAX(Pipeline!$F$22,1))))/Hipótesis!$F$17</f>
        <v>6939.81572629052</v>
      </c>
      <c r="BR17" s="110" t="n">
        <f aca="false">(Pipeline!$T$16*Pipeline!$D$16*MIN(1,MAX(0,(68-Pipeline!$E$16+1)/MAX(Pipeline!$F$16,1)))+Pipeline!$T$17*Pipeline!$D$17*MIN(1,MAX(0,(68-Pipeline!$E$17+1)/MAX(Pipeline!$F$17,1)))+Pipeline!$T$18*Pipeline!$D$18*MIN(1,MAX(0,(68-Pipeline!$E$18+1)/MAX(Pipeline!$F$18,1)))+Pipeline!$T$19*Pipeline!$D$19*MIN(1,MAX(0,(68-Pipeline!$E$19+1)/MAX(Pipeline!$F$19,1)))+Pipeline!$T$20*Pipeline!$D$20*MIN(1,MAX(0,(68-Pipeline!$E$20+1)/MAX(Pipeline!$F$20,1)))+Pipeline!$T$21*Pipeline!$D$21*MIN(1,MAX(0,(68-Pipeline!$E$21+1)/MAX(Pipeline!$F$21,1)))+Pipeline!$T$22*Pipeline!$D$22*MIN(1,MAX(0,(68-Pipeline!$E$22+1)/MAX(Pipeline!$F$22,1))))/Hipótesis!$F$17</f>
        <v>6939.81572629052</v>
      </c>
      <c r="BS17" s="110" t="n">
        <f aca="false">(Pipeline!$T$16*Pipeline!$D$16*MIN(1,MAX(0,(69-Pipeline!$E$16+1)/MAX(Pipeline!$F$16,1)))+Pipeline!$T$17*Pipeline!$D$17*MIN(1,MAX(0,(69-Pipeline!$E$17+1)/MAX(Pipeline!$F$17,1)))+Pipeline!$T$18*Pipeline!$D$18*MIN(1,MAX(0,(69-Pipeline!$E$18+1)/MAX(Pipeline!$F$18,1)))+Pipeline!$T$19*Pipeline!$D$19*MIN(1,MAX(0,(69-Pipeline!$E$19+1)/MAX(Pipeline!$F$19,1)))+Pipeline!$T$20*Pipeline!$D$20*MIN(1,MAX(0,(69-Pipeline!$E$20+1)/MAX(Pipeline!$F$20,1)))+Pipeline!$T$21*Pipeline!$D$21*MIN(1,MAX(0,(69-Pipeline!$E$21+1)/MAX(Pipeline!$F$21,1)))+Pipeline!$T$22*Pipeline!$D$22*MIN(1,MAX(0,(69-Pipeline!$E$22+1)/MAX(Pipeline!$F$22,1))))/Hipótesis!$F$17</f>
        <v>6939.81572629052</v>
      </c>
      <c r="BT17" s="110" t="n">
        <f aca="false">(Pipeline!$T$16*Pipeline!$D$16*MIN(1,MAX(0,(70-Pipeline!$E$16+1)/MAX(Pipeline!$F$16,1)))+Pipeline!$T$17*Pipeline!$D$17*MIN(1,MAX(0,(70-Pipeline!$E$17+1)/MAX(Pipeline!$F$17,1)))+Pipeline!$T$18*Pipeline!$D$18*MIN(1,MAX(0,(70-Pipeline!$E$18+1)/MAX(Pipeline!$F$18,1)))+Pipeline!$T$19*Pipeline!$D$19*MIN(1,MAX(0,(70-Pipeline!$E$19+1)/MAX(Pipeline!$F$19,1)))+Pipeline!$T$20*Pipeline!$D$20*MIN(1,MAX(0,(70-Pipeline!$E$20+1)/MAX(Pipeline!$F$20,1)))+Pipeline!$T$21*Pipeline!$D$21*MIN(1,MAX(0,(70-Pipeline!$E$21+1)/MAX(Pipeline!$F$21,1)))+Pipeline!$T$22*Pipeline!$D$22*MIN(1,MAX(0,(70-Pipeline!$E$22+1)/MAX(Pipeline!$F$22,1))))/Hipótesis!$F$17</f>
        <v>6939.81572629052</v>
      </c>
      <c r="BU17" s="110" t="n">
        <f aca="false">(Pipeline!$T$16*Pipeline!$D$16*MIN(1,MAX(0,(71-Pipeline!$E$16+1)/MAX(Pipeline!$F$16,1)))+Pipeline!$T$17*Pipeline!$D$17*MIN(1,MAX(0,(71-Pipeline!$E$17+1)/MAX(Pipeline!$F$17,1)))+Pipeline!$T$18*Pipeline!$D$18*MIN(1,MAX(0,(71-Pipeline!$E$18+1)/MAX(Pipeline!$F$18,1)))+Pipeline!$T$19*Pipeline!$D$19*MIN(1,MAX(0,(71-Pipeline!$E$19+1)/MAX(Pipeline!$F$19,1)))+Pipeline!$T$20*Pipeline!$D$20*MIN(1,MAX(0,(71-Pipeline!$E$20+1)/MAX(Pipeline!$F$20,1)))+Pipeline!$T$21*Pipeline!$D$21*MIN(1,MAX(0,(71-Pipeline!$E$21+1)/MAX(Pipeline!$F$21,1)))+Pipeline!$T$22*Pipeline!$D$22*MIN(1,MAX(0,(71-Pipeline!$E$22+1)/MAX(Pipeline!$F$22,1))))/Hipótesis!$F$17</f>
        <v>6939.81572629052</v>
      </c>
      <c r="BV17" s="110" t="n">
        <f aca="false">(Pipeline!$T$16*Pipeline!$D$16*MIN(1,MAX(0,(72-Pipeline!$E$16+1)/MAX(Pipeline!$F$16,1)))+Pipeline!$T$17*Pipeline!$D$17*MIN(1,MAX(0,(72-Pipeline!$E$17+1)/MAX(Pipeline!$F$17,1)))+Pipeline!$T$18*Pipeline!$D$18*MIN(1,MAX(0,(72-Pipeline!$E$18+1)/MAX(Pipeline!$F$18,1)))+Pipeline!$T$19*Pipeline!$D$19*MIN(1,MAX(0,(72-Pipeline!$E$19+1)/MAX(Pipeline!$F$19,1)))+Pipeline!$T$20*Pipeline!$D$20*MIN(1,MAX(0,(72-Pipeline!$E$20+1)/MAX(Pipeline!$F$20,1)))+Pipeline!$T$21*Pipeline!$D$21*MIN(1,MAX(0,(72-Pipeline!$E$21+1)/MAX(Pipeline!$F$21,1)))+Pipeline!$T$22*Pipeline!$D$22*MIN(1,MAX(0,(72-Pipeline!$E$22+1)/MAX(Pipeline!$F$22,1))))/Hipótesis!$F$17</f>
        <v>6939.81572629052</v>
      </c>
      <c r="BW17" s="110" t="n">
        <f aca="false">(Pipeline!$T$16*Pipeline!$D$16*MIN(1,MAX(0,(73-Pipeline!$E$16+1)/MAX(Pipeline!$F$16,1)))+Pipeline!$T$17*Pipeline!$D$17*MIN(1,MAX(0,(73-Pipeline!$E$17+1)/MAX(Pipeline!$F$17,1)))+Pipeline!$T$18*Pipeline!$D$18*MIN(1,MAX(0,(73-Pipeline!$E$18+1)/MAX(Pipeline!$F$18,1)))+Pipeline!$T$19*Pipeline!$D$19*MIN(1,MAX(0,(73-Pipeline!$E$19+1)/MAX(Pipeline!$F$19,1)))+Pipeline!$T$20*Pipeline!$D$20*MIN(1,MAX(0,(73-Pipeline!$E$20+1)/MAX(Pipeline!$F$20,1)))+Pipeline!$T$21*Pipeline!$D$21*MIN(1,MAX(0,(73-Pipeline!$E$21+1)/MAX(Pipeline!$F$21,1)))+Pipeline!$T$22*Pipeline!$D$22*MIN(1,MAX(0,(73-Pipeline!$E$22+1)/MAX(Pipeline!$F$22,1))))/Hipótesis!$F$17</f>
        <v>6939.81572629052</v>
      </c>
      <c r="BX17" s="110" t="n">
        <f aca="false">(Pipeline!$T$16*Pipeline!$D$16*MIN(1,MAX(0,(74-Pipeline!$E$16+1)/MAX(Pipeline!$F$16,1)))+Pipeline!$T$17*Pipeline!$D$17*MIN(1,MAX(0,(74-Pipeline!$E$17+1)/MAX(Pipeline!$F$17,1)))+Pipeline!$T$18*Pipeline!$D$18*MIN(1,MAX(0,(74-Pipeline!$E$18+1)/MAX(Pipeline!$F$18,1)))+Pipeline!$T$19*Pipeline!$D$19*MIN(1,MAX(0,(74-Pipeline!$E$19+1)/MAX(Pipeline!$F$19,1)))+Pipeline!$T$20*Pipeline!$D$20*MIN(1,MAX(0,(74-Pipeline!$E$20+1)/MAX(Pipeline!$F$20,1)))+Pipeline!$T$21*Pipeline!$D$21*MIN(1,MAX(0,(74-Pipeline!$E$21+1)/MAX(Pipeline!$F$21,1)))+Pipeline!$T$22*Pipeline!$D$22*MIN(1,MAX(0,(74-Pipeline!$E$22+1)/MAX(Pipeline!$F$22,1))))/Hipótesis!$F$17</f>
        <v>6939.81572629052</v>
      </c>
      <c r="BY17" s="110" t="n">
        <f aca="false">(Pipeline!$T$16*Pipeline!$D$16*MIN(1,MAX(0,(75-Pipeline!$E$16+1)/MAX(Pipeline!$F$16,1)))+Pipeline!$T$17*Pipeline!$D$17*MIN(1,MAX(0,(75-Pipeline!$E$17+1)/MAX(Pipeline!$F$17,1)))+Pipeline!$T$18*Pipeline!$D$18*MIN(1,MAX(0,(75-Pipeline!$E$18+1)/MAX(Pipeline!$F$18,1)))+Pipeline!$T$19*Pipeline!$D$19*MIN(1,MAX(0,(75-Pipeline!$E$19+1)/MAX(Pipeline!$F$19,1)))+Pipeline!$T$20*Pipeline!$D$20*MIN(1,MAX(0,(75-Pipeline!$E$20+1)/MAX(Pipeline!$F$20,1)))+Pipeline!$T$21*Pipeline!$D$21*MIN(1,MAX(0,(75-Pipeline!$E$21+1)/MAX(Pipeline!$F$21,1)))+Pipeline!$T$22*Pipeline!$D$22*MIN(1,MAX(0,(75-Pipeline!$E$22+1)/MAX(Pipeline!$F$22,1))))/Hipótesis!$F$17</f>
        <v>6939.81572629052</v>
      </c>
      <c r="BZ17" s="110" t="n">
        <f aca="false">(Pipeline!$T$16*Pipeline!$D$16*MIN(1,MAX(0,(76-Pipeline!$E$16+1)/MAX(Pipeline!$F$16,1)))+Pipeline!$T$17*Pipeline!$D$17*MIN(1,MAX(0,(76-Pipeline!$E$17+1)/MAX(Pipeline!$F$17,1)))+Pipeline!$T$18*Pipeline!$D$18*MIN(1,MAX(0,(76-Pipeline!$E$18+1)/MAX(Pipeline!$F$18,1)))+Pipeline!$T$19*Pipeline!$D$19*MIN(1,MAX(0,(76-Pipeline!$E$19+1)/MAX(Pipeline!$F$19,1)))+Pipeline!$T$20*Pipeline!$D$20*MIN(1,MAX(0,(76-Pipeline!$E$20+1)/MAX(Pipeline!$F$20,1)))+Pipeline!$T$21*Pipeline!$D$21*MIN(1,MAX(0,(76-Pipeline!$E$21+1)/MAX(Pipeline!$F$21,1)))+Pipeline!$T$22*Pipeline!$D$22*MIN(1,MAX(0,(76-Pipeline!$E$22+1)/MAX(Pipeline!$F$22,1))))/Hipótesis!$F$17</f>
        <v>6939.81572629052</v>
      </c>
      <c r="CA17" s="110" t="n">
        <f aca="false">(Pipeline!$T$16*Pipeline!$D$16*MIN(1,MAX(0,(77-Pipeline!$E$16+1)/MAX(Pipeline!$F$16,1)))+Pipeline!$T$17*Pipeline!$D$17*MIN(1,MAX(0,(77-Pipeline!$E$17+1)/MAX(Pipeline!$F$17,1)))+Pipeline!$T$18*Pipeline!$D$18*MIN(1,MAX(0,(77-Pipeline!$E$18+1)/MAX(Pipeline!$F$18,1)))+Pipeline!$T$19*Pipeline!$D$19*MIN(1,MAX(0,(77-Pipeline!$E$19+1)/MAX(Pipeline!$F$19,1)))+Pipeline!$T$20*Pipeline!$D$20*MIN(1,MAX(0,(77-Pipeline!$E$20+1)/MAX(Pipeline!$F$20,1)))+Pipeline!$T$21*Pipeline!$D$21*MIN(1,MAX(0,(77-Pipeline!$E$21+1)/MAX(Pipeline!$F$21,1)))+Pipeline!$T$22*Pipeline!$D$22*MIN(1,MAX(0,(77-Pipeline!$E$22+1)/MAX(Pipeline!$F$22,1))))/Hipótesis!$F$17</f>
        <v>6939.81572629052</v>
      </c>
      <c r="CB17" s="110" t="n">
        <f aca="false">(Pipeline!$T$16*Pipeline!$D$16*MIN(1,MAX(0,(78-Pipeline!$E$16+1)/MAX(Pipeline!$F$16,1)))+Pipeline!$T$17*Pipeline!$D$17*MIN(1,MAX(0,(78-Pipeline!$E$17+1)/MAX(Pipeline!$F$17,1)))+Pipeline!$T$18*Pipeline!$D$18*MIN(1,MAX(0,(78-Pipeline!$E$18+1)/MAX(Pipeline!$F$18,1)))+Pipeline!$T$19*Pipeline!$D$19*MIN(1,MAX(0,(78-Pipeline!$E$19+1)/MAX(Pipeline!$F$19,1)))+Pipeline!$T$20*Pipeline!$D$20*MIN(1,MAX(0,(78-Pipeline!$E$20+1)/MAX(Pipeline!$F$20,1)))+Pipeline!$T$21*Pipeline!$D$21*MIN(1,MAX(0,(78-Pipeline!$E$21+1)/MAX(Pipeline!$F$21,1)))+Pipeline!$T$22*Pipeline!$D$22*MIN(1,MAX(0,(78-Pipeline!$E$22+1)/MAX(Pipeline!$F$22,1))))/Hipótesis!$F$17</f>
        <v>6939.81572629052</v>
      </c>
      <c r="CC17" s="110" t="n">
        <f aca="false">(Pipeline!$T$16*Pipeline!$D$16*MIN(1,MAX(0,(79-Pipeline!$E$16+1)/MAX(Pipeline!$F$16,1)))+Pipeline!$T$17*Pipeline!$D$17*MIN(1,MAX(0,(79-Pipeline!$E$17+1)/MAX(Pipeline!$F$17,1)))+Pipeline!$T$18*Pipeline!$D$18*MIN(1,MAX(0,(79-Pipeline!$E$18+1)/MAX(Pipeline!$F$18,1)))+Pipeline!$T$19*Pipeline!$D$19*MIN(1,MAX(0,(79-Pipeline!$E$19+1)/MAX(Pipeline!$F$19,1)))+Pipeline!$T$20*Pipeline!$D$20*MIN(1,MAX(0,(79-Pipeline!$E$20+1)/MAX(Pipeline!$F$20,1)))+Pipeline!$T$21*Pipeline!$D$21*MIN(1,MAX(0,(79-Pipeline!$E$21+1)/MAX(Pipeline!$F$21,1)))+Pipeline!$T$22*Pipeline!$D$22*MIN(1,MAX(0,(79-Pipeline!$E$22+1)/MAX(Pipeline!$F$22,1))))/Hipótesis!$F$17</f>
        <v>6939.81572629052</v>
      </c>
      <c r="CD17" s="110" t="n">
        <f aca="false">(Pipeline!$T$16*Pipeline!$D$16*MIN(1,MAX(0,(80-Pipeline!$E$16+1)/MAX(Pipeline!$F$16,1)))+Pipeline!$T$17*Pipeline!$D$17*MIN(1,MAX(0,(80-Pipeline!$E$17+1)/MAX(Pipeline!$F$17,1)))+Pipeline!$T$18*Pipeline!$D$18*MIN(1,MAX(0,(80-Pipeline!$E$18+1)/MAX(Pipeline!$F$18,1)))+Pipeline!$T$19*Pipeline!$D$19*MIN(1,MAX(0,(80-Pipeline!$E$19+1)/MAX(Pipeline!$F$19,1)))+Pipeline!$T$20*Pipeline!$D$20*MIN(1,MAX(0,(80-Pipeline!$E$20+1)/MAX(Pipeline!$F$20,1)))+Pipeline!$T$21*Pipeline!$D$21*MIN(1,MAX(0,(80-Pipeline!$E$21+1)/MAX(Pipeline!$F$21,1)))+Pipeline!$T$22*Pipeline!$D$22*MIN(1,MAX(0,(80-Pipeline!$E$22+1)/MAX(Pipeline!$F$22,1))))/Hipótesis!$F$17</f>
        <v>6939.81572629052</v>
      </c>
      <c r="CE17" s="110" t="n">
        <f aca="false">(Pipeline!$T$16*Pipeline!$D$16*MIN(1,MAX(0,(81-Pipeline!$E$16+1)/MAX(Pipeline!$F$16,1)))+Pipeline!$T$17*Pipeline!$D$17*MIN(1,MAX(0,(81-Pipeline!$E$17+1)/MAX(Pipeline!$F$17,1)))+Pipeline!$T$18*Pipeline!$D$18*MIN(1,MAX(0,(81-Pipeline!$E$18+1)/MAX(Pipeline!$F$18,1)))+Pipeline!$T$19*Pipeline!$D$19*MIN(1,MAX(0,(81-Pipeline!$E$19+1)/MAX(Pipeline!$F$19,1)))+Pipeline!$T$20*Pipeline!$D$20*MIN(1,MAX(0,(81-Pipeline!$E$20+1)/MAX(Pipeline!$F$20,1)))+Pipeline!$T$21*Pipeline!$D$21*MIN(1,MAX(0,(81-Pipeline!$E$21+1)/MAX(Pipeline!$F$21,1)))+Pipeline!$T$22*Pipeline!$D$22*MIN(1,MAX(0,(81-Pipeline!$E$22+1)/MAX(Pipeline!$F$22,1))))/Hipótesis!$F$17</f>
        <v>6939.81572629052</v>
      </c>
      <c r="CF17" s="110" t="n">
        <f aca="false">(Pipeline!$T$16*Pipeline!$D$16*MIN(1,MAX(0,(82-Pipeline!$E$16+1)/MAX(Pipeline!$F$16,1)))+Pipeline!$T$17*Pipeline!$D$17*MIN(1,MAX(0,(82-Pipeline!$E$17+1)/MAX(Pipeline!$F$17,1)))+Pipeline!$T$18*Pipeline!$D$18*MIN(1,MAX(0,(82-Pipeline!$E$18+1)/MAX(Pipeline!$F$18,1)))+Pipeline!$T$19*Pipeline!$D$19*MIN(1,MAX(0,(82-Pipeline!$E$19+1)/MAX(Pipeline!$F$19,1)))+Pipeline!$T$20*Pipeline!$D$20*MIN(1,MAX(0,(82-Pipeline!$E$20+1)/MAX(Pipeline!$F$20,1)))+Pipeline!$T$21*Pipeline!$D$21*MIN(1,MAX(0,(82-Pipeline!$E$21+1)/MAX(Pipeline!$F$21,1)))+Pipeline!$T$22*Pipeline!$D$22*MIN(1,MAX(0,(82-Pipeline!$E$22+1)/MAX(Pipeline!$F$22,1))))/Hipótesis!$F$17</f>
        <v>6939.81572629052</v>
      </c>
      <c r="CG17" s="110" t="n">
        <f aca="false">(Pipeline!$T$16*Pipeline!$D$16*MIN(1,MAX(0,(83-Pipeline!$E$16+1)/MAX(Pipeline!$F$16,1)))+Pipeline!$T$17*Pipeline!$D$17*MIN(1,MAX(0,(83-Pipeline!$E$17+1)/MAX(Pipeline!$F$17,1)))+Pipeline!$T$18*Pipeline!$D$18*MIN(1,MAX(0,(83-Pipeline!$E$18+1)/MAX(Pipeline!$F$18,1)))+Pipeline!$T$19*Pipeline!$D$19*MIN(1,MAX(0,(83-Pipeline!$E$19+1)/MAX(Pipeline!$F$19,1)))+Pipeline!$T$20*Pipeline!$D$20*MIN(1,MAX(0,(83-Pipeline!$E$20+1)/MAX(Pipeline!$F$20,1)))+Pipeline!$T$21*Pipeline!$D$21*MIN(1,MAX(0,(83-Pipeline!$E$21+1)/MAX(Pipeline!$F$21,1)))+Pipeline!$T$22*Pipeline!$D$22*MIN(1,MAX(0,(83-Pipeline!$E$22+1)/MAX(Pipeline!$F$22,1))))/Hipótesis!$F$17</f>
        <v>6939.81572629052</v>
      </c>
      <c r="CH17" s="110" t="n">
        <f aca="false">(Pipeline!$T$16*Pipeline!$D$16*MIN(1,MAX(0,(84-Pipeline!$E$16+1)/MAX(Pipeline!$F$16,1)))+Pipeline!$T$17*Pipeline!$D$17*MIN(1,MAX(0,(84-Pipeline!$E$17+1)/MAX(Pipeline!$F$17,1)))+Pipeline!$T$18*Pipeline!$D$18*MIN(1,MAX(0,(84-Pipeline!$E$18+1)/MAX(Pipeline!$F$18,1)))+Pipeline!$T$19*Pipeline!$D$19*MIN(1,MAX(0,(84-Pipeline!$E$19+1)/MAX(Pipeline!$F$19,1)))+Pipeline!$T$20*Pipeline!$D$20*MIN(1,MAX(0,(84-Pipeline!$E$20+1)/MAX(Pipeline!$F$20,1)))+Pipeline!$T$21*Pipeline!$D$21*MIN(1,MAX(0,(84-Pipeline!$E$21+1)/MAX(Pipeline!$F$21,1)))+Pipeline!$T$22*Pipeline!$D$22*MIN(1,MAX(0,(84-Pipeline!$E$22+1)/MAX(Pipeline!$F$22,1))))/Hipótesis!$F$17</f>
        <v>6939.81572629052</v>
      </c>
    </row>
    <row r="18" customFormat="false" ht="13.5" hidden="false" customHeight="true" outlineLevel="0" collapsed="false">
      <c r="A18" s="6" t="s">
        <v>526</v>
      </c>
      <c r="C18" s="119" t="n">
        <f aca="false">(Pipeline!$U$16*Pipeline!$D$16*MIN(1,MAX(0,(1-Pipeline!$E$16+1)/MAX(Pipeline!$F$16,1)))+Pipeline!$U$17*Pipeline!$D$17*MIN(1,MAX(0,(1-Pipeline!$E$17+1)/MAX(Pipeline!$F$17,1)))+Pipeline!$U$18*Pipeline!$D$18*MIN(1,MAX(0,(1-Pipeline!$E$18+1)/MAX(Pipeline!$F$18,1)))+Pipeline!$U$19*Pipeline!$D$19*MIN(1,MAX(0,(1-Pipeline!$E$19+1)/MAX(Pipeline!$F$19,1)))+Pipeline!$U$20*Pipeline!$D$20*MIN(1,MAX(0,(1-Pipeline!$E$20+1)/MAX(Pipeline!$F$20,1)))+Pipeline!$U$21*Pipeline!$D$21*MIN(1,MAX(0,(1-Pipeline!$E$21+1)/MAX(Pipeline!$F$21,1)))+Pipeline!$U$22*Pipeline!$D$22*MIN(1,MAX(0,(1-Pipeline!$E$22+1)/MAX(Pipeline!$F$22,1))))/Hipótesis!$F$17</f>
        <v>40.2339469647162</v>
      </c>
      <c r="D18" s="119" t="n">
        <f aca="false">(Pipeline!$U$16*Pipeline!$D$16*MIN(1,MAX(0,(2-Pipeline!$E$16+1)/MAX(Pipeline!$F$16,1)))+Pipeline!$U$17*Pipeline!$D$17*MIN(1,MAX(0,(2-Pipeline!$E$17+1)/MAX(Pipeline!$F$17,1)))+Pipeline!$U$18*Pipeline!$D$18*MIN(1,MAX(0,(2-Pipeline!$E$18+1)/MAX(Pipeline!$F$18,1)))+Pipeline!$U$19*Pipeline!$D$19*MIN(1,MAX(0,(2-Pipeline!$E$19+1)/MAX(Pipeline!$F$19,1)))+Pipeline!$U$20*Pipeline!$D$20*MIN(1,MAX(0,(2-Pipeline!$E$20+1)/MAX(Pipeline!$F$20,1)))+Pipeline!$U$21*Pipeline!$D$21*MIN(1,MAX(0,(2-Pipeline!$E$21+1)/MAX(Pipeline!$F$21,1)))+Pipeline!$U$22*Pipeline!$D$22*MIN(1,MAX(0,(2-Pipeline!$E$22+1)/MAX(Pipeline!$F$22,1))))/Hipótesis!$F$17</f>
        <v>82.3352799370899</v>
      </c>
      <c r="E18" s="119" t="n">
        <f aca="false">(Pipeline!$U$16*Pipeline!$D$16*MIN(1,MAX(0,(3-Pipeline!$E$16+1)/MAX(Pipeline!$F$16,1)))+Pipeline!$U$17*Pipeline!$D$17*MIN(1,MAX(0,(3-Pipeline!$E$17+1)/MAX(Pipeline!$F$17,1)))+Pipeline!$U$18*Pipeline!$D$18*MIN(1,MAX(0,(3-Pipeline!$E$18+1)/MAX(Pipeline!$F$18,1)))+Pipeline!$U$19*Pipeline!$D$19*MIN(1,MAX(0,(3-Pipeline!$E$19+1)/MAX(Pipeline!$F$19,1)))+Pipeline!$U$20*Pipeline!$D$20*MIN(1,MAX(0,(3-Pipeline!$E$20+1)/MAX(Pipeline!$F$20,1)))+Pipeline!$U$21*Pipeline!$D$21*MIN(1,MAX(0,(3-Pipeline!$E$21+1)/MAX(Pipeline!$F$21,1)))+Pipeline!$U$22*Pipeline!$D$22*MIN(1,MAX(0,(3-Pipeline!$E$22+1)/MAX(Pipeline!$F$22,1))))/Hipótesis!$F$17</f>
        <v>155.435557112391</v>
      </c>
      <c r="F18" s="119" t="n">
        <f aca="false">(Pipeline!$U$16*Pipeline!$D$16*MIN(1,MAX(0,(4-Pipeline!$E$16+1)/MAX(Pipeline!$F$16,1)))+Pipeline!$U$17*Pipeline!$D$17*MIN(1,MAX(0,(4-Pipeline!$E$17+1)/MAX(Pipeline!$F$17,1)))+Pipeline!$U$18*Pipeline!$D$18*MIN(1,MAX(0,(4-Pipeline!$E$18+1)/MAX(Pipeline!$F$18,1)))+Pipeline!$U$19*Pipeline!$D$19*MIN(1,MAX(0,(4-Pipeline!$E$19+1)/MAX(Pipeline!$F$19,1)))+Pipeline!$U$20*Pipeline!$D$20*MIN(1,MAX(0,(4-Pipeline!$E$20+1)/MAX(Pipeline!$F$20,1)))+Pipeline!$U$21*Pipeline!$D$21*MIN(1,MAX(0,(4-Pipeline!$E$21+1)/MAX(Pipeline!$F$21,1)))+Pipeline!$U$22*Pipeline!$D$22*MIN(1,MAX(0,(4-Pipeline!$E$22+1)/MAX(Pipeline!$F$22,1))))/Hipótesis!$F$17</f>
        <v>188.301887322976</v>
      </c>
      <c r="G18" s="119" t="n">
        <f aca="false">(Pipeline!$U$16*Pipeline!$D$16*MIN(1,MAX(0,(5-Pipeline!$E$16+1)/MAX(Pipeline!$F$16,1)))+Pipeline!$U$17*Pipeline!$D$17*MIN(1,MAX(0,(5-Pipeline!$E$17+1)/MAX(Pipeline!$F$17,1)))+Pipeline!$U$18*Pipeline!$D$18*MIN(1,MAX(0,(5-Pipeline!$E$18+1)/MAX(Pipeline!$F$18,1)))+Pipeline!$U$19*Pipeline!$D$19*MIN(1,MAX(0,(5-Pipeline!$E$19+1)/MAX(Pipeline!$F$19,1)))+Pipeline!$U$20*Pipeline!$D$20*MIN(1,MAX(0,(5-Pipeline!$E$20+1)/MAX(Pipeline!$F$20,1)))+Pipeline!$U$21*Pipeline!$D$21*MIN(1,MAX(0,(5-Pipeline!$E$21+1)/MAX(Pipeline!$F$21,1)))+Pipeline!$U$22*Pipeline!$D$22*MIN(1,MAX(0,(5-Pipeline!$E$22+1)/MAX(Pipeline!$F$22,1))))/Hipótesis!$F$17</f>
        <v>219.300831525904</v>
      </c>
      <c r="H18" s="119" t="n">
        <f aca="false">(Pipeline!$U$16*Pipeline!$D$16*MIN(1,MAX(0,(6-Pipeline!$E$16+1)/MAX(Pipeline!$F$16,1)))+Pipeline!$U$17*Pipeline!$D$17*MIN(1,MAX(0,(6-Pipeline!$E$17+1)/MAX(Pipeline!$F$17,1)))+Pipeline!$U$18*Pipeline!$D$18*MIN(1,MAX(0,(6-Pipeline!$E$18+1)/MAX(Pipeline!$F$18,1)))+Pipeline!$U$19*Pipeline!$D$19*MIN(1,MAX(0,(6-Pipeline!$E$19+1)/MAX(Pipeline!$F$19,1)))+Pipeline!$U$20*Pipeline!$D$20*MIN(1,MAX(0,(6-Pipeline!$E$20+1)/MAX(Pipeline!$F$20,1)))+Pipeline!$U$21*Pipeline!$D$21*MIN(1,MAX(0,(6-Pipeline!$E$21+1)/MAX(Pipeline!$F$21,1)))+Pipeline!$U$22*Pipeline!$D$22*MIN(1,MAX(0,(6-Pipeline!$E$22+1)/MAX(Pipeline!$F$22,1))))/Hipótesis!$F$17</f>
        <v>271.696907066574</v>
      </c>
      <c r="I18" s="119" t="n">
        <f aca="false">(Pipeline!$U$16*Pipeline!$D$16*MIN(1,MAX(0,(7-Pipeline!$E$16+1)/MAX(Pipeline!$F$16,1)))+Pipeline!$U$17*Pipeline!$D$17*MIN(1,MAX(0,(7-Pipeline!$E$17+1)/MAX(Pipeline!$F$17,1)))+Pipeline!$U$18*Pipeline!$D$18*MIN(1,MAX(0,(7-Pipeline!$E$18+1)/MAX(Pipeline!$F$18,1)))+Pipeline!$U$19*Pipeline!$D$19*MIN(1,MAX(0,(7-Pipeline!$E$19+1)/MAX(Pipeline!$F$19,1)))+Pipeline!$U$20*Pipeline!$D$20*MIN(1,MAX(0,(7-Pipeline!$E$20+1)/MAX(Pipeline!$F$20,1)))+Pipeline!$U$21*Pipeline!$D$21*MIN(1,MAX(0,(7-Pipeline!$E$21+1)/MAX(Pipeline!$F$21,1)))+Pipeline!$U$22*Pipeline!$D$22*MIN(1,MAX(0,(7-Pipeline!$E$22+1)/MAX(Pipeline!$F$22,1))))/Hipótesis!$F$17</f>
        <v>324.092982607244</v>
      </c>
      <c r="J18" s="119" t="n">
        <f aca="false">(Pipeline!$U$16*Pipeline!$D$16*MIN(1,MAX(0,(8-Pipeline!$E$16+1)/MAX(Pipeline!$F$16,1)))+Pipeline!$U$17*Pipeline!$D$17*MIN(1,MAX(0,(8-Pipeline!$E$17+1)/MAX(Pipeline!$F$17,1)))+Pipeline!$U$18*Pipeline!$D$18*MIN(1,MAX(0,(8-Pipeline!$E$18+1)/MAX(Pipeline!$F$18,1)))+Pipeline!$U$19*Pipeline!$D$19*MIN(1,MAX(0,(8-Pipeline!$E$19+1)/MAX(Pipeline!$F$19,1)))+Pipeline!$U$20*Pipeline!$D$20*MIN(1,MAX(0,(8-Pipeline!$E$20+1)/MAX(Pipeline!$F$20,1)))+Pipeline!$U$21*Pipeline!$D$21*MIN(1,MAX(0,(8-Pipeline!$E$21+1)/MAX(Pipeline!$F$21,1)))+Pipeline!$U$22*Pipeline!$D$22*MIN(1,MAX(0,(8-Pipeline!$E$22+1)/MAX(Pipeline!$F$22,1))))/Hipótesis!$F$17</f>
        <v>376.489058147914</v>
      </c>
      <c r="K18" s="119" t="n">
        <f aca="false">(Pipeline!$U$16*Pipeline!$D$16*MIN(1,MAX(0,(9-Pipeline!$E$16+1)/MAX(Pipeline!$F$16,1)))+Pipeline!$U$17*Pipeline!$D$17*MIN(1,MAX(0,(9-Pipeline!$E$17+1)/MAX(Pipeline!$F$17,1)))+Pipeline!$U$18*Pipeline!$D$18*MIN(1,MAX(0,(9-Pipeline!$E$18+1)/MAX(Pipeline!$F$18,1)))+Pipeline!$U$19*Pipeline!$D$19*MIN(1,MAX(0,(9-Pipeline!$E$19+1)/MAX(Pipeline!$F$19,1)))+Pipeline!$U$20*Pipeline!$D$20*MIN(1,MAX(0,(9-Pipeline!$E$20+1)/MAX(Pipeline!$F$20,1)))+Pipeline!$U$21*Pipeline!$D$21*MIN(1,MAX(0,(9-Pipeline!$E$21+1)/MAX(Pipeline!$F$21,1)))+Pipeline!$U$22*Pipeline!$D$22*MIN(1,MAX(0,(9-Pipeline!$E$22+1)/MAX(Pipeline!$F$22,1))))/Hipótesis!$F$17</f>
        <v>428.885133688584</v>
      </c>
      <c r="L18" s="119" t="n">
        <f aca="false">(Pipeline!$U$16*Pipeline!$D$16*MIN(1,MAX(0,(10-Pipeline!$E$16+1)/MAX(Pipeline!$F$16,1)))+Pipeline!$U$17*Pipeline!$D$17*MIN(1,MAX(0,(10-Pipeline!$E$17+1)/MAX(Pipeline!$F$17,1)))+Pipeline!$U$18*Pipeline!$D$18*MIN(1,MAX(0,(10-Pipeline!$E$18+1)/MAX(Pipeline!$F$18,1)))+Pipeline!$U$19*Pipeline!$D$19*MIN(1,MAX(0,(10-Pipeline!$E$19+1)/MAX(Pipeline!$F$19,1)))+Pipeline!$U$20*Pipeline!$D$20*MIN(1,MAX(0,(10-Pipeline!$E$20+1)/MAX(Pipeline!$F$20,1)))+Pipeline!$U$21*Pipeline!$D$21*MIN(1,MAX(0,(10-Pipeline!$E$21+1)/MAX(Pipeline!$F$21,1)))+Pipeline!$U$22*Pipeline!$D$22*MIN(1,MAX(0,(10-Pipeline!$E$22+1)/MAX(Pipeline!$F$22,1))))/Hipótesis!$F$17</f>
        <v>481.281209229254</v>
      </c>
      <c r="M18" s="119" t="n">
        <f aca="false">(Pipeline!$U$16*Pipeline!$D$16*MIN(1,MAX(0,(11-Pipeline!$E$16+1)/MAX(Pipeline!$F$16,1)))+Pipeline!$U$17*Pipeline!$D$17*MIN(1,MAX(0,(11-Pipeline!$E$17+1)/MAX(Pipeline!$F$17,1)))+Pipeline!$U$18*Pipeline!$D$18*MIN(1,MAX(0,(11-Pipeline!$E$18+1)/MAX(Pipeline!$F$18,1)))+Pipeline!$U$19*Pipeline!$D$19*MIN(1,MAX(0,(11-Pipeline!$E$19+1)/MAX(Pipeline!$F$19,1)))+Pipeline!$U$20*Pipeline!$D$20*MIN(1,MAX(0,(11-Pipeline!$E$20+1)/MAX(Pipeline!$F$20,1)))+Pipeline!$U$21*Pipeline!$D$21*MIN(1,MAX(0,(11-Pipeline!$E$21+1)/MAX(Pipeline!$F$21,1)))+Pipeline!$U$22*Pipeline!$D$22*MIN(1,MAX(0,(11-Pipeline!$E$22+1)/MAX(Pipeline!$F$22,1))))/Hipótesis!$F$17</f>
        <v>502.678340566996</v>
      </c>
      <c r="N18" s="119" t="n">
        <f aca="false">(Pipeline!$U$16*Pipeline!$D$16*MIN(1,MAX(0,(12-Pipeline!$E$16+1)/MAX(Pipeline!$F$16,1)))+Pipeline!$U$17*Pipeline!$D$17*MIN(1,MAX(0,(12-Pipeline!$E$17+1)/MAX(Pipeline!$F$17,1)))+Pipeline!$U$18*Pipeline!$D$18*MIN(1,MAX(0,(12-Pipeline!$E$18+1)/MAX(Pipeline!$F$18,1)))+Pipeline!$U$19*Pipeline!$D$19*MIN(1,MAX(0,(12-Pipeline!$E$19+1)/MAX(Pipeline!$F$19,1)))+Pipeline!$U$20*Pipeline!$D$20*MIN(1,MAX(0,(12-Pipeline!$E$20+1)/MAX(Pipeline!$F$20,1)))+Pipeline!$U$21*Pipeline!$D$21*MIN(1,MAX(0,(12-Pipeline!$E$21+1)/MAX(Pipeline!$F$21,1)))+Pipeline!$U$22*Pipeline!$D$22*MIN(1,MAX(0,(12-Pipeline!$E$22+1)/MAX(Pipeline!$F$22,1))))/Hipótesis!$F$17</f>
        <v>555.198572032363</v>
      </c>
      <c r="O18" s="119" t="n">
        <f aca="false">(Pipeline!$U$16*Pipeline!$D$16*MIN(1,MAX(0,(13-Pipeline!$E$16+1)/MAX(Pipeline!$F$16,1)))+Pipeline!$U$17*Pipeline!$D$17*MIN(1,MAX(0,(13-Pipeline!$E$17+1)/MAX(Pipeline!$F$17,1)))+Pipeline!$U$18*Pipeline!$D$18*MIN(1,MAX(0,(13-Pipeline!$E$18+1)/MAX(Pipeline!$F$18,1)))+Pipeline!$U$19*Pipeline!$D$19*MIN(1,MAX(0,(13-Pipeline!$E$19+1)/MAX(Pipeline!$F$19,1)))+Pipeline!$U$20*Pipeline!$D$20*MIN(1,MAX(0,(13-Pipeline!$E$20+1)/MAX(Pipeline!$F$20,1)))+Pipeline!$U$21*Pipeline!$D$21*MIN(1,MAX(0,(13-Pipeline!$E$21+1)/MAX(Pipeline!$F$21,1)))+Pipeline!$U$22*Pipeline!$D$22*MIN(1,MAX(0,(13-Pipeline!$E$22+1)/MAX(Pipeline!$F$22,1))))/Hipótesis!$F$17</f>
        <v>607.71880349773</v>
      </c>
      <c r="P18" s="119" t="n">
        <f aca="false">(Pipeline!$U$16*Pipeline!$D$16*MIN(1,MAX(0,(14-Pipeline!$E$16+1)/MAX(Pipeline!$F$16,1)))+Pipeline!$U$17*Pipeline!$D$17*MIN(1,MAX(0,(14-Pipeline!$E$17+1)/MAX(Pipeline!$F$17,1)))+Pipeline!$U$18*Pipeline!$D$18*MIN(1,MAX(0,(14-Pipeline!$E$18+1)/MAX(Pipeline!$F$18,1)))+Pipeline!$U$19*Pipeline!$D$19*MIN(1,MAX(0,(14-Pipeline!$E$19+1)/MAX(Pipeline!$F$19,1)))+Pipeline!$U$20*Pipeline!$D$20*MIN(1,MAX(0,(14-Pipeline!$E$20+1)/MAX(Pipeline!$F$20,1)))+Pipeline!$U$21*Pipeline!$D$21*MIN(1,MAX(0,(14-Pipeline!$E$21+1)/MAX(Pipeline!$F$21,1)))+Pipeline!$U$22*Pipeline!$D$22*MIN(1,MAX(0,(14-Pipeline!$E$22+1)/MAX(Pipeline!$F$22,1))))/Hipótesis!$F$17</f>
        <v>651.291143676405</v>
      </c>
      <c r="Q18" s="119" t="n">
        <f aca="false">(Pipeline!$U$16*Pipeline!$D$16*MIN(1,MAX(0,(15-Pipeline!$E$16+1)/MAX(Pipeline!$F$16,1)))+Pipeline!$U$17*Pipeline!$D$17*MIN(1,MAX(0,(15-Pipeline!$E$17+1)/MAX(Pipeline!$F$17,1)))+Pipeline!$U$18*Pipeline!$D$18*MIN(1,MAX(0,(15-Pipeline!$E$18+1)/MAX(Pipeline!$F$18,1)))+Pipeline!$U$19*Pipeline!$D$19*MIN(1,MAX(0,(15-Pipeline!$E$19+1)/MAX(Pipeline!$F$19,1)))+Pipeline!$U$20*Pipeline!$D$20*MIN(1,MAX(0,(15-Pipeline!$E$20+1)/MAX(Pipeline!$F$20,1)))+Pipeline!$U$21*Pipeline!$D$21*MIN(1,MAX(0,(15-Pipeline!$E$21+1)/MAX(Pipeline!$F$21,1)))+Pipeline!$U$22*Pipeline!$D$22*MIN(1,MAX(0,(15-Pipeline!$E$22+1)/MAX(Pipeline!$F$22,1))))/Hipótesis!$F$17</f>
        <v>694.86348385508</v>
      </c>
      <c r="R18" s="119" t="n">
        <f aca="false">(Pipeline!$U$16*Pipeline!$D$16*MIN(1,MAX(0,(16-Pipeline!$E$16+1)/MAX(Pipeline!$F$16,1)))+Pipeline!$U$17*Pipeline!$D$17*MIN(1,MAX(0,(16-Pipeline!$E$17+1)/MAX(Pipeline!$F$17,1)))+Pipeline!$U$18*Pipeline!$D$18*MIN(1,MAX(0,(16-Pipeline!$E$18+1)/MAX(Pipeline!$F$18,1)))+Pipeline!$U$19*Pipeline!$D$19*MIN(1,MAX(0,(16-Pipeline!$E$19+1)/MAX(Pipeline!$F$19,1)))+Pipeline!$U$20*Pipeline!$D$20*MIN(1,MAX(0,(16-Pipeline!$E$20+1)/MAX(Pipeline!$F$20,1)))+Pipeline!$U$21*Pipeline!$D$21*MIN(1,MAX(0,(16-Pipeline!$E$21+1)/MAX(Pipeline!$F$21,1)))+Pipeline!$U$22*Pipeline!$D$22*MIN(1,MAX(0,(16-Pipeline!$E$22+1)/MAX(Pipeline!$F$22,1))))/Hipótesis!$F$17</f>
        <v>738.435824033755</v>
      </c>
      <c r="S18" s="119" t="n">
        <f aca="false">(Pipeline!$U$16*Pipeline!$D$16*MIN(1,MAX(0,(17-Pipeline!$E$16+1)/MAX(Pipeline!$F$16,1)))+Pipeline!$U$17*Pipeline!$D$17*MIN(1,MAX(0,(17-Pipeline!$E$17+1)/MAX(Pipeline!$F$17,1)))+Pipeline!$U$18*Pipeline!$D$18*MIN(1,MAX(0,(17-Pipeline!$E$18+1)/MAX(Pipeline!$F$18,1)))+Pipeline!$U$19*Pipeline!$D$19*MIN(1,MAX(0,(17-Pipeline!$E$19+1)/MAX(Pipeline!$F$19,1)))+Pipeline!$U$20*Pipeline!$D$20*MIN(1,MAX(0,(17-Pipeline!$E$20+1)/MAX(Pipeline!$F$20,1)))+Pipeline!$U$21*Pipeline!$D$21*MIN(1,MAX(0,(17-Pipeline!$E$21+1)/MAX(Pipeline!$F$21,1)))+Pipeline!$U$22*Pipeline!$D$22*MIN(1,MAX(0,(17-Pipeline!$E$22+1)/MAX(Pipeline!$F$22,1))))/Hipótesis!$F$17</f>
        <v>782.00816421243</v>
      </c>
      <c r="T18" s="119" t="n">
        <f aca="false">(Pipeline!$U$16*Pipeline!$D$16*MIN(1,MAX(0,(18-Pipeline!$E$16+1)/MAX(Pipeline!$F$16,1)))+Pipeline!$U$17*Pipeline!$D$17*MIN(1,MAX(0,(18-Pipeline!$E$17+1)/MAX(Pipeline!$F$17,1)))+Pipeline!$U$18*Pipeline!$D$18*MIN(1,MAX(0,(18-Pipeline!$E$18+1)/MAX(Pipeline!$F$18,1)))+Pipeline!$U$19*Pipeline!$D$19*MIN(1,MAX(0,(18-Pipeline!$E$19+1)/MAX(Pipeline!$F$19,1)))+Pipeline!$U$20*Pipeline!$D$20*MIN(1,MAX(0,(18-Pipeline!$E$20+1)/MAX(Pipeline!$F$20,1)))+Pipeline!$U$21*Pipeline!$D$21*MIN(1,MAX(0,(18-Pipeline!$E$21+1)/MAX(Pipeline!$F$21,1)))+Pipeline!$U$22*Pipeline!$D$22*MIN(1,MAX(0,(18-Pipeline!$E$22+1)/MAX(Pipeline!$F$22,1))))/Hipótesis!$F$17</f>
        <v>825.580504391106</v>
      </c>
      <c r="U18" s="119" t="n">
        <f aca="false">(Pipeline!$U$16*Pipeline!$D$16*MIN(1,MAX(0,(19-Pipeline!$E$16+1)/MAX(Pipeline!$F$16,1)))+Pipeline!$U$17*Pipeline!$D$17*MIN(1,MAX(0,(19-Pipeline!$E$17+1)/MAX(Pipeline!$F$17,1)))+Pipeline!$U$18*Pipeline!$D$18*MIN(1,MAX(0,(19-Pipeline!$E$18+1)/MAX(Pipeline!$F$18,1)))+Pipeline!$U$19*Pipeline!$D$19*MIN(1,MAX(0,(19-Pipeline!$E$19+1)/MAX(Pipeline!$F$19,1)))+Pipeline!$U$20*Pipeline!$D$20*MIN(1,MAX(0,(19-Pipeline!$E$20+1)/MAX(Pipeline!$F$20,1)))+Pipeline!$U$21*Pipeline!$D$21*MIN(1,MAX(0,(19-Pipeline!$E$21+1)/MAX(Pipeline!$F$21,1)))+Pipeline!$U$22*Pipeline!$D$22*MIN(1,MAX(0,(19-Pipeline!$E$22+1)/MAX(Pipeline!$F$22,1))))/Hipótesis!$F$17</f>
        <v>869.15284456978</v>
      </c>
      <c r="V18" s="119" t="n">
        <f aca="false">(Pipeline!$U$16*Pipeline!$D$16*MIN(1,MAX(0,(20-Pipeline!$E$16+1)/MAX(Pipeline!$F$16,1)))+Pipeline!$U$17*Pipeline!$D$17*MIN(1,MAX(0,(20-Pipeline!$E$17+1)/MAX(Pipeline!$F$17,1)))+Pipeline!$U$18*Pipeline!$D$18*MIN(1,MAX(0,(20-Pipeline!$E$18+1)/MAX(Pipeline!$F$18,1)))+Pipeline!$U$19*Pipeline!$D$19*MIN(1,MAX(0,(20-Pipeline!$E$19+1)/MAX(Pipeline!$F$19,1)))+Pipeline!$U$20*Pipeline!$D$20*MIN(1,MAX(0,(20-Pipeline!$E$20+1)/MAX(Pipeline!$F$20,1)))+Pipeline!$U$21*Pipeline!$D$21*MIN(1,MAX(0,(20-Pipeline!$E$21+1)/MAX(Pipeline!$F$21,1)))+Pipeline!$U$22*Pipeline!$D$22*MIN(1,MAX(0,(20-Pipeline!$E$22+1)/MAX(Pipeline!$F$22,1))))/Hipótesis!$F$17</f>
        <v>912.725184748456</v>
      </c>
      <c r="W18" s="119" t="n">
        <f aca="false">(Pipeline!$U$16*Pipeline!$D$16*MIN(1,MAX(0,(21-Pipeline!$E$16+1)/MAX(Pipeline!$F$16,1)))+Pipeline!$U$17*Pipeline!$D$17*MIN(1,MAX(0,(21-Pipeline!$E$17+1)/MAX(Pipeline!$F$17,1)))+Pipeline!$U$18*Pipeline!$D$18*MIN(1,MAX(0,(21-Pipeline!$E$18+1)/MAX(Pipeline!$F$18,1)))+Pipeline!$U$19*Pipeline!$D$19*MIN(1,MAX(0,(21-Pipeline!$E$19+1)/MAX(Pipeline!$F$19,1)))+Pipeline!$U$20*Pipeline!$D$20*MIN(1,MAX(0,(21-Pipeline!$E$20+1)/MAX(Pipeline!$F$20,1)))+Pipeline!$U$21*Pipeline!$D$21*MIN(1,MAX(0,(21-Pipeline!$E$21+1)/MAX(Pipeline!$F$21,1)))+Pipeline!$U$22*Pipeline!$D$22*MIN(1,MAX(0,(21-Pipeline!$E$22+1)/MAX(Pipeline!$F$22,1))))/Hipótesis!$F$17</f>
        <v>956.29752492713</v>
      </c>
      <c r="X18" s="119" t="n">
        <f aca="false">(Pipeline!$U$16*Pipeline!$D$16*MIN(1,MAX(0,(22-Pipeline!$E$16+1)/MAX(Pipeline!$F$16,1)))+Pipeline!$U$17*Pipeline!$D$17*MIN(1,MAX(0,(22-Pipeline!$E$17+1)/MAX(Pipeline!$F$17,1)))+Pipeline!$U$18*Pipeline!$D$18*MIN(1,MAX(0,(22-Pipeline!$E$18+1)/MAX(Pipeline!$F$18,1)))+Pipeline!$U$19*Pipeline!$D$19*MIN(1,MAX(0,(22-Pipeline!$E$19+1)/MAX(Pipeline!$F$19,1)))+Pipeline!$U$20*Pipeline!$D$20*MIN(1,MAX(0,(22-Pipeline!$E$20+1)/MAX(Pipeline!$F$20,1)))+Pipeline!$U$21*Pipeline!$D$21*MIN(1,MAX(0,(22-Pipeline!$E$21+1)/MAX(Pipeline!$F$21,1)))+Pipeline!$U$22*Pipeline!$D$22*MIN(1,MAX(0,(22-Pipeline!$E$22+1)/MAX(Pipeline!$F$22,1))))/Hipótesis!$F$17</f>
        <v>968.74676497818</v>
      </c>
      <c r="Y18" s="119" t="n">
        <f aca="false">(Pipeline!$U$16*Pipeline!$D$16*MIN(1,MAX(0,(23-Pipeline!$E$16+1)/MAX(Pipeline!$F$16,1)))+Pipeline!$U$17*Pipeline!$D$17*MIN(1,MAX(0,(23-Pipeline!$E$17+1)/MAX(Pipeline!$F$17,1)))+Pipeline!$U$18*Pipeline!$D$18*MIN(1,MAX(0,(23-Pipeline!$E$18+1)/MAX(Pipeline!$F$18,1)))+Pipeline!$U$19*Pipeline!$D$19*MIN(1,MAX(0,(23-Pipeline!$E$19+1)/MAX(Pipeline!$F$19,1)))+Pipeline!$U$20*Pipeline!$D$20*MIN(1,MAX(0,(23-Pipeline!$E$20+1)/MAX(Pipeline!$F$20,1)))+Pipeline!$U$21*Pipeline!$D$21*MIN(1,MAX(0,(23-Pipeline!$E$21+1)/MAX(Pipeline!$F$21,1)))+Pipeline!$U$22*Pipeline!$D$22*MIN(1,MAX(0,(23-Pipeline!$E$22+1)/MAX(Pipeline!$F$22,1))))/Hipótesis!$F$17</f>
        <v>981.19600502923</v>
      </c>
      <c r="Z18" s="119" t="n">
        <f aca="false">(Pipeline!$U$16*Pipeline!$D$16*MIN(1,MAX(0,(24-Pipeline!$E$16+1)/MAX(Pipeline!$F$16,1)))+Pipeline!$U$17*Pipeline!$D$17*MIN(1,MAX(0,(24-Pipeline!$E$17+1)/MAX(Pipeline!$F$17,1)))+Pipeline!$U$18*Pipeline!$D$18*MIN(1,MAX(0,(24-Pipeline!$E$18+1)/MAX(Pipeline!$F$18,1)))+Pipeline!$U$19*Pipeline!$D$19*MIN(1,MAX(0,(24-Pipeline!$E$19+1)/MAX(Pipeline!$F$19,1)))+Pipeline!$U$20*Pipeline!$D$20*MIN(1,MAX(0,(24-Pipeline!$E$20+1)/MAX(Pipeline!$F$20,1)))+Pipeline!$U$21*Pipeline!$D$21*MIN(1,MAX(0,(24-Pipeline!$E$21+1)/MAX(Pipeline!$F$21,1)))+Pipeline!$U$22*Pipeline!$D$22*MIN(1,MAX(0,(24-Pipeline!$E$22+1)/MAX(Pipeline!$F$22,1))))/Hipótesis!$F$17</f>
        <v>981.19600502923</v>
      </c>
      <c r="AA18" s="119" t="n">
        <f aca="false">(Pipeline!$U$16*Pipeline!$D$16*MIN(1,MAX(0,(25-Pipeline!$E$16+1)/MAX(Pipeline!$F$16,1)))+Pipeline!$U$17*Pipeline!$D$17*MIN(1,MAX(0,(25-Pipeline!$E$17+1)/MAX(Pipeline!$F$17,1)))+Pipeline!$U$18*Pipeline!$D$18*MIN(1,MAX(0,(25-Pipeline!$E$18+1)/MAX(Pipeline!$F$18,1)))+Pipeline!$U$19*Pipeline!$D$19*MIN(1,MAX(0,(25-Pipeline!$E$19+1)/MAX(Pipeline!$F$19,1)))+Pipeline!$U$20*Pipeline!$D$20*MIN(1,MAX(0,(25-Pipeline!$E$20+1)/MAX(Pipeline!$F$20,1)))+Pipeline!$U$21*Pipeline!$D$21*MIN(1,MAX(0,(25-Pipeline!$E$21+1)/MAX(Pipeline!$F$21,1)))+Pipeline!$U$22*Pipeline!$D$22*MIN(1,MAX(0,(25-Pipeline!$E$22+1)/MAX(Pipeline!$F$22,1))))/Hipótesis!$F$17</f>
        <v>981.19600502923</v>
      </c>
      <c r="AB18" s="119" t="n">
        <f aca="false">(Pipeline!$U$16*Pipeline!$D$16*MIN(1,MAX(0,(26-Pipeline!$E$16+1)/MAX(Pipeline!$F$16,1)))+Pipeline!$U$17*Pipeline!$D$17*MIN(1,MAX(0,(26-Pipeline!$E$17+1)/MAX(Pipeline!$F$17,1)))+Pipeline!$U$18*Pipeline!$D$18*MIN(1,MAX(0,(26-Pipeline!$E$18+1)/MAX(Pipeline!$F$18,1)))+Pipeline!$U$19*Pipeline!$D$19*MIN(1,MAX(0,(26-Pipeline!$E$19+1)/MAX(Pipeline!$F$19,1)))+Pipeline!$U$20*Pipeline!$D$20*MIN(1,MAX(0,(26-Pipeline!$E$20+1)/MAX(Pipeline!$F$20,1)))+Pipeline!$U$21*Pipeline!$D$21*MIN(1,MAX(0,(26-Pipeline!$E$21+1)/MAX(Pipeline!$F$21,1)))+Pipeline!$U$22*Pipeline!$D$22*MIN(1,MAX(0,(26-Pipeline!$E$22+1)/MAX(Pipeline!$F$22,1))))/Hipótesis!$F$17</f>
        <v>981.19600502923</v>
      </c>
      <c r="AC18" s="119" t="n">
        <f aca="false">(Pipeline!$U$16*Pipeline!$D$16*MIN(1,MAX(0,(27-Pipeline!$E$16+1)/MAX(Pipeline!$F$16,1)))+Pipeline!$U$17*Pipeline!$D$17*MIN(1,MAX(0,(27-Pipeline!$E$17+1)/MAX(Pipeline!$F$17,1)))+Pipeline!$U$18*Pipeline!$D$18*MIN(1,MAX(0,(27-Pipeline!$E$18+1)/MAX(Pipeline!$F$18,1)))+Pipeline!$U$19*Pipeline!$D$19*MIN(1,MAX(0,(27-Pipeline!$E$19+1)/MAX(Pipeline!$F$19,1)))+Pipeline!$U$20*Pipeline!$D$20*MIN(1,MAX(0,(27-Pipeline!$E$20+1)/MAX(Pipeline!$F$20,1)))+Pipeline!$U$21*Pipeline!$D$21*MIN(1,MAX(0,(27-Pipeline!$E$21+1)/MAX(Pipeline!$F$21,1)))+Pipeline!$U$22*Pipeline!$D$22*MIN(1,MAX(0,(27-Pipeline!$E$22+1)/MAX(Pipeline!$F$22,1))))/Hipótesis!$F$17</f>
        <v>981.19600502923</v>
      </c>
      <c r="AD18" s="119" t="n">
        <f aca="false">(Pipeline!$U$16*Pipeline!$D$16*MIN(1,MAX(0,(28-Pipeline!$E$16+1)/MAX(Pipeline!$F$16,1)))+Pipeline!$U$17*Pipeline!$D$17*MIN(1,MAX(0,(28-Pipeline!$E$17+1)/MAX(Pipeline!$F$17,1)))+Pipeline!$U$18*Pipeline!$D$18*MIN(1,MAX(0,(28-Pipeline!$E$18+1)/MAX(Pipeline!$F$18,1)))+Pipeline!$U$19*Pipeline!$D$19*MIN(1,MAX(0,(28-Pipeline!$E$19+1)/MAX(Pipeline!$F$19,1)))+Pipeline!$U$20*Pipeline!$D$20*MIN(1,MAX(0,(28-Pipeline!$E$20+1)/MAX(Pipeline!$F$20,1)))+Pipeline!$U$21*Pipeline!$D$21*MIN(1,MAX(0,(28-Pipeline!$E$21+1)/MAX(Pipeline!$F$21,1)))+Pipeline!$U$22*Pipeline!$D$22*MIN(1,MAX(0,(28-Pipeline!$E$22+1)/MAX(Pipeline!$F$22,1))))/Hipótesis!$F$17</f>
        <v>981.19600502923</v>
      </c>
      <c r="AE18" s="119" t="n">
        <f aca="false">(Pipeline!$U$16*Pipeline!$D$16*MIN(1,MAX(0,(29-Pipeline!$E$16+1)/MAX(Pipeline!$F$16,1)))+Pipeline!$U$17*Pipeline!$D$17*MIN(1,MAX(0,(29-Pipeline!$E$17+1)/MAX(Pipeline!$F$17,1)))+Pipeline!$U$18*Pipeline!$D$18*MIN(1,MAX(0,(29-Pipeline!$E$18+1)/MAX(Pipeline!$F$18,1)))+Pipeline!$U$19*Pipeline!$D$19*MIN(1,MAX(0,(29-Pipeline!$E$19+1)/MAX(Pipeline!$F$19,1)))+Pipeline!$U$20*Pipeline!$D$20*MIN(1,MAX(0,(29-Pipeline!$E$20+1)/MAX(Pipeline!$F$20,1)))+Pipeline!$U$21*Pipeline!$D$21*MIN(1,MAX(0,(29-Pipeline!$E$21+1)/MAX(Pipeline!$F$21,1)))+Pipeline!$U$22*Pipeline!$D$22*MIN(1,MAX(0,(29-Pipeline!$E$22+1)/MAX(Pipeline!$F$22,1))))/Hipótesis!$F$17</f>
        <v>981.19600502923</v>
      </c>
      <c r="AF18" s="119" t="n">
        <f aca="false">(Pipeline!$U$16*Pipeline!$D$16*MIN(1,MAX(0,(30-Pipeline!$E$16+1)/MAX(Pipeline!$F$16,1)))+Pipeline!$U$17*Pipeline!$D$17*MIN(1,MAX(0,(30-Pipeline!$E$17+1)/MAX(Pipeline!$F$17,1)))+Pipeline!$U$18*Pipeline!$D$18*MIN(1,MAX(0,(30-Pipeline!$E$18+1)/MAX(Pipeline!$F$18,1)))+Pipeline!$U$19*Pipeline!$D$19*MIN(1,MAX(0,(30-Pipeline!$E$19+1)/MAX(Pipeline!$F$19,1)))+Pipeline!$U$20*Pipeline!$D$20*MIN(1,MAX(0,(30-Pipeline!$E$20+1)/MAX(Pipeline!$F$20,1)))+Pipeline!$U$21*Pipeline!$D$21*MIN(1,MAX(0,(30-Pipeline!$E$21+1)/MAX(Pipeline!$F$21,1)))+Pipeline!$U$22*Pipeline!$D$22*MIN(1,MAX(0,(30-Pipeline!$E$22+1)/MAX(Pipeline!$F$22,1))))/Hipótesis!$F$17</f>
        <v>981.19600502923</v>
      </c>
      <c r="AG18" s="119" t="n">
        <f aca="false">(Pipeline!$U$16*Pipeline!$D$16*MIN(1,MAX(0,(31-Pipeline!$E$16+1)/MAX(Pipeline!$F$16,1)))+Pipeline!$U$17*Pipeline!$D$17*MIN(1,MAX(0,(31-Pipeline!$E$17+1)/MAX(Pipeline!$F$17,1)))+Pipeline!$U$18*Pipeline!$D$18*MIN(1,MAX(0,(31-Pipeline!$E$18+1)/MAX(Pipeline!$F$18,1)))+Pipeline!$U$19*Pipeline!$D$19*MIN(1,MAX(0,(31-Pipeline!$E$19+1)/MAX(Pipeline!$F$19,1)))+Pipeline!$U$20*Pipeline!$D$20*MIN(1,MAX(0,(31-Pipeline!$E$20+1)/MAX(Pipeline!$F$20,1)))+Pipeline!$U$21*Pipeline!$D$21*MIN(1,MAX(0,(31-Pipeline!$E$21+1)/MAX(Pipeline!$F$21,1)))+Pipeline!$U$22*Pipeline!$D$22*MIN(1,MAX(0,(31-Pipeline!$E$22+1)/MAX(Pipeline!$F$22,1))))/Hipótesis!$F$17</f>
        <v>981.19600502923</v>
      </c>
      <c r="AH18" s="119" t="n">
        <f aca="false">(Pipeline!$U$16*Pipeline!$D$16*MIN(1,MAX(0,(32-Pipeline!$E$16+1)/MAX(Pipeline!$F$16,1)))+Pipeline!$U$17*Pipeline!$D$17*MIN(1,MAX(0,(32-Pipeline!$E$17+1)/MAX(Pipeline!$F$17,1)))+Pipeline!$U$18*Pipeline!$D$18*MIN(1,MAX(0,(32-Pipeline!$E$18+1)/MAX(Pipeline!$F$18,1)))+Pipeline!$U$19*Pipeline!$D$19*MIN(1,MAX(0,(32-Pipeline!$E$19+1)/MAX(Pipeline!$F$19,1)))+Pipeline!$U$20*Pipeline!$D$20*MIN(1,MAX(0,(32-Pipeline!$E$20+1)/MAX(Pipeline!$F$20,1)))+Pipeline!$U$21*Pipeline!$D$21*MIN(1,MAX(0,(32-Pipeline!$E$21+1)/MAX(Pipeline!$F$21,1)))+Pipeline!$U$22*Pipeline!$D$22*MIN(1,MAX(0,(32-Pipeline!$E$22+1)/MAX(Pipeline!$F$22,1))))/Hipótesis!$F$17</f>
        <v>981.19600502923</v>
      </c>
      <c r="AI18" s="119" t="n">
        <f aca="false">(Pipeline!$U$16*Pipeline!$D$16*MIN(1,MAX(0,(33-Pipeline!$E$16+1)/MAX(Pipeline!$F$16,1)))+Pipeline!$U$17*Pipeline!$D$17*MIN(1,MAX(0,(33-Pipeline!$E$17+1)/MAX(Pipeline!$F$17,1)))+Pipeline!$U$18*Pipeline!$D$18*MIN(1,MAX(0,(33-Pipeline!$E$18+1)/MAX(Pipeline!$F$18,1)))+Pipeline!$U$19*Pipeline!$D$19*MIN(1,MAX(0,(33-Pipeline!$E$19+1)/MAX(Pipeline!$F$19,1)))+Pipeline!$U$20*Pipeline!$D$20*MIN(1,MAX(0,(33-Pipeline!$E$20+1)/MAX(Pipeline!$F$20,1)))+Pipeline!$U$21*Pipeline!$D$21*MIN(1,MAX(0,(33-Pipeline!$E$21+1)/MAX(Pipeline!$F$21,1)))+Pipeline!$U$22*Pipeline!$D$22*MIN(1,MAX(0,(33-Pipeline!$E$22+1)/MAX(Pipeline!$F$22,1))))/Hipótesis!$F$17</f>
        <v>981.19600502923</v>
      </c>
      <c r="AJ18" s="119" t="n">
        <f aca="false">(Pipeline!$U$16*Pipeline!$D$16*MIN(1,MAX(0,(34-Pipeline!$E$16+1)/MAX(Pipeline!$F$16,1)))+Pipeline!$U$17*Pipeline!$D$17*MIN(1,MAX(0,(34-Pipeline!$E$17+1)/MAX(Pipeline!$F$17,1)))+Pipeline!$U$18*Pipeline!$D$18*MIN(1,MAX(0,(34-Pipeline!$E$18+1)/MAX(Pipeline!$F$18,1)))+Pipeline!$U$19*Pipeline!$D$19*MIN(1,MAX(0,(34-Pipeline!$E$19+1)/MAX(Pipeline!$F$19,1)))+Pipeline!$U$20*Pipeline!$D$20*MIN(1,MAX(0,(34-Pipeline!$E$20+1)/MAX(Pipeline!$F$20,1)))+Pipeline!$U$21*Pipeline!$D$21*MIN(1,MAX(0,(34-Pipeline!$E$21+1)/MAX(Pipeline!$F$21,1)))+Pipeline!$U$22*Pipeline!$D$22*MIN(1,MAX(0,(34-Pipeline!$E$22+1)/MAX(Pipeline!$F$22,1))))/Hipótesis!$F$17</f>
        <v>981.19600502923</v>
      </c>
      <c r="AK18" s="119" t="n">
        <f aca="false">(Pipeline!$U$16*Pipeline!$D$16*MIN(1,MAX(0,(35-Pipeline!$E$16+1)/MAX(Pipeline!$F$16,1)))+Pipeline!$U$17*Pipeline!$D$17*MIN(1,MAX(0,(35-Pipeline!$E$17+1)/MAX(Pipeline!$F$17,1)))+Pipeline!$U$18*Pipeline!$D$18*MIN(1,MAX(0,(35-Pipeline!$E$18+1)/MAX(Pipeline!$F$18,1)))+Pipeline!$U$19*Pipeline!$D$19*MIN(1,MAX(0,(35-Pipeline!$E$19+1)/MAX(Pipeline!$F$19,1)))+Pipeline!$U$20*Pipeline!$D$20*MIN(1,MAX(0,(35-Pipeline!$E$20+1)/MAX(Pipeline!$F$20,1)))+Pipeline!$U$21*Pipeline!$D$21*MIN(1,MAX(0,(35-Pipeline!$E$21+1)/MAX(Pipeline!$F$21,1)))+Pipeline!$U$22*Pipeline!$D$22*MIN(1,MAX(0,(35-Pipeline!$E$22+1)/MAX(Pipeline!$F$22,1))))/Hipótesis!$F$17</f>
        <v>981.19600502923</v>
      </c>
      <c r="AL18" s="119" t="n">
        <f aca="false">(Pipeline!$U$16*Pipeline!$D$16*MIN(1,MAX(0,(36-Pipeline!$E$16+1)/MAX(Pipeline!$F$16,1)))+Pipeline!$U$17*Pipeline!$D$17*MIN(1,MAX(0,(36-Pipeline!$E$17+1)/MAX(Pipeline!$F$17,1)))+Pipeline!$U$18*Pipeline!$D$18*MIN(1,MAX(0,(36-Pipeline!$E$18+1)/MAX(Pipeline!$F$18,1)))+Pipeline!$U$19*Pipeline!$D$19*MIN(1,MAX(0,(36-Pipeline!$E$19+1)/MAX(Pipeline!$F$19,1)))+Pipeline!$U$20*Pipeline!$D$20*MIN(1,MAX(0,(36-Pipeline!$E$20+1)/MAX(Pipeline!$F$20,1)))+Pipeline!$U$21*Pipeline!$D$21*MIN(1,MAX(0,(36-Pipeline!$E$21+1)/MAX(Pipeline!$F$21,1)))+Pipeline!$U$22*Pipeline!$D$22*MIN(1,MAX(0,(36-Pipeline!$E$22+1)/MAX(Pipeline!$F$22,1))))/Hipótesis!$F$17</f>
        <v>981.19600502923</v>
      </c>
      <c r="AM18" s="119" t="n">
        <f aca="false">(Pipeline!$U$16*Pipeline!$D$16*MIN(1,MAX(0,(37-Pipeline!$E$16+1)/MAX(Pipeline!$F$16,1)))+Pipeline!$U$17*Pipeline!$D$17*MIN(1,MAX(0,(37-Pipeline!$E$17+1)/MAX(Pipeline!$F$17,1)))+Pipeline!$U$18*Pipeline!$D$18*MIN(1,MAX(0,(37-Pipeline!$E$18+1)/MAX(Pipeline!$F$18,1)))+Pipeline!$U$19*Pipeline!$D$19*MIN(1,MAX(0,(37-Pipeline!$E$19+1)/MAX(Pipeline!$F$19,1)))+Pipeline!$U$20*Pipeline!$D$20*MIN(1,MAX(0,(37-Pipeline!$E$20+1)/MAX(Pipeline!$F$20,1)))+Pipeline!$U$21*Pipeline!$D$21*MIN(1,MAX(0,(37-Pipeline!$E$21+1)/MAX(Pipeline!$F$21,1)))+Pipeline!$U$22*Pipeline!$D$22*MIN(1,MAX(0,(37-Pipeline!$E$22+1)/MAX(Pipeline!$F$22,1))))/Hipótesis!$F$17</f>
        <v>981.19600502923</v>
      </c>
      <c r="AN18" s="119" t="n">
        <f aca="false">(Pipeline!$U$16*Pipeline!$D$16*MIN(1,MAX(0,(38-Pipeline!$E$16+1)/MAX(Pipeline!$F$16,1)))+Pipeline!$U$17*Pipeline!$D$17*MIN(1,MAX(0,(38-Pipeline!$E$17+1)/MAX(Pipeline!$F$17,1)))+Pipeline!$U$18*Pipeline!$D$18*MIN(1,MAX(0,(38-Pipeline!$E$18+1)/MAX(Pipeline!$F$18,1)))+Pipeline!$U$19*Pipeline!$D$19*MIN(1,MAX(0,(38-Pipeline!$E$19+1)/MAX(Pipeline!$F$19,1)))+Pipeline!$U$20*Pipeline!$D$20*MIN(1,MAX(0,(38-Pipeline!$E$20+1)/MAX(Pipeline!$F$20,1)))+Pipeline!$U$21*Pipeline!$D$21*MIN(1,MAX(0,(38-Pipeline!$E$21+1)/MAX(Pipeline!$F$21,1)))+Pipeline!$U$22*Pipeline!$D$22*MIN(1,MAX(0,(38-Pipeline!$E$22+1)/MAX(Pipeline!$F$22,1))))/Hipótesis!$F$17</f>
        <v>981.19600502923</v>
      </c>
      <c r="AO18" s="119" t="n">
        <f aca="false">(Pipeline!$U$16*Pipeline!$D$16*MIN(1,MAX(0,(39-Pipeline!$E$16+1)/MAX(Pipeline!$F$16,1)))+Pipeline!$U$17*Pipeline!$D$17*MIN(1,MAX(0,(39-Pipeline!$E$17+1)/MAX(Pipeline!$F$17,1)))+Pipeline!$U$18*Pipeline!$D$18*MIN(1,MAX(0,(39-Pipeline!$E$18+1)/MAX(Pipeline!$F$18,1)))+Pipeline!$U$19*Pipeline!$D$19*MIN(1,MAX(0,(39-Pipeline!$E$19+1)/MAX(Pipeline!$F$19,1)))+Pipeline!$U$20*Pipeline!$D$20*MIN(1,MAX(0,(39-Pipeline!$E$20+1)/MAX(Pipeline!$F$20,1)))+Pipeline!$U$21*Pipeline!$D$21*MIN(1,MAX(0,(39-Pipeline!$E$21+1)/MAX(Pipeline!$F$21,1)))+Pipeline!$U$22*Pipeline!$D$22*MIN(1,MAX(0,(39-Pipeline!$E$22+1)/MAX(Pipeline!$F$22,1))))/Hipótesis!$F$17</f>
        <v>981.19600502923</v>
      </c>
      <c r="AP18" s="119" t="n">
        <f aca="false">(Pipeline!$U$16*Pipeline!$D$16*MIN(1,MAX(0,(40-Pipeline!$E$16+1)/MAX(Pipeline!$F$16,1)))+Pipeline!$U$17*Pipeline!$D$17*MIN(1,MAX(0,(40-Pipeline!$E$17+1)/MAX(Pipeline!$F$17,1)))+Pipeline!$U$18*Pipeline!$D$18*MIN(1,MAX(0,(40-Pipeline!$E$18+1)/MAX(Pipeline!$F$18,1)))+Pipeline!$U$19*Pipeline!$D$19*MIN(1,MAX(0,(40-Pipeline!$E$19+1)/MAX(Pipeline!$F$19,1)))+Pipeline!$U$20*Pipeline!$D$20*MIN(1,MAX(0,(40-Pipeline!$E$20+1)/MAX(Pipeline!$F$20,1)))+Pipeline!$U$21*Pipeline!$D$21*MIN(1,MAX(0,(40-Pipeline!$E$21+1)/MAX(Pipeline!$F$21,1)))+Pipeline!$U$22*Pipeline!$D$22*MIN(1,MAX(0,(40-Pipeline!$E$22+1)/MAX(Pipeline!$F$22,1))))/Hipótesis!$F$17</f>
        <v>981.19600502923</v>
      </c>
      <c r="AQ18" s="119" t="n">
        <f aca="false">(Pipeline!$U$16*Pipeline!$D$16*MIN(1,MAX(0,(41-Pipeline!$E$16+1)/MAX(Pipeline!$F$16,1)))+Pipeline!$U$17*Pipeline!$D$17*MIN(1,MAX(0,(41-Pipeline!$E$17+1)/MAX(Pipeline!$F$17,1)))+Pipeline!$U$18*Pipeline!$D$18*MIN(1,MAX(0,(41-Pipeline!$E$18+1)/MAX(Pipeline!$F$18,1)))+Pipeline!$U$19*Pipeline!$D$19*MIN(1,MAX(0,(41-Pipeline!$E$19+1)/MAX(Pipeline!$F$19,1)))+Pipeline!$U$20*Pipeline!$D$20*MIN(1,MAX(0,(41-Pipeline!$E$20+1)/MAX(Pipeline!$F$20,1)))+Pipeline!$U$21*Pipeline!$D$21*MIN(1,MAX(0,(41-Pipeline!$E$21+1)/MAX(Pipeline!$F$21,1)))+Pipeline!$U$22*Pipeline!$D$22*MIN(1,MAX(0,(41-Pipeline!$E$22+1)/MAX(Pipeline!$F$22,1))))/Hipótesis!$F$17</f>
        <v>981.19600502923</v>
      </c>
      <c r="AR18" s="119" t="n">
        <f aca="false">(Pipeline!$U$16*Pipeline!$D$16*MIN(1,MAX(0,(42-Pipeline!$E$16+1)/MAX(Pipeline!$F$16,1)))+Pipeline!$U$17*Pipeline!$D$17*MIN(1,MAX(0,(42-Pipeline!$E$17+1)/MAX(Pipeline!$F$17,1)))+Pipeline!$U$18*Pipeline!$D$18*MIN(1,MAX(0,(42-Pipeline!$E$18+1)/MAX(Pipeline!$F$18,1)))+Pipeline!$U$19*Pipeline!$D$19*MIN(1,MAX(0,(42-Pipeline!$E$19+1)/MAX(Pipeline!$F$19,1)))+Pipeline!$U$20*Pipeline!$D$20*MIN(1,MAX(0,(42-Pipeline!$E$20+1)/MAX(Pipeline!$F$20,1)))+Pipeline!$U$21*Pipeline!$D$21*MIN(1,MAX(0,(42-Pipeline!$E$21+1)/MAX(Pipeline!$F$21,1)))+Pipeline!$U$22*Pipeline!$D$22*MIN(1,MAX(0,(42-Pipeline!$E$22+1)/MAX(Pipeline!$F$22,1))))/Hipótesis!$F$17</f>
        <v>981.19600502923</v>
      </c>
      <c r="AS18" s="119" t="n">
        <f aca="false">(Pipeline!$U$16*Pipeline!$D$16*MIN(1,MAX(0,(43-Pipeline!$E$16+1)/MAX(Pipeline!$F$16,1)))+Pipeline!$U$17*Pipeline!$D$17*MIN(1,MAX(0,(43-Pipeline!$E$17+1)/MAX(Pipeline!$F$17,1)))+Pipeline!$U$18*Pipeline!$D$18*MIN(1,MAX(0,(43-Pipeline!$E$18+1)/MAX(Pipeline!$F$18,1)))+Pipeline!$U$19*Pipeline!$D$19*MIN(1,MAX(0,(43-Pipeline!$E$19+1)/MAX(Pipeline!$F$19,1)))+Pipeline!$U$20*Pipeline!$D$20*MIN(1,MAX(0,(43-Pipeline!$E$20+1)/MAX(Pipeline!$F$20,1)))+Pipeline!$U$21*Pipeline!$D$21*MIN(1,MAX(0,(43-Pipeline!$E$21+1)/MAX(Pipeline!$F$21,1)))+Pipeline!$U$22*Pipeline!$D$22*MIN(1,MAX(0,(43-Pipeline!$E$22+1)/MAX(Pipeline!$F$22,1))))/Hipótesis!$F$17</f>
        <v>981.19600502923</v>
      </c>
      <c r="AT18" s="119" t="n">
        <f aca="false">(Pipeline!$U$16*Pipeline!$D$16*MIN(1,MAX(0,(44-Pipeline!$E$16+1)/MAX(Pipeline!$F$16,1)))+Pipeline!$U$17*Pipeline!$D$17*MIN(1,MAX(0,(44-Pipeline!$E$17+1)/MAX(Pipeline!$F$17,1)))+Pipeline!$U$18*Pipeline!$D$18*MIN(1,MAX(0,(44-Pipeline!$E$18+1)/MAX(Pipeline!$F$18,1)))+Pipeline!$U$19*Pipeline!$D$19*MIN(1,MAX(0,(44-Pipeline!$E$19+1)/MAX(Pipeline!$F$19,1)))+Pipeline!$U$20*Pipeline!$D$20*MIN(1,MAX(0,(44-Pipeline!$E$20+1)/MAX(Pipeline!$F$20,1)))+Pipeline!$U$21*Pipeline!$D$21*MIN(1,MAX(0,(44-Pipeline!$E$21+1)/MAX(Pipeline!$F$21,1)))+Pipeline!$U$22*Pipeline!$D$22*MIN(1,MAX(0,(44-Pipeline!$E$22+1)/MAX(Pipeline!$F$22,1))))/Hipótesis!$F$17</f>
        <v>981.19600502923</v>
      </c>
      <c r="AU18" s="119" t="n">
        <f aca="false">(Pipeline!$U$16*Pipeline!$D$16*MIN(1,MAX(0,(45-Pipeline!$E$16+1)/MAX(Pipeline!$F$16,1)))+Pipeline!$U$17*Pipeline!$D$17*MIN(1,MAX(0,(45-Pipeline!$E$17+1)/MAX(Pipeline!$F$17,1)))+Pipeline!$U$18*Pipeline!$D$18*MIN(1,MAX(0,(45-Pipeline!$E$18+1)/MAX(Pipeline!$F$18,1)))+Pipeline!$U$19*Pipeline!$D$19*MIN(1,MAX(0,(45-Pipeline!$E$19+1)/MAX(Pipeline!$F$19,1)))+Pipeline!$U$20*Pipeline!$D$20*MIN(1,MAX(0,(45-Pipeline!$E$20+1)/MAX(Pipeline!$F$20,1)))+Pipeline!$U$21*Pipeline!$D$21*MIN(1,MAX(0,(45-Pipeline!$E$21+1)/MAX(Pipeline!$F$21,1)))+Pipeline!$U$22*Pipeline!$D$22*MIN(1,MAX(0,(45-Pipeline!$E$22+1)/MAX(Pipeline!$F$22,1))))/Hipótesis!$F$17</f>
        <v>981.19600502923</v>
      </c>
      <c r="AV18" s="119" t="n">
        <f aca="false">(Pipeline!$U$16*Pipeline!$D$16*MIN(1,MAX(0,(46-Pipeline!$E$16+1)/MAX(Pipeline!$F$16,1)))+Pipeline!$U$17*Pipeline!$D$17*MIN(1,MAX(0,(46-Pipeline!$E$17+1)/MAX(Pipeline!$F$17,1)))+Pipeline!$U$18*Pipeline!$D$18*MIN(1,MAX(0,(46-Pipeline!$E$18+1)/MAX(Pipeline!$F$18,1)))+Pipeline!$U$19*Pipeline!$D$19*MIN(1,MAX(0,(46-Pipeline!$E$19+1)/MAX(Pipeline!$F$19,1)))+Pipeline!$U$20*Pipeline!$D$20*MIN(1,MAX(0,(46-Pipeline!$E$20+1)/MAX(Pipeline!$F$20,1)))+Pipeline!$U$21*Pipeline!$D$21*MIN(1,MAX(0,(46-Pipeline!$E$21+1)/MAX(Pipeline!$F$21,1)))+Pipeline!$U$22*Pipeline!$D$22*MIN(1,MAX(0,(46-Pipeline!$E$22+1)/MAX(Pipeline!$F$22,1))))/Hipótesis!$F$17</f>
        <v>981.19600502923</v>
      </c>
      <c r="AW18" s="119" t="n">
        <f aca="false">(Pipeline!$U$16*Pipeline!$D$16*MIN(1,MAX(0,(47-Pipeline!$E$16+1)/MAX(Pipeline!$F$16,1)))+Pipeline!$U$17*Pipeline!$D$17*MIN(1,MAX(0,(47-Pipeline!$E$17+1)/MAX(Pipeline!$F$17,1)))+Pipeline!$U$18*Pipeline!$D$18*MIN(1,MAX(0,(47-Pipeline!$E$18+1)/MAX(Pipeline!$F$18,1)))+Pipeline!$U$19*Pipeline!$D$19*MIN(1,MAX(0,(47-Pipeline!$E$19+1)/MAX(Pipeline!$F$19,1)))+Pipeline!$U$20*Pipeline!$D$20*MIN(1,MAX(0,(47-Pipeline!$E$20+1)/MAX(Pipeline!$F$20,1)))+Pipeline!$U$21*Pipeline!$D$21*MIN(1,MAX(0,(47-Pipeline!$E$21+1)/MAX(Pipeline!$F$21,1)))+Pipeline!$U$22*Pipeline!$D$22*MIN(1,MAX(0,(47-Pipeline!$E$22+1)/MAX(Pipeline!$F$22,1))))/Hipótesis!$F$17</f>
        <v>981.19600502923</v>
      </c>
      <c r="AX18" s="119" t="n">
        <f aca="false">(Pipeline!$U$16*Pipeline!$D$16*MIN(1,MAX(0,(48-Pipeline!$E$16+1)/MAX(Pipeline!$F$16,1)))+Pipeline!$U$17*Pipeline!$D$17*MIN(1,MAX(0,(48-Pipeline!$E$17+1)/MAX(Pipeline!$F$17,1)))+Pipeline!$U$18*Pipeline!$D$18*MIN(1,MAX(0,(48-Pipeline!$E$18+1)/MAX(Pipeline!$F$18,1)))+Pipeline!$U$19*Pipeline!$D$19*MIN(1,MAX(0,(48-Pipeline!$E$19+1)/MAX(Pipeline!$F$19,1)))+Pipeline!$U$20*Pipeline!$D$20*MIN(1,MAX(0,(48-Pipeline!$E$20+1)/MAX(Pipeline!$F$20,1)))+Pipeline!$U$21*Pipeline!$D$21*MIN(1,MAX(0,(48-Pipeline!$E$21+1)/MAX(Pipeline!$F$21,1)))+Pipeline!$U$22*Pipeline!$D$22*MIN(1,MAX(0,(48-Pipeline!$E$22+1)/MAX(Pipeline!$F$22,1))))/Hipótesis!$F$17</f>
        <v>981.19600502923</v>
      </c>
      <c r="AY18" s="119" t="n">
        <f aca="false">(Pipeline!$U$16*Pipeline!$D$16*MIN(1,MAX(0,(49-Pipeline!$E$16+1)/MAX(Pipeline!$F$16,1)))+Pipeline!$U$17*Pipeline!$D$17*MIN(1,MAX(0,(49-Pipeline!$E$17+1)/MAX(Pipeline!$F$17,1)))+Pipeline!$U$18*Pipeline!$D$18*MIN(1,MAX(0,(49-Pipeline!$E$18+1)/MAX(Pipeline!$F$18,1)))+Pipeline!$U$19*Pipeline!$D$19*MIN(1,MAX(0,(49-Pipeline!$E$19+1)/MAX(Pipeline!$F$19,1)))+Pipeline!$U$20*Pipeline!$D$20*MIN(1,MAX(0,(49-Pipeline!$E$20+1)/MAX(Pipeline!$F$20,1)))+Pipeline!$U$21*Pipeline!$D$21*MIN(1,MAX(0,(49-Pipeline!$E$21+1)/MAX(Pipeline!$F$21,1)))+Pipeline!$U$22*Pipeline!$D$22*MIN(1,MAX(0,(49-Pipeline!$E$22+1)/MAX(Pipeline!$F$22,1))))/Hipótesis!$F$17</f>
        <v>981.19600502923</v>
      </c>
      <c r="AZ18" s="119" t="n">
        <f aca="false">(Pipeline!$U$16*Pipeline!$D$16*MIN(1,MAX(0,(50-Pipeline!$E$16+1)/MAX(Pipeline!$F$16,1)))+Pipeline!$U$17*Pipeline!$D$17*MIN(1,MAX(0,(50-Pipeline!$E$17+1)/MAX(Pipeline!$F$17,1)))+Pipeline!$U$18*Pipeline!$D$18*MIN(1,MAX(0,(50-Pipeline!$E$18+1)/MAX(Pipeline!$F$18,1)))+Pipeline!$U$19*Pipeline!$D$19*MIN(1,MAX(0,(50-Pipeline!$E$19+1)/MAX(Pipeline!$F$19,1)))+Pipeline!$U$20*Pipeline!$D$20*MIN(1,MAX(0,(50-Pipeline!$E$20+1)/MAX(Pipeline!$F$20,1)))+Pipeline!$U$21*Pipeline!$D$21*MIN(1,MAX(0,(50-Pipeline!$E$21+1)/MAX(Pipeline!$F$21,1)))+Pipeline!$U$22*Pipeline!$D$22*MIN(1,MAX(0,(50-Pipeline!$E$22+1)/MAX(Pipeline!$F$22,1))))/Hipótesis!$F$17</f>
        <v>981.19600502923</v>
      </c>
      <c r="BA18" s="119" t="n">
        <f aca="false">(Pipeline!$U$16*Pipeline!$D$16*MIN(1,MAX(0,(51-Pipeline!$E$16+1)/MAX(Pipeline!$F$16,1)))+Pipeline!$U$17*Pipeline!$D$17*MIN(1,MAX(0,(51-Pipeline!$E$17+1)/MAX(Pipeline!$F$17,1)))+Pipeline!$U$18*Pipeline!$D$18*MIN(1,MAX(0,(51-Pipeline!$E$18+1)/MAX(Pipeline!$F$18,1)))+Pipeline!$U$19*Pipeline!$D$19*MIN(1,MAX(0,(51-Pipeline!$E$19+1)/MAX(Pipeline!$F$19,1)))+Pipeline!$U$20*Pipeline!$D$20*MIN(1,MAX(0,(51-Pipeline!$E$20+1)/MAX(Pipeline!$F$20,1)))+Pipeline!$U$21*Pipeline!$D$21*MIN(1,MAX(0,(51-Pipeline!$E$21+1)/MAX(Pipeline!$F$21,1)))+Pipeline!$U$22*Pipeline!$D$22*MIN(1,MAX(0,(51-Pipeline!$E$22+1)/MAX(Pipeline!$F$22,1))))/Hipótesis!$F$17</f>
        <v>981.19600502923</v>
      </c>
      <c r="BB18" s="119" t="n">
        <f aca="false">(Pipeline!$U$16*Pipeline!$D$16*MIN(1,MAX(0,(52-Pipeline!$E$16+1)/MAX(Pipeline!$F$16,1)))+Pipeline!$U$17*Pipeline!$D$17*MIN(1,MAX(0,(52-Pipeline!$E$17+1)/MAX(Pipeline!$F$17,1)))+Pipeline!$U$18*Pipeline!$D$18*MIN(1,MAX(0,(52-Pipeline!$E$18+1)/MAX(Pipeline!$F$18,1)))+Pipeline!$U$19*Pipeline!$D$19*MIN(1,MAX(0,(52-Pipeline!$E$19+1)/MAX(Pipeline!$F$19,1)))+Pipeline!$U$20*Pipeline!$D$20*MIN(1,MAX(0,(52-Pipeline!$E$20+1)/MAX(Pipeline!$F$20,1)))+Pipeline!$U$21*Pipeline!$D$21*MIN(1,MAX(0,(52-Pipeline!$E$21+1)/MAX(Pipeline!$F$21,1)))+Pipeline!$U$22*Pipeline!$D$22*MIN(1,MAX(0,(52-Pipeline!$E$22+1)/MAX(Pipeline!$F$22,1))))/Hipótesis!$F$17</f>
        <v>981.19600502923</v>
      </c>
      <c r="BC18" s="119" t="n">
        <f aca="false">(Pipeline!$U$16*Pipeline!$D$16*MIN(1,MAX(0,(53-Pipeline!$E$16+1)/MAX(Pipeline!$F$16,1)))+Pipeline!$U$17*Pipeline!$D$17*MIN(1,MAX(0,(53-Pipeline!$E$17+1)/MAX(Pipeline!$F$17,1)))+Pipeline!$U$18*Pipeline!$D$18*MIN(1,MAX(0,(53-Pipeline!$E$18+1)/MAX(Pipeline!$F$18,1)))+Pipeline!$U$19*Pipeline!$D$19*MIN(1,MAX(0,(53-Pipeline!$E$19+1)/MAX(Pipeline!$F$19,1)))+Pipeline!$U$20*Pipeline!$D$20*MIN(1,MAX(0,(53-Pipeline!$E$20+1)/MAX(Pipeline!$F$20,1)))+Pipeline!$U$21*Pipeline!$D$21*MIN(1,MAX(0,(53-Pipeline!$E$21+1)/MAX(Pipeline!$F$21,1)))+Pipeline!$U$22*Pipeline!$D$22*MIN(1,MAX(0,(53-Pipeline!$E$22+1)/MAX(Pipeline!$F$22,1))))/Hipótesis!$F$17</f>
        <v>981.19600502923</v>
      </c>
      <c r="BD18" s="119" t="n">
        <f aca="false">(Pipeline!$U$16*Pipeline!$D$16*MIN(1,MAX(0,(54-Pipeline!$E$16+1)/MAX(Pipeline!$F$16,1)))+Pipeline!$U$17*Pipeline!$D$17*MIN(1,MAX(0,(54-Pipeline!$E$17+1)/MAX(Pipeline!$F$17,1)))+Pipeline!$U$18*Pipeline!$D$18*MIN(1,MAX(0,(54-Pipeline!$E$18+1)/MAX(Pipeline!$F$18,1)))+Pipeline!$U$19*Pipeline!$D$19*MIN(1,MAX(0,(54-Pipeline!$E$19+1)/MAX(Pipeline!$F$19,1)))+Pipeline!$U$20*Pipeline!$D$20*MIN(1,MAX(0,(54-Pipeline!$E$20+1)/MAX(Pipeline!$F$20,1)))+Pipeline!$U$21*Pipeline!$D$21*MIN(1,MAX(0,(54-Pipeline!$E$21+1)/MAX(Pipeline!$F$21,1)))+Pipeline!$U$22*Pipeline!$D$22*MIN(1,MAX(0,(54-Pipeline!$E$22+1)/MAX(Pipeline!$F$22,1))))/Hipótesis!$F$17</f>
        <v>981.19600502923</v>
      </c>
      <c r="BE18" s="119" t="n">
        <f aca="false">(Pipeline!$U$16*Pipeline!$D$16*MIN(1,MAX(0,(55-Pipeline!$E$16+1)/MAX(Pipeline!$F$16,1)))+Pipeline!$U$17*Pipeline!$D$17*MIN(1,MAX(0,(55-Pipeline!$E$17+1)/MAX(Pipeline!$F$17,1)))+Pipeline!$U$18*Pipeline!$D$18*MIN(1,MAX(0,(55-Pipeline!$E$18+1)/MAX(Pipeline!$F$18,1)))+Pipeline!$U$19*Pipeline!$D$19*MIN(1,MAX(0,(55-Pipeline!$E$19+1)/MAX(Pipeline!$F$19,1)))+Pipeline!$U$20*Pipeline!$D$20*MIN(1,MAX(0,(55-Pipeline!$E$20+1)/MAX(Pipeline!$F$20,1)))+Pipeline!$U$21*Pipeline!$D$21*MIN(1,MAX(0,(55-Pipeline!$E$21+1)/MAX(Pipeline!$F$21,1)))+Pipeline!$U$22*Pipeline!$D$22*MIN(1,MAX(0,(55-Pipeline!$E$22+1)/MAX(Pipeline!$F$22,1))))/Hipótesis!$F$17</f>
        <v>981.19600502923</v>
      </c>
      <c r="BF18" s="119" t="n">
        <f aca="false">(Pipeline!$U$16*Pipeline!$D$16*MIN(1,MAX(0,(56-Pipeline!$E$16+1)/MAX(Pipeline!$F$16,1)))+Pipeline!$U$17*Pipeline!$D$17*MIN(1,MAX(0,(56-Pipeline!$E$17+1)/MAX(Pipeline!$F$17,1)))+Pipeline!$U$18*Pipeline!$D$18*MIN(1,MAX(0,(56-Pipeline!$E$18+1)/MAX(Pipeline!$F$18,1)))+Pipeline!$U$19*Pipeline!$D$19*MIN(1,MAX(0,(56-Pipeline!$E$19+1)/MAX(Pipeline!$F$19,1)))+Pipeline!$U$20*Pipeline!$D$20*MIN(1,MAX(0,(56-Pipeline!$E$20+1)/MAX(Pipeline!$F$20,1)))+Pipeline!$U$21*Pipeline!$D$21*MIN(1,MAX(0,(56-Pipeline!$E$21+1)/MAX(Pipeline!$F$21,1)))+Pipeline!$U$22*Pipeline!$D$22*MIN(1,MAX(0,(56-Pipeline!$E$22+1)/MAX(Pipeline!$F$22,1))))/Hipótesis!$F$17</f>
        <v>981.19600502923</v>
      </c>
      <c r="BG18" s="119" t="n">
        <f aca="false">(Pipeline!$U$16*Pipeline!$D$16*MIN(1,MAX(0,(57-Pipeline!$E$16+1)/MAX(Pipeline!$F$16,1)))+Pipeline!$U$17*Pipeline!$D$17*MIN(1,MAX(0,(57-Pipeline!$E$17+1)/MAX(Pipeline!$F$17,1)))+Pipeline!$U$18*Pipeline!$D$18*MIN(1,MAX(0,(57-Pipeline!$E$18+1)/MAX(Pipeline!$F$18,1)))+Pipeline!$U$19*Pipeline!$D$19*MIN(1,MAX(0,(57-Pipeline!$E$19+1)/MAX(Pipeline!$F$19,1)))+Pipeline!$U$20*Pipeline!$D$20*MIN(1,MAX(0,(57-Pipeline!$E$20+1)/MAX(Pipeline!$F$20,1)))+Pipeline!$U$21*Pipeline!$D$21*MIN(1,MAX(0,(57-Pipeline!$E$21+1)/MAX(Pipeline!$F$21,1)))+Pipeline!$U$22*Pipeline!$D$22*MIN(1,MAX(0,(57-Pipeline!$E$22+1)/MAX(Pipeline!$F$22,1))))/Hipótesis!$F$17</f>
        <v>981.19600502923</v>
      </c>
      <c r="BH18" s="119" t="n">
        <f aca="false">(Pipeline!$U$16*Pipeline!$D$16*MIN(1,MAX(0,(58-Pipeline!$E$16+1)/MAX(Pipeline!$F$16,1)))+Pipeline!$U$17*Pipeline!$D$17*MIN(1,MAX(0,(58-Pipeline!$E$17+1)/MAX(Pipeline!$F$17,1)))+Pipeline!$U$18*Pipeline!$D$18*MIN(1,MAX(0,(58-Pipeline!$E$18+1)/MAX(Pipeline!$F$18,1)))+Pipeline!$U$19*Pipeline!$D$19*MIN(1,MAX(0,(58-Pipeline!$E$19+1)/MAX(Pipeline!$F$19,1)))+Pipeline!$U$20*Pipeline!$D$20*MIN(1,MAX(0,(58-Pipeline!$E$20+1)/MAX(Pipeline!$F$20,1)))+Pipeline!$U$21*Pipeline!$D$21*MIN(1,MAX(0,(58-Pipeline!$E$21+1)/MAX(Pipeline!$F$21,1)))+Pipeline!$U$22*Pipeline!$D$22*MIN(1,MAX(0,(58-Pipeline!$E$22+1)/MAX(Pipeline!$F$22,1))))/Hipótesis!$F$17</f>
        <v>981.19600502923</v>
      </c>
      <c r="BI18" s="119" t="n">
        <f aca="false">(Pipeline!$U$16*Pipeline!$D$16*MIN(1,MAX(0,(59-Pipeline!$E$16+1)/MAX(Pipeline!$F$16,1)))+Pipeline!$U$17*Pipeline!$D$17*MIN(1,MAX(0,(59-Pipeline!$E$17+1)/MAX(Pipeline!$F$17,1)))+Pipeline!$U$18*Pipeline!$D$18*MIN(1,MAX(0,(59-Pipeline!$E$18+1)/MAX(Pipeline!$F$18,1)))+Pipeline!$U$19*Pipeline!$D$19*MIN(1,MAX(0,(59-Pipeline!$E$19+1)/MAX(Pipeline!$F$19,1)))+Pipeline!$U$20*Pipeline!$D$20*MIN(1,MAX(0,(59-Pipeline!$E$20+1)/MAX(Pipeline!$F$20,1)))+Pipeline!$U$21*Pipeline!$D$21*MIN(1,MAX(0,(59-Pipeline!$E$21+1)/MAX(Pipeline!$F$21,1)))+Pipeline!$U$22*Pipeline!$D$22*MIN(1,MAX(0,(59-Pipeline!$E$22+1)/MAX(Pipeline!$F$22,1))))/Hipótesis!$F$17</f>
        <v>981.19600502923</v>
      </c>
      <c r="BJ18" s="119" t="n">
        <f aca="false">(Pipeline!$U$16*Pipeline!$D$16*MIN(1,MAX(0,(60-Pipeline!$E$16+1)/MAX(Pipeline!$F$16,1)))+Pipeline!$U$17*Pipeline!$D$17*MIN(1,MAX(0,(60-Pipeline!$E$17+1)/MAX(Pipeline!$F$17,1)))+Pipeline!$U$18*Pipeline!$D$18*MIN(1,MAX(0,(60-Pipeline!$E$18+1)/MAX(Pipeline!$F$18,1)))+Pipeline!$U$19*Pipeline!$D$19*MIN(1,MAX(0,(60-Pipeline!$E$19+1)/MAX(Pipeline!$F$19,1)))+Pipeline!$U$20*Pipeline!$D$20*MIN(1,MAX(0,(60-Pipeline!$E$20+1)/MAX(Pipeline!$F$20,1)))+Pipeline!$U$21*Pipeline!$D$21*MIN(1,MAX(0,(60-Pipeline!$E$21+1)/MAX(Pipeline!$F$21,1)))+Pipeline!$U$22*Pipeline!$D$22*MIN(1,MAX(0,(60-Pipeline!$E$22+1)/MAX(Pipeline!$F$22,1))))/Hipótesis!$F$17</f>
        <v>981.19600502923</v>
      </c>
      <c r="BK18" s="119" t="n">
        <f aca="false">(Pipeline!$U$16*Pipeline!$D$16*MIN(1,MAX(0,(61-Pipeline!$E$16+1)/MAX(Pipeline!$F$16,1)))+Pipeline!$U$17*Pipeline!$D$17*MIN(1,MAX(0,(61-Pipeline!$E$17+1)/MAX(Pipeline!$F$17,1)))+Pipeline!$U$18*Pipeline!$D$18*MIN(1,MAX(0,(61-Pipeline!$E$18+1)/MAX(Pipeline!$F$18,1)))+Pipeline!$U$19*Pipeline!$D$19*MIN(1,MAX(0,(61-Pipeline!$E$19+1)/MAX(Pipeline!$F$19,1)))+Pipeline!$U$20*Pipeline!$D$20*MIN(1,MAX(0,(61-Pipeline!$E$20+1)/MAX(Pipeline!$F$20,1)))+Pipeline!$U$21*Pipeline!$D$21*MIN(1,MAX(0,(61-Pipeline!$E$21+1)/MAX(Pipeline!$F$21,1)))+Pipeline!$U$22*Pipeline!$D$22*MIN(1,MAX(0,(61-Pipeline!$E$22+1)/MAX(Pipeline!$F$22,1))))/Hipótesis!$F$17</f>
        <v>981.19600502923</v>
      </c>
      <c r="BL18" s="119" t="n">
        <f aca="false">(Pipeline!$U$16*Pipeline!$D$16*MIN(1,MAX(0,(62-Pipeline!$E$16+1)/MAX(Pipeline!$F$16,1)))+Pipeline!$U$17*Pipeline!$D$17*MIN(1,MAX(0,(62-Pipeline!$E$17+1)/MAX(Pipeline!$F$17,1)))+Pipeline!$U$18*Pipeline!$D$18*MIN(1,MAX(0,(62-Pipeline!$E$18+1)/MAX(Pipeline!$F$18,1)))+Pipeline!$U$19*Pipeline!$D$19*MIN(1,MAX(0,(62-Pipeline!$E$19+1)/MAX(Pipeline!$F$19,1)))+Pipeline!$U$20*Pipeline!$D$20*MIN(1,MAX(0,(62-Pipeline!$E$20+1)/MAX(Pipeline!$F$20,1)))+Pipeline!$U$21*Pipeline!$D$21*MIN(1,MAX(0,(62-Pipeline!$E$21+1)/MAX(Pipeline!$F$21,1)))+Pipeline!$U$22*Pipeline!$D$22*MIN(1,MAX(0,(62-Pipeline!$E$22+1)/MAX(Pipeline!$F$22,1))))/Hipótesis!$F$17</f>
        <v>981.19600502923</v>
      </c>
      <c r="BM18" s="119" t="n">
        <f aca="false">(Pipeline!$U$16*Pipeline!$D$16*MIN(1,MAX(0,(63-Pipeline!$E$16+1)/MAX(Pipeline!$F$16,1)))+Pipeline!$U$17*Pipeline!$D$17*MIN(1,MAX(0,(63-Pipeline!$E$17+1)/MAX(Pipeline!$F$17,1)))+Pipeline!$U$18*Pipeline!$D$18*MIN(1,MAX(0,(63-Pipeline!$E$18+1)/MAX(Pipeline!$F$18,1)))+Pipeline!$U$19*Pipeline!$D$19*MIN(1,MAX(0,(63-Pipeline!$E$19+1)/MAX(Pipeline!$F$19,1)))+Pipeline!$U$20*Pipeline!$D$20*MIN(1,MAX(0,(63-Pipeline!$E$20+1)/MAX(Pipeline!$F$20,1)))+Pipeline!$U$21*Pipeline!$D$21*MIN(1,MAX(0,(63-Pipeline!$E$21+1)/MAX(Pipeline!$F$21,1)))+Pipeline!$U$22*Pipeline!$D$22*MIN(1,MAX(0,(63-Pipeline!$E$22+1)/MAX(Pipeline!$F$22,1))))/Hipótesis!$F$17</f>
        <v>981.19600502923</v>
      </c>
      <c r="BN18" s="119" t="n">
        <f aca="false">(Pipeline!$U$16*Pipeline!$D$16*MIN(1,MAX(0,(64-Pipeline!$E$16+1)/MAX(Pipeline!$F$16,1)))+Pipeline!$U$17*Pipeline!$D$17*MIN(1,MAX(0,(64-Pipeline!$E$17+1)/MAX(Pipeline!$F$17,1)))+Pipeline!$U$18*Pipeline!$D$18*MIN(1,MAX(0,(64-Pipeline!$E$18+1)/MAX(Pipeline!$F$18,1)))+Pipeline!$U$19*Pipeline!$D$19*MIN(1,MAX(0,(64-Pipeline!$E$19+1)/MAX(Pipeline!$F$19,1)))+Pipeline!$U$20*Pipeline!$D$20*MIN(1,MAX(0,(64-Pipeline!$E$20+1)/MAX(Pipeline!$F$20,1)))+Pipeline!$U$21*Pipeline!$D$21*MIN(1,MAX(0,(64-Pipeline!$E$21+1)/MAX(Pipeline!$F$21,1)))+Pipeline!$U$22*Pipeline!$D$22*MIN(1,MAX(0,(64-Pipeline!$E$22+1)/MAX(Pipeline!$F$22,1))))/Hipótesis!$F$17</f>
        <v>981.19600502923</v>
      </c>
      <c r="BO18" s="119" t="n">
        <f aca="false">(Pipeline!$U$16*Pipeline!$D$16*MIN(1,MAX(0,(65-Pipeline!$E$16+1)/MAX(Pipeline!$F$16,1)))+Pipeline!$U$17*Pipeline!$D$17*MIN(1,MAX(0,(65-Pipeline!$E$17+1)/MAX(Pipeline!$F$17,1)))+Pipeline!$U$18*Pipeline!$D$18*MIN(1,MAX(0,(65-Pipeline!$E$18+1)/MAX(Pipeline!$F$18,1)))+Pipeline!$U$19*Pipeline!$D$19*MIN(1,MAX(0,(65-Pipeline!$E$19+1)/MAX(Pipeline!$F$19,1)))+Pipeline!$U$20*Pipeline!$D$20*MIN(1,MAX(0,(65-Pipeline!$E$20+1)/MAX(Pipeline!$F$20,1)))+Pipeline!$U$21*Pipeline!$D$21*MIN(1,MAX(0,(65-Pipeline!$E$21+1)/MAX(Pipeline!$F$21,1)))+Pipeline!$U$22*Pipeline!$D$22*MIN(1,MAX(0,(65-Pipeline!$E$22+1)/MAX(Pipeline!$F$22,1))))/Hipótesis!$F$17</f>
        <v>981.19600502923</v>
      </c>
      <c r="BP18" s="119" t="n">
        <f aca="false">(Pipeline!$U$16*Pipeline!$D$16*MIN(1,MAX(0,(66-Pipeline!$E$16+1)/MAX(Pipeline!$F$16,1)))+Pipeline!$U$17*Pipeline!$D$17*MIN(1,MAX(0,(66-Pipeline!$E$17+1)/MAX(Pipeline!$F$17,1)))+Pipeline!$U$18*Pipeline!$D$18*MIN(1,MAX(0,(66-Pipeline!$E$18+1)/MAX(Pipeline!$F$18,1)))+Pipeline!$U$19*Pipeline!$D$19*MIN(1,MAX(0,(66-Pipeline!$E$19+1)/MAX(Pipeline!$F$19,1)))+Pipeline!$U$20*Pipeline!$D$20*MIN(1,MAX(0,(66-Pipeline!$E$20+1)/MAX(Pipeline!$F$20,1)))+Pipeline!$U$21*Pipeline!$D$21*MIN(1,MAX(0,(66-Pipeline!$E$21+1)/MAX(Pipeline!$F$21,1)))+Pipeline!$U$22*Pipeline!$D$22*MIN(1,MAX(0,(66-Pipeline!$E$22+1)/MAX(Pipeline!$F$22,1))))/Hipótesis!$F$17</f>
        <v>981.19600502923</v>
      </c>
      <c r="BQ18" s="119" t="n">
        <f aca="false">(Pipeline!$U$16*Pipeline!$D$16*MIN(1,MAX(0,(67-Pipeline!$E$16+1)/MAX(Pipeline!$F$16,1)))+Pipeline!$U$17*Pipeline!$D$17*MIN(1,MAX(0,(67-Pipeline!$E$17+1)/MAX(Pipeline!$F$17,1)))+Pipeline!$U$18*Pipeline!$D$18*MIN(1,MAX(0,(67-Pipeline!$E$18+1)/MAX(Pipeline!$F$18,1)))+Pipeline!$U$19*Pipeline!$D$19*MIN(1,MAX(0,(67-Pipeline!$E$19+1)/MAX(Pipeline!$F$19,1)))+Pipeline!$U$20*Pipeline!$D$20*MIN(1,MAX(0,(67-Pipeline!$E$20+1)/MAX(Pipeline!$F$20,1)))+Pipeline!$U$21*Pipeline!$D$21*MIN(1,MAX(0,(67-Pipeline!$E$21+1)/MAX(Pipeline!$F$21,1)))+Pipeline!$U$22*Pipeline!$D$22*MIN(1,MAX(0,(67-Pipeline!$E$22+1)/MAX(Pipeline!$F$22,1))))/Hipótesis!$F$17</f>
        <v>981.19600502923</v>
      </c>
      <c r="BR18" s="119" t="n">
        <f aca="false">(Pipeline!$U$16*Pipeline!$D$16*MIN(1,MAX(0,(68-Pipeline!$E$16+1)/MAX(Pipeline!$F$16,1)))+Pipeline!$U$17*Pipeline!$D$17*MIN(1,MAX(0,(68-Pipeline!$E$17+1)/MAX(Pipeline!$F$17,1)))+Pipeline!$U$18*Pipeline!$D$18*MIN(1,MAX(0,(68-Pipeline!$E$18+1)/MAX(Pipeline!$F$18,1)))+Pipeline!$U$19*Pipeline!$D$19*MIN(1,MAX(0,(68-Pipeline!$E$19+1)/MAX(Pipeline!$F$19,1)))+Pipeline!$U$20*Pipeline!$D$20*MIN(1,MAX(0,(68-Pipeline!$E$20+1)/MAX(Pipeline!$F$20,1)))+Pipeline!$U$21*Pipeline!$D$21*MIN(1,MAX(0,(68-Pipeline!$E$21+1)/MAX(Pipeline!$F$21,1)))+Pipeline!$U$22*Pipeline!$D$22*MIN(1,MAX(0,(68-Pipeline!$E$22+1)/MAX(Pipeline!$F$22,1))))/Hipótesis!$F$17</f>
        <v>981.19600502923</v>
      </c>
      <c r="BS18" s="119" t="n">
        <f aca="false">(Pipeline!$U$16*Pipeline!$D$16*MIN(1,MAX(0,(69-Pipeline!$E$16+1)/MAX(Pipeline!$F$16,1)))+Pipeline!$U$17*Pipeline!$D$17*MIN(1,MAX(0,(69-Pipeline!$E$17+1)/MAX(Pipeline!$F$17,1)))+Pipeline!$U$18*Pipeline!$D$18*MIN(1,MAX(0,(69-Pipeline!$E$18+1)/MAX(Pipeline!$F$18,1)))+Pipeline!$U$19*Pipeline!$D$19*MIN(1,MAX(0,(69-Pipeline!$E$19+1)/MAX(Pipeline!$F$19,1)))+Pipeline!$U$20*Pipeline!$D$20*MIN(1,MAX(0,(69-Pipeline!$E$20+1)/MAX(Pipeline!$F$20,1)))+Pipeline!$U$21*Pipeline!$D$21*MIN(1,MAX(0,(69-Pipeline!$E$21+1)/MAX(Pipeline!$F$21,1)))+Pipeline!$U$22*Pipeline!$D$22*MIN(1,MAX(0,(69-Pipeline!$E$22+1)/MAX(Pipeline!$F$22,1))))/Hipótesis!$F$17</f>
        <v>981.19600502923</v>
      </c>
      <c r="BT18" s="119" t="n">
        <f aca="false">(Pipeline!$U$16*Pipeline!$D$16*MIN(1,MAX(0,(70-Pipeline!$E$16+1)/MAX(Pipeline!$F$16,1)))+Pipeline!$U$17*Pipeline!$D$17*MIN(1,MAX(0,(70-Pipeline!$E$17+1)/MAX(Pipeline!$F$17,1)))+Pipeline!$U$18*Pipeline!$D$18*MIN(1,MAX(0,(70-Pipeline!$E$18+1)/MAX(Pipeline!$F$18,1)))+Pipeline!$U$19*Pipeline!$D$19*MIN(1,MAX(0,(70-Pipeline!$E$19+1)/MAX(Pipeline!$F$19,1)))+Pipeline!$U$20*Pipeline!$D$20*MIN(1,MAX(0,(70-Pipeline!$E$20+1)/MAX(Pipeline!$F$20,1)))+Pipeline!$U$21*Pipeline!$D$21*MIN(1,MAX(0,(70-Pipeline!$E$21+1)/MAX(Pipeline!$F$21,1)))+Pipeline!$U$22*Pipeline!$D$22*MIN(1,MAX(0,(70-Pipeline!$E$22+1)/MAX(Pipeline!$F$22,1))))/Hipótesis!$F$17</f>
        <v>981.19600502923</v>
      </c>
      <c r="BU18" s="119" t="n">
        <f aca="false">(Pipeline!$U$16*Pipeline!$D$16*MIN(1,MAX(0,(71-Pipeline!$E$16+1)/MAX(Pipeline!$F$16,1)))+Pipeline!$U$17*Pipeline!$D$17*MIN(1,MAX(0,(71-Pipeline!$E$17+1)/MAX(Pipeline!$F$17,1)))+Pipeline!$U$18*Pipeline!$D$18*MIN(1,MAX(0,(71-Pipeline!$E$18+1)/MAX(Pipeline!$F$18,1)))+Pipeline!$U$19*Pipeline!$D$19*MIN(1,MAX(0,(71-Pipeline!$E$19+1)/MAX(Pipeline!$F$19,1)))+Pipeline!$U$20*Pipeline!$D$20*MIN(1,MAX(0,(71-Pipeline!$E$20+1)/MAX(Pipeline!$F$20,1)))+Pipeline!$U$21*Pipeline!$D$21*MIN(1,MAX(0,(71-Pipeline!$E$21+1)/MAX(Pipeline!$F$21,1)))+Pipeline!$U$22*Pipeline!$D$22*MIN(1,MAX(0,(71-Pipeline!$E$22+1)/MAX(Pipeline!$F$22,1))))/Hipótesis!$F$17</f>
        <v>981.19600502923</v>
      </c>
      <c r="BV18" s="119" t="n">
        <f aca="false">(Pipeline!$U$16*Pipeline!$D$16*MIN(1,MAX(0,(72-Pipeline!$E$16+1)/MAX(Pipeline!$F$16,1)))+Pipeline!$U$17*Pipeline!$D$17*MIN(1,MAX(0,(72-Pipeline!$E$17+1)/MAX(Pipeline!$F$17,1)))+Pipeline!$U$18*Pipeline!$D$18*MIN(1,MAX(0,(72-Pipeline!$E$18+1)/MAX(Pipeline!$F$18,1)))+Pipeline!$U$19*Pipeline!$D$19*MIN(1,MAX(0,(72-Pipeline!$E$19+1)/MAX(Pipeline!$F$19,1)))+Pipeline!$U$20*Pipeline!$D$20*MIN(1,MAX(0,(72-Pipeline!$E$20+1)/MAX(Pipeline!$F$20,1)))+Pipeline!$U$21*Pipeline!$D$21*MIN(1,MAX(0,(72-Pipeline!$E$21+1)/MAX(Pipeline!$F$21,1)))+Pipeline!$U$22*Pipeline!$D$22*MIN(1,MAX(0,(72-Pipeline!$E$22+1)/MAX(Pipeline!$F$22,1))))/Hipótesis!$F$17</f>
        <v>981.19600502923</v>
      </c>
      <c r="BW18" s="119" t="n">
        <f aca="false">(Pipeline!$U$16*Pipeline!$D$16*MIN(1,MAX(0,(73-Pipeline!$E$16+1)/MAX(Pipeline!$F$16,1)))+Pipeline!$U$17*Pipeline!$D$17*MIN(1,MAX(0,(73-Pipeline!$E$17+1)/MAX(Pipeline!$F$17,1)))+Pipeline!$U$18*Pipeline!$D$18*MIN(1,MAX(0,(73-Pipeline!$E$18+1)/MAX(Pipeline!$F$18,1)))+Pipeline!$U$19*Pipeline!$D$19*MIN(1,MAX(0,(73-Pipeline!$E$19+1)/MAX(Pipeline!$F$19,1)))+Pipeline!$U$20*Pipeline!$D$20*MIN(1,MAX(0,(73-Pipeline!$E$20+1)/MAX(Pipeline!$F$20,1)))+Pipeline!$U$21*Pipeline!$D$21*MIN(1,MAX(0,(73-Pipeline!$E$21+1)/MAX(Pipeline!$F$21,1)))+Pipeline!$U$22*Pipeline!$D$22*MIN(1,MAX(0,(73-Pipeline!$E$22+1)/MAX(Pipeline!$F$22,1))))/Hipótesis!$F$17</f>
        <v>981.19600502923</v>
      </c>
      <c r="BX18" s="119" t="n">
        <f aca="false">(Pipeline!$U$16*Pipeline!$D$16*MIN(1,MAX(0,(74-Pipeline!$E$16+1)/MAX(Pipeline!$F$16,1)))+Pipeline!$U$17*Pipeline!$D$17*MIN(1,MAX(0,(74-Pipeline!$E$17+1)/MAX(Pipeline!$F$17,1)))+Pipeline!$U$18*Pipeline!$D$18*MIN(1,MAX(0,(74-Pipeline!$E$18+1)/MAX(Pipeline!$F$18,1)))+Pipeline!$U$19*Pipeline!$D$19*MIN(1,MAX(0,(74-Pipeline!$E$19+1)/MAX(Pipeline!$F$19,1)))+Pipeline!$U$20*Pipeline!$D$20*MIN(1,MAX(0,(74-Pipeline!$E$20+1)/MAX(Pipeline!$F$20,1)))+Pipeline!$U$21*Pipeline!$D$21*MIN(1,MAX(0,(74-Pipeline!$E$21+1)/MAX(Pipeline!$F$21,1)))+Pipeline!$U$22*Pipeline!$D$22*MIN(1,MAX(0,(74-Pipeline!$E$22+1)/MAX(Pipeline!$F$22,1))))/Hipótesis!$F$17</f>
        <v>981.19600502923</v>
      </c>
      <c r="BY18" s="119" t="n">
        <f aca="false">(Pipeline!$U$16*Pipeline!$D$16*MIN(1,MAX(0,(75-Pipeline!$E$16+1)/MAX(Pipeline!$F$16,1)))+Pipeline!$U$17*Pipeline!$D$17*MIN(1,MAX(0,(75-Pipeline!$E$17+1)/MAX(Pipeline!$F$17,1)))+Pipeline!$U$18*Pipeline!$D$18*MIN(1,MAX(0,(75-Pipeline!$E$18+1)/MAX(Pipeline!$F$18,1)))+Pipeline!$U$19*Pipeline!$D$19*MIN(1,MAX(0,(75-Pipeline!$E$19+1)/MAX(Pipeline!$F$19,1)))+Pipeline!$U$20*Pipeline!$D$20*MIN(1,MAX(0,(75-Pipeline!$E$20+1)/MAX(Pipeline!$F$20,1)))+Pipeline!$U$21*Pipeline!$D$21*MIN(1,MAX(0,(75-Pipeline!$E$21+1)/MAX(Pipeline!$F$21,1)))+Pipeline!$U$22*Pipeline!$D$22*MIN(1,MAX(0,(75-Pipeline!$E$22+1)/MAX(Pipeline!$F$22,1))))/Hipótesis!$F$17</f>
        <v>981.19600502923</v>
      </c>
      <c r="BZ18" s="119" t="n">
        <f aca="false">(Pipeline!$U$16*Pipeline!$D$16*MIN(1,MAX(0,(76-Pipeline!$E$16+1)/MAX(Pipeline!$F$16,1)))+Pipeline!$U$17*Pipeline!$D$17*MIN(1,MAX(0,(76-Pipeline!$E$17+1)/MAX(Pipeline!$F$17,1)))+Pipeline!$U$18*Pipeline!$D$18*MIN(1,MAX(0,(76-Pipeline!$E$18+1)/MAX(Pipeline!$F$18,1)))+Pipeline!$U$19*Pipeline!$D$19*MIN(1,MAX(0,(76-Pipeline!$E$19+1)/MAX(Pipeline!$F$19,1)))+Pipeline!$U$20*Pipeline!$D$20*MIN(1,MAX(0,(76-Pipeline!$E$20+1)/MAX(Pipeline!$F$20,1)))+Pipeline!$U$21*Pipeline!$D$21*MIN(1,MAX(0,(76-Pipeline!$E$21+1)/MAX(Pipeline!$F$21,1)))+Pipeline!$U$22*Pipeline!$D$22*MIN(1,MAX(0,(76-Pipeline!$E$22+1)/MAX(Pipeline!$F$22,1))))/Hipótesis!$F$17</f>
        <v>981.19600502923</v>
      </c>
      <c r="CA18" s="119" t="n">
        <f aca="false">(Pipeline!$U$16*Pipeline!$D$16*MIN(1,MAX(0,(77-Pipeline!$E$16+1)/MAX(Pipeline!$F$16,1)))+Pipeline!$U$17*Pipeline!$D$17*MIN(1,MAX(0,(77-Pipeline!$E$17+1)/MAX(Pipeline!$F$17,1)))+Pipeline!$U$18*Pipeline!$D$18*MIN(1,MAX(0,(77-Pipeline!$E$18+1)/MAX(Pipeline!$F$18,1)))+Pipeline!$U$19*Pipeline!$D$19*MIN(1,MAX(0,(77-Pipeline!$E$19+1)/MAX(Pipeline!$F$19,1)))+Pipeline!$U$20*Pipeline!$D$20*MIN(1,MAX(0,(77-Pipeline!$E$20+1)/MAX(Pipeline!$F$20,1)))+Pipeline!$U$21*Pipeline!$D$21*MIN(1,MAX(0,(77-Pipeline!$E$21+1)/MAX(Pipeline!$F$21,1)))+Pipeline!$U$22*Pipeline!$D$22*MIN(1,MAX(0,(77-Pipeline!$E$22+1)/MAX(Pipeline!$F$22,1))))/Hipótesis!$F$17</f>
        <v>981.19600502923</v>
      </c>
      <c r="CB18" s="119" t="n">
        <f aca="false">(Pipeline!$U$16*Pipeline!$D$16*MIN(1,MAX(0,(78-Pipeline!$E$16+1)/MAX(Pipeline!$F$16,1)))+Pipeline!$U$17*Pipeline!$D$17*MIN(1,MAX(0,(78-Pipeline!$E$17+1)/MAX(Pipeline!$F$17,1)))+Pipeline!$U$18*Pipeline!$D$18*MIN(1,MAX(0,(78-Pipeline!$E$18+1)/MAX(Pipeline!$F$18,1)))+Pipeline!$U$19*Pipeline!$D$19*MIN(1,MAX(0,(78-Pipeline!$E$19+1)/MAX(Pipeline!$F$19,1)))+Pipeline!$U$20*Pipeline!$D$20*MIN(1,MAX(0,(78-Pipeline!$E$20+1)/MAX(Pipeline!$F$20,1)))+Pipeline!$U$21*Pipeline!$D$21*MIN(1,MAX(0,(78-Pipeline!$E$21+1)/MAX(Pipeline!$F$21,1)))+Pipeline!$U$22*Pipeline!$D$22*MIN(1,MAX(0,(78-Pipeline!$E$22+1)/MAX(Pipeline!$F$22,1))))/Hipótesis!$F$17</f>
        <v>981.19600502923</v>
      </c>
      <c r="CC18" s="119" t="n">
        <f aca="false">(Pipeline!$U$16*Pipeline!$D$16*MIN(1,MAX(0,(79-Pipeline!$E$16+1)/MAX(Pipeline!$F$16,1)))+Pipeline!$U$17*Pipeline!$D$17*MIN(1,MAX(0,(79-Pipeline!$E$17+1)/MAX(Pipeline!$F$17,1)))+Pipeline!$U$18*Pipeline!$D$18*MIN(1,MAX(0,(79-Pipeline!$E$18+1)/MAX(Pipeline!$F$18,1)))+Pipeline!$U$19*Pipeline!$D$19*MIN(1,MAX(0,(79-Pipeline!$E$19+1)/MAX(Pipeline!$F$19,1)))+Pipeline!$U$20*Pipeline!$D$20*MIN(1,MAX(0,(79-Pipeline!$E$20+1)/MAX(Pipeline!$F$20,1)))+Pipeline!$U$21*Pipeline!$D$21*MIN(1,MAX(0,(79-Pipeline!$E$21+1)/MAX(Pipeline!$F$21,1)))+Pipeline!$U$22*Pipeline!$D$22*MIN(1,MAX(0,(79-Pipeline!$E$22+1)/MAX(Pipeline!$F$22,1))))/Hipótesis!$F$17</f>
        <v>981.19600502923</v>
      </c>
      <c r="CD18" s="119" t="n">
        <f aca="false">(Pipeline!$U$16*Pipeline!$D$16*MIN(1,MAX(0,(80-Pipeline!$E$16+1)/MAX(Pipeline!$F$16,1)))+Pipeline!$U$17*Pipeline!$D$17*MIN(1,MAX(0,(80-Pipeline!$E$17+1)/MAX(Pipeline!$F$17,1)))+Pipeline!$U$18*Pipeline!$D$18*MIN(1,MAX(0,(80-Pipeline!$E$18+1)/MAX(Pipeline!$F$18,1)))+Pipeline!$U$19*Pipeline!$D$19*MIN(1,MAX(0,(80-Pipeline!$E$19+1)/MAX(Pipeline!$F$19,1)))+Pipeline!$U$20*Pipeline!$D$20*MIN(1,MAX(0,(80-Pipeline!$E$20+1)/MAX(Pipeline!$F$20,1)))+Pipeline!$U$21*Pipeline!$D$21*MIN(1,MAX(0,(80-Pipeline!$E$21+1)/MAX(Pipeline!$F$21,1)))+Pipeline!$U$22*Pipeline!$D$22*MIN(1,MAX(0,(80-Pipeline!$E$22+1)/MAX(Pipeline!$F$22,1))))/Hipótesis!$F$17</f>
        <v>981.19600502923</v>
      </c>
      <c r="CE18" s="119" t="n">
        <f aca="false">(Pipeline!$U$16*Pipeline!$D$16*MIN(1,MAX(0,(81-Pipeline!$E$16+1)/MAX(Pipeline!$F$16,1)))+Pipeline!$U$17*Pipeline!$D$17*MIN(1,MAX(0,(81-Pipeline!$E$17+1)/MAX(Pipeline!$F$17,1)))+Pipeline!$U$18*Pipeline!$D$18*MIN(1,MAX(0,(81-Pipeline!$E$18+1)/MAX(Pipeline!$F$18,1)))+Pipeline!$U$19*Pipeline!$D$19*MIN(1,MAX(0,(81-Pipeline!$E$19+1)/MAX(Pipeline!$F$19,1)))+Pipeline!$U$20*Pipeline!$D$20*MIN(1,MAX(0,(81-Pipeline!$E$20+1)/MAX(Pipeline!$F$20,1)))+Pipeline!$U$21*Pipeline!$D$21*MIN(1,MAX(0,(81-Pipeline!$E$21+1)/MAX(Pipeline!$F$21,1)))+Pipeline!$U$22*Pipeline!$D$22*MIN(1,MAX(0,(81-Pipeline!$E$22+1)/MAX(Pipeline!$F$22,1))))/Hipótesis!$F$17</f>
        <v>981.19600502923</v>
      </c>
      <c r="CF18" s="119" t="n">
        <f aca="false">(Pipeline!$U$16*Pipeline!$D$16*MIN(1,MAX(0,(82-Pipeline!$E$16+1)/MAX(Pipeline!$F$16,1)))+Pipeline!$U$17*Pipeline!$D$17*MIN(1,MAX(0,(82-Pipeline!$E$17+1)/MAX(Pipeline!$F$17,1)))+Pipeline!$U$18*Pipeline!$D$18*MIN(1,MAX(0,(82-Pipeline!$E$18+1)/MAX(Pipeline!$F$18,1)))+Pipeline!$U$19*Pipeline!$D$19*MIN(1,MAX(0,(82-Pipeline!$E$19+1)/MAX(Pipeline!$F$19,1)))+Pipeline!$U$20*Pipeline!$D$20*MIN(1,MAX(0,(82-Pipeline!$E$20+1)/MAX(Pipeline!$F$20,1)))+Pipeline!$U$21*Pipeline!$D$21*MIN(1,MAX(0,(82-Pipeline!$E$21+1)/MAX(Pipeline!$F$21,1)))+Pipeline!$U$22*Pipeline!$D$22*MIN(1,MAX(0,(82-Pipeline!$E$22+1)/MAX(Pipeline!$F$22,1))))/Hipótesis!$F$17</f>
        <v>981.19600502923</v>
      </c>
      <c r="CG18" s="119" t="n">
        <f aca="false">(Pipeline!$U$16*Pipeline!$D$16*MIN(1,MAX(0,(83-Pipeline!$E$16+1)/MAX(Pipeline!$F$16,1)))+Pipeline!$U$17*Pipeline!$D$17*MIN(1,MAX(0,(83-Pipeline!$E$17+1)/MAX(Pipeline!$F$17,1)))+Pipeline!$U$18*Pipeline!$D$18*MIN(1,MAX(0,(83-Pipeline!$E$18+1)/MAX(Pipeline!$F$18,1)))+Pipeline!$U$19*Pipeline!$D$19*MIN(1,MAX(0,(83-Pipeline!$E$19+1)/MAX(Pipeline!$F$19,1)))+Pipeline!$U$20*Pipeline!$D$20*MIN(1,MAX(0,(83-Pipeline!$E$20+1)/MAX(Pipeline!$F$20,1)))+Pipeline!$U$21*Pipeline!$D$21*MIN(1,MAX(0,(83-Pipeline!$E$21+1)/MAX(Pipeline!$F$21,1)))+Pipeline!$U$22*Pipeline!$D$22*MIN(1,MAX(0,(83-Pipeline!$E$22+1)/MAX(Pipeline!$F$22,1))))/Hipótesis!$F$17</f>
        <v>981.19600502923</v>
      </c>
      <c r="CH18" s="119" t="n">
        <f aca="false">(Pipeline!$U$16*Pipeline!$D$16*MIN(1,MAX(0,(84-Pipeline!$E$16+1)/MAX(Pipeline!$F$16,1)))+Pipeline!$U$17*Pipeline!$D$17*MIN(1,MAX(0,(84-Pipeline!$E$17+1)/MAX(Pipeline!$F$17,1)))+Pipeline!$U$18*Pipeline!$D$18*MIN(1,MAX(0,(84-Pipeline!$E$18+1)/MAX(Pipeline!$F$18,1)))+Pipeline!$U$19*Pipeline!$D$19*MIN(1,MAX(0,(84-Pipeline!$E$19+1)/MAX(Pipeline!$F$19,1)))+Pipeline!$U$20*Pipeline!$D$20*MIN(1,MAX(0,(84-Pipeline!$E$20+1)/MAX(Pipeline!$F$20,1)))+Pipeline!$U$21*Pipeline!$D$21*MIN(1,MAX(0,(84-Pipeline!$E$21+1)/MAX(Pipeline!$F$21,1)))+Pipeline!$U$22*Pipeline!$D$22*MIN(1,MAX(0,(84-Pipeline!$E$22+1)/MAX(Pipeline!$F$22,1))))/Hipótesis!$F$17</f>
        <v>981.19600502923</v>
      </c>
    </row>
    <row r="19" customFormat="false" ht="13.5" hidden="false" customHeight="true" outlineLevel="0" collapsed="false">
      <c r="A19" s="6" t="s">
        <v>527</v>
      </c>
      <c r="C19" s="109" t="n">
        <f aca="false">Pipeline!$W$16*Pipeline!$D$16*MIN(1,MAX(0,(1-Pipeline!$E$16+1)/MAX(Pipeline!$F$16,1)))+Pipeline!$W$17*Pipeline!$D$17*MIN(1,MAX(0,(1-Pipeline!$E$17+1)/MAX(Pipeline!$F$17,1)))+Pipeline!$W$18*Pipeline!$D$18*MIN(1,MAX(0,(1-Pipeline!$E$18+1)/MAX(Pipeline!$F$18,1)))+Pipeline!$W$19*Pipeline!$D$19*MIN(1,MAX(0,(1-Pipeline!$E$19+1)/MAX(Pipeline!$F$19,1)))+Pipeline!$W$20*Pipeline!$D$20*MIN(1,MAX(0,(1-Pipeline!$E$20+1)/MAX(Pipeline!$F$20,1)))+Pipeline!$W$21*Pipeline!$D$21*MIN(1,MAX(0,(1-Pipeline!$E$21+1)/MAX(Pipeline!$F$21,1)))+Pipeline!$W$22*Pipeline!$D$22*MIN(1,MAX(0,(1-Pipeline!$E$22+1)/MAX(Pipeline!$F$22,1)))</f>
        <v>106.083333333333</v>
      </c>
      <c r="D19" s="109" t="n">
        <f aca="false">Pipeline!$W$16*Pipeline!$D$16*MIN(1,MAX(0,(2-Pipeline!$E$16+1)/MAX(Pipeline!$F$16,1)))+Pipeline!$W$17*Pipeline!$D$17*MIN(1,MAX(0,(2-Pipeline!$E$17+1)/MAX(Pipeline!$F$17,1)))+Pipeline!$W$18*Pipeline!$D$18*MIN(1,MAX(0,(2-Pipeline!$E$18+1)/MAX(Pipeline!$F$18,1)))+Pipeline!$W$19*Pipeline!$D$19*MIN(1,MAX(0,(2-Pipeline!$E$19+1)/MAX(Pipeline!$F$19,1)))+Pipeline!$W$20*Pipeline!$D$20*MIN(1,MAX(0,(2-Pipeline!$E$20+1)/MAX(Pipeline!$F$20,1)))+Pipeline!$W$21*Pipeline!$D$21*MIN(1,MAX(0,(2-Pipeline!$E$21+1)/MAX(Pipeline!$F$21,1)))+Pipeline!$W$22*Pipeline!$D$22*MIN(1,MAX(0,(2-Pipeline!$E$22+1)/MAX(Pipeline!$F$22,1)))</f>
        <v>228.59431372549</v>
      </c>
      <c r="E19" s="109" t="n">
        <f aca="false">Pipeline!$W$16*Pipeline!$D$16*MIN(1,MAX(0,(3-Pipeline!$E$16+1)/MAX(Pipeline!$F$16,1)))+Pipeline!$W$17*Pipeline!$D$17*MIN(1,MAX(0,(3-Pipeline!$E$17+1)/MAX(Pipeline!$F$17,1)))+Pipeline!$W$18*Pipeline!$D$18*MIN(1,MAX(0,(3-Pipeline!$E$18+1)/MAX(Pipeline!$F$18,1)))+Pipeline!$W$19*Pipeline!$D$19*MIN(1,MAX(0,(3-Pipeline!$E$19+1)/MAX(Pipeline!$F$19,1)))+Pipeline!$W$20*Pipeline!$D$20*MIN(1,MAX(0,(3-Pipeline!$E$20+1)/MAX(Pipeline!$F$20,1)))+Pipeline!$W$21*Pipeline!$D$21*MIN(1,MAX(0,(3-Pipeline!$E$21+1)/MAX(Pipeline!$F$21,1)))+Pipeline!$W$22*Pipeline!$D$22*MIN(1,MAX(0,(3-Pipeline!$E$22+1)/MAX(Pipeline!$F$22,1)))</f>
        <v>567.492245648259</v>
      </c>
      <c r="F19" s="109" t="n">
        <f aca="false">Pipeline!$W$16*Pipeline!$D$16*MIN(1,MAX(0,(4-Pipeline!$E$16+1)/MAX(Pipeline!$F$16,1)))+Pipeline!$W$17*Pipeline!$D$17*MIN(1,MAX(0,(4-Pipeline!$E$17+1)/MAX(Pipeline!$F$17,1)))+Pipeline!$W$18*Pipeline!$D$18*MIN(1,MAX(0,(4-Pipeline!$E$18+1)/MAX(Pipeline!$F$18,1)))+Pipeline!$W$19*Pipeline!$D$19*MIN(1,MAX(0,(4-Pipeline!$E$19+1)/MAX(Pipeline!$F$19,1)))+Pipeline!$W$20*Pipeline!$D$20*MIN(1,MAX(0,(4-Pipeline!$E$20+1)/MAX(Pipeline!$F$20,1)))+Pipeline!$W$21*Pipeline!$D$21*MIN(1,MAX(0,(4-Pipeline!$E$21+1)/MAX(Pipeline!$F$21,1)))+Pipeline!$W$22*Pipeline!$D$22*MIN(1,MAX(0,(4-Pipeline!$E$22+1)/MAX(Pipeline!$F$22,1)))</f>
        <v>800.306844237695</v>
      </c>
      <c r="G19" s="109" t="n">
        <f aca="false">Pipeline!$W$16*Pipeline!$D$16*MIN(1,MAX(0,(5-Pipeline!$E$16+1)/MAX(Pipeline!$F$16,1)))+Pipeline!$W$17*Pipeline!$D$17*MIN(1,MAX(0,(5-Pipeline!$E$17+1)/MAX(Pipeline!$F$17,1)))+Pipeline!$W$18*Pipeline!$D$18*MIN(1,MAX(0,(5-Pipeline!$E$18+1)/MAX(Pipeline!$F$18,1)))+Pipeline!$W$19*Pipeline!$D$19*MIN(1,MAX(0,(5-Pipeline!$E$19+1)/MAX(Pipeline!$F$19,1)))+Pipeline!$W$20*Pipeline!$D$20*MIN(1,MAX(0,(5-Pipeline!$E$20+1)/MAX(Pipeline!$F$20,1)))+Pipeline!$W$21*Pipeline!$D$21*MIN(1,MAX(0,(5-Pipeline!$E$21+1)/MAX(Pipeline!$F$21,1)))+Pipeline!$W$22*Pipeline!$D$22*MIN(1,MAX(0,(5-Pipeline!$E$22+1)/MAX(Pipeline!$F$22,1)))</f>
        <v>1016.69379576831</v>
      </c>
      <c r="H19" s="109" t="n">
        <f aca="false">Pipeline!$W$16*Pipeline!$D$16*MIN(1,MAX(0,(6-Pipeline!$E$16+1)/MAX(Pipeline!$F$16,1)))+Pipeline!$W$17*Pipeline!$D$17*MIN(1,MAX(0,(6-Pipeline!$E$17+1)/MAX(Pipeline!$F$17,1)))+Pipeline!$W$18*Pipeline!$D$18*MIN(1,MAX(0,(6-Pipeline!$E$18+1)/MAX(Pipeline!$F$18,1)))+Pipeline!$W$19*Pipeline!$D$19*MIN(1,MAX(0,(6-Pipeline!$E$19+1)/MAX(Pipeline!$F$19,1)))+Pipeline!$W$20*Pipeline!$D$20*MIN(1,MAX(0,(6-Pipeline!$E$20+1)/MAX(Pipeline!$F$20,1)))+Pipeline!$W$21*Pipeline!$D$21*MIN(1,MAX(0,(6-Pipeline!$E$21+1)/MAX(Pipeline!$F$21,1)))+Pipeline!$W$22*Pipeline!$D$22*MIN(1,MAX(0,(6-Pipeline!$E$22+1)/MAX(Pipeline!$F$22,1)))</f>
        <v>1421.31420318127</v>
      </c>
      <c r="I19" s="109" t="n">
        <f aca="false">Pipeline!$W$16*Pipeline!$D$16*MIN(1,MAX(0,(7-Pipeline!$E$16+1)/MAX(Pipeline!$F$16,1)))+Pipeline!$W$17*Pipeline!$D$17*MIN(1,MAX(0,(7-Pipeline!$E$17+1)/MAX(Pipeline!$F$17,1)))+Pipeline!$W$18*Pipeline!$D$18*MIN(1,MAX(0,(7-Pipeline!$E$18+1)/MAX(Pipeline!$F$18,1)))+Pipeline!$W$19*Pipeline!$D$19*MIN(1,MAX(0,(7-Pipeline!$E$19+1)/MAX(Pipeline!$F$19,1)))+Pipeline!$W$20*Pipeline!$D$20*MIN(1,MAX(0,(7-Pipeline!$E$20+1)/MAX(Pipeline!$F$20,1)))+Pipeline!$W$21*Pipeline!$D$21*MIN(1,MAX(0,(7-Pipeline!$E$21+1)/MAX(Pipeline!$F$21,1)))+Pipeline!$W$22*Pipeline!$D$22*MIN(1,MAX(0,(7-Pipeline!$E$22+1)/MAX(Pipeline!$F$22,1)))</f>
        <v>1825.93461059424</v>
      </c>
      <c r="J19" s="109" t="n">
        <f aca="false">Pipeline!$W$16*Pipeline!$D$16*MIN(1,MAX(0,(8-Pipeline!$E$16+1)/MAX(Pipeline!$F$16,1)))+Pipeline!$W$17*Pipeline!$D$17*MIN(1,MAX(0,(8-Pipeline!$E$17+1)/MAX(Pipeline!$F$17,1)))+Pipeline!$W$18*Pipeline!$D$18*MIN(1,MAX(0,(8-Pipeline!$E$18+1)/MAX(Pipeline!$F$18,1)))+Pipeline!$W$19*Pipeline!$D$19*MIN(1,MAX(0,(8-Pipeline!$E$19+1)/MAX(Pipeline!$F$19,1)))+Pipeline!$W$20*Pipeline!$D$20*MIN(1,MAX(0,(8-Pipeline!$E$20+1)/MAX(Pipeline!$F$20,1)))+Pipeline!$W$21*Pipeline!$D$21*MIN(1,MAX(0,(8-Pipeline!$E$21+1)/MAX(Pipeline!$F$21,1)))+Pipeline!$W$22*Pipeline!$D$22*MIN(1,MAX(0,(8-Pipeline!$E$22+1)/MAX(Pipeline!$F$22,1)))</f>
        <v>2230.5550180072</v>
      </c>
      <c r="K19" s="109" t="n">
        <f aca="false">Pipeline!$W$16*Pipeline!$D$16*MIN(1,MAX(0,(9-Pipeline!$E$16+1)/MAX(Pipeline!$F$16,1)))+Pipeline!$W$17*Pipeline!$D$17*MIN(1,MAX(0,(9-Pipeline!$E$17+1)/MAX(Pipeline!$F$17,1)))+Pipeline!$W$18*Pipeline!$D$18*MIN(1,MAX(0,(9-Pipeline!$E$18+1)/MAX(Pipeline!$F$18,1)))+Pipeline!$W$19*Pipeline!$D$19*MIN(1,MAX(0,(9-Pipeline!$E$19+1)/MAX(Pipeline!$F$19,1)))+Pipeline!$W$20*Pipeline!$D$20*MIN(1,MAX(0,(9-Pipeline!$E$20+1)/MAX(Pipeline!$F$20,1)))+Pipeline!$W$21*Pipeline!$D$21*MIN(1,MAX(0,(9-Pipeline!$E$21+1)/MAX(Pipeline!$F$21,1)))+Pipeline!$W$22*Pipeline!$D$22*MIN(1,MAX(0,(9-Pipeline!$E$22+1)/MAX(Pipeline!$F$22,1)))</f>
        <v>2635.17542542017</v>
      </c>
      <c r="L19" s="109" t="n">
        <f aca="false">Pipeline!$W$16*Pipeline!$D$16*MIN(1,MAX(0,(10-Pipeline!$E$16+1)/MAX(Pipeline!$F$16,1)))+Pipeline!$W$17*Pipeline!$D$17*MIN(1,MAX(0,(10-Pipeline!$E$17+1)/MAX(Pipeline!$F$17,1)))+Pipeline!$W$18*Pipeline!$D$18*MIN(1,MAX(0,(10-Pipeline!$E$18+1)/MAX(Pipeline!$F$18,1)))+Pipeline!$W$19*Pipeline!$D$19*MIN(1,MAX(0,(10-Pipeline!$E$19+1)/MAX(Pipeline!$F$19,1)))+Pipeline!$W$20*Pipeline!$D$20*MIN(1,MAX(0,(10-Pipeline!$E$20+1)/MAX(Pipeline!$F$20,1)))+Pipeline!$W$21*Pipeline!$D$21*MIN(1,MAX(0,(10-Pipeline!$E$21+1)/MAX(Pipeline!$F$21,1)))+Pipeline!$W$22*Pipeline!$D$22*MIN(1,MAX(0,(10-Pipeline!$E$22+1)/MAX(Pipeline!$F$22,1)))</f>
        <v>3039.79583283313</v>
      </c>
      <c r="M19" s="109" t="n">
        <f aca="false">Pipeline!$W$16*Pipeline!$D$16*MIN(1,MAX(0,(11-Pipeline!$E$16+1)/MAX(Pipeline!$F$16,1)))+Pipeline!$W$17*Pipeline!$D$17*MIN(1,MAX(0,(11-Pipeline!$E$17+1)/MAX(Pipeline!$F$17,1)))+Pipeline!$W$18*Pipeline!$D$18*MIN(1,MAX(0,(11-Pipeline!$E$18+1)/MAX(Pipeline!$F$18,1)))+Pipeline!$W$19*Pipeline!$D$19*MIN(1,MAX(0,(11-Pipeline!$E$19+1)/MAX(Pipeline!$F$19,1)))+Pipeline!$W$20*Pipeline!$D$20*MIN(1,MAX(0,(11-Pipeline!$E$20+1)/MAX(Pipeline!$F$20,1)))+Pipeline!$W$21*Pipeline!$D$21*MIN(1,MAX(0,(11-Pipeline!$E$21+1)/MAX(Pipeline!$F$21,1)))+Pipeline!$W$22*Pipeline!$D$22*MIN(1,MAX(0,(11-Pipeline!$E$22+1)/MAX(Pipeline!$F$22,1)))</f>
        <v>3228.02928871549</v>
      </c>
      <c r="N19" s="109" t="n">
        <f aca="false">Pipeline!$W$16*Pipeline!$D$16*MIN(1,MAX(0,(12-Pipeline!$E$16+1)/MAX(Pipeline!$F$16,1)))+Pipeline!$W$17*Pipeline!$D$17*MIN(1,MAX(0,(12-Pipeline!$E$17+1)/MAX(Pipeline!$F$17,1)))+Pipeline!$W$18*Pipeline!$D$18*MIN(1,MAX(0,(12-Pipeline!$E$18+1)/MAX(Pipeline!$F$18,1)))+Pipeline!$W$19*Pipeline!$D$19*MIN(1,MAX(0,(12-Pipeline!$E$19+1)/MAX(Pipeline!$F$19,1)))+Pipeline!$W$20*Pipeline!$D$20*MIN(1,MAX(0,(12-Pipeline!$E$20+1)/MAX(Pipeline!$F$20,1)))+Pipeline!$W$21*Pipeline!$D$21*MIN(1,MAX(0,(12-Pipeline!$E$21+1)/MAX(Pipeline!$F$21,1)))+Pipeline!$W$22*Pipeline!$D$22*MIN(1,MAX(0,(12-Pipeline!$E$22+1)/MAX(Pipeline!$F$22,1)))</f>
        <v>3690.0568622449</v>
      </c>
      <c r="O19" s="109" t="n">
        <f aca="false">Pipeline!$W$16*Pipeline!$D$16*MIN(1,MAX(0,(13-Pipeline!$E$16+1)/MAX(Pipeline!$F$16,1)))+Pipeline!$W$17*Pipeline!$D$17*MIN(1,MAX(0,(13-Pipeline!$E$17+1)/MAX(Pipeline!$F$17,1)))+Pipeline!$W$18*Pipeline!$D$18*MIN(1,MAX(0,(13-Pipeline!$E$18+1)/MAX(Pipeline!$F$18,1)))+Pipeline!$W$19*Pipeline!$D$19*MIN(1,MAX(0,(13-Pipeline!$E$19+1)/MAX(Pipeline!$F$19,1)))+Pipeline!$W$20*Pipeline!$D$20*MIN(1,MAX(0,(13-Pipeline!$E$20+1)/MAX(Pipeline!$F$20,1)))+Pipeline!$W$21*Pipeline!$D$21*MIN(1,MAX(0,(13-Pipeline!$E$21+1)/MAX(Pipeline!$F$21,1)))+Pipeline!$W$22*Pipeline!$D$22*MIN(1,MAX(0,(13-Pipeline!$E$22+1)/MAX(Pipeline!$F$22,1)))</f>
        <v>4152.08443577431</v>
      </c>
      <c r="P19" s="109" t="n">
        <f aca="false">Pipeline!$W$16*Pipeline!$D$16*MIN(1,MAX(0,(14-Pipeline!$E$16+1)/MAX(Pipeline!$F$16,1)))+Pipeline!$W$17*Pipeline!$D$17*MIN(1,MAX(0,(14-Pipeline!$E$17+1)/MAX(Pipeline!$F$17,1)))+Pipeline!$W$18*Pipeline!$D$18*MIN(1,MAX(0,(14-Pipeline!$E$18+1)/MAX(Pipeline!$F$18,1)))+Pipeline!$W$19*Pipeline!$D$19*MIN(1,MAX(0,(14-Pipeline!$E$19+1)/MAX(Pipeline!$F$19,1)))+Pipeline!$W$20*Pipeline!$D$20*MIN(1,MAX(0,(14-Pipeline!$E$20+1)/MAX(Pipeline!$F$20,1)))+Pipeline!$W$21*Pipeline!$D$21*MIN(1,MAX(0,(14-Pipeline!$E$21+1)/MAX(Pipeline!$F$21,1)))+Pipeline!$W$22*Pipeline!$D$22*MIN(1,MAX(0,(14-Pipeline!$E$22+1)/MAX(Pipeline!$F$22,1)))</f>
        <v>4535.39620048019</v>
      </c>
      <c r="Q19" s="109" t="n">
        <f aca="false">Pipeline!$W$16*Pipeline!$D$16*MIN(1,MAX(0,(15-Pipeline!$E$16+1)/MAX(Pipeline!$F$16,1)))+Pipeline!$W$17*Pipeline!$D$17*MIN(1,MAX(0,(15-Pipeline!$E$17+1)/MAX(Pipeline!$F$17,1)))+Pipeline!$W$18*Pipeline!$D$18*MIN(1,MAX(0,(15-Pipeline!$E$18+1)/MAX(Pipeline!$F$18,1)))+Pipeline!$W$19*Pipeline!$D$19*MIN(1,MAX(0,(15-Pipeline!$E$19+1)/MAX(Pipeline!$F$19,1)))+Pipeline!$W$20*Pipeline!$D$20*MIN(1,MAX(0,(15-Pipeline!$E$20+1)/MAX(Pipeline!$F$20,1)))+Pipeline!$W$21*Pipeline!$D$21*MIN(1,MAX(0,(15-Pipeline!$E$21+1)/MAX(Pipeline!$F$21,1)))+Pipeline!$W$22*Pipeline!$D$22*MIN(1,MAX(0,(15-Pipeline!$E$22+1)/MAX(Pipeline!$F$22,1)))</f>
        <v>4918.70796518607</v>
      </c>
      <c r="R19" s="109" t="n">
        <f aca="false">Pipeline!$W$16*Pipeline!$D$16*MIN(1,MAX(0,(16-Pipeline!$E$16+1)/MAX(Pipeline!$F$16,1)))+Pipeline!$W$17*Pipeline!$D$17*MIN(1,MAX(0,(16-Pipeline!$E$17+1)/MAX(Pipeline!$F$17,1)))+Pipeline!$W$18*Pipeline!$D$18*MIN(1,MAX(0,(16-Pipeline!$E$18+1)/MAX(Pipeline!$F$18,1)))+Pipeline!$W$19*Pipeline!$D$19*MIN(1,MAX(0,(16-Pipeline!$E$19+1)/MAX(Pipeline!$F$19,1)))+Pipeline!$W$20*Pipeline!$D$20*MIN(1,MAX(0,(16-Pipeline!$E$20+1)/MAX(Pipeline!$F$20,1)))+Pipeline!$W$21*Pipeline!$D$21*MIN(1,MAX(0,(16-Pipeline!$E$21+1)/MAX(Pipeline!$F$21,1)))+Pipeline!$W$22*Pipeline!$D$22*MIN(1,MAX(0,(16-Pipeline!$E$22+1)/MAX(Pipeline!$F$22,1)))</f>
        <v>5302.01972989196</v>
      </c>
      <c r="S19" s="109" t="n">
        <f aca="false">Pipeline!$W$16*Pipeline!$D$16*MIN(1,MAX(0,(17-Pipeline!$E$16+1)/MAX(Pipeline!$F$16,1)))+Pipeline!$W$17*Pipeline!$D$17*MIN(1,MAX(0,(17-Pipeline!$E$17+1)/MAX(Pipeline!$F$17,1)))+Pipeline!$W$18*Pipeline!$D$18*MIN(1,MAX(0,(17-Pipeline!$E$18+1)/MAX(Pipeline!$F$18,1)))+Pipeline!$W$19*Pipeline!$D$19*MIN(1,MAX(0,(17-Pipeline!$E$19+1)/MAX(Pipeline!$F$19,1)))+Pipeline!$W$20*Pipeline!$D$20*MIN(1,MAX(0,(17-Pipeline!$E$20+1)/MAX(Pipeline!$F$20,1)))+Pipeline!$W$21*Pipeline!$D$21*MIN(1,MAX(0,(17-Pipeline!$E$21+1)/MAX(Pipeline!$F$21,1)))+Pipeline!$W$22*Pipeline!$D$22*MIN(1,MAX(0,(17-Pipeline!$E$22+1)/MAX(Pipeline!$F$22,1)))</f>
        <v>5685.33149459784</v>
      </c>
      <c r="T19" s="109" t="n">
        <f aca="false">Pipeline!$W$16*Pipeline!$D$16*MIN(1,MAX(0,(18-Pipeline!$E$16+1)/MAX(Pipeline!$F$16,1)))+Pipeline!$W$17*Pipeline!$D$17*MIN(1,MAX(0,(18-Pipeline!$E$17+1)/MAX(Pipeline!$F$17,1)))+Pipeline!$W$18*Pipeline!$D$18*MIN(1,MAX(0,(18-Pipeline!$E$18+1)/MAX(Pipeline!$F$18,1)))+Pipeline!$W$19*Pipeline!$D$19*MIN(1,MAX(0,(18-Pipeline!$E$19+1)/MAX(Pipeline!$F$19,1)))+Pipeline!$W$20*Pipeline!$D$20*MIN(1,MAX(0,(18-Pipeline!$E$20+1)/MAX(Pipeline!$F$20,1)))+Pipeline!$W$21*Pipeline!$D$21*MIN(1,MAX(0,(18-Pipeline!$E$21+1)/MAX(Pipeline!$F$21,1)))+Pipeline!$W$22*Pipeline!$D$22*MIN(1,MAX(0,(18-Pipeline!$E$22+1)/MAX(Pipeline!$F$22,1)))</f>
        <v>6068.64325930372</v>
      </c>
      <c r="U19" s="109" t="n">
        <f aca="false">Pipeline!$W$16*Pipeline!$D$16*MIN(1,MAX(0,(19-Pipeline!$E$16+1)/MAX(Pipeline!$F$16,1)))+Pipeline!$W$17*Pipeline!$D$17*MIN(1,MAX(0,(19-Pipeline!$E$17+1)/MAX(Pipeline!$F$17,1)))+Pipeline!$W$18*Pipeline!$D$18*MIN(1,MAX(0,(19-Pipeline!$E$18+1)/MAX(Pipeline!$F$18,1)))+Pipeline!$W$19*Pipeline!$D$19*MIN(1,MAX(0,(19-Pipeline!$E$19+1)/MAX(Pipeline!$F$19,1)))+Pipeline!$W$20*Pipeline!$D$20*MIN(1,MAX(0,(19-Pipeline!$E$20+1)/MAX(Pipeline!$F$20,1)))+Pipeline!$W$21*Pipeline!$D$21*MIN(1,MAX(0,(19-Pipeline!$E$21+1)/MAX(Pipeline!$F$21,1)))+Pipeline!$W$22*Pipeline!$D$22*MIN(1,MAX(0,(19-Pipeline!$E$22+1)/MAX(Pipeline!$F$22,1)))</f>
        <v>6451.9550240096</v>
      </c>
      <c r="V19" s="109" t="n">
        <f aca="false">Pipeline!$W$16*Pipeline!$D$16*MIN(1,MAX(0,(20-Pipeline!$E$16+1)/MAX(Pipeline!$F$16,1)))+Pipeline!$W$17*Pipeline!$D$17*MIN(1,MAX(0,(20-Pipeline!$E$17+1)/MAX(Pipeline!$F$17,1)))+Pipeline!$W$18*Pipeline!$D$18*MIN(1,MAX(0,(20-Pipeline!$E$18+1)/MAX(Pipeline!$F$18,1)))+Pipeline!$W$19*Pipeline!$D$19*MIN(1,MAX(0,(20-Pipeline!$E$19+1)/MAX(Pipeline!$F$19,1)))+Pipeline!$W$20*Pipeline!$D$20*MIN(1,MAX(0,(20-Pipeline!$E$20+1)/MAX(Pipeline!$F$20,1)))+Pipeline!$W$21*Pipeline!$D$21*MIN(1,MAX(0,(20-Pipeline!$E$21+1)/MAX(Pipeline!$F$21,1)))+Pipeline!$W$22*Pipeline!$D$22*MIN(1,MAX(0,(20-Pipeline!$E$22+1)/MAX(Pipeline!$F$22,1)))</f>
        <v>6835.26678871549</v>
      </c>
      <c r="W19" s="109" t="n">
        <f aca="false">Pipeline!$W$16*Pipeline!$D$16*MIN(1,MAX(0,(21-Pipeline!$E$16+1)/MAX(Pipeline!$F$16,1)))+Pipeline!$W$17*Pipeline!$D$17*MIN(1,MAX(0,(21-Pipeline!$E$17+1)/MAX(Pipeline!$F$17,1)))+Pipeline!$W$18*Pipeline!$D$18*MIN(1,MAX(0,(21-Pipeline!$E$18+1)/MAX(Pipeline!$F$18,1)))+Pipeline!$W$19*Pipeline!$D$19*MIN(1,MAX(0,(21-Pipeline!$E$19+1)/MAX(Pipeline!$F$19,1)))+Pipeline!$W$20*Pipeline!$D$20*MIN(1,MAX(0,(21-Pipeline!$E$20+1)/MAX(Pipeline!$F$20,1)))+Pipeline!$W$21*Pipeline!$D$21*MIN(1,MAX(0,(21-Pipeline!$E$21+1)/MAX(Pipeline!$F$21,1)))+Pipeline!$W$22*Pipeline!$D$22*MIN(1,MAX(0,(21-Pipeline!$E$22+1)/MAX(Pipeline!$F$22,1)))</f>
        <v>7218.57855342137</v>
      </c>
      <c r="X19" s="109" t="n">
        <f aca="false">Pipeline!$W$16*Pipeline!$D$16*MIN(1,MAX(0,(22-Pipeline!$E$16+1)/MAX(Pipeline!$F$16,1)))+Pipeline!$W$17*Pipeline!$D$17*MIN(1,MAX(0,(22-Pipeline!$E$17+1)/MAX(Pipeline!$F$17,1)))+Pipeline!$W$18*Pipeline!$D$18*MIN(1,MAX(0,(22-Pipeline!$E$18+1)/MAX(Pipeline!$F$18,1)))+Pipeline!$W$19*Pipeline!$D$19*MIN(1,MAX(0,(22-Pipeline!$E$19+1)/MAX(Pipeline!$F$19,1)))+Pipeline!$W$20*Pipeline!$D$20*MIN(1,MAX(0,(22-Pipeline!$E$20+1)/MAX(Pipeline!$F$20,1)))+Pipeline!$W$21*Pipeline!$D$21*MIN(1,MAX(0,(22-Pipeline!$E$21+1)/MAX(Pipeline!$F$21,1)))+Pipeline!$W$22*Pipeline!$D$22*MIN(1,MAX(0,(22-Pipeline!$E$22+1)/MAX(Pipeline!$F$22,1)))</f>
        <v>7328.09620048019</v>
      </c>
      <c r="Y19" s="109" t="n">
        <f aca="false">Pipeline!$W$16*Pipeline!$D$16*MIN(1,MAX(0,(23-Pipeline!$E$16+1)/MAX(Pipeline!$F$16,1)))+Pipeline!$W$17*Pipeline!$D$17*MIN(1,MAX(0,(23-Pipeline!$E$17+1)/MAX(Pipeline!$F$17,1)))+Pipeline!$W$18*Pipeline!$D$18*MIN(1,MAX(0,(23-Pipeline!$E$18+1)/MAX(Pipeline!$F$18,1)))+Pipeline!$W$19*Pipeline!$D$19*MIN(1,MAX(0,(23-Pipeline!$E$19+1)/MAX(Pipeline!$F$19,1)))+Pipeline!$W$20*Pipeline!$D$20*MIN(1,MAX(0,(23-Pipeline!$E$20+1)/MAX(Pipeline!$F$20,1)))+Pipeline!$W$21*Pipeline!$D$21*MIN(1,MAX(0,(23-Pipeline!$E$21+1)/MAX(Pipeline!$F$21,1)))+Pipeline!$W$22*Pipeline!$D$22*MIN(1,MAX(0,(23-Pipeline!$E$22+1)/MAX(Pipeline!$F$22,1)))</f>
        <v>7437.61384753902</v>
      </c>
      <c r="Z19" s="109" t="n">
        <f aca="false">Pipeline!$W$16*Pipeline!$D$16*MIN(1,MAX(0,(24-Pipeline!$E$16+1)/MAX(Pipeline!$F$16,1)))+Pipeline!$W$17*Pipeline!$D$17*MIN(1,MAX(0,(24-Pipeline!$E$17+1)/MAX(Pipeline!$F$17,1)))+Pipeline!$W$18*Pipeline!$D$18*MIN(1,MAX(0,(24-Pipeline!$E$18+1)/MAX(Pipeline!$F$18,1)))+Pipeline!$W$19*Pipeline!$D$19*MIN(1,MAX(0,(24-Pipeline!$E$19+1)/MAX(Pipeline!$F$19,1)))+Pipeline!$W$20*Pipeline!$D$20*MIN(1,MAX(0,(24-Pipeline!$E$20+1)/MAX(Pipeline!$F$20,1)))+Pipeline!$W$21*Pipeline!$D$21*MIN(1,MAX(0,(24-Pipeline!$E$21+1)/MAX(Pipeline!$F$21,1)))+Pipeline!$W$22*Pipeline!$D$22*MIN(1,MAX(0,(24-Pipeline!$E$22+1)/MAX(Pipeline!$F$22,1)))</f>
        <v>7437.61384753902</v>
      </c>
      <c r="AA19" s="109" t="n">
        <f aca="false">Pipeline!$W$16*Pipeline!$D$16*MIN(1,MAX(0,(25-Pipeline!$E$16+1)/MAX(Pipeline!$F$16,1)))+Pipeline!$W$17*Pipeline!$D$17*MIN(1,MAX(0,(25-Pipeline!$E$17+1)/MAX(Pipeline!$F$17,1)))+Pipeline!$W$18*Pipeline!$D$18*MIN(1,MAX(0,(25-Pipeline!$E$18+1)/MAX(Pipeline!$F$18,1)))+Pipeline!$W$19*Pipeline!$D$19*MIN(1,MAX(0,(25-Pipeline!$E$19+1)/MAX(Pipeline!$F$19,1)))+Pipeline!$W$20*Pipeline!$D$20*MIN(1,MAX(0,(25-Pipeline!$E$20+1)/MAX(Pipeline!$F$20,1)))+Pipeline!$W$21*Pipeline!$D$21*MIN(1,MAX(0,(25-Pipeline!$E$21+1)/MAX(Pipeline!$F$21,1)))+Pipeline!$W$22*Pipeline!$D$22*MIN(1,MAX(0,(25-Pipeline!$E$22+1)/MAX(Pipeline!$F$22,1)))</f>
        <v>7437.61384753902</v>
      </c>
      <c r="AB19" s="109" t="n">
        <f aca="false">Pipeline!$W$16*Pipeline!$D$16*MIN(1,MAX(0,(26-Pipeline!$E$16+1)/MAX(Pipeline!$F$16,1)))+Pipeline!$W$17*Pipeline!$D$17*MIN(1,MAX(0,(26-Pipeline!$E$17+1)/MAX(Pipeline!$F$17,1)))+Pipeline!$W$18*Pipeline!$D$18*MIN(1,MAX(0,(26-Pipeline!$E$18+1)/MAX(Pipeline!$F$18,1)))+Pipeline!$W$19*Pipeline!$D$19*MIN(1,MAX(0,(26-Pipeline!$E$19+1)/MAX(Pipeline!$F$19,1)))+Pipeline!$W$20*Pipeline!$D$20*MIN(1,MAX(0,(26-Pipeline!$E$20+1)/MAX(Pipeline!$F$20,1)))+Pipeline!$W$21*Pipeline!$D$21*MIN(1,MAX(0,(26-Pipeline!$E$21+1)/MAX(Pipeline!$F$21,1)))+Pipeline!$W$22*Pipeline!$D$22*MIN(1,MAX(0,(26-Pipeline!$E$22+1)/MAX(Pipeline!$F$22,1)))</f>
        <v>7437.61384753902</v>
      </c>
      <c r="AC19" s="109" t="n">
        <f aca="false">Pipeline!$W$16*Pipeline!$D$16*MIN(1,MAX(0,(27-Pipeline!$E$16+1)/MAX(Pipeline!$F$16,1)))+Pipeline!$W$17*Pipeline!$D$17*MIN(1,MAX(0,(27-Pipeline!$E$17+1)/MAX(Pipeline!$F$17,1)))+Pipeline!$W$18*Pipeline!$D$18*MIN(1,MAX(0,(27-Pipeline!$E$18+1)/MAX(Pipeline!$F$18,1)))+Pipeline!$W$19*Pipeline!$D$19*MIN(1,MAX(0,(27-Pipeline!$E$19+1)/MAX(Pipeline!$F$19,1)))+Pipeline!$W$20*Pipeline!$D$20*MIN(1,MAX(0,(27-Pipeline!$E$20+1)/MAX(Pipeline!$F$20,1)))+Pipeline!$W$21*Pipeline!$D$21*MIN(1,MAX(0,(27-Pipeline!$E$21+1)/MAX(Pipeline!$F$21,1)))+Pipeline!$W$22*Pipeline!$D$22*MIN(1,MAX(0,(27-Pipeline!$E$22+1)/MAX(Pipeline!$F$22,1)))</f>
        <v>7437.61384753902</v>
      </c>
      <c r="AD19" s="109" t="n">
        <f aca="false">Pipeline!$W$16*Pipeline!$D$16*MIN(1,MAX(0,(28-Pipeline!$E$16+1)/MAX(Pipeline!$F$16,1)))+Pipeline!$W$17*Pipeline!$D$17*MIN(1,MAX(0,(28-Pipeline!$E$17+1)/MAX(Pipeline!$F$17,1)))+Pipeline!$W$18*Pipeline!$D$18*MIN(1,MAX(0,(28-Pipeline!$E$18+1)/MAX(Pipeline!$F$18,1)))+Pipeline!$W$19*Pipeline!$D$19*MIN(1,MAX(0,(28-Pipeline!$E$19+1)/MAX(Pipeline!$F$19,1)))+Pipeline!$W$20*Pipeline!$D$20*MIN(1,MAX(0,(28-Pipeline!$E$20+1)/MAX(Pipeline!$F$20,1)))+Pipeline!$W$21*Pipeline!$D$21*MIN(1,MAX(0,(28-Pipeline!$E$21+1)/MAX(Pipeline!$F$21,1)))+Pipeline!$W$22*Pipeline!$D$22*MIN(1,MAX(0,(28-Pipeline!$E$22+1)/MAX(Pipeline!$F$22,1)))</f>
        <v>7437.61384753902</v>
      </c>
      <c r="AE19" s="109" t="n">
        <f aca="false">Pipeline!$W$16*Pipeline!$D$16*MIN(1,MAX(0,(29-Pipeline!$E$16+1)/MAX(Pipeline!$F$16,1)))+Pipeline!$W$17*Pipeline!$D$17*MIN(1,MAX(0,(29-Pipeline!$E$17+1)/MAX(Pipeline!$F$17,1)))+Pipeline!$W$18*Pipeline!$D$18*MIN(1,MAX(0,(29-Pipeline!$E$18+1)/MAX(Pipeline!$F$18,1)))+Pipeline!$W$19*Pipeline!$D$19*MIN(1,MAX(0,(29-Pipeline!$E$19+1)/MAX(Pipeline!$F$19,1)))+Pipeline!$W$20*Pipeline!$D$20*MIN(1,MAX(0,(29-Pipeline!$E$20+1)/MAX(Pipeline!$F$20,1)))+Pipeline!$W$21*Pipeline!$D$21*MIN(1,MAX(0,(29-Pipeline!$E$21+1)/MAX(Pipeline!$F$21,1)))+Pipeline!$W$22*Pipeline!$D$22*MIN(1,MAX(0,(29-Pipeline!$E$22+1)/MAX(Pipeline!$F$22,1)))</f>
        <v>7437.61384753902</v>
      </c>
      <c r="AF19" s="109" t="n">
        <f aca="false">Pipeline!$W$16*Pipeline!$D$16*MIN(1,MAX(0,(30-Pipeline!$E$16+1)/MAX(Pipeline!$F$16,1)))+Pipeline!$W$17*Pipeline!$D$17*MIN(1,MAX(0,(30-Pipeline!$E$17+1)/MAX(Pipeline!$F$17,1)))+Pipeline!$W$18*Pipeline!$D$18*MIN(1,MAX(0,(30-Pipeline!$E$18+1)/MAX(Pipeline!$F$18,1)))+Pipeline!$W$19*Pipeline!$D$19*MIN(1,MAX(0,(30-Pipeline!$E$19+1)/MAX(Pipeline!$F$19,1)))+Pipeline!$W$20*Pipeline!$D$20*MIN(1,MAX(0,(30-Pipeline!$E$20+1)/MAX(Pipeline!$F$20,1)))+Pipeline!$W$21*Pipeline!$D$21*MIN(1,MAX(0,(30-Pipeline!$E$21+1)/MAX(Pipeline!$F$21,1)))+Pipeline!$W$22*Pipeline!$D$22*MIN(1,MAX(0,(30-Pipeline!$E$22+1)/MAX(Pipeline!$F$22,1)))</f>
        <v>7437.61384753902</v>
      </c>
      <c r="AG19" s="109" t="n">
        <f aca="false">Pipeline!$W$16*Pipeline!$D$16*MIN(1,MAX(0,(31-Pipeline!$E$16+1)/MAX(Pipeline!$F$16,1)))+Pipeline!$W$17*Pipeline!$D$17*MIN(1,MAX(0,(31-Pipeline!$E$17+1)/MAX(Pipeline!$F$17,1)))+Pipeline!$W$18*Pipeline!$D$18*MIN(1,MAX(0,(31-Pipeline!$E$18+1)/MAX(Pipeline!$F$18,1)))+Pipeline!$W$19*Pipeline!$D$19*MIN(1,MAX(0,(31-Pipeline!$E$19+1)/MAX(Pipeline!$F$19,1)))+Pipeline!$W$20*Pipeline!$D$20*MIN(1,MAX(0,(31-Pipeline!$E$20+1)/MAX(Pipeline!$F$20,1)))+Pipeline!$W$21*Pipeline!$D$21*MIN(1,MAX(0,(31-Pipeline!$E$21+1)/MAX(Pipeline!$F$21,1)))+Pipeline!$W$22*Pipeline!$D$22*MIN(1,MAX(0,(31-Pipeline!$E$22+1)/MAX(Pipeline!$F$22,1)))</f>
        <v>7437.61384753902</v>
      </c>
      <c r="AH19" s="109" t="n">
        <f aca="false">Pipeline!$W$16*Pipeline!$D$16*MIN(1,MAX(0,(32-Pipeline!$E$16+1)/MAX(Pipeline!$F$16,1)))+Pipeline!$W$17*Pipeline!$D$17*MIN(1,MAX(0,(32-Pipeline!$E$17+1)/MAX(Pipeline!$F$17,1)))+Pipeline!$W$18*Pipeline!$D$18*MIN(1,MAX(0,(32-Pipeline!$E$18+1)/MAX(Pipeline!$F$18,1)))+Pipeline!$W$19*Pipeline!$D$19*MIN(1,MAX(0,(32-Pipeline!$E$19+1)/MAX(Pipeline!$F$19,1)))+Pipeline!$W$20*Pipeline!$D$20*MIN(1,MAX(0,(32-Pipeline!$E$20+1)/MAX(Pipeline!$F$20,1)))+Pipeline!$W$21*Pipeline!$D$21*MIN(1,MAX(0,(32-Pipeline!$E$21+1)/MAX(Pipeline!$F$21,1)))+Pipeline!$W$22*Pipeline!$D$22*MIN(1,MAX(0,(32-Pipeline!$E$22+1)/MAX(Pipeline!$F$22,1)))</f>
        <v>7437.61384753902</v>
      </c>
      <c r="AI19" s="109" t="n">
        <f aca="false">Pipeline!$W$16*Pipeline!$D$16*MIN(1,MAX(0,(33-Pipeline!$E$16+1)/MAX(Pipeline!$F$16,1)))+Pipeline!$W$17*Pipeline!$D$17*MIN(1,MAX(0,(33-Pipeline!$E$17+1)/MAX(Pipeline!$F$17,1)))+Pipeline!$W$18*Pipeline!$D$18*MIN(1,MAX(0,(33-Pipeline!$E$18+1)/MAX(Pipeline!$F$18,1)))+Pipeline!$W$19*Pipeline!$D$19*MIN(1,MAX(0,(33-Pipeline!$E$19+1)/MAX(Pipeline!$F$19,1)))+Pipeline!$W$20*Pipeline!$D$20*MIN(1,MAX(0,(33-Pipeline!$E$20+1)/MAX(Pipeline!$F$20,1)))+Pipeline!$W$21*Pipeline!$D$21*MIN(1,MAX(0,(33-Pipeline!$E$21+1)/MAX(Pipeline!$F$21,1)))+Pipeline!$W$22*Pipeline!$D$22*MIN(1,MAX(0,(33-Pipeline!$E$22+1)/MAX(Pipeline!$F$22,1)))</f>
        <v>7437.61384753902</v>
      </c>
      <c r="AJ19" s="109" t="n">
        <f aca="false">Pipeline!$W$16*Pipeline!$D$16*MIN(1,MAX(0,(34-Pipeline!$E$16+1)/MAX(Pipeline!$F$16,1)))+Pipeline!$W$17*Pipeline!$D$17*MIN(1,MAX(0,(34-Pipeline!$E$17+1)/MAX(Pipeline!$F$17,1)))+Pipeline!$W$18*Pipeline!$D$18*MIN(1,MAX(0,(34-Pipeline!$E$18+1)/MAX(Pipeline!$F$18,1)))+Pipeline!$W$19*Pipeline!$D$19*MIN(1,MAX(0,(34-Pipeline!$E$19+1)/MAX(Pipeline!$F$19,1)))+Pipeline!$W$20*Pipeline!$D$20*MIN(1,MAX(0,(34-Pipeline!$E$20+1)/MAX(Pipeline!$F$20,1)))+Pipeline!$W$21*Pipeline!$D$21*MIN(1,MAX(0,(34-Pipeline!$E$21+1)/MAX(Pipeline!$F$21,1)))+Pipeline!$W$22*Pipeline!$D$22*MIN(1,MAX(0,(34-Pipeline!$E$22+1)/MAX(Pipeline!$F$22,1)))</f>
        <v>7437.61384753902</v>
      </c>
      <c r="AK19" s="109" t="n">
        <f aca="false">Pipeline!$W$16*Pipeline!$D$16*MIN(1,MAX(0,(35-Pipeline!$E$16+1)/MAX(Pipeline!$F$16,1)))+Pipeline!$W$17*Pipeline!$D$17*MIN(1,MAX(0,(35-Pipeline!$E$17+1)/MAX(Pipeline!$F$17,1)))+Pipeline!$W$18*Pipeline!$D$18*MIN(1,MAX(0,(35-Pipeline!$E$18+1)/MAX(Pipeline!$F$18,1)))+Pipeline!$W$19*Pipeline!$D$19*MIN(1,MAX(0,(35-Pipeline!$E$19+1)/MAX(Pipeline!$F$19,1)))+Pipeline!$W$20*Pipeline!$D$20*MIN(1,MAX(0,(35-Pipeline!$E$20+1)/MAX(Pipeline!$F$20,1)))+Pipeline!$W$21*Pipeline!$D$21*MIN(1,MAX(0,(35-Pipeline!$E$21+1)/MAX(Pipeline!$F$21,1)))+Pipeline!$W$22*Pipeline!$D$22*MIN(1,MAX(0,(35-Pipeline!$E$22+1)/MAX(Pipeline!$F$22,1)))</f>
        <v>7437.61384753902</v>
      </c>
      <c r="AL19" s="109" t="n">
        <f aca="false">Pipeline!$W$16*Pipeline!$D$16*MIN(1,MAX(0,(36-Pipeline!$E$16+1)/MAX(Pipeline!$F$16,1)))+Pipeline!$W$17*Pipeline!$D$17*MIN(1,MAX(0,(36-Pipeline!$E$17+1)/MAX(Pipeline!$F$17,1)))+Pipeline!$W$18*Pipeline!$D$18*MIN(1,MAX(0,(36-Pipeline!$E$18+1)/MAX(Pipeline!$F$18,1)))+Pipeline!$W$19*Pipeline!$D$19*MIN(1,MAX(0,(36-Pipeline!$E$19+1)/MAX(Pipeline!$F$19,1)))+Pipeline!$W$20*Pipeline!$D$20*MIN(1,MAX(0,(36-Pipeline!$E$20+1)/MAX(Pipeline!$F$20,1)))+Pipeline!$W$21*Pipeline!$D$21*MIN(1,MAX(0,(36-Pipeline!$E$21+1)/MAX(Pipeline!$F$21,1)))+Pipeline!$W$22*Pipeline!$D$22*MIN(1,MAX(0,(36-Pipeline!$E$22+1)/MAX(Pipeline!$F$22,1)))</f>
        <v>7437.61384753902</v>
      </c>
      <c r="AM19" s="109" t="n">
        <f aca="false">Pipeline!$W$16*Pipeline!$D$16*MIN(1,MAX(0,(37-Pipeline!$E$16+1)/MAX(Pipeline!$F$16,1)))+Pipeline!$W$17*Pipeline!$D$17*MIN(1,MAX(0,(37-Pipeline!$E$17+1)/MAX(Pipeline!$F$17,1)))+Pipeline!$W$18*Pipeline!$D$18*MIN(1,MAX(0,(37-Pipeline!$E$18+1)/MAX(Pipeline!$F$18,1)))+Pipeline!$W$19*Pipeline!$D$19*MIN(1,MAX(0,(37-Pipeline!$E$19+1)/MAX(Pipeline!$F$19,1)))+Pipeline!$W$20*Pipeline!$D$20*MIN(1,MAX(0,(37-Pipeline!$E$20+1)/MAX(Pipeline!$F$20,1)))+Pipeline!$W$21*Pipeline!$D$21*MIN(1,MAX(0,(37-Pipeline!$E$21+1)/MAX(Pipeline!$F$21,1)))+Pipeline!$W$22*Pipeline!$D$22*MIN(1,MAX(0,(37-Pipeline!$E$22+1)/MAX(Pipeline!$F$22,1)))</f>
        <v>7437.61384753902</v>
      </c>
      <c r="AN19" s="109" t="n">
        <f aca="false">Pipeline!$W$16*Pipeline!$D$16*MIN(1,MAX(0,(38-Pipeline!$E$16+1)/MAX(Pipeline!$F$16,1)))+Pipeline!$W$17*Pipeline!$D$17*MIN(1,MAX(0,(38-Pipeline!$E$17+1)/MAX(Pipeline!$F$17,1)))+Pipeline!$W$18*Pipeline!$D$18*MIN(1,MAX(0,(38-Pipeline!$E$18+1)/MAX(Pipeline!$F$18,1)))+Pipeline!$W$19*Pipeline!$D$19*MIN(1,MAX(0,(38-Pipeline!$E$19+1)/MAX(Pipeline!$F$19,1)))+Pipeline!$W$20*Pipeline!$D$20*MIN(1,MAX(0,(38-Pipeline!$E$20+1)/MAX(Pipeline!$F$20,1)))+Pipeline!$W$21*Pipeline!$D$21*MIN(1,MAX(0,(38-Pipeline!$E$21+1)/MAX(Pipeline!$F$21,1)))+Pipeline!$W$22*Pipeline!$D$22*MIN(1,MAX(0,(38-Pipeline!$E$22+1)/MAX(Pipeline!$F$22,1)))</f>
        <v>7437.61384753902</v>
      </c>
      <c r="AO19" s="109" t="n">
        <f aca="false">Pipeline!$W$16*Pipeline!$D$16*MIN(1,MAX(0,(39-Pipeline!$E$16+1)/MAX(Pipeline!$F$16,1)))+Pipeline!$W$17*Pipeline!$D$17*MIN(1,MAX(0,(39-Pipeline!$E$17+1)/MAX(Pipeline!$F$17,1)))+Pipeline!$W$18*Pipeline!$D$18*MIN(1,MAX(0,(39-Pipeline!$E$18+1)/MAX(Pipeline!$F$18,1)))+Pipeline!$W$19*Pipeline!$D$19*MIN(1,MAX(0,(39-Pipeline!$E$19+1)/MAX(Pipeline!$F$19,1)))+Pipeline!$W$20*Pipeline!$D$20*MIN(1,MAX(0,(39-Pipeline!$E$20+1)/MAX(Pipeline!$F$20,1)))+Pipeline!$W$21*Pipeline!$D$21*MIN(1,MAX(0,(39-Pipeline!$E$21+1)/MAX(Pipeline!$F$21,1)))+Pipeline!$W$22*Pipeline!$D$22*MIN(1,MAX(0,(39-Pipeline!$E$22+1)/MAX(Pipeline!$F$22,1)))</f>
        <v>7437.61384753902</v>
      </c>
      <c r="AP19" s="109" t="n">
        <f aca="false">Pipeline!$W$16*Pipeline!$D$16*MIN(1,MAX(0,(40-Pipeline!$E$16+1)/MAX(Pipeline!$F$16,1)))+Pipeline!$W$17*Pipeline!$D$17*MIN(1,MAX(0,(40-Pipeline!$E$17+1)/MAX(Pipeline!$F$17,1)))+Pipeline!$W$18*Pipeline!$D$18*MIN(1,MAX(0,(40-Pipeline!$E$18+1)/MAX(Pipeline!$F$18,1)))+Pipeline!$W$19*Pipeline!$D$19*MIN(1,MAX(0,(40-Pipeline!$E$19+1)/MAX(Pipeline!$F$19,1)))+Pipeline!$W$20*Pipeline!$D$20*MIN(1,MAX(0,(40-Pipeline!$E$20+1)/MAX(Pipeline!$F$20,1)))+Pipeline!$W$21*Pipeline!$D$21*MIN(1,MAX(0,(40-Pipeline!$E$21+1)/MAX(Pipeline!$F$21,1)))+Pipeline!$W$22*Pipeline!$D$22*MIN(1,MAX(0,(40-Pipeline!$E$22+1)/MAX(Pipeline!$F$22,1)))</f>
        <v>7437.61384753902</v>
      </c>
      <c r="AQ19" s="109" t="n">
        <f aca="false">Pipeline!$W$16*Pipeline!$D$16*MIN(1,MAX(0,(41-Pipeline!$E$16+1)/MAX(Pipeline!$F$16,1)))+Pipeline!$W$17*Pipeline!$D$17*MIN(1,MAX(0,(41-Pipeline!$E$17+1)/MAX(Pipeline!$F$17,1)))+Pipeline!$W$18*Pipeline!$D$18*MIN(1,MAX(0,(41-Pipeline!$E$18+1)/MAX(Pipeline!$F$18,1)))+Pipeline!$W$19*Pipeline!$D$19*MIN(1,MAX(0,(41-Pipeline!$E$19+1)/MAX(Pipeline!$F$19,1)))+Pipeline!$W$20*Pipeline!$D$20*MIN(1,MAX(0,(41-Pipeline!$E$20+1)/MAX(Pipeline!$F$20,1)))+Pipeline!$W$21*Pipeline!$D$21*MIN(1,MAX(0,(41-Pipeline!$E$21+1)/MAX(Pipeline!$F$21,1)))+Pipeline!$W$22*Pipeline!$D$22*MIN(1,MAX(0,(41-Pipeline!$E$22+1)/MAX(Pipeline!$F$22,1)))</f>
        <v>7437.61384753902</v>
      </c>
      <c r="AR19" s="109" t="n">
        <f aca="false">Pipeline!$W$16*Pipeline!$D$16*MIN(1,MAX(0,(42-Pipeline!$E$16+1)/MAX(Pipeline!$F$16,1)))+Pipeline!$W$17*Pipeline!$D$17*MIN(1,MAX(0,(42-Pipeline!$E$17+1)/MAX(Pipeline!$F$17,1)))+Pipeline!$W$18*Pipeline!$D$18*MIN(1,MAX(0,(42-Pipeline!$E$18+1)/MAX(Pipeline!$F$18,1)))+Pipeline!$W$19*Pipeline!$D$19*MIN(1,MAX(0,(42-Pipeline!$E$19+1)/MAX(Pipeline!$F$19,1)))+Pipeline!$W$20*Pipeline!$D$20*MIN(1,MAX(0,(42-Pipeline!$E$20+1)/MAX(Pipeline!$F$20,1)))+Pipeline!$W$21*Pipeline!$D$21*MIN(1,MAX(0,(42-Pipeline!$E$21+1)/MAX(Pipeline!$F$21,1)))+Pipeline!$W$22*Pipeline!$D$22*MIN(1,MAX(0,(42-Pipeline!$E$22+1)/MAX(Pipeline!$F$22,1)))</f>
        <v>7437.61384753902</v>
      </c>
      <c r="AS19" s="109" t="n">
        <f aca="false">Pipeline!$W$16*Pipeline!$D$16*MIN(1,MAX(0,(43-Pipeline!$E$16+1)/MAX(Pipeline!$F$16,1)))+Pipeline!$W$17*Pipeline!$D$17*MIN(1,MAX(0,(43-Pipeline!$E$17+1)/MAX(Pipeline!$F$17,1)))+Pipeline!$W$18*Pipeline!$D$18*MIN(1,MAX(0,(43-Pipeline!$E$18+1)/MAX(Pipeline!$F$18,1)))+Pipeline!$W$19*Pipeline!$D$19*MIN(1,MAX(0,(43-Pipeline!$E$19+1)/MAX(Pipeline!$F$19,1)))+Pipeline!$W$20*Pipeline!$D$20*MIN(1,MAX(0,(43-Pipeline!$E$20+1)/MAX(Pipeline!$F$20,1)))+Pipeline!$W$21*Pipeline!$D$21*MIN(1,MAX(0,(43-Pipeline!$E$21+1)/MAX(Pipeline!$F$21,1)))+Pipeline!$W$22*Pipeline!$D$22*MIN(1,MAX(0,(43-Pipeline!$E$22+1)/MAX(Pipeline!$F$22,1)))</f>
        <v>7437.61384753902</v>
      </c>
      <c r="AT19" s="109" t="n">
        <f aca="false">Pipeline!$W$16*Pipeline!$D$16*MIN(1,MAX(0,(44-Pipeline!$E$16+1)/MAX(Pipeline!$F$16,1)))+Pipeline!$W$17*Pipeline!$D$17*MIN(1,MAX(0,(44-Pipeline!$E$17+1)/MAX(Pipeline!$F$17,1)))+Pipeline!$W$18*Pipeline!$D$18*MIN(1,MAX(0,(44-Pipeline!$E$18+1)/MAX(Pipeline!$F$18,1)))+Pipeline!$W$19*Pipeline!$D$19*MIN(1,MAX(0,(44-Pipeline!$E$19+1)/MAX(Pipeline!$F$19,1)))+Pipeline!$W$20*Pipeline!$D$20*MIN(1,MAX(0,(44-Pipeline!$E$20+1)/MAX(Pipeline!$F$20,1)))+Pipeline!$W$21*Pipeline!$D$21*MIN(1,MAX(0,(44-Pipeline!$E$21+1)/MAX(Pipeline!$F$21,1)))+Pipeline!$W$22*Pipeline!$D$22*MIN(1,MAX(0,(44-Pipeline!$E$22+1)/MAX(Pipeline!$F$22,1)))</f>
        <v>7437.61384753902</v>
      </c>
      <c r="AU19" s="109" t="n">
        <f aca="false">Pipeline!$W$16*Pipeline!$D$16*MIN(1,MAX(0,(45-Pipeline!$E$16+1)/MAX(Pipeline!$F$16,1)))+Pipeline!$W$17*Pipeline!$D$17*MIN(1,MAX(0,(45-Pipeline!$E$17+1)/MAX(Pipeline!$F$17,1)))+Pipeline!$W$18*Pipeline!$D$18*MIN(1,MAX(0,(45-Pipeline!$E$18+1)/MAX(Pipeline!$F$18,1)))+Pipeline!$W$19*Pipeline!$D$19*MIN(1,MAX(0,(45-Pipeline!$E$19+1)/MAX(Pipeline!$F$19,1)))+Pipeline!$W$20*Pipeline!$D$20*MIN(1,MAX(0,(45-Pipeline!$E$20+1)/MAX(Pipeline!$F$20,1)))+Pipeline!$W$21*Pipeline!$D$21*MIN(1,MAX(0,(45-Pipeline!$E$21+1)/MAX(Pipeline!$F$21,1)))+Pipeline!$W$22*Pipeline!$D$22*MIN(1,MAX(0,(45-Pipeline!$E$22+1)/MAX(Pipeline!$F$22,1)))</f>
        <v>7437.61384753902</v>
      </c>
      <c r="AV19" s="109" t="n">
        <f aca="false">Pipeline!$W$16*Pipeline!$D$16*MIN(1,MAX(0,(46-Pipeline!$E$16+1)/MAX(Pipeline!$F$16,1)))+Pipeline!$W$17*Pipeline!$D$17*MIN(1,MAX(0,(46-Pipeline!$E$17+1)/MAX(Pipeline!$F$17,1)))+Pipeline!$W$18*Pipeline!$D$18*MIN(1,MAX(0,(46-Pipeline!$E$18+1)/MAX(Pipeline!$F$18,1)))+Pipeline!$W$19*Pipeline!$D$19*MIN(1,MAX(0,(46-Pipeline!$E$19+1)/MAX(Pipeline!$F$19,1)))+Pipeline!$W$20*Pipeline!$D$20*MIN(1,MAX(0,(46-Pipeline!$E$20+1)/MAX(Pipeline!$F$20,1)))+Pipeline!$W$21*Pipeline!$D$21*MIN(1,MAX(0,(46-Pipeline!$E$21+1)/MAX(Pipeline!$F$21,1)))+Pipeline!$W$22*Pipeline!$D$22*MIN(1,MAX(0,(46-Pipeline!$E$22+1)/MAX(Pipeline!$F$22,1)))</f>
        <v>7437.61384753902</v>
      </c>
      <c r="AW19" s="109" t="n">
        <f aca="false">Pipeline!$W$16*Pipeline!$D$16*MIN(1,MAX(0,(47-Pipeline!$E$16+1)/MAX(Pipeline!$F$16,1)))+Pipeline!$W$17*Pipeline!$D$17*MIN(1,MAX(0,(47-Pipeline!$E$17+1)/MAX(Pipeline!$F$17,1)))+Pipeline!$W$18*Pipeline!$D$18*MIN(1,MAX(0,(47-Pipeline!$E$18+1)/MAX(Pipeline!$F$18,1)))+Pipeline!$W$19*Pipeline!$D$19*MIN(1,MAX(0,(47-Pipeline!$E$19+1)/MAX(Pipeline!$F$19,1)))+Pipeline!$W$20*Pipeline!$D$20*MIN(1,MAX(0,(47-Pipeline!$E$20+1)/MAX(Pipeline!$F$20,1)))+Pipeline!$W$21*Pipeline!$D$21*MIN(1,MAX(0,(47-Pipeline!$E$21+1)/MAX(Pipeline!$F$21,1)))+Pipeline!$W$22*Pipeline!$D$22*MIN(1,MAX(0,(47-Pipeline!$E$22+1)/MAX(Pipeline!$F$22,1)))</f>
        <v>7437.61384753902</v>
      </c>
      <c r="AX19" s="109" t="n">
        <f aca="false">Pipeline!$W$16*Pipeline!$D$16*MIN(1,MAX(0,(48-Pipeline!$E$16+1)/MAX(Pipeline!$F$16,1)))+Pipeline!$W$17*Pipeline!$D$17*MIN(1,MAX(0,(48-Pipeline!$E$17+1)/MAX(Pipeline!$F$17,1)))+Pipeline!$W$18*Pipeline!$D$18*MIN(1,MAX(0,(48-Pipeline!$E$18+1)/MAX(Pipeline!$F$18,1)))+Pipeline!$W$19*Pipeline!$D$19*MIN(1,MAX(0,(48-Pipeline!$E$19+1)/MAX(Pipeline!$F$19,1)))+Pipeline!$W$20*Pipeline!$D$20*MIN(1,MAX(0,(48-Pipeline!$E$20+1)/MAX(Pipeline!$F$20,1)))+Pipeline!$W$21*Pipeline!$D$21*MIN(1,MAX(0,(48-Pipeline!$E$21+1)/MAX(Pipeline!$F$21,1)))+Pipeline!$W$22*Pipeline!$D$22*MIN(1,MAX(0,(48-Pipeline!$E$22+1)/MAX(Pipeline!$F$22,1)))</f>
        <v>7437.61384753902</v>
      </c>
      <c r="AY19" s="109" t="n">
        <f aca="false">Pipeline!$W$16*Pipeline!$D$16*MIN(1,MAX(0,(49-Pipeline!$E$16+1)/MAX(Pipeline!$F$16,1)))+Pipeline!$W$17*Pipeline!$D$17*MIN(1,MAX(0,(49-Pipeline!$E$17+1)/MAX(Pipeline!$F$17,1)))+Pipeline!$W$18*Pipeline!$D$18*MIN(1,MAX(0,(49-Pipeline!$E$18+1)/MAX(Pipeline!$F$18,1)))+Pipeline!$W$19*Pipeline!$D$19*MIN(1,MAX(0,(49-Pipeline!$E$19+1)/MAX(Pipeline!$F$19,1)))+Pipeline!$W$20*Pipeline!$D$20*MIN(1,MAX(0,(49-Pipeline!$E$20+1)/MAX(Pipeline!$F$20,1)))+Pipeline!$W$21*Pipeline!$D$21*MIN(1,MAX(0,(49-Pipeline!$E$21+1)/MAX(Pipeline!$F$21,1)))+Pipeline!$W$22*Pipeline!$D$22*MIN(1,MAX(0,(49-Pipeline!$E$22+1)/MAX(Pipeline!$F$22,1)))</f>
        <v>7437.61384753902</v>
      </c>
      <c r="AZ19" s="109" t="n">
        <f aca="false">Pipeline!$W$16*Pipeline!$D$16*MIN(1,MAX(0,(50-Pipeline!$E$16+1)/MAX(Pipeline!$F$16,1)))+Pipeline!$W$17*Pipeline!$D$17*MIN(1,MAX(0,(50-Pipeline!$E$17+1)/MAX(Pipeline!$F$17,1)))+Pipeline!$W$18*Pipeline!$D$18*MIN(1,MAX(0,(50-Pipeline!$E$18+1)/MAX(Pipeline!$F$18,1)))+Pipeline!$W$19*Pipeline!$D$19*MIN(1,MAX(0,(50-Pipeline!$E$19+1)/MAX(Pipeline!$F$19,1)))+Pipeline!$W$20*Pipeline!$D$20*MIN(1,MAX(0,(50-Pipeline!$E$20+1)/MAX(Pipeline!$F$20,1)))+Pipeline!$W$21*Pipeline!$D$21*MIN(1,MAX(0,(50-Pipeline!$E$21+1)/MAX(Pipeline!$F$21,1)))+Pipeline!$W$22*Pipeline!$D$22*MIN(1,MAX(0,(50-Pipeline!$E$22+1)/MAX(Pipeline!$F$22,1)))</f>
        <v>7437.61384753902</v>
      </c>
      <c r="BA19" s="109" t="n">
        <f aca="false">Pipeline!$W$16*Pipeline!$D$16*MIN(1,MAX(0,(51-Pipeline!$E$16+1)/MAX(Pipeline!$F$16,1)))+Pipeline!$W$17*Pipeline!$D$17*MIN(1,MAX(0,(51-Pipeline!$E$17+1)/MAX(Pipeline!$F$17,1)))+Pipeline!$W$18*Pipeline!$D$18*MIN(1,MAX(0,(51-Pipeline!$E$18+1)/MAX(Pipeline!$F$18,1)))+Pipeline!$W$19*Pipeline!$D$19*MIN(1,MAX(0,(51-Pipeline!$E$19+1)/MAX(Pipeline!$F$19,1)))+Pipeline!$W$20*Pipeline!$D$20*MIN(1,MAX(0,(51-Pipeline!$E$20+1)/MAX(Pipeline!$F$20,1)))+Pipeline!$W$21*Pipeline!$D$21*MIN(1,MAX(0,(51-Pipeline!$E$21+1)/MAX(Pipeline!$F$21,1)))+Pipeline!$W$22*Pipeline!$D$22*MIN(1,MAX(0,(51-Pipeline!$E$22+1)/MAX(Pipeline!$F$22,1)))</f>
        <v>7437.61384753902</v>
      </c>
      <c r="BB19" s="109" t="n">
        <f aca="false">Pipeline!$W$16*Pipeline!$D$16*MIN(1,MAX(0,(52-Pipeline!$E$16+1)/MAX(Pipeline!$F$16,1)))+Pipeline!$W$17*Pipeline!$D$17*MIN(1,MAX(0,(52-Pipeline!$E$17+1)/MAX(Pipeline!$F$17,1)))+Pipeline!$W$18*Pipeline!$D$18*MIN(1,MAX(0,(52-Pipeline!$E$18+1)/MAX(Pipeline!$F$18,1)))+Pipeline!$W$19*Pipeline!$D$19*MIN(1,MAX(0,(52-Pipeline!$E$19+1)/MAX(Pipeline!$F$19,1)))+Pipeline!$W$20*Pipeline!$D$20*MIN(1,MAX(0,(52-Pipeline!$E$20+1)/MAX(Pipeline!$F$20,1)))+Pipeline!$W$21*Pipeline!$D$21*MIN(1,MAX(0,(52-Pipeline!$E$21+1)/MAX(Pipeline!$F$21,1)))+Pipeline!$W$22*Pipeline!$D$22*MIN(1,MAX(0,(52-Pipeline!$E$22+1)/MAX(Pipeline!$F$22,1)))</f>
        <v>7437.61384753902</v>
      </c>
      <c r="BC19" s="109" t="n">
        <f aca="false">Pipeline!$W$16*Pipeline!$D$16*MIN(1,MAX(0,(53-Pipeline!$E$16+1)/MAX(Pipeline!$F$16,1)))+Pipeline!$W$17*Pipeline!$D$17*MIN(1,MAX(0,(53-Pipeline!$E$17+1)/MAX(Pipeline!$F$17,1)))+Pipeline!$W$18*Pipeline!$D$18*MIN(1,MAX(0,(53-Pipeline!$E$18+1)/MAX(Pipeline!$F$18,1)))+Pipeline!$W$19*Pipeline!$D$19*MIN(1,MAX(0,(53-Pipeline!$E$19+1)/MAX(Pipeline!$F$19,1)))+Pipeline!$W$20*Pipeline!$D$20*MIN(1,MAX(0,(53-Pipeline!$E$20+1)/MAX(Pipeline!$F$20,1)))+Pipeline!$W$21*Pipeline!$D$21*MIN(1,MAX(0,(53-Pipeline!$E$21+1)/MAX(Pipeline!$F$21,1)))+Pipeline!$W$22*Pipeline!$D$22*MIN(1,MAX(0,(53-Pipeline!$E$22+1)/MAX(Pipeline!$F$22,1)))</f>
        <v>7437.61384753902</v>
      </c>
      <c r="BD19" s="109" t="n">
        <f aca="false">Pipeline!$W$16*Pipeline!$D$16*MIN(1,MAX(0,(54-Pipeline!$E$16+1)/MAX(Pipeline!$F$16,1)))+Pipeline!$W$17*Pipeline!$D$17*MIN(1,MAX(0,(54-Pipeline!$E$17+1)/MAX(Pipeline!$F$17,1)))+Pipeline!$W$18*Pipeline!$D$18*MIN(1,MAX(0,(54-Pipeline!$E$18+1)/MAX(Pipeline!$F$18,1)))+Pipeline!$W$19*Pipeline!$D$19*MIN(1,MAX(0,(54-Pipeline!$E$19+1)/MAX(Pipeline!$F$19,1)))+Pipeline!$W$20*Pipeline!$D$20*MIN(1,MAX(0,(54-Pipeline!$E$20+1)/MAX(Pipeline!$F$20,1)))+Pipeline!$W$21*Pipeline!$D$21*MIN(1,MAX(0,(54-Pipeline!$E$21+1)/MAX(Pipeline!$F$21,1)))+Pipeline!$W$22*Pipeline!$D$22*MIN(1,MAX(0,(54-Pipeline!$E$22+1)/MAX(Pipeline!$F$22,1)))</f>
        <v>7437.61384753902</v>
      </c>
      <c r="BE19" s="109" t="n">
        <f aca="false">Pipeline!$W$16*Pipeline!$D$16*MIN(1,MAX(0,(55-Pipeline!$E$16+1)/MAX(Pipeline!$F$16,1)))+Pipeline!$W$17*Pipeline!$D$17*MIN(1,MAX(0,(55-Pipeline!$E$17+1)/MAX(Pipeline!$F$17,1)))+Pipeline!$W$18*Pipeline!$D$18*MIN(1,MAX(0,(55-Pipeline!$E$18+1)/MAX(Pipeline!$F$18,1)))+Pipeline!$W$19*Pipeline!$D$19*MIN(1,MAX(0,(55-Pipeline!$E$19+1)/MAX(Pipeline!$F$19,1)))+Pipeline!$W$20*Pipeline!$D$20*MIN(1,MAX(0,(55-Pipeline!$E$20+1)/MAX(Pipeline!$F$20,1)))+Pipeline!$W$21*Pipeline!$D$21*MIN(1,MAX(0,(55-Pipeline!$E$21+1)/MAX(Pipeline!$F$21,1)))+Pipeline!$W$22*Pipeline!$D$22*MIN(1,MAX(0,(55-Pipeline!$E$22+1)/MAX(Pipeline!$F$22,1)))</f>
        <v>7437.61384753902</v>
      </c>
      <c r="BF19" s="109" t="n">
        <f aca="false">Pipeline!$W$16*Pipeline!$D$16*MIN(1,MAX(0,(56-Pipeline!$E$16+1)/MAX(Pipeline!$F$16,1)))+Pipeline!$W$17*Pipeline!$D$17*MIN(1,MAX(0,(56-Pipeline!$E$17+1)/MAX(Pipeline!$F$17,1)))+Pipeline!$W$18*Pipeline!$D$18*MIN(1,MAX(0,(56-Pipeline!$E$18+1)/MAX(Pipeline!$F$18,1)))+Pipeline!$W$19*Pipeline!$D$19*MIN(1,MAX(0,(56-Pipeline!$E$19+1)/MAX(Pipeline!$F$19,1)))+Pipeline!$W$20*Pipeline!$D$20*MIN(1,MAX(0,(56-Pipeline!$E$20+1)/MAX(Pipeline!$F$20,1)))+Pipeline!$W$21*Pipeline!$D$21*MIN(1,MAX(0,(56-Pipeline!$E$21+1)/MAX(Pipeline!$F$21,1)))+Pipeline!$W$22*Pipeline!$D$22*MIN(1,MAX(0,(56-Pipeline!$E$22+1)/MAX(Pipeline!$F$22,1)))</f>
        <v>7437.61384753902</v>
      </c>
      <c r="BG19" s="109" t="n">
        <f aca="false">Pipeline!$W$16*Pipeline!$D$16*MIN(1,MAX(0,(57-Pipeline!$E$16+1)/MAX(Pipeline!$F$16,1)))+Pipeline!$W$17*Pipeline!$D$17*MIN(1,MAX(0,(57-Pipeline!$E$17+1)/MAX(Pipeline!$F$17,1)))+Pipeline!$W$18*Pipeline!$D$18*MIN(1,MAX(0,(57-Pipeline!$E$18+1)/MAX(Pipeline!$F$18,1)))+Pipeline!$W$19*Pipeline!$D$19*MIN(1,MAX(0,(57-Pipeline!$E$19+1)/MAX(Pipeline!$F$19,1)))+Pipeline!$W$20*Pipeline!$D$20*MIN(1,MAX(0,(57-Pipeline!$E$20+1)/MAX(Pipeline!$F$20,1)))+Pipeline!$W$21*Pipeline!$D$21*MIN(1,MAX(0,(57-Pipeline!$E$21+1)/MAX(Pipeline!$F$21,1)))+Pipeline!$W$22*Pipeline!$D$22*MIN(1,MAX(0,(57-Pipeline!$E$22+1)/MAX(Pipeline!$F$22,1)))</f>
        <v>7437.61384753902</v>
      </c>
      <c r="BH19" s="109" t="n">
        <f aca="false">Pipeline!$W$16*Pipeline!$D$16*MIN(1,MAX(0,(58-Pipeline!$E$16+1)/MAX(Pipeline!$F$16,1)))+Pipeline!$W$17*Pipeline!$D$17*MIN(1,MAX(0,(58-Pipeline!$E$17+1)/MAX(Pipeline!$F$17,1)))+Pipeline!$W$18*Pipeline!$D$18*MIN(1,MAX(0,(58-Pipeline!$E$18+1)/MAX(Pipeline!$F$18,1)))+Pipeline!$W$19*Pipeline!$D$19*MIN(1,MAX(0,(58-Pipeline!$E$19+1)/MAX(Pipeline!$F$19,1)))+Pipeline!$W$20*Pipeline!$D$20*MIN(1,MAX(0,(58-Pipeline!$E$20+1)/MAX(Pipeline!$F$20,1)))+Pipeline!$W$21*Pipeline!$D$21*MIN(1,MAX(0,(58-Pipeline!$E$21+1)/MAX(Pipeline!$F$21,1)))+Pipeline!$W$22*Pipeline!$D$22*MIN(1,MAX(0,(58-Pipeline!$E$22+1)/MAX(Pipeline!$F$22,1)))</f>
        <v>7437.61384753902</v>
      </c>
      <c r="BI19" s="109" t="n">
        <f aca="false">Pipeline!$W$16*Pipeline!$D$16*MIN(1,MAX(0,(59-Pipeline!$E$16+1)/MAX(Pipeline!$F$16,1)))+Pipeline!$W$17*Pipeline!$D$17*MIN(1,MAX(0,(59-Pipeline!$E$17+1)/MAX(Pipeline!$F$17,1)))+Pipeline!$W$18*Pipeline!$D$18*MIN(1,MAX(0,(59-Pipeline!$E$18+1)/MAX(Pipeline!$F$18,1)))+Pipeline!$W$19*Pipeline!$D$19*MIN(1,MAX(0,(59-Pipeline!$E$19+1)/MAX(Pipeline!$F$19,1)))+Pipeline!$W$20*Pipeline!$D$20*MIN(1,MAX(0,(59-Pipeline!$E$20+1)/MAX(Pipeline!$F$20,1)))+Pipeline!$W$21*Pipeline!$D$21*MIN(1,MAX(0,(59-Pipeline!$E$21+1)/MAX(Pipeline!$F$21,1)))+Pipeline!$W$22*Pipeline!$D$22*MIN(1,MAX(0,(59-Pipeline!$E$22+1)/MAX(Pipeline!$F$22,1)))</f>
        <v>7437.61384753902</v>
      </c>
      <c r="BJ19" s="109" t="n">
        <f aca="false">Pipeline!$W$16*Pipeline!$D$16*MIN(1,MAX(0,(60-Pipeline!$E$16+1)/MAX(Pipeline!$F$16,1)))+Pipeline!$W$17*Pipeline!$D$17*MIN(1,MAX(0,(60-Pipeline!$E$17+1)/MAX(Pipeline!$F$17,1)))+Pipeline!$W$18*Pipeline!$D$18*MIN(1,MAX(0,(60-Pipeline!$E$18+1)/MAX(Pipeline!$F$18,1)))+Pipeline!$W$19*Pipeline!$D$19*MIN(1,MAX(0,(60-Pipeline!$E$19+1)/MAX(Pipeline!$F$19,1)))+Pipeline!$W$20*Pipeline!$D$20*MIN(1,MAX(0,(60-Pipeline!$E$20+1)/MAX(Pipeline!$F$20,1)))+Pipeline!$W$21*Pipeline!$D$21*MIN(1,MAX(0,(60-Pipeline!$E$21+1)/MAX(Pipeline!$F$21,1)))+Pipeline!$W$22*Pipeline!$D$22*MIN(1,MAX(0,(60-Pipeline!$E$22+1)/MAX(Pipeline!$F$22,1)))</f>
        <v>7437.61384753902</v>
      </c>
      <c r="BK19" s="109" t="n">
        <f aca="false">Pipeline!$W$16*Pipeline!$D$16*MIN(1,MAX(0,(61-Pipeline!$E$16+1)/MAX(Pipeline!$F$16,1)))+Pipeline!$W$17*Pipeline!$D$17*MIN(1,MAX(0,(61-Pipeline!$E$17+1)/MAX(Pipeline!$F$17,1)))+Pipeline!$W$18*Pipeline!$D$18*MIN(1,MAX(0,(61-Pipeline!$E$18+1)/MAX(Pipeline!$F$18,1)))+Pipeline!$W$19*Pipeline!$D$19*MIN(1,MAX(0,(61-Pipeline!$E$19+1)/MAX(Pipeline!$F$19,1)))+Pipeline!$W$20*Pipeline!$D$20*MIN(1,MAX(0,(61-Pipeline!$E$20+1)/MAX(Pipeline!$F$20,1)))+Pipeline!$W$21*Pipeline!$D$21*MIN(1,MAX(0,(61-Pipeline!$E$21+1)/MAX(Pipeline!$F$21,1)))+Pipeline!$W$22*Pipeline!$D$22*MIN(1,MAX(0,(61-Pipeline!$E$22+1)/MAX(Pipeline!$F$22,1)))</f>
        <v>7437.61384753902</v>
      </c>
      <c r="BL19" s="109" t="n">
        <f aca="false">Pipeline!$W$16*Pipeline!$D$16*MIN(1,MAX(0,(62-Pipeline!$E$16+1)/MAX(Pipeline!$F$16,1)))+Pipeline!$W$17*Pipeline!$D$17*MIN(1,MAX(0,(62-Pipeline!$E$17+1)/MAX(Pipeline!$F$17,1)))+Pipeline!$W$18*Pipeline!$D$18*MIN(1,MAX(0,(62-Pipeline!$E$18+1)/MAX(Pipeline!$F$18,1)))+Pipeline!$W$19*Pipeline!$D$19*MIN(1,MAX(0,(62-Pipeline!$E$19+1)/MAX(Pipeline!$F$19,1)))+Pipeline!$W$20*Pipeline!$D$20*MIN(1,MAX(0,(62-Pipeline!$E$20+1)/MAX(Pipeline!$F$20,1)))+Pipeline!$W$21*Pipeline!$D$21*MIN(1,MAX(0,(62-Pipeline!$E$21+1)/MAX(Pipeline!$F$21,1)))+Pipeline!$W$22*Pipeline!$D$22*MIN(1,MAX(0,(62-Pipeline!$E$22+1)/MAX(Pipeline!$F$22,1)))</f>
        <v>7437.61384753902</v>
      </c>
      <c r="BM19" s="109" t="n">
        <f aca="false">Pipeline!$W$16*Pipeline!$D$16*MIN(1,MAX(0,(63-Pipeline!$E$16+1)/MAX(Pipeline!$F$16,1)))+Pipeline!$W$17*Pipeline!$D$17*MIN(1,MAX(0,(63-Pipeline!$E$17+1)/MAX(Pipeline!$F$17,1)))+Pipeline!$W$18*Pipeline!$D$18*MIN(1,MAX(0,(63-Pipeline!$E$18+1)/MAX(Pipeline!$F$18,1)))+Pipeline!$W$19*Pipeline!$D$19*MIN(1,MAX(0,(63-Pipeline!$E$19+1)/MAX(Pipeline!$F$19,1)))+Pipeline!$W$20*Pipeline!$D$20*MIN(1,MAX(0,(63-Pipeline!$E$20+1)/MAX(Pipeline!$F$20,1)))+Pipeline!$W$21*Pipeline!$D$21*MIN(1,MAX(0,(63-Pipeline!$E$21+1)/MAX(Pipeline!$F$21,1)))+Pipeline!$W$22*Pipeline!$D$22*MIN(1,MAX(0,(63-Pipeline!$E$22+1)/MAX(Pipeline!$F$22,1)))</f>
        <v>7437.61384753902</v>
      </c>
      <c r="BN19" s="109" t="n">
        <f aca="false">Pipeline!$W$16*Pipeline!$D$16*MIN(1,MAX(0,(64-Pipeline!$E$16+1)/MAX(Pipeline!$F$16,1)))+Pipeline!$W$17*Pipeline!$D$17*MIN(1,MAX(0,(64-Pipeline!$E$17+1)/MAX(Pipeline!$F$17,1)))+Pipeline!$W$18*Pipeline!$D$18*MIN(1,MAX(0,(64-Pipeline!$E$18+1)/MAX(Pipeline!$F$18,1)))+Pipeline!$W$19*Pipeline!$D$19*MIN(1,MAX(0,(64-Pipeline!$E$19+1)/MAX(Pipeline!$F$19,1)))+Pipeline!$W$20*Pipeline!$D$20*MIN(1,MAX(0,(64-Pipeline!$E$20+1)/MAX(Pipeline!$F$20,1)))+Pipeline!$W$21*Pipeline!$D$21*MIN(1,MAX(0,(64-Pipeline!$E$21+1)/MAX(Pipeline!$F$21,1)))+Pipeline!$W$22*Pipeline!$D$22*MIN(1,MAX(0,(64-Pipeline!$E$22+1)/MAX(Pipeline!$F$22,1)))</f>
        <v>7437.61384753902</v>
      </c>
      <c r="BO19" s="109" t="n">
        <f aca="false">Pipeline!$W$16*Pipeline!$D$16*MIN(1,MAX(0,(65-Pipeline!$E$16+1)/MAX(Pipeline!$F$16,1)))+Pipeline!$W$17*Pipeline!$D$17*MIN(1,MAX(0,(65-Pipeline!$E$17+1)/MAX(Pipeline!$F$17,1)))+Pipeline!$W$18*Pipeline!$D$18*MIN(1,MAX(0,(65-Pipeline!$E$18+1)/MAX(Pipeline!$F$18,1)))+Pipeline!$W$19*Pipeline!$D$19*MIN(1,MAX(0,(65-Pipeline!$E$19+1)/MAX(Pipeline!$F$19,1)))+Pipeline!$W$20*Pipeline!$D$20*MIN(1,MAX(0,(65-Pipeline!$E$20+1)/MAX(Pipeline!$F$20,1)))+Pipeline!$W$21*Pipeline!$D$21*MIN(1,MAX(0,(65-Pipeline!$E$21+1)/MAX(Pipeline!$F$21,1)))+Pipeline!$W$22*Pipeline!$D$22*MIN(1,MAX(0,(65-Pipeline!$E$22+1)/MAX(Pipeline!$F$22,1)))</f>
        <v>7437.61384753902</v>
      </c>
      <c r="BP19" s="109" t="n">
        <f aca="false">Pipeline!$W$16*Pipeline!$D$16*MIN(1,MAX(0,(66-Pipeline!$E$16+1)/MAX(Pipeline!$F$16,1)))+Pipeline!$W$17*Pipeline!$D$17*MIN(1,MAX(0,(66-Pipeline!$E$17+1)/MAX(Pipeline!$F$17,1)))+Pipeline!$W$18*Pipeline!$D$18*MIN(1,MAX(0,(66-Pipeline!$E$18+1)/MAX(Pipeline!$F$18,1)))+Pipeline!$W$19*Pipeline!$D$19*MIN(1,MAX(0,(66-Pipeline!$E$19+1)/MAX(Pipeline!$F$19,1)))+Pipeline!$W$20*Pipeline!$D$20*MIN(1,MAX(0,(66-Pipeline!$E$20+1)/MAX(Pipeline!$F$20,1)))+Pipeline!$W$21*Pipeline!$D$21*MIN(1,MAX(0,(66-Pipeline!$E$21+1)/MAX(Pipeline!$F$21,1)))+Pipeline!$W$22*Pipeline!$D$22*MIN(1,MAX(0,(66-Pipeline!$E$22+1)/MAX(Pipeline!$F$22,1)))</f>
        <v>7437.61384753902</v>
      </c>
      <c r="BQ19" s="109" t="n">
        <f aca="false">Pipeline!$W$16*Pipeline!$D$16*MIN(1,MAX(0,(67-Pipeline!$E$16+1)/MAX(Pipeline!$F$16,1)))+Pipeline!$W$17*Pipeline!$D$17*MIN(1,MAX(0,(67-Pipeline!$E$17+1)/MAX(Pipeline!$F$17,1)))+Pipeline!$W$18*Pipeline!$D$18*MIN(1,MAX(0,(67-Pipeline!$E$18+1)/MAX(Pipeline!$F$18,1)))+Pipeline!$W$19*Pipeline!$D$19*MIN(1,MAX(0,(67-Pipeline!$E$19+1)/MAX(Pipeline!$F$19,1)))+Pipeline!$W$20*Pipeline!$D$20*MIN(1,MAX(0,(67-Pipeline!$E$20+1)/MAX(Pipeline!$F$20,1)))+Pipeline!$W$21*Pipeline!$D$21*MIN(1,MAX(0,(67-Pipeline!$E$21+1)/MAX(Pipeline!$F$21,1)))+Pipeline!$W$22*Pipeline!$D$22*MIN(1,MAX(0,(67-Pipeline!$E$22+1)/MAX(Pipeline!$F$22,1)))</f>
        <v>7437.61384753902</v>
      </c>
      <c r="BR19" s="109" t="n">
        <f aca="false">Pipeline!$W$16*Pipeline!$D$16*MIN(1,MAX(0,(68-Pipeline!$E$16+1)/MAX(Pipeline!$F$16,1)))+Pipeline!$W$17*Pipeline!$D$17*MIN(1,MAX(0,(68-Pipeline!$E$17+1)/MAX(Pipeline!$F$17,1)))+Pipeline!$W$18*Pipeline!$D$18*MIN(1,MAX(0,(68-Pipeline!$E$18+1)/MAX(Pipeline!$F$18,1)))+Pipeline!$W$19*Pipeline!$D$19*MIN(1,MAX(0,(68-Pipeline!$E$19+1)/MAX(Pipeline!$F$19,1)))+Pipeline!$W$20*Pipeline!$D$20*MIN(1,MAX(0,(68-Pipeline!$E$20+1)/MAX(Pipeline!$F$20,1)))+Pipeline!$W$21*Pipeline!$D$21*MIN(1,MAX(0,(68-Pipeline!$E$21+1)/MAX(Pipeline!$F$21,1)))+Pipeline!$W$22*Pipeline!$D$22*MIN(1,MAX(0,(68-Pipeline!$E$22+1)/MAX(Pipeline!$F$22,1)))</f>
        <v>7437.61384753902</v>
      </c>
      <c r="BS19" s="109" t="n">
        <f aca="false">Pipeline!$W$16*Pipeline!$D$16*MIN(1,MAX(0,(69-Pipeline!$E$16+1)/MAX(Pipeline!$F$16,1)))+Pipeline!$W$17*Pipeline!$D$17*MIN(1,MAX(0,(69-Pipeline!$E$17+1)/MAX(Pipeline!$F$17,1)))+Pipeline!$W$18*Pipeline!$D$18*MIN(1,MAX(0,(69-Pipeline!$E$18+1)/MAX(Pipeline!$F$18,1)))+Pipeline!$W$19*Pipeline!$D$19*MIN(1,MAX(0,(69-Pipeline!$E$19+1)/MAX(Pipeline!$F$19,1)))+Pipeline!$W$20*Pipeline!$D$20*MIN(1,MAX(0,(69-Pipeline!$E$20+1)/MAX(Pipeline!$F$20,1)))+Pipeline!$W$21*Pipeline!$D$21*MIN(1,MAX(0,(69-Pipeline!$E$21+1)/MAX(Pipeline!$F$21,1)))+Pipeline!$W$22*Pipeline!$D$22*MIN(1,MAX(0,(69-Pipeline!$E$22+1)/MAX(Pipeline!$F$22,1)))</f>
        <v>7437.61384753902</v>
      </c>
      <c r="BT19" s="109" t="n">
        <f aca="false">Pipeline!$W$16*Pipeline!$D$16*MIN(1,MAX(0,(70-Pipeline!$E$16+1)/MAX(Pipeline!$F$16,1)))+Pipeline!$W$17*Pipeline!$D$17*MIN(1,MAX(0,(70-Pipeline!$E$17+1)/MAX(Pipeline!$F$17,1)))+Pipeline!$W$18*Pipeline!$D$18*MIN(1,MAX(0,(70-Pipeline!$E$18+1)/MAX(Pipeline!$F$18,1)))+Pipeline!$W$19*Pipeline!$D$19*MIN(1,MAX(0,(70-Pipeline!$E$19+1)/MAX(Pipeline!$F$19,1)))+Pipeline!$W$20*Pipeline!$D$20*MIN(1,MAX(0,(70-Pipeline!$E$20+1)/MAX(Pipeline!$F$20,1)))+Pipeline!$W$21*Pipeline!$D$21*MIN(1,MAX(0,(70-Pipeline!$E$21+1)/MAX(Pipeline!$F$21,1)))+Pipeline!$W$22*Pipeline!$D$22*MIN(1,MAX(0,(70-Pipeline!$E$22+1)/MAX(Pipeline!$F$22,1)))</f>
        <v>7437.61384753902</v>
      </c>
      <c r="BU19" s="109" t="n">
        <f aca="false">Pipeline!$W$16*Pipeline!$D$16*MIN(1,MAX(0,(71-Pipeline!$E$16+1)/MAX(Pipeline!$F$16,1)))+Pipeline!$W$17*Pipeline!$D$17*MIN(1,MAX(0,(71-Pipeline!$E$17+1)/MAX(Pipeline!$F$17,1)))+Pipeline!$W$18*Pipeline!$D$18*MIN(1,MAX(0,(71-Pipeline!$E$18+1)/MAX(Pipeline!$F$18,1)))+Pipeline!$W$19*Pipeline!$D$19*MIN(1,MAX(0,(71-Pipeline!$E$19+1)/MAX(Pipeline!$F$19,1)))+Pipeline!$W$20*Pipeline!$D$20*MIN(1,MAX(0,(71-Pipeline!$E$20+1)/MAX(Pipeline!$F$20,1)))+Pipeline!$W$21*Pipeline!$D$21*MIN(1,MAX(0,(71-Pipeline!$E$21+1)/MAX(Pipeline!$F$21,1)))+Pipeline!$W$22*Pipeline!$D$22*MIN(1,MAX(0,(71-Pipeline!$E$22+1)/MAX(Pipeline!$F$22,1)))</f>
        <v>7437.61384753902</v>
      </c>
      <c r="BV19" s="109" t="n">
        <f aca="false">Pipeline!$W$16*Pipeline!$D$16*MIN(1,MAX(0,(72-Pipeline!$E$16+1)/MAX(Pipeline!$F$16,1)))+Pipeline!$W$17*Pipeline!$D$17*MIN(1,MAX(0,(72-Pipeline!$E$17+1)/MAX(Pipeline!$F$17,1)))+Pipeline!$W$18*Pipeline!$D$18*MIN(1,MAX(0,(72-Pipeline!$E$18+1)/MAX(Pipeline!$F$18,1)))+Pipeline!$W$19*Pipeline!$D$19*MIN(1,MAX(0,(72-Pipeline!$E$19+1)/MAX(Pipeline!$F$19,1)))+Pipeline!$W$20*Pipeline!$D$20*MIN(1,MAX(0,(72-Pipeline!$E$20+1)/MAX(Pipeline!$F$20,1)))+Pipeline!$W$21*Pipeline!$D$21*MIN(1,MAX(0,(72-Pipeline!$E$21+1)/MAX(Pipeline!$F$21,1)))+Pipeline!$W$22*Pipeline!$D$22*MIN(1,MAX(0,(72-Pipeline!$E$22+1)/MAX(Pipeline!$F$22,1)))</f>
        <v>7437.61384753902</v>
      </c>
      <c r="BW19" s="109" t="n">
        <f aca="false">Pipeline!$W$16*Pipeline!$D$16*MIN(1,MAX(0,(73-Pipeline!$E$16+1)/MAX(Pipeline!$F$16,1)))+Pipeline!$W$17*Pipeline!$D$17*MIN(1,MAX(0,(73-Pipeline!$E$17+1)/MAX(Pipeline!$F$17,1)))+Pipeline!$W$18*Pipeline!$D$18*MIN(1,MAX(0,(73-Pipeline!$E$18+1)/MAX(Pipeline!$F$18,1)))+Pipeline!$W$19*Pipeline!$D$19*MIN(1,MAX(0,(73-Pipeline!$E$19+1)/MAX(Pipeline!$F$19,1)))+Pipeline!$W$20*Pipeline!$D$20*MIN(1,MAX(0,(73-Pipeline!$E$20+1)/MAX(Pipeline!$F$20,1)))+Pipeline!$W$21*Pipeline!$D$21*MIN(1,MAX(0,(73-Pipeline!$E$21+1)/MAX(Pipeline!$F$21,1)))+Pipeline!$W$22*Pipeline!$D$22*MIN(1,MAX(0,(73-Pipeline!$E$22+1)/MAX(Pipeline!$F$22,1)))</f>
        <v>7437.61384753902</v>
      </c>
      <c r="BX19" s="109" t="n">
        <f aca="false">Pipeline!$W$16*Pipeline!$D$16*MIN(1,MAX(0,(74-Pipeline!$E$16+1)/MAX(Pipeline!$F$16,1)))+Pipeline!$W$17*Pipeline!$D$17*MIN(1,MAX(0,(74-Pipeline!$E$17+1)/MAX(Pipeline!$F$17,1)))+Pipeline!$W$18*Pipeline!$D$18*MIN(1,MAX(0,(74-Pipeline!$E$18+1)/MAX(Pipeline!$F$18,1)))+Pipeline!$W$19*Pipeline!$D$19*MIN(1,MAX(0,(74-Pipeline!$E$19+1)/MAX(Pipeline!$F$19,1)))+Pipeline!$W$20*Pipeline!$D$20*MIN(1,MAX(0,(74-Pipeline!$E$20+1)/MAX(Pipeline!$F$20,1)))+Pipeline!$W$21*Pipeline!$D$21*MIN(1,MAX(0,(74-Pipeline!$E$21+1)/MAX(Pipeline!$F$21,1)))+Pipeline!$W$22*Pipeline!$D$22*MIN(1,MAX(0,(74-Pipeline!$E$22+1)/MAX(Pipeline!$F$22,1)))</f>
        <v>7437.61384753902</v>
      </c>
      <c r="BY19" s="109" t="n">
        <f aca="false">Pipeline!$W$16*Pipeline!$D$16*MIN(1,MAX(0,(75-Pipeline!$E$16+1)/MAX(Pipeline!$F$16,1)))+Pipeline!$W$17*Pipeline!$D$17*MIN(1,MAX(0,(75-Pipeline!$E$17+1)/MAX(Pipeline!$F$17,1)))+Pipeline!$W$18*Pipeline!$D$18*MIN(1,MAX(0,(75-Pipeline!$E$18+1)/MAX(Pipeline!$F$18,1)))+Pipeline!$W$19*Pipeline!$D$19*MIN(1,MAX(0,(75-Pipeline!$E$19+1)/MAX(Pipeline!$F$19,1)))+Pipeline!$W$20*Pipeline!$D$20*MIN(1,MAX(0,(75-Pipeline!$E$20+1)/MAX(Pipeline!$F$20,1)))+Pipeline!$W$21*Pipeline!$D$21*MIN(1,MAX(0,(75-Pipeline!$E$21+1)/MAX(Pipeline!$F$21,1)))+Pipeline!$W$22*Pipeline!$D$22*MIN(1,MAX(0,(75-Pipeline!$E$22+1)/MAX(Pipeline!$F$22,1)))</f>
        <v>7437.61384753902</v>
      </c>
      <c r="BZ19" s="109" t="n">
        <f aca="false">Pipeline!$W$16*Pipeline!$D$16*MIN(1,MAX(0,(76-Pipeline!$E$16+1)/MAX(Pipeline!$F$16,1)))+Pipeline!$W$17*Pipeline!$D$17*MIN(1,MAX(0,(76-Pipeline!$E$17+1)/MAX(Pipeline!$F$17,1)))+Pipeline!$W$18*Pipeline!$D$18*MIN(1,MAX(0,(76-Pipeline!$E$18+1)/MAX(Pipeline!$F$18,1)))+Pipeline!$W$19*Pipeline!$D$19*MIN(1,MAX(0,(76-Pipeline!$E$19+1)/MAX(Pipeline!$F$19,1)))+Pipeline!$W$20*Pipeline!$D$20*MIN(1,MAX(0,(76-Pipeline!$E$20+1)/MAX(Pipeline!$F$20,1)))+Pipeline!$W$21*Pipeline!$D$21*MIN(1,MAX(0,(76-Pipeline!$E$21+1)/MAX(Pipeline!$F$21,1)))+Pipeline!$W$22*Pipeline!$D$22*MIN(1,MAX(0,(76-Pipeline!$E$22+1)/MAX(Pipeline!$F$22,1)))</f>
        <v>7437.61384753902</v>
      </c>
      <c r="CA19" s="109" t="n">
        <f aca="false">Pipeline!$W$16*Pipeline!$D$16*MIN(1,MAX(0,(77-Pipeline!$E$16+1)/MAX(Pipeline!$F$16,1)))+Pipeline!$W$17*Pipeline!$D$17*MIN(1,MAX(0,(77-Pipeline!$E$17+1)/MAX(Pipeline!$F$17,1)))+Pipeline!$W$18*Pipeline!$D$18*MIN(1,MAX(0,(77-Pipeline!$E$18+1)/MAX(Pipeline!$F$18,1)))+Pipeline!$W$19*Pipeline!$D$19*MIN(1,MAX(0,(77-Pipeline!$E$19+1)/MAX(Pipeline!$F$19,1)))+Pipeline!$W$20*Pipeline!$D$20*MIN(1,MAX(0,(77-Pipeline!$E$20+1)/MAX(Pipeline!$F$20,1)))+Pipeline!$W$21*Pipeline!$D$21*MIN(1,MAX(0,(77-Pipeline!$E$21+1)/MAX(Pipeline!$F$21,1)))+Pipeline!$W$22*Pipeline!$D$22*MIN(1,MAX(0,(77-Pipeline!$E$22+1)/MAX(Pipeline!$F$22,1)))</f>
        <v>7437.61384753902</v>
      </c>
      <c r="CB19" s="109" t="n">
        <f aca="false">Pipeline!$W$16*Pipeline!$D$16*MIN(1,MAX(0,(78-Pipeline!$E$16+1)/MAX(Pipeline!$F$16,1)))+Pipeline!$W$17*Pipeline!$D$17*MIN(1,MAX(0,(78-Pipeline!$E$17+1)/MAX(Pipeline!$F$17,1)))+Pipeline!$W$18*Pipeline!$D$18*MIN(1,MAX(0,(78-Pipeline!$E$18+1)/MAX(Pipeline!$F$18,1)))+Pipeline!$W$19*Pipeline!$D$19*MIN(1,MAX(0,(78-Pipeline!$E$19+1)/MAX(Pipeline!$F$19,1)))+Pipeline!$W$20*Pipeline!$D$20*MIN(1,MAX(0,(78-Pipeline!$E$20+1)/MAX(Pipeline!$F$20,1)))+Pipeline!$W$21*Pipeline!$D$21*MIN(1,MAX(0,(78-Pipeline!$E$21+1)/MAX(Pipeline!$F$21,1)))+Pipeline!$W$22*Pipeline!$D$22*MIN(1,MAX(0,(78-Pipeline!$E$22+1)/MAX(Pipeline!$F$22,1)))</f>
        <v>7437.61384753902</v>
      </c>
      <c r="CC19" s="109" t="n">
        <f aca="false">Pipeline!$W$16*Pipeline!$D$16*MIN(1,MAX(0,(79-Pipeline!$E$16+1)/MAX(Pipeline!$F$16,1)))+Pipeline!$W$17*Pipeline!$D$17*MIN(1,MAX(0,(79-Pipeline!$E$17+1)/MAX(Pipeline!$F$17,1)))+Pipeline!$W$18*Pipeline!$D$18*MIN(1,MAX(0,(79-Pipeline!$E$18+1)/MAX(Pipeline!$F$18,1)))+Pipeline!$W$19*Pipeline!$D$19*MIN(1,MAX(0,(79-Pipeline!$E$19+1)/MAX(Pipeline!$F$19,1)))+Pipeline!$W$20*Pipeline!$D$20*MIN(1,MAX(0,(79-Pipeline!$E$20+1)/MAX(Pipeline!$F$20,1)))+Pipeline!$W$21*Pipeline!$D$21*MIN(1,MAX(0,(79-Pipeline!$E$21+1)/MAX(Pipeline!$F$21,1)))+Pipeline!$W$22*Pipeline!$D$22*MIN(1,MAX(0,(79-Pipeline!$E$22+1)/MAX(Pipeline!$F$22,1)))</f>
        <v>7437.61384753902</v>
      </c>
      <c r="CD19" s="109" t="n">
        <f aca="false">Pipeline!$W$16*Pipeline!$D$16*MIN(1,MAX(0,(80-Pipeline!$E$16+1)/MAX(Pipeline!$F$16,1)))+Pipeline!$W$17*Pipeline!$D$17*MIN(1,MAX(0,(80-Pipeline!$E$17+1)/MAX(Pipeline!$F$17,1)))+Pipeline!$W$18*Pipeline!$D$18*MIN(1,MAX(0,(80-Pipeline!$E$18+1)/MAX(Pipeline!$F$18,1)))+Pipeline!$W$19*Pipeline!$D$19*MIN(1,MAX(0,(80-Pipeline!$E$19+1)/MAX(Pipeline!$F$19,1)))+Pipeline!$W$20*Pipeline!$D$20*MIN(1,MAX(0,(80-Pipeline!$E$20+1)/MAX(Pipeline!$F$20,1)))+Pipeline!$W$21*Pipeline!$D$21*MIN(1,MAX(0,(80-Pipeline!$E$21+1)/MAX(Pipeline!$F$21,1)))+Pipeline!$W$22*Pipeline!$D$22*MIN(1,MAX(0,(80-Pipeline!$E$22+1)/MAX(Pipeline!$F$22,1)))</f>
        <v>7437.61384753902</v>
      </c>
      <c r="CE19" s="109" t="n">
        <f aca="false">Pipeline!$W$16*Pipeline!$D$16*MIN(1,MAX(0,(81-Pipeline!$E$16+1)/MAX(Pipeline!$F$16,1)))+Pipeline!$W$17*Pipeline!$D$17*MIN(1,MAX(0,(81-Pipeline!$E$17+1)/MAX(Pipeline!$F$17,1)))+Pipeline!$W$18*Pipeline!$D$18*MIN(1,MAX(0,(81-Pipeline!$E$18+1)/MAX(Pipeline!$F$18,1)))+Pipeline!$W$19*Pipeline!$D$19*MIN(1,MAX(0,(81-Pipeline!$E$19+1)/MAX(Pipeline!$F$19,1)))+Pipeline!$W$20*Pipeline!$D$20*MIN(1,MAX(0,(81-Pipeline!$E$20+1)/MAX(Pipeline!$F$20,1)))+Pipeline!$W$21*Pipeline!$D$21*MIN(1,MAX(0,(81-Pipeline!$E$21+1)/MAX(Pipeline!$F$21,1)))+Pipeline!$W$22*Pipeline!$D$22*MIN(1,MAX(0,(81-Pipeline!$E$22+1)/MAX(Pipeline!$F$22,1)))</f>
        <v>7437.61384753902</v>
      </c>
      <c r="CF19" s="109" t="n">
        <f aca="false">Pipeline!$W$16*Pipeline!$D$16*MIN(1,MAX(0,(82-Pipeline!$E$16+1)/MAX(Pipeline!$F$16,1)))+Pipeline!$W$17*Pipeline!$D$17*MIN(1,MAX(0,(82-Pipeline!$E$17+1)/MAX(Pipeline!$F$17,1)))+Pipeline!$W$18*Pipeline!$D$18*MIN(1,MAX(0,(82-Pipeline!$E$18+1)/MAX(Pipeline!$F$18,1)))+Pipeline!$W$19*Pipeline!$D$19*MIN(1,MAX(0,(82-Pipeline!$E$19+1)/MAX(Pipeline!$F$19,1)))+Pipeline!$W$20*Pipeline!$D$20*MIN(1,MAX(0,(82-Pipeline!$E$20+1)/MAX(Pipeline!$F$20,1)))+Pipeline!$W$21*Pipeline!$D$21*MIN(1,MAX(0,(82-Pipeline!$E$21+1)/MAX(Pipeline!$F$21,1)))+Pipeline!$W$22*Pipeline!$D$22*MIN(1,MAX(0,(82-Pipeline!$E$22+1)/MAX(Pipeline!$F$22,1)))</f>
        <v>7437.61384753902</v>
      </c>
      <c r="CG19" s="109" t="n">
        <f aca="false">Pipeline!$W$16*Pipeline!$D$16*MIN(1,MAX(0,(83-Pipeline!$E$16+1)/MAX(Pipeline!$F$16,1)))+Pipeline!$W$17*Pipeline!$D$17*MIN(1,MAX(0,(83-Pipeline!$E$17+1)/MAX(Pipeline!$F$17,1)))+Pipeline!$W$18*Pipeline!$D$18*MIN(1,MAX(0,(83-Pipeline!$E$18+1)/MAX(Pipeline!$F$18,1)))+Pipeline!$W$19*Pipeline!$D$19*MIN(1,MAX(0,(83-Pipeline!$E$19+1)/MAX(Pipeline!$F$19,1)))+Pipeline!$W$20*Pipeline!$D$20*MIN(1,MAX(0,(83-Pipeline!$E$20+1)/MAX(Pipeline!$F$20,1)))+Pipeline!$W$21*Pipeline!$D$21*MIN(1,MAX(0,(83-Pipeline!$E$21+1)/MAX(Pipeline!$F$21,1)))+Pipeline!$W$22*Pipeline!$D$22*MIN(1,MAX(0,(83-Pipeline!$E$22+1)/MAX(Pipeline!$F$22,1)))</f>
        <v>7437.61384753902</v>
      </c>
      <c r="CH19" s="109" t="n">
        <f aca="false">Pipeline!$W$16*Pipeline!$D$16*MIN(1,MAX(0,(84-Pipeline!$E$16+1)/MAX(Pipeline!$F$16,1)))+Pipeline!$W$17*Pipeline!$D$17*MIN(1,MAX(0,(84-Pipeline!$E$17+1)/MAX(Pipeline!$F$17,1)))+Pipeline!$W$18*Pipeline!$D$18*MIN(1,MAX(0,(84-Pipeline!$E$18+1)/MAX(Pipeline!$F$18,1)))+Pipeline!$W$19*Pipeline!$D$19*MIN(1,MAX(0,(84-Pipeline!$E$19+1)/MAX(Pipeline!$F$19,1)))+Pipeline!$W$20*Pipeline!$D$20*MIN(1,MAX(0,(84-Pipeline!$E$20+1)/MAX(Pipeline!$F$20,1)))+Pipeline!$W$21*Pipeline!$D$21*MIN(1,MAX(0,(84-Pipeline!$E$21+1)/MAX(Pipeline!$F$21,1)))+Pipeline!$W$22*Pipeline!$D$22*MIN(1,MAX(0,(84-Pipeline!$E$22+1)/MAX(Pipeline!$F$22,1)))</f>
        <v>7437.61384753902</v>
      </c>
    </row>
    <row r="20" customFormat="false" ht="13.5" hidden="false" customHeight="true" outlineLevel="0" collapsed="false">
      <c r="A20" s="6" t="s">
        <v>528</v>
      </c>
      <c r="C20" s="119" t="n">
        <f aca="false">Pipeline!$S$16*Pipeline!$D$16*MIN(1,MAX(0,(1-Pipeline!$E$16+1)/MAX(Pipeline!$F$16,1)))+Pipeline!$S$17*Pipeline!$D$17*MIN(1,MAX(0,(1-Pipeline!$E$17+1)/MAX(Pipeline!$F$17,1)))+Pipeline!$S$18*Pipeline!$D$18*MIN(1,MAX(0,(1-Pipeline!$E$18+1)/MAX(Pipeline!$F$18,1)))+Pipeline!$S$19*Pipeline!$D$19*MIN(1,MAX(0,(1-Pipeline!$E$19+1)/MAX(Pipeline!$F$19,1)))+Pipeline!$S$20*Pipeline!$D$20*MIN(1,MAX(0,(1-Pipeline!$E$20+1)/MAX(Pipeline!$F$20,1)))+Pipeline!$S$21*Pipeline!$D$21*MIN(1,MAX(0,(1-Pipeline!$E$21+1)/MAX(Pipeline!$F$21,1)))+Pipeline!$S$22*Pipeline!$D$22*MIN(1,MAX(0,(1-Pipeline!$E$22+1)/MAX(Pipeline!$F$22,1)))</f>
        <v>12.3975</v>
      </c>
      <c r="D20" s="119" t="n">
        <f aca="false">Pipeline!$S$16*Pipeline!$D$16*MIN(1,MAX(0,(2-Pipeline!$E$16+1)/MAX(Pipeline!$F$16,1)))+Pipeline!$S$17*Pipeline!$D$17*MIN(1,MAX(0,(2-Pipeline!$E$17+1)/MAX(Pipeline!$F$17,1)))+Pipeline!$S$18*Pipeline!$D$18*MIN(1,MAX(0,(2-Pipeline!$E$18+1)/MAX(Pipeline!$F$18,1)))+Pipeline!$S$19*Pipeline!$D$19*MIN(1,MAX(0,(2-Pipeline!$E$19+1)/MAX(Pipeline!$F$19,1)))+Pipeline!$S$20*Pipeline!$D$20*MIN(1,MAX(0,(2-Pipeline!$E$20+1)/MAX(Pipeline!$F$20,1)))+Pipeline!$S$21*Pipeline!$D$21*MIN(1,MAX(0,(2-Pipeline!$E$21+1)/MAX(Pipeline!$F$21,1)))+Pipeline!$S$22*Pipeline!$D$22*MIN(1,MAX(0,(2-Pipeline!$E$22+1)/MAX(Pipeline!$F$22,1)))</f>
        <v>27.405</v>
      </c>
      <c r="E20" s="119" t="n">
        <f aca="false">Pipeline!$S$16*Pipeline!$D$16*MIN(1,MAX(0,(3-Pipeline!$E$16+1)/MAX(Pipeline!$F$16,1)))+Pipeline!$S$17*Pipeline!$D$17*MIN(1,MAX(0,(3-Pipeline!$E$17+1)/MAX(Pipeline!$F$17,1)))+Pipeline!$S$18*Pipeline!$D$18*MIN(1,MAX(0,(3-Pipeline!$E$18+1)/MAX(Pipeline!$F$18,1)))+Pipeline!$S$19*Pipeline!$D$19*MIN(1,MAX(0,(3-Pipeline!$E$19+1)/MAX(Pipeline!$F$19,1)))+Pipeline!$S$20*Pipeline!$D$20*MIN(1,MAX(0,(3-Pipeline!$E$20+1)/MAX(Pipeline!$F$20,1)))+Pipeline!$S$21*Pipeline!$D$21*MIN(1,MAX(0,(3-Pipeline!$E$21+1)/MAX(Pipeline!$F$21,1)))+Pipeline!$S$22*Pipeline!$D$22*MIN(1,MAX(0,(3-Pipeline!$E$22+1)/MAX(Pipeline!$F$22,1)))</f>
        <v>75.69</v>
      </c>
      <c r="F20" s="119" t="n">
        <f aca="false">Pipeline!$S$16*Pipeline!$D$16*MIN(1,MAX(0,(4-Pipeline!$E$16+1)/MAX(Pipeline!$F$16,1)))+Pipeline!$S$17*Pipeline!$D$17*MIN(1,MAX(0,(4-Pipeline!$E$17+1)/MAX(Pipeline!$F$17,1)))+Pipeline!$S$18*Pipeline!$D$18*MIN(1,MAX(0,(4-Pipeline!$E$18+1)/MAX(Pipeline!$F$18,1)))+Pipeline!$S$19*Pipeline!$D$19*MIN(1,MAX(0,(4-Pipeline!$E$19+1)/MAX(Pipeline!$F$19,1)))+Pipeline!$S$20*Pipeline!$D$20*MIN(1,MAX(0,(4-Pipeline!$E$20+1)/MAX(Pipeline!$F$20,1)))+Pipeline!$S$21*Pipeline!$D$21*MIN(1,MAX(0,(4-Pipeline!$E$21+1)/MAX(Pipeline!$F$21,1)))+Pipeline!$S$22*Pipeline!$D$22*MIN(1,MAX(0,(4-Pipeline!$E$22+1)/MAX(Pipeline!$F$22,1)))</f>
        <v>111.5775</v>
      </c>
      <c r="G20" s="119" t="n">
        <f aca="false">Pipeline!$S$16*Pipeline!$D$16*MIN(1,MAX(0,(5-Pipeline!$E$16+1)/MAX(Pipeline!$F$16,1)))+Pipeline!$S$17*Pipeline!$D$17*MIN(1,MAX(0,(5-Pipeline!$E$17+1)/MAX(Pipeline!$F$17,1)))+Pipeline!$S$18*Pipeline!$D$18*MIN(1,MAX(0,(5-Pipeline!$E$18+1)/MAX(Pipeline!$F$18,1)))+Pipeline!$S$19*Pipeline!$D$19*MIN(1,MAX(0,(5-Pipeline!$E$19+1)/MAX(Pipeline!$F$19,1)))+Pipeline!$S$20*Pipeline!$D$20*MIN(1,MAX(0,(5-Pipeline!$E$20+1)/MAX(Pipeline!$F$20,1)))+Pipeline!$S$21*Pipeline!$D$21*MIN(1,MAX(0,(5-Pipeline!$E$21+1)/MAX(Pipeline!$F$21,1)))+Pipeline!$S$22*Pipeline!$D$22*MIN(1,MAX(0,(5-Pipeline!$E$22+1)/MAX(Pipeline!$F$22,1)))</f>
        <v>144.855</v>
      </c>
      <c r="H20" s="119" t="n">
        <f aca="false">Pipeline!$S$16*Pipeline!$D$16*MIN(1,MAX(0,(6-Pipeline!$E$16+1)/MAX(Pipeline!$F$16,1)))+Pipeline!$S$17*Pipeline!$D$17*MIN(1,MAX(0,(6-Pipeline!$E$17+1)/MAX(Pipeline!$F$17,1)))+Pipeline!$S$18*Pipeline!$D$18*MIN(1,MAX(0,(6-Pipeline!$E$18+1)/MAX(Pipeline!$F$18,1)))+Pipeline!$S$19*Pipeline!$D$19*MIN(1,MAX(0,(6-Pipeline!$E$19+1)/MAX(Pipeline!$F$19,1)))+Pipeline!$S$20*Pipeline!$D$20*MIN(1,MAX(0,(6-Pipeline!$E$20+1)/MAX(Pipeline!$F$20,1)))+Pipeline!$S$21*Pipeline!$D$21*MIN(1,MAX(0,(6-Pipeline!$E$21+1)/MAX(Pipeline!$F$21,1)))+Pipeline!$S$22*Pipeline!$D$22*MIN(1,MAX(0,(6-Pipeline!$E$22+1)/MAX(Pipeline!$F$22,1)))</f>
        <v>208.03875</v>
      </c>
      <c r="I20" s="119" t="n">
        <f aca="false">Pipeline!$S$16*Pipeline!$D$16*MIN(1,MAX(0,(7-Pipeline!$E$16+1)/MAX(Pipeline!$F$16,1)))+Pipeline!$S$17*Pipeline!$D$17*MIN(1,MAX(0,(7-Pipeline!$E$17+1)/MAX(Pipeline!$F$17,1)))+Pipeline!$S$18*Pipeline!$D$18*MIN(1,MAX(0,(7-Pipeline!$E$18+1)/MAX(Pipeline!$F$18,1)))+Pipeline!$S$19*Pipeline!$D$19*MIN(1,MAX(0,(7-Pipeline!$E$19+1)/MAX(Pipeline!$F$19,1)))+Pipeline!$S$20*Pipeline!$D$20*MIN(1,MAX(0,(7-Pipeline!$E$20+1)/MAX(Pipeline!$F$20,1)))+Pipeline!$S$21*Pipeline!$D$21*MIN(1,MAX(0,(7-Pipeline!$E$21+1)/MAX(Pipeline!$F$21,1)))+Pipeline!$S$22*Pipeline!$D$22*MIN(1,MAX(0,(7-Pipeline!$E$22+1)/MAX(Pipeline!$F$22,1)))</f>
        <v>271.2225</v>
      </c>
      <c r="J20" s="119" t="n">
        <f aca="false">Pipeline!$S$16*Pipeline!$D$16*MIN(1,MAX(0,(8-Pipeline!$E$16+1)/MAX(Pipeline!$F$16,1)))+Pipeline!$S$17*Pipeline!$D$17*MIN(1,MAX(0,(8-Pipeline!$E$17+1)/MAX(Pipeline!$F$17,1)))+Pipeline!$S$18*Pipeline!$D$18*MIN(1,MAX(0,(8-Pipeline!$E$18+1)/MAX(Pipeline!$F$18,1)))+Pipeline!$S$19*Pipeline!$D$19*MIN(1,MAX(0,(8-Pipeline!$E$19+1)/MAX(Pipeline!$F$19,1)))+Pipeline!$S$20*Pipeline!$D$20*MIN(1,MAX(0,(8-Pipeline!$E$20+1)/MAX(Pipeline!$F$20,1)))+Pipeline!$S$21*Pipeline!$D$21*MIN(1,MAX(0,(8-Pipeline!$E$21+1)/MAX(Pipeline!$F$21,1)))+Pipeline!$S$22*Pipeline!$D$22*MIN(1,MAX(0,(8-Pipeline!$E$22+1)/MAX(Pipeline!$F$22,1)))</f>
        <v>334.40625</v>
      </c>
      <c r="K20" s="119" t="n">
        <f aca="false">Pipeline!$S$16*Pipeline!$D$16*MIN(1,MAX(0,(9-Pipeline!$E$16+1)/MAX(Pipeline!$F$16,1)))+Pipeline!$S$17*Pipeline!$D$17*MIN(1,MAX(0,(9-Pipeline!$E$17+1)/MAX(Pipeline!$F$17,1)))+Pipeline!$S$18*Pipeline!$D$18*MIN(1,MAX(0,(9-Pipeline!$E$18+1)/MAX(Pipeline!$F$18,1)))+Pipeline!$S$19*Pipeline!$D$19*MIN(1,MAX(0,(9-Pipeline!$E$19+1)/MAX(Pipeline!$F$19,1)))+Pipeline!$S$20*Pipeline!$D$20*MIN(1,MAX(0,(9-Pipeline!$E$20+1)/MAX(Pipeline!$F$20,1)))+Pipeline!$S$21*Pipeline!$D$21*MIN(1,MAX(0,(9-Pipeline!$E$21+1)/MAX(Pipeline!$F$21,1)))+Pipeline!$S$22*Pipeline!$D$22*MIN(1,MAX(0,(9-Pipeline!$E$22+1)/MAX(Pipeline!$F$22,1)))</f>
        <v>397.59</v>
      </c>
      <c r="L20" s="119" t="n">
        <f aca="false">Pipeline!$S$16*Pipeline!$D$16*MIN(1,MAX(0,(10-Pipeline!$E$16+1)/MAX(Pipeline!$F$16,1)))+Pipeline!$S$17*Pipeline!$D$17*MIN(1,MAX(0,(10-Pipeline!$E$17+1)/MAX(Pipeline!$F$17,1)))+Pipeline!$S$18*Pipeline!$D$18*MIN(1,MAX(0,(10-Pipeline!$E$18+1)/MAX(Pipeline!$F$18,1)))+Pipeline!$S$19*Pipeline!$D$19*MIN(1,MAX(0,(10-Pipeline!$E$19+1)/MAX(Pipeline!$F$19,1)))+Pipeline!$S$20*Pipeline!$D$20*MIN(1,MAX(0,(10-Pipeline!$E$20+1)/MAX(Pipeline!$F$20,1)))+Pipeline!$S$21*Pipeline!$D$21*MIN(1,MAX(0,(10-Pipeline!$E$21+1)/MAX(Pipeline!$F$21,1)))+Pipeline!$S$22*Pipeline!$D$22*MIN(1,MAX(0,(10-Pipeline!$E$22+1)/MAX(Pipeline!$F$22,1)))</f>
        <v>460.77375</v>
      </c>
      <c r="M20" s="119" t="n">
        <f aca="false">Pipeline!$S$16*Pipeline!$D$16*MIN(1,MAX(0,(11-Pipeline!$E$16+1)/MAX(Pipeline!$F$16,1)))+Pipeline!$S$17*Pipeline!$D$17*MIN(1,MAX(0,(11-Pipeline!$E$17+1)/MAX(Pipeline!$F$17,1)))+Pipeline!$S$18*Pipeline!$D$18*MIN(1,MAX(0,(11-Pipeline!$E$18+1)/MAX(Pipeline!$F$18,1)))+Pipeline!$S$19*Pipeline!$D$19*MIN(1,MAX(0,(11-Pipeline!$E$19+1)/MAX(Pipeline!$F$19,1)))+Pipeline!$S$20*Pipeline!$D$20*MIN(1,MAX(0,(11-Pipeline!$E$20+1)/MAX(Pipeline!$F$20,1)))+Pipeline!$S$21*Pipeline!$D$21*MIN(1,MAX(0,(11-Pipeline!$E$21+1)/MAX(Pipeline!$F$21,1)))+Pipeline!$S$22*Pipeline!$D$22*MIN(1,MAX(0,(11-Pipeline!$E$22+1)/MAX(Pipeline!$F$22,1)))</f>
        <v>490.68</v>
      </c>
      <c r="N20" s="119" t="n">
        <f aca="false">Pipeline!$S$16*Pipeline!$D$16*MIN(1,MAX(0,(12-Pipeline!$E$16+1)/MAX(Pipeline!$F$16,1)))+Pipeline!$S$17*Pipeline!$D$17*MIN(1,MAX(0,(12-Pipeline!$E$17+1)/MAX(Pipeline!$F$17,1)))+Pipeline!$S$18*Pipeline!$D$18*MIN(1,MAX(0,(12-Pipeline!$E$18+1)/MAX(Pipeline!$F$18,1)))+Pipeline!$S$19*Pipeline!$D$19*MIN(1,MAX(0,(12-Pipeline!$E$19+1)/MAX(Pipeline!$F$19,1)))+Pipeline!$S$20*Pipeline!$D$20*MIN(1,MAX(0,(12-Pipeline!$E$20+1)/MAX(Pipeline!$F$20,1)))+Pipeline!$S$21*Pipeline!$D$21*MIN(1,MAX(0,(12-Pipeline!$E$21+1)/MAX(Pipeline!$F$21,1)))+Pipeline!$S$22*Pipeline!$D$22*MIN(1,MAX(0,(12-Pipeline!$E$22+1)/MAX(Pipeline!$F$22,1)))</f>
        <v>564.08625</v>
      </c>
      <c r="O20" s="119" t="n">
        <f aca="false">Pipeline!$S$16*Pipeline!$D$16*MIN(1,MAX(0,(13-Pipeline!$E$16+1)/MAX(Pipeline!$F$16,1)))+Pipeline!$S$17*Pipeline!$D$17*MIN(1,MAX(0,(13-Pipeline!$E$17+1)/MAX(Pipeline!$F$17,1)))+Pipeline!$S$18*Pipeline!$D$18*MIN(1,MAX(0,(13-Pipeline!$E$18+1)/MAX(Pipeline!$F$18,1)))+Pipeline!$S$19*Pipeline!$D$19*MIN(1,MAX(0,(13-Pipeline!$E$19+1)/MAX(Pipeline!$F$19,1)))+Pipeline!$S$20*Pipeline!$D$20*MIN(1,MAX(0,(13-Pipeline!$E$20+1)/MAX(Pipeline!$F$20,1)))+Pipeline!$S$21*Pipeline!$D$21*MIN(1,MAX(0,(13-Pipeline!$E$21+1)/MAX(Pipeline!$F$21,1)))+Pipeline!$S$22*Pipeline!$D$22*MIN(1,MAX(0,(13-Pipeline!$E$22+1)/MAX(Pipeline!$F$22,1)))</f>
        <v>637.4925</v>
      </c>
      <c r="P20" s="119" t="n">
        <f aca="false">Pipeline!$S$16*Pipeline!$D$16*MIN(1,MAX(0,(14-Pipeline!$E$16+1)/MAX(Pipeline!$F$16,1)))+Pipeline!$S$17*Pipeline!$D$17*MIN(1,MAX(0,(14-Pipeline!$E$17+1)/MAX(Pipeline!$F$17,1)))+Pipeline!$S$18*Pipeline!$D$18*MIN(1,MAX(0,(14-Pipeline!$E$18+1)/MAX(Pipeline!$F$18,1)))+Pipeline!$S$19*Pipeline!$D$19*MIN(1,MAX(0,(14-Pipeline!$E$19+1)/MAX(Pipeline!$F$19,1)))+Pipeline!$S$20*Pipeline!$D$20*MIN(1,MAX(0,(14-Pipeline!$E$20+1)/MAX(Pipeline!$F$20,1)))+Pipeline!$S$21*Pipeline!$D$21*MIN(1,MAX(0,(14-Pipeline!$E$21+1)/MAX(Pipeline!$F$21,1)))+Pipeline!$S$22*Pipeline!$D$22*MIN(1,MAX(0,(14-Pipeline!$E$22+1)/MAX(Pipeline!$F$22,1)))</f>
        <v>698.3925</v>
      </c>
      <c r="Q20" s="119" t="n">
        <f aca="false">Pipeline!$S$16*Pipeline!$D$16*MIN(1,MAX(0,(15-Pipeline!$E$16+1)/MAX(Pipeline!$F$16,1)))+Pipeline!$S$17*Pipeline!$D$17*MIN(1,MAX(0,(15-Pipeline!$E$17+1)/MAX(Pipeline!$F$17,1)))+Pipeline!$S$18*Pipeline!$D$18*MIN(1,MAX(0,(15-Pipeline!$E$18+1)/MAX(Pipeline!$F$18,1)))+Pipeline!$S$19*Pipeline!$D$19*MIN(1,MAX(0,(15-Pipeline!$E$19+1)/MAX(Pipeline!$F$19,1)))+Pipeline!$S$20*Pipeline!$D$20*MIN(1,MAX(0,(15-Pipeline!$E$20+1)/MAX(Pipeline!$F$20,1)))+Pipeline!$S$21*Pipeline!$D$21*MIN(1,MAX(0,(15-Pipeline!$E$21+1)/MAX(Pipeline!$F$21,1)))+Pipeline!$S$22*Pipeline!$D$22*MIN(1,MAX(0,(15-Pipeline!$E$22+1)/MAX(Pipeline!$F$22,1)))</f>
        <v>759.2925</v>
      </c>
      <c r="R20" s="119" t="n">
        <f aca="false">Pipeline!$S$16*Pipeline!$D$16*MIN(1,MAX(0,(16-Pipeline!$E$16+1)/MAX(Pipeline!$F$16,1)))+Pipeline!$S$17*Pipeline!$D$17*MIN(1,MAX(0,(16-Pipeline!$E$17+1)/MAX(Pipeline!$F$17,1)))+Pipeline!$S$18*Pipeline!$D$18*MIN(1,MAX(0,(16-Pipeline!$E$18+1)/MAX(Pipeline!$F$18,1)))+Pipeline!$S$19*Pipeline!$D$19*MIN(1,MAX(0,(16-Pipeline!$E$19+1)/MAX(Pipeline!$F$19,1)))+Pipeline!$S$20*Pipeline!$D$20*MIN(1,MAX(0,(16-Pipeline!$E$20+1)/MAX(Pipeline!$F$20,1)))+Pipeline!$S$21*Pipeline!$D$21*MIN(1,MAX(0,(16-Pipeline!$E$21+1)/MAX(Pipeline!$F$21,1)))+Pipeline!$S$22*Pipeline!$D$22*MIN(1,MAX(0,(16-Pipeline!$E$22+1)/MAX(Pipeline!$F$22,1)))</f>
        <v>820.1925</v>
      </c>
      <c r="S20" s="119" t="n">
        <f aca="false">Pipeline!$S$16*Pipeline!$D$16*MIN(1,MAX(0,(17-Pipeline!$E$16+1)/MAX(Pipeline!$F$16,1)))+Pipeline!$S$17*Pipeline!$D$17*MIN(1,MAX(0,(17-Pipeline!$E$17+1)/MAX(Pipeline!$F$17,1)))+Pipeline!$S$18*Pipeline!$D$18*MIN(1,MAX(0,(17-Pipeline!$E$18+1)/MAX(Pipeline!$F$18,1)))+Pipeline!$S$19*Pipeline!$D$19*MIN(1,MAX(0,(17-Pipeline!$E$19+1)/MAX(Pipeline!$F$19,1)))+Pipeline!$S$20*Pipeline!$D$20*MIN(1,MAX(0,(17-Pipeline!$E$20+1)/MAX(Pipeline!$F$20,1)))+Pipeline!$S$21*Pipeline!$D$21*MIN(1,MAX(0,(17-Pipeline!$E$21+1)/MAX(Pipeline!$F$21,1)))+Pipeline!$S$22*Pipeline!$D$22*MIN(1,MAX(0,(17-Pipeline!$E$22+1)/MAX(Pipeline!$F$22,1)))</f>
        <v>881.0925</v>
      </c>
      <c r="T20" s="119" t="n">
        <f aca="false">Pipeline!$S$16*Pipeline!$D$16*MIN(1,MAX(0,(18-Pipeline!$E$16+1)/MAX(Pipeline!$F$16,1)))+Pipeline!$S$17*Pipeline!$D$17*MIN(1,MAX(0,(18-Pipeline!$E$17+1)/MAX(Pipeline!$F$17,1)))+Pipeline!$S$18*Pipeline!$D$18*MIN(1,MAX(0,(18-Pipeline!$E$18+1)/MAX(Pipeline!$F$18,1)))+Pipeline!$S$19*Pipeline!$D$19*MIN(1,MAX(0,(18-Pipeline!$E$19+1)/MAX(Pipeline!$F$19,1)))+Pipeline!$S$20*Pipeline!$D$20*MIN(1,MAX(0,(18-Pipeline!$E$20+1)/MAX(Pipeline!$F$20,1)))+Pipeline!$S$21*Pipeline!$D$21*MIN(1,MAX(0,(18-Pipeline!$E$21+1)/MAX(Pipeline!$F$21,1)))+Pipeline!$S$22*Pipeline!$D$22*MIN(1,MAX(0,(18-Pipeline!$E$22+1)/MAX(Pipeline!$F$22,1)))</f>
        <v>941.9925</v>
      </c>
      <c r="U20" s="119" t="n">
        <f aca="false">Pipeline!$S$16*Pipeline!$D$16*MIN(1,MAX(0,(19-Pipeline!$E$16+1)/MAX(Pipeline!$F$16,1)))+Pipeline!$S$17*Pipeline!$D$17*MIN(1,MAX(0,(19-Pipeline!$E$17+1)/MAX(Pipeline!$F$17,1)))+Pipeline!$S$18*Pipeline!$D$18*MIN(1,MAX(0,(19-Pipeline!$E$18+1)/MAX(Pipeline!$F$18,1)))+Pipeline!$S$19*Pipeline!$D$19*MIN(1,MAX(0,(19-Pipeline!$E$19+1)/MAX(Pipeline!$F$19,1)))+Pipeline!$S$20*Pipeline!$D$20*MIN(1,MAX(0,(19-Pipeline!$E$20+1)/MAX(Pipeline!$F$20,1)))+Pipeline!$S$21*Pipeline!$D$21*MIN(1,MAX(0,(19-Pipeline!$E$21+1)/MAX(Pipeline!$F$21,1)))+Pipeline!$S$22*Pipeline!$D$22*MIN(1,MAX(0,(19-Pipeline!$E$22+1)/MAX(Pipeline!$F$22,1)))</f>
        <v>1002.8925</v>
      </c>
      <c r="V20" s="119" t="n">
        <f aca="false">Pipeline!$S$16*Pipeline!$D$16*MIN(1,MAX(0,(20-Pipeline!$E$16+1)/MAX(Pipeline!$F$16,1)))+Pipeline!$S$17*Pipeline!$D$17*MIN(1,MAX(0,(20-Pipeline!$E$17+1)/MAX(Pipeline!$F$17,1)))+Pipeline!$S$18*Pipeline!$D$18*MIN(1,MAX(0,(20-Pipeline!$E$18+1)/MAX(Pipeline!$F$18,1)))+Pipeline!$S$19*Pipeline!$D$19*MIN(1,MAX(0,(20-Pipeline!$E$19+1)/MAX(Pipeline!$F$19,1)))+Pipeline!$S$20*Pipeline!$D$20*MIN(1,MAX(0,(20-Pipeline!$E$20+1)/MAX(Pipeline!$F$20,1)))+Pipeline!$S$21*Pipeline!$D$21*MIN(1,MAX(0,(20-Pipeline!$E$21+1)/MAX(Pipeline!$F$21,1)))+Pipeline!$S$22*Pipeline!$D$22*MIN(1,MAX(0,(20-Pipeline!$E$22+1)/MAX(Pipeline!$F$22,1)))</f>
        <v>1063.7925</v>
      </c>
      <c r="W20" s="119" t="n">
        <f aca="false">Pipeline!$S$16*Pipeline!$D$16*MIN(1,MAX(0,(21-Pipeline!$E$16+1)/MAX(Pipeline!$F$16,1)))+Pipeline!$S$17*Pipeline!$D$17*MIN(1,MAX(0,(21-Pipeline!$E$17+1)/MAX(Pipeline!$F$17,1)))+Pipeline!$S$18*Pipeline!$D$18*MIN(1,MAX(0,(21-Pipeline!$E$18+1)/MAX(Pipeline!$F$18,1)))+Pipeline!$S$19*Pipeline!$D$19*MIN(1,MAX(0,(21-Pipeline!$E$19+1)/MAX(Pipeline!$F$19,1)))+Pipeline!$S$20*Pipeline!$D$20*MIN(1,MAX(0,(21-Pipeline!$E$20+1)/MAX(Pipeline!$F$20,1)))+Pipeline!$S$21*Pipeline!$D$21*MIN(1,MAX(0,(21-Pipeline!$E$21+1)/MAX(Pipeline!$F$21,1)))+Pipeline!$S$22*Pipeline!$D$22*MIN(1,MAX(0,(21-Pipeline!$E$22+1)/MAX(Pipeline!$F$22,1)))</f>
        <v>1124.6925</v>
      </c>
      <c r="X20" s="119" t="n">
        <f aca="false">Pipeline!$S$16*Pipeline!$D$16*MIN(1,MAX(0,(22-Pipeline!$E$16+1)/MAX(Pipeline!$F$16,1)))+Pipeline!$S$17*Pipeline!$D$17*MIN(1,MAX(0,(22-Pipeline!$E$17+1)/MAX(Pipeline!$F$17,1)))+Pipeline!$S$18*Pipeline!$D$18*MIN(1,MAX(0,(22-Pipeline!$E$18+1)/MAX(Pipeline!$F$18,1)))+Pipeline!$S$19*Pipeline!$D$19*MIN(1,MAX(0,(22-Pipeline!$E$19+1)/MAX(Pipeline!$F$19,1)))+Pipeline!$S$20*Pipeline!$D$20*MIN(1,MAX(0,(22-Pipeline!$E$20+1)/MAX(Pipeline!$F$20,1)))+Pipeline!$S$21*Pipeline!$D$21*MIN(1,MAX(0,(22-Pipeline!$E$21+1)/MAX(Pipeline!$F$21,1)))+Pipeline!$S$22*Pipeline!$D$22*MIN(1,MAX(0,(22-Pipeline!$E$22+1)/MAX(Pipeline!$F$22,1)))</f>
        <v>1142.0925</v>
      </c>
      <c r="Y20" s="119" t="n">
        <f aca="false">Pipeline!$S$16*Pipeline!$D$16*MIN(1,MAX(0,(23-Pipeline!$E$16+1)/MAX(Pipeline!$F$16,1)))+Pipeline!$S$17*Pipeline!$D$17*MIN(1,MAX(0,(23-Pipeline!$E$17+1)/MAX(Pipeline!$F$17,1)))+Pipeline!$S$18*Pipeline!$D$18*MIN(1,MAX(0,(23-Pipeline!$E$18+1)/MAX(Pipeline!$F$18,1)))+Pipeline!$S$19*Pipeline!$D$19*MIN(1,MAX(0,(23-Pipeline!$E$19+1)/MAX(Pipeline!$F$19,1)))+Pipeline!$S$20*Pipeline!$D$20*MIN(1,MAX(0,(23-Pipeline!$E$20+1)/MAX(Pipeline!$F$20,1)))+Pipeline!$S$21*Pipeline!$D$21*MIN(1,MAX(0,(23-Pipeline!$E$21+1)/MAX(Pipeline!$F$21,1)))+Pipeline!$S$22*Pipeline!$D$22*MIN(1,MAX(0,(23-Pipeline!$E$22+1)/MAX(Pipeline!$F$22,1)))</f>
        <v>1159.4925</v>
      </c>
      <c r="Z20" s="119" t="n">
        <f aca="false">Pipeline!$S$16*Pipeline!$D$16*MIN(1,MAX(0,(24-Pipeline!$E$16+1)/MAX(Pipeline!$F$16,1)))+Pipeline!$S$17*Pipeline!$D$17*MIN(1,MAX(0,(24-Pipeline!$E$17+1)/MAX(Pipeline!$F$17,1)))+Pipeline!$S$18*Pipeline!$D$18*MIN(1,MAX(0,(24-Pipeline!$E$18+1)/MAX(Pipeline!$F$18,1)))+Pipeline!$S$19*Pipeline!$D$19*MIN(1,MAX(0,(24-Pipeline!$E$19+1)/MAX(Pipeline!$F$19,1)))+Pipeline!$S$20*Pipeline!$D$20*MIN(1,MAX(0,(24-Pipeline!$E$20+1)/MAX(Pipeline!$F$20,1)))+Pipeline!$S$21*Pipeline!$D$21*MIN(1,MAX(0,(24-Pipeline!$E$21+1)/MAX(Pipeline!$F$21,1)))+Pipeline!$S$22*Pipeline!$D$22*MIN(1,MAX(0,(24-Pipeline!$E$22+1)/MAX(Pipeline!$F$22,1)))</f>
        <v>1159.4925</v>
      </c>
      <c r="AA20" s="119" t="n">
        <f aca="false">Pipeline!$S$16*Pipeline!$D$16*MIN(1,MAX(0,(25-Pipeline!$E$16+1)/MAX(Pipeline!$F$16,1)))+Pipeline!$S$17*Pipeline!$D$17*MIN(1,MAX(0,(25-Pipeline!$E$17+1)/MAX(Pipeline!$F$17,1)))+Pipeline!$S$18*Pipeline!$D$18*MIN(1,MAX(0,(25-Pipeline!$E$18+1)/MAX(Pipeline!$F$18,1)))+Pipeline!$S$19*Pipeline!$D$19*MIN(1,MAX(0,(25-Pipeline!$E$19+1)/MAX(Pipeline!$F$19,1)))+Pipeline!$S$20*Pipeline!$D$20*MIN(1,MAX(0,(25-Pipeline!$E$20+1)/MAX(Pipeline!$F$20,1)))+Pipeline!$S$21*Pipeline!$D$21*MIN(1,MAX(0,(25-Pipeline!$E$21+1)/MAX(Pipeline!$F$21,1)))+Pipeline!$S$22*Pipeline!$D$22*MIN(1,MAX(0,(25-Pipeline!$E$22+1)/MAX(Pipeline!$F$22,1)))</f>
        <v>1159.4925</v>
      </c>
      <c r="AB20" s="119" t="n">
        <f aca="false">Pipeline!$S$16*Pipeline!$D$16*MIN(1,MAX(0,(26-Pipeline!$E$16+1)/MAX(Pipeline!$F$16,1)))+Pipeline!$S$17*Pipeline!$D$17*MIN(1,MAX(0,(26-Pipeline!$E$17+1)/MAX(Pipeline!$F$17,1)))+Pipeline!$S$18*Pipeline!$D$18*MIN(1,MAX(0,(26-Pipeline!$E$18+1)/MAX(Pipeline!$F$18,1)))+Pipeline!$S$19*Pipeline!$D$19*MIN(1,MAX(0,(26-Pipeline!$E$19+1)/MAX(Pipeline!$F$19,1)))+Pipeline!$S$20*Pipeline!$D$20*MIN(1,MAX(0,(26-Pipeline!$E$20+1)/MAX(Pipeline!$F$20,1)))+Pipeline!$S$21*Pipeline!$D$21*MIN(1,MAX(0,(26-Pipeline!$E$21+1)/MAX(Pipeline!$F$21,1)))+Pipeline!$S$22*Pipeline!$D$22*MIN(1,MAX(0,(26-Pipeline!$E$22+1)/MAX(Pipeline!$F$22,1)))</f>
        <v>1159.4925</v>
      </c>
      <c r="AC20" s="119" t="n">
        <f aca="false">Pipeline!$S$16*Pipeline!$D$16*MIN(1,MAX(0,(27-Pipeline!$E$16+1)/MAX(Pipeline!$F$16,1)))+Pipeline!$S$17*Pipeline!$D$17*MIN(1,MAX(0,(27-Pipeline!$E$17+1)/MAX(Pipeline!$F$17,1)))+Pipeline!$S$18*Pipeline!$D$18*MIN(1,MAX(0,(27-Pipeline!$E$18+1)/MAX(Pipeline!$F$18,1)))+Pipeline!$S$19*Pipeline!$D$19*MIN(1,MAX(0,(27-Pipeline!$E$19+1)/MAX(Pipeline!$F$19,1)))+Pipeline!$S$20*Pipeline!$D$20*MIN(1,MAX(0,(27-Pipeline!$E$20+1)/MAX(Pipeline!$F$20,1)))+Pipeline!$S$21*Pipeline!$D$21*MIN(1,MAX(0,(27-Pipeline!$E$21+1)/MAX(Pipeline!$F$21,1)))+Pipeline!$S$22*Pipeline!$D$22*MIN(1,MAX(0,(27-Pipeline!$E$22+1)/MAX(Pipeline!$F$22,1)))</f>
        <v>1159.4925</v>
      </c>
      <c r="AD20" s="119" t="n">
        <f aca="false">Pipeline!$S$16*Pipeline!$D$16*MIN(1,MAX(0,(28-Pipeline!$E$16+1)/MAX(Pipeline!$F$16,1)))+Pipeline!$S$17*Pipeline!$D$17*MIN(1,MAX(0,(28-Pipeline!$E$17+1)/MAX(Pipeline!$F$17,1)))+Pipeline!$S$18*Pipeline!$D$18*MIN(1,MAX(0,(28-Pipeline!$E$18+1)/MAX(Pipeline!$F$18,1)))+Pipeline!$S$19*Pipeline!$D$19*MIN(1,MAX(0,(28-Pipeline!$E$19+1)/MAX(Pipeline!$F$19,1)))+Pipeline!$S$20*Pipeline!$D$20*MIN(1,MAX(0,(28-Pipeline!$E$20+1)/MAX(Pipeline!$F$20,1)))+Pipeline!$S$21*Pipeline!$D$21*MIN(1,MAX(0,(28-Pipeline!$E$21+1)/MAX(Pipeline!$F$21,1)))+Pipeline!$S$22*Pipeline!$D$22*MIN(1,MAX(0,(28-Pipeline!$E$22+1)/MAX(Pipeline!$F$22,1)))</f>
        <v>1159.4925</v>
      </c>
      <c r="AE20" s="119" t="n">
        <f aca="false">Pipeline!$S$16*Pipeline!$D$16*MIN(1,MAX(0,(29-Pipeline!$E$16+1)/MAX(Pipeline!$F$16,1)))+Pipeline!$S$17*Pipeline!$D$17*MIN(1,MAX(0,(29-Pipeline!$E$17+1)/MAX(Pipeline!$F$17,1)))+Pipeline!$S$18*Pipeline!$D$18*MIN(1,MAX(0,(29-Pipeline!$E$18+1)/MAX(Pipeline!$F$18,1)))+Pipeline!$S$19*Pipeline!$D$19*MIN(1,MAX(0,(29-Pipeline!$E$19+1)/MAX(Pipeline!$F$19,1)))+Pipeline!$S$20*Pipeline!$D$20*MIN(1,MAX(0,(29-Pipeline!$E$20+1)/MAX(Pipeline!$F$20,1)))+Pipeline!$S$21*Pipeline!$D$21*MIN(1,MAX(0,(29-Pipeline!$E$21+1)/MAX(Pipeline!$F$21,1)))+Pipeline!$S$22*Pipeline!$D$22*MIN(1,MAX(0,(29-Pipeline!$E$22+1)/MAX(Pipeline!$F$22,1)))</f>
        <v>1159.4925</v>
      </c>
      <c r="AF20" s="119" t="n">
        <f aca="false">Pipeline!$S$16*Pipeline!$D$16*MIN(1,MAX(0,(30-Pipeline!$E$16+1)/MAX(Pipeline!$F$16,1)))+Pipeline!$S$17*Pipeline!$D$17*MIN(1,MAX(0,(30-Pipeline!$E$17+1)/MAX(Pipeline!$F$17,1)))+Pipeline!$S$18*Pipeline!$D$18*MIN(1,MAX(0,(30-Pipeline!$E$18+1)/MAX(Pipeline!$F$18,1)))+Pipeline!$S$19*Pipeline!$D$19*MIN(1,MAX(0,(30-Pipeline!$E$19+1)/MAX(Pipeline!$F$19,1)))+Pipeline!$S$20*Pipeline!$D$20*MIN(1,MAX(0,(30-Pipeline!$E$20+1)/MAX(Pipeline!$F$20,1)))+Pipeline!$S$21*Pipeline!$D$21*MIN(1,MAX(0,(30-Pipeline!$E$21+1)/MAX(Pipeline!$F$21,1)))+Pipeline!$S$22*Pipeline!$D$22*MIN(1,MAX(0,(30-Pipeline!$E$22+1)/MAX(Pipeline!$F$22,1)))</f>
        <v>1159.4925</v>
      </c>
      <c r="AG20" s="119" t="n">
        <f aca="false">Pipeline!$S$16*Pipeline!$D$16*MIN(1,MAX(0,(31-Pipeline!$E$16+1)/MAX(Pipeline!$F$16,1)))+Pipeline!$S$17*Pipeline!$D$17*MIN(1,MAX(0,(31-Pipeline!$E$17+1)/MAX(Pipeline!$F$17,1)))+Pipeline!$S$18*Pipeline!$D$18*MIN(1,MAX(0,(31-Pipeline!$E$18+1)/MAX(Pipeline!$F$18,1)))+Pipeline!$S$19*Pipeline!$D$19*MIN(1,MAX(0,(31-Pipeline!$E$19+1)/MAX(Pipeline!$F$19,1)))+Pipeline!$S$20*Pipeline!$D$20*MIN(1,MAX(0,(31-Pipeline!$E$20+1)/MAX(Pipeline!$F$20,1)))+Pipeline!$S$21*Pipeline!$D$21*MIN(1,MAX(0,(31-Pipeline!$E$21+1)/MAX(Pipeline!$F$21,1)))+Pipeline!$S$22*Pipeline!$D$22*MIN(1,MAX(0,(31-Pipeline!$E$22+1)/MAX(Pipeline!$F$22,1)))</f>
        <v>1159.4925</v>
      </c>
      <c r="AH20" s="119" t="n">
        <f aca="false">Pipeline!$S$16*Pipeline!$D$16*MIN(1,MAX(0,(32-Pipeline!$E$16+1)/MAX(Pipeline!$F$16,1)))+Pipeline!$S$17*Pipeline!$D$17*MIN(1,MAX(0,(32-Pipeline!$E$17+1)/MAX(Pipeline!$F$17,1)))+Pipeline!$S$18*Pipeline!$D$18*MIN(1,MAX(0,(32-Pipeline!$E$18+1)/MAX(Pipeline!$F$18,1)))+Pipeline!$S$19*Pipeline!$D$19*MIN(1,MAX(0,(32-Pipeline!$E$19+1)/MAX(Pipeline!$F$19,1)))+Pipeline!$S$20*Pipeline!$D$20*MIN(1,MAX(0,(32-Pipeline!$E$20+1)/MAX(Pipeline!$F$20,1)))+Pipeline!$S$21*Pipeline!$D$21*MIN(1,MAX(0,(32-Pipeline!$E$21+1)/MAX(Pipeline!$F$21,1)))+Pipeline!$S$22*Pipeline!$D$22*MIN(1,MAX(0,(32-Pipeline!$E$22+1)/MAX(Pipeline!$F$22,1)))</f>
        <v>1159.4925</v>
      </c>
      <c r="AI20" s="119" t="n">
        <f aca="false">Pipeline!$S$16*Pipeline!$D$16*MIN(1,MAX(0,(33-Pipeline!$E$16+1)/MAX(Pipeline!$F$16,1)))+Pipeline!$S$17*Pipeline!$D$17*MIN(1,MAX(0,(33-Pipeline!$E$17+1)/MAX(Pipeline!$F$17,1)))+Pipeline!$S$18*Pipeline!$D$18*MIN(1,MAX(0,(33-Pipeline!$E$18+1)/MAX(Pipeline!$F$18,1)))+Pipeline!$S$19*Pipeline!$D$19*MIN(1,MAX(0,(33-Pipeline!$E$19+1)/MAX(Pipeline!$F$19,1)))+Pipeline!$S$20*Pipeline!$D$20*MIN(1,MAX(0,(33-Pipeline!$E$20+1)/MAX(Pipeline!$F$20,1)))+Pipeline!$S$21*Pipeline!$D$21*MIN(1,MAX(0,(33-Pipeline!$E$21+1)/MAX(Pipeline!$F$21,1)))+Pipeline!$S$22*Pipeline!$D$22*MIN(1,MAX(0,(33-Pipeline!$E$22+1)/MAX(Pipeline!$F$22,1)))</f>
        <v>1159.4925</v>
      </c>
      <c r="AJ20" s="119" t="n">
        <f aca="false">Pipeline!$S$16*Pipeline!$D$16*MIN(1,MAX(0,(34-Pipeline!$E$16+1)/MAX(Pipeline!$F$16,1)))+Pipeline!$S$17*Pipeline!$D$17*MIN(1,MAX(0,(34-Pipeline!$E$17+1)/MAX(Pipeline!$F$17,1)))+Pipeline!$S$18*Pipeline!$D$18*MIN(1,MAX(0,(34-Pipeline!$E$18+1)/MAX(Pipeline!$F$18,1)))+Pipeline!$S$19*Pipeline!$D$19*MIN(1,MAX(0,(34-Pipeline!$E$19+1)/MAX(Pipeline!$F$19,1)))+Pipeline!$S$20*Pipeline!$D$20*MIN(1,MAX(0,(34-Pipeline!$E$20+1)/MAX(Pipeline!$F$20,1)))+Pipeline!$S$21*Pipeline!$D$21*MIN(1,MAX(0,(34-Pipeline!$E$21+1)/MAX(Pipeline!$F$21,1)))+Pipeline!$S$22*Pipeline!$D$22*MIN(1,MAX(0,(34-Pipeline!$E$22+1)/MAX(Pipeline!$F$22,1)))</f>
        <v>1159.4925</v>
      </c>
      <c r="AK20" s="119" t="n">
        <f aca="false">Pipeline!$S$16*Pipeline!$D$16*MIN(1,MAX(0,(35-Pipeline!$E$16+1)/MAX(Pipeline!$F$16,1)))+Pipeline!$S$17*Pipeline!$D$17*MIN(1,MAX(0,(35-Pipeline!$E$17+1)/MAX(Pipeline!$F$17,1)))+Pipeline!$S$18*Pipeline!$D$18*MIN(1,MAX(0,(35-Pipeline!$E$18+1)/MAX(Pipeline!$F$18,1)))+Pipeline!$S$19*Pipeline!$D$19*MIN(1,MAX(0,(35-Pipeline!$E$19+1)/MAX(Pipeline!$F$19,1)))+Pipeline!$S$20*Pipeline!$D$20*MIN(1,MAX(0,(35-Pipeline!$E$20+1)/MAX(Pipeline!$F$20,1)))+Pipeline!$S$21*Pipeline!$D$21*MIN(1,MAX(0,(35-Pipeline!$E$21+1)/MAX(Pipeline!$F$21,1)))+Pipeline!$S$22*Pipeline!$D$22*MIN(1,MAX(0,(35-Pipeline!$E$22+1)/MAX(Pipeline!$F$22,1)))</f>
        <v>1159.4925</v>
      </c>
      <c r="AL20" s="119" t="n">
        <f aca="false">Pipeline!$S$16*Pipeline!$D$16*MIN(1,MAX(0,(36-Pipeline!$E$16+1)/MAX(Pipeline!$F$16,1)))+Pipeline!$S$17*Pipeline!$D$17*MIN(1,MAX(0,(36-Pipeline!$E$17+1)/MAX(Pipeline!$F$17,1)))+Pipeline!$S$18*Pipeline!$D$18*MIN(1,MAX(0,(36-Pipeline!$E$18+1)/MAX(Pipeline!$F$18,1)))+Pipeline!$S$19*Pipeline!$D$19*MIN(1,MAX(0,(36-Pipeline!$E$19+1)/MAX(Pipeline!$F$19,1)))+Pipeline!$S$20*Pipeline!$D$20*MIN(1,MAX(0,(36-Pipeline!$E$20+1)/MAX(Pipeline!$F$20,1)))+Pipeline!$S$21*Pipeline!$D$21*MIN(1,MAX(0,(36-Pipeline!$E$21+1)/MAX(Pipeline!$F$21,1)))+Pipeline!$S$22*Pipeline!$D$22*MIN(1,MAX(0,(36-Pipeline!$E$22+1)/MAX(Pipeline!$F$22,1)))</f>
        <v>1159.4925</v>
      </c>
      <c r="AM20" s="119" t="n">
        <f aca="false">Pipeline!$S$16*Pipeline!$D$16*MIN(1,MAX(0,(37-Pipeline!$E$16+1)/MAX(Pipeline!$F$16,1)))+Pipeline!$S$17*Pipeline!$D$17*MIN(1,MAX(0,(37-Pipeline!$E$17+1)/MAX(Pipeline!$F$17,1)))+Pipeline!$S$18*Pipeline!$D$18*MIN(1,MAX(0,(37-Pipeline!$E$18+1)/MAX(Pipeline!$F$18,1)))+Pipeline!$S$19*Pipeline!$D$19*MIN(1,MAX(0,(37-Pipeline!$E$19+1)/MAX(Pipeline!$F$19,1)))+Pipeline!$S$20*Pipeline!$D$20*MIN(1,MAX(0,(37-Pipeline!$E$20+1)/MAX(Pipeline!$F$20,1)))+Pipeline!$S$21*Pipeline!$D$21*MIN(1,MAX(0,(37-Pipeline!$E$21+1)/MAX(Pipeline!$F$21,1)))+Pipeline!$S$22*Pipeline!$D$22*MIN(1,MAX(0,(37-Pipeline!$E$22+1)/MAX(Pipeline!$F$22,1)))</f>
        <v>1159.4925</v>
      </c>
      <c r="AN20" s="119" t="n">
        <f aca="false">Pipeline!$S$16*Pipeline!$D$16*MIN(1,MAX(0,(38-Pipeline!$E$16+1)/MAX(Pipeline!$F$16,1)))+Pipeline!$S$17*Pipeline!$D$17*MIN(1,MAX(0,(38-Pipeline!$E$17+1)/MAX(Pipeline!$F$17,1)))+Pipeline!$S$18*Pipeline!$D$18*MIN(1,MAX(0,(38-Pipeline!$E$18+1)/MAX(Pipeline!$F$18,1)))+Pipeline!$S$19*Pipeline!$D$19*MIN(1,MAX(0,(38-Pipeline!$E$19+1)/MAX(Pipeline!$F$19,1)))+Pipeline!$S$20*Pipeline!$D$20*MIN(1,MAX(0,(38-Pipeline!$E$20+1)/MAX(Pipeline!$F$20,1)))+Pipeline!$S$21*Pipeline!$D$21*MIN(1,MAX(0,(38-Pipeline!$E$21+1)/MAX(Pipeline!$F$21,1)))+Pipeline!$S$22*Pipeline!$D$22*MIN(1,MAX(0,(38-Pipeline!$E$22+1)/MAX(Pipeline!$F$22,1)))</f>
        <v>1159.4925</v>
      </c>
      <c r="AO20" s="119" t="n">
        <f aca="false">Pipeline!$S$16*Pipeline!$D$16*MIN(1,MAX(0,(39-Pipeline!$E$16+1)/MAX(Pipeline!$F$16,1)))+Pipeline!$S$17*Pipeline!$D$17*MIN(1,MAX(0,(39-Pipeline!$E$17+1)/MAX(Pipeline!$F$17,1)))+Pipeline!$S$18*Pipeline!$D$18*MIN(1,MAX(0,(39-Pipeline!$E$18+1)/MAX(Pipeline!$F$18,1)))+Pipeline!$S$19*Pipeline!$D$19*MIN(1,MAX(0,(39-Pipeline!$E$19+1)/MAX(Pipeline!$F$19,1)))+Pipeline!$S$20*Pipeline!$D$20*MIN(1,MAX(0,(39-Pipeline!$E$20+1)/MAX(Pipeline!$F$20,1)))+Pipeline!$S$21*Pipeline!$D$21*MIN(1,MAX(0,(39-Pipeline!$E$21+1)/MAX(Pipeline!$F$21,1)))+Pipeline!$S$22*Pipeline!$D$22*MIN(1,MAX(0,(39-Pipeline!$E$22+1)/MAX(Pipeline!$F$22,1)))</f>
        <v>1159.4925</v>
      </c>
      <c r="AP20" s="119" t="n">
        <f aca="false">Pipeline!$S$16*Pipeline!$D$16*MIN(1,MAX(0,(40-Pipeline!$E$16+1)/MAX(Pipeline!$F$16,1)))+Pipeline!$S$17*Pipeline!$D$17*MIN(1,MAX(0,(40-Pipeline!$E$17+1)/MAX(Pipeline!$F$17,1)))+Pipeline!$S$18*Pipeline!$D$18*MIN(1,MAX(0,(40-Pipeline!$E$18+1)/MAX(Pipeline!$F$18,1)))+Pipeline!$S$19*Pipeline!$D$19*MIN(1,MAX(0,(40-Pipeline!$E$19+1)/MAX(Pipeline!$F$19,1)))+Pipeline!$S$20*Pipeline!$D$20*MIN(1,MAX(0,(40-Pipeline!$E$20+1)/MAX(Pipeline!$F$20,1)))+Pipeline!$S$21*Pipeline!$D$21*MIN(1,MAX(0,(40-Pipeline!$E$21+1)/MAX(Pipeline!$F$21,1)))+Pipeline!$S$22*Pipeline!$D$22*MIN(1,MAX(0,(40-Pipeline!$E$22+1)/MAX(Pipeline!$F$22,1)))</f>
        <v>1159.4925</v>
      </c>
      <c r="AQ20" s="119" t="n">
        <f aca="false">Pipeline!$S$16*Pipeline!$D$16*MIN(1,MAX(0,(41-Pipeline!$E$16+1)/MAX(Pipeline!$F$16,1)))+Pipeline!$S$17*Pipeline!$D$17*MIN(1,MAX(0,(41-Pipeline!$E$17+1)/MAX(Pipeline!$F$17,1)))+Pipeline!$S$18*Pipeline!$D$18*MIN(1,MAX(0,(41-Pipeline!$E$18+1)/MAX(Pipeline!$F$18,1)))+Pipeline!$S$19*Pipeline!$D$19*MIN(1,MAX(0,(41-Pipeline!$E$19+1)/MAX(Pipeline!$F$19,1)))+Pipeline!$S$20*Pipeline!$D$20*MIN(1,MAX(0,(41-Pipeline!$E$20+1)/MAX(Pipeline!$F$20,1)))+Pipeline!$S$21*Pipeline!$D$21*MIN(1,MAX(0,(41-Pipeline!$E$21+1)/MAX(Pipeline!$F$21,1)))+Pipeline!$S$22*Pipeline!$D$22*MIN(1,MAX(0,(41-Pipeline!$E$22+1)/MAX(Pipeline!$F$22,1)))</f>
        <v>1159.4925</v>
      </c>
      <c r="AR20" s="119" t="n">
        <f aca="false">Pipeline!$S$16*Pipeline!$D$16*MIN(1,MAX(0,(42-Pipeline!$E$16+1)/MAX(Pipeline!$F$16,1)))+Pipeline!$S$17*Pipeline!$D$17*MIN(1,MAX(0,(42-Pipeline!$E$17+1)/MAX(Pipeline!$F$17,1)))+Pipeline!$S$18*Pipeline!$D$18*MIN(1,MAX(0,(42-Pipeline!$E$18+1)/MAX(Pipeline!$F$18,1)))+Pipeline!$S$19*Pipeline!$D$19*MIN(1,MAX(0,(42-Pipeline!$E$19+1)/MAX(Pipeline!$F$19,1)))+Pipeline!$S$20*Pipeline!$D$20*MIN(1,MAX(0,(42-Pipeline!$E$20+1)/MAX(Pipeline!$F$20,1)))+Pipeline!$S$21*Pipeline!$D$21*MIN(1,MAX(0,(42-Pipeline!$E$21+1)/MAX(Pipeline!$F$21,1)))+Pipeline!$S$22*Pipeline!$D$22*MIN(1,MAX(0,(42-Pipeline!$E$22+1)/MAX(Pipeline!$F$22,1)))</f>
        <v>1159.4925</v>
      </c>
      <c r="AS20" s="119" t="n">
        <f aca="false">Pipeline!$S$16*Pipeline!$D$16*MIN(1,MAX(0,(43-Pipeline!$E$16+1)/MAX(Pipeline!$F$16,1)))+Pipeline!$S$17*Pipeline!$D$17*MIN(1,MAX(0,(43-Pipeline!$E$17+1)/MAX(Pipeline!$F$17,1)))+Pipeline!$S$18*Pipeline!$D$18*MIN(1,MAX(0,(43-Pipeline!$E$18+1)/MAX(Pipeline!$F$18,1)))+Pipeline!$S$19*Pipeline!$D$19*MIN(1,MAX(0,(43-Pipeline!$E$19+1)/MAX(Pipeline!$F$19,1)))+Pipeline!$S$20*Pipeline!$D$20*MIN(1,MAX(0,(43-Pipeline!$E$20+1)/MAX(Pipeline!$F$20,1)))+Pipeline!$S$21*Pipeline!$D$21*MIN(1,MAX(0,(43-Pipeline!$E$21+1)/MAX(Pipeline!$F$21,1)))+Pipeline!$S$22*Pipeline!$D$22*MIN(1,MAX(0,(43-Pipeline!$E$22+1)/MAX(Pipeline!$F$22,1)))</f>
        <v>1159.4925</v>
      </c>
      <c r="AT20" s="119" t="n">
        <f aca="false">Pipeline!$S$16*Pipeline!$D$16*MIN(1,MAX(0,(44-Pipeline!$E$16+1)/MAX(Pipeline!$F$16,1)))+Pipeline!$S$17*Pipeline!$D$17*MIN(1,MAX(0,(44-Pipeline!$E$17+1)/MAX(Pipeline!$F$17,1)))+Pipeline!$S$18*Pipeline!$D$18*MIN(1,MAX(0,(44-Pipeline!$E$18+1)/MAX(Pipeline!$F$18,1)))+Pipeline!$S$19*Pipeline!$D$19*MIN(1,MAX(0,(44-Pipeline!$E$19+1)/MAX(Pipeline!$F$19,1)))+Pipeline!$S$20*Pipeline!$D$20*MIN(1,MAX(0,(44-Pipeline!$E$20+1)/MAX(Pipeline!$F$20,1)))+Pipeline!$S$21*Pipeline!$D$21*MIN(1,MAX(0,(44-Pipeline!$E$21+1)/MAX(Pipeline!$F$21,1)))+Pipeline!$S$22*Pipeline!$D$22*MIN(1,MAX(0,(44-Pipeline!$E$22+1)/MAX(Pipeline!$F$22,1)))</f>
        <v>1159.4925</v>
      </c>
      <c r="AU20" s="119" t="n">
        <f aca="false">Pipeline!$S$16*Pipeline!$D$16*MIN(1,MAX(0,(45-Pipeline!$E$16+1)/MAX(Pipeline!$F$16,1)))+Pipeline!$S$17*Pipeline!$D$17*MIN(1,MAX(0,(45-Pipeline!$E$17+1)/MAX(Pipeline!$F$17,1)))+Pipeline!$S$18*Pipeline!$D$18*MIN(1,MAX(0,(45-Pipeline!$E$18+1)/MAX(Pipeline!$F$18,1)))+Pipeline!$S$19*Pipeline!$D$19*MIN(1,MAX(0,(45-Pipeline!$E$19+1)/MAX(Pipeline!$F$19,1)))+Pipeline!$S$20*Pipeline!$D$20*MIN(1,MAX(0,(45-Pipeline!$E$20+1)/MAX(Pipeline!$F$20,1)))+Pipeline!$S$21*Pipeline!$D$21*MIN(1,MAX(0,(45-Pipeline!$E$21+1)/MAX(Pipeline!$F$21,1)))+Pipeline!$S$22*Pipeline!$D$22*MIN(1,MAX(0,(45-Pipeline!$E$22+1)/MAX(Pipeline!$F$22,1)))</f>
        <v>1159.4925</v>
      </c>
      <c r="AV20" s="119" t="n">
        <f aca="false">Pipeline!$S$16*Pipeline!$D$16*MIN(1,MAX(0,(46-Pipeline!$E$16+1)/MAX(Pipeline!$F$16,1)))+Pipeline!$S$17*Pipeline!$D$17*MIN(1,MAX(0,(46-Pipeline!$E$17+1)/MAX(Pipeline!$F$17,1)))+Pipeline!$S$18*Pipeline!$D$18*MIN(1,MAX(0,(46-Pipeline!$E$18+1)/MAX(Pipeline!$F$18,1)))+Pipeline!$S$19*Pipeline!$D$19*MIN(1,MAX(0,(46-Pipeline!$E$19+1)/MAX(Pipeline!$F$19,1)))+Pipeline!$S$20*Pipeline!$D$20*MIN(1,MAX(0,(46-Pipeline!$E$20+1)/MAX(Pipeline!$F$20,1)))+Pipeline!$S$21*Pipeline!$D$21*MIN(1,MAX(0,(46-Pipeline!$E$21+1)/MAX(Pipeline!$F$21,1)))+Pipeline!$S$22*Pipeline!$D$22*MIN(1,MAX(0,(46-Pipeline!$E$22+1)/MAX(Pipeline!$F$22,1)))</f>
        <v>1159.4925</v>
      </c>
      <c r="AW20" s="119" t="n">
        <f aca="false">Pipeline!$S$16*Pipeline!$D$16*MIN(1,MAX(0,(47-Pipeline!$E$16+1)/MAX(Pipeline!$F$16,1)))+Pipeline!$S$17*Pipeline!$D$17*MIN(1,MAX(0,(47-Pipeline!$E$17+1)/MAX(Pipeline!$F$17,1)))+Pipeline!$S$18*Pipeline!$D$18*MIN(1,MAX(0,(47-Pipeline!$E$18+1)/MAX(Pipeline!$F$18,1)))+Pipeline!$S$19*Pipeline!$D$19*MIN(1,MAX(0,(47-Pipeline!$E$19+1)/MAX(Pipeline!$F$19,1)))+Pipeline!$S$20*Pipeline!$D$20*MIN(1,MAX(0,(47-Pipeline!$E$20+1)/MAX(Pipeline!$F$20,1)))+Pipeline!$S$21*Pipeline!$D$21*MIN(1,MAX(0,(47-Pipeline!$E$21+1)/MAX(Pipeline!$F$21,1)))+Pipeline!$S$22*Pipeline!$D$22*MIN(1,MAX(0,(47-Pipeline!$E$22+1)/MAX(Pipeline!$F$22,1)))</f>
        <v>1159.4925</v>
      </c>
      <c r="AX20" s="119" t="n">
        <f aca="false">Pipeline!$S$16*Pipeline!$D$16*MIN(1,MAX(0,(48-Pipeline!$E$16+1)/MAX(Pipeline!$F$16,1)))+Pipeline!$S$17*Pipeline!$D$17*MIN(1,MAX(0,(48-Pipeline!$E$17+1)/MAX(Pipeline!$F$17,1)))+Pipeline!$S$18*Pipeline!$D$18*MIN(1,MAX(0,(48-Pipeline!$E$18+1)/MAX(Pipeline!$F$18,1)))+Pipeline!$S$19*Pipeline!$D$19*MIN(1,MAX(0,(48-Pipeline!$E$19+1)/MAX(Pipeline!$F$19,1)))+Pipeline!$S$20*Pipeline!$D$20*MIN(1,MAX(0,(48-Pipeline!$E$20+1)/MAX(Pipeline!$F$20,1)))+Pipeline!$S$21*Pipeline!$D$21*MIN(1,MAX(0,(48-Pipeline!$E$21+1)/MAX(Pipeline!$F$21,1)))+Pipeline!$S$22*Pipeline!$D$22*MIN(1,MAX(0,(48-Pipeline!$E$22+1)/MAX(Pipeline!$F$22,1)))</f>
        <v>1159.4925</v>
      </c>
      <c r="AY20" s="119" t="n">
        <f aca="false">Pipeline!$S$16*Pipeline!$D$16*MIN(1,MAX(0,(49-Pipeline!$E$16+1)/MAX(Pipeline!$F$16,1)))+Pipeline!$S$17*Pipeline!$D$17*MIN(1,MAX(0,(49-Pipeline!$E$17+1)/MAX(Pipeline!$F$17,1)))+Pipeline!$S$18*Pipeline!$D$18*MIN(1,MAX(0,(49-Pipeline!$E$18+1)/MAX(Pipeline!$F$18,1)))+Pipeline!$S$19*Pipeline!$D$19*MIN(1,MAX(0,(49-Pipeline!$E$19+1)/MAX(Pipeline!$F$19,1)))+Pipeline!$S$20*Pipeline!$D$20*MIN(1,MAX(0,(49-Pipeline!$E$20+1)/MAX(Pipeline!$F$20,1)))+Pipeline!$S$21*Pipeline!$D$21*MIN(1,MAX(0,(49-Pipeline!$E$21+1)/MAX(Pipeline!$F$21,1)))+Pipeline!$S$22*Pipeline!$D$22*MIN(1,MAX(0,(49-Pipeline!$E$22+1)/MAX(Pipeline!$F$22,1)))</f>
        <v>1159.4925</v>
      </c>
      <c r="AZ20" s="119" t="n">
        <f aca="false">Pipeline!$S$16*Pipeline!$D$16*MIN(1,MAX(0,(50-Pipeline!$E$16+1)/MAX(Pipeline!$F$16,1)))+Pipeline!$S$17*Pipeline!$D$17*MIN(1,MAX(0,(50-Pipeline!$E$17+1)/MAX(Pipeline!$F$17,1)))+Pipeline!$S$18*Pipeline!$D$18*MIN(1,MAX(0,(50-Pipeline!$E$18+1)/MAX(Pipeline!$F$18,1)))+Pipeline!$S$19*Pipeline!$D$19*MIN(1,MAX(0,(50-Pipeline!$E$19+1)/MAX(Pipeline!$F$19,1)))+Pipeline!$S$20*Pipeline!$D$20*MIN(1,MAX(0,(50-Pipeline!$E$20+1)/MAX(Pipeline!$F$20,1)))+Pipeline!$S$21*Pipeline!$D$21*MIN(1,MAX(0,(50-Pipeline!$E$21+1)/MAX(Pipeline!$F$21,1)))+Pipeline!$S$22*Pipeline!$D$22*MIN(1,MAX(0,(50-Pipeline!$E$22+1)/MAX(Pipeline!$F$22,1)))</f>
        <v>1159.4925</v>
      </c>
      <c r="BA20" s="119" t="n">
        <f aca="false">Pipeline!$S$16*Pipeline!$D$16*MIN(1,MAX(0,(51-Pipeline!$E$16+1)/MAX(Pipeline!$F$16,1)))+Pipeline!$S$17*Pipeline!$D$17*MIN(1,MAX(0,(51-Pipeline!$E$17+1)/MAX(Pipeline!$F$17,1)))+Pipeline!$S$18*Pipeline!$D$18*MIN(1,MAX(0,(51-Pipeline!$E$18+1)/MAX(Pipeline!$F$18,1)))+Pipeline!$S$19*Pipeline!$D$19*MIN(1,MAX(0,(51-Pipeline!$E$19+1)/MAX(Pipeline!$F$19,1)))+Pipeline!$S$20*Pipeline!$D$20*MIN(1,MAX(0,(51-Pipeline!$E$20+1)/MAX(Pipeline!$F$20,1)))+Pipeline!$S$21*Pipeline!$D$21*MIN(1,MAX(0,(51-Pipeline!$E$21+1)/MAX(Pipeline!$F$21,1)))+Pipeline!$S$22*Pipeline!$D$22*MIN(1,MAX(0,(51-Pipeline!$E$22+1)/MAX(Pipeline!$F$22,1)))</f>
        <v>1159.4925</v>
      </c>
      <c r="BB20" s="119" t="n">
        <f aca="false">Pipeline!$S$16*Pipeline!$D$16*MIN(1,MAX(0,(52-Pipeline!$E$16+1)/MAX(Pipeline!$F$16,1)))+Pipeline!$S$17*Pipeline!$D$17*MIN(1,MAX(0,(52-Pipeline!$E$17+1)/MAX(Pipeline!$F$17,1)))+Pipeline!$S$18*Pipeline!$D$18*MIN(1,MAX(0,(52-Pipeline!$E$18+1)/MAX(Pipeline!$F$18,1)))+Pipeline!$S$19*Pipeline!$D$19*MIN(1,MAX(0,(52-Pipeline!$E$19+1)/MAX(Pipeline!$F$19,1)))+Pipeline!$S$20*Pipeline!$D$20*MIN(1,MAX(0,(52-Pipeline!$E$20+1)/MAX(Pipeline!$F$20,1)))+Pipeline!$S$21*Pipeline!$D$21*MIN(1,MAX(0,(52-Pipeline!$E$21+1)/MAX(Pipeline!$F$21,1)))+Pipeline!$S$22*Pipeline!$D$22*MIN(1,MAX(0,(52-Pipeline!$E$22+1)/MAX(Pipeline!$F$22,1)))</f>
        <v>1159.4925</v>
      </c>
      <c r="BC20" s="119" t="n">
        <f aca="false">Pipeline!$S$16*Pipeline!$D$16*MIN(1,MAX(0,(53-Pipeline!$E$16+1)/MAX(Pipeline!$F$16,1)))+Pipeline!$S$17*Pipeline!$D$17*MIN(1,MAX(0,(53-Pipeline!$E$17+1)/MAX(Pipeline!$F$17,1)))+Pipeline!$S$18*Pipeline!$D$18*MIN(1,MAX(0,(53-Pipeline!$E$18+1)/MAX(Pipeline!$F$18,1)))+Pipeline!$S$19*Pipeline!$D$19*MIN(1,MAX(0,(53-Pipeline!$E$19+1)/MAX(Pipeline!$F$19,1)))+Pipeline!$S$20*Pipeline!$D$20*MIN(1,MAX(0,(53-Pipeline!$E$20+1)/MAX(Pipeline!$F$20,1)))+Pipeline!$S$21*Pipeline!$D$21*MIN(1,MAX(0,(53-Pipeline!$E$21+1)/MAX(Pipeline!$F$21,1)))+Pipeline!$S$22*Pipeline!$D$22*MIN(1,MAX(0,(53-Pipeline!$E$22+1)/MAX(Pipeline!$F$22,1)))</f>
        <v>1159.4925</v>
      </c>
      <c r="BD20" s="119" t="n">
        <f aca="false">Pipeline!$S$16*Pipeline!$D$16*MIN(1,MAX(0,(54-Pipeline!$E$16+1)/MAX(Pipeline!$F$16,1)))+Pipeline!$S$17*Pipeline!$D$17*MIN(1,MAX(0,(54-Pipeline!$E$17+1)/MAX(Pipeline!$F$17,1)))+Pipeline!$S$18*Pipeline!$D$18*MIN(1,MAX(0,(54-Pipeline!$E$18+1)/MAX(Pipeline!$F$18,1)))+Pipeline!$S$19*Pipeline!$D$19*MIN(1,MAX(0,(54-Pipeline!$E$19+1)/MAX(Pipeline!$F$19,1)))+Pipeline!$S$20*Pipeline!$D$20*MIN(1,MAX(0,(54-Pipeline!$E$20+1)/MAX(Pipeline!$F$20,1)))+Pipeline!$S$21*Pipeline!$D$21*MIN(1,MAX(0,(54-Pipeline!$E$21+1)/MAX(Pipeline!$F$21,1)))+Pipeline!$S$22*Pipeline!$D$22*MIN(1,MAX(0,(54-Pipeline!$E$22+1)/MAX(Pipeline!$F$22,1)))</f>
        <v>1159.4925</v>
      </c>
      <c r="BE20" s="119" t="n">
        <f aca="false">Pipeline!$S$16*Pipeline!$D$16*MIN(1,MAX(0,(55-Pipeline!$E$16+1)/MAX(Pipeline!$F$16,1)))+Pipeline!$S$17*Pipeline!$D$17*MIN(1,MAX(0,(55-Pipeline!$E$17+1)/MAX(Pipeline!$F$17,1)))+Pipeline!$S$18*Pipeline!$D$18*MIN(1,MAX(0,(55-Pipeline!$E$18+1)/MAX(Pipeline!$F$18,1)))+Pipeline!$S$19*Pipeline!$D$19*MIN(1,MAX(0,(55-Pipeline!$E$19+1)/MAX(Pipeline!$F$19,1)))+Pipeline!$S$20*Pipeline!$D$20*MIN(1,MAX(0,(55-Pipeline!$E$20+1)/MAX(Pipeline!$F$20,1)))+Pipeline!$S$21*Pipeline!$D$21*MIN(1,MAX(0,(55-Pipeline!$E$21+1)/MAX(Pipeline!$F$21,1)))+Pipeline!$S$22*Pipeline!$D$22*MIN(1,MAX(0,(55-Pipeline!$E$22+1)/MAX(Pipeline!$F$22,1)))</f>
        <v>1159.4925</v>
      </c>
      <c r="BF20" s="119" t="n">
        <f aca="false">Pipeline!$S$16*Pipeline!$D$16*MIN(1,MAX(0,(56-Pipeline!$E$16+1)/MAX(Pipeline!$F$16,1)))+Pipeline!$S$17*Pipeline!$D$17*MIN(1,MAX(0,(56-Pipeline!$E$17+1)/MAX(Pipeline!$F$17,1)))+Pipeline!$S$18*Pipeline!$D$18*MIN(1,MAX(0,(56-Pipeline!$E$18+1)/MAX(Pipeline!$F$18,1)))+Pipeline!$S$19*Pipeline!$D$19*MIN(1,MAX(0,(56-Pipeline!$E$19+1)/MAX(Pipeline!$F$19,1)))+Pipeline!$S$20*Pipeline!$D$20*MIN(1,MAX(0,(56-Pipeline!$E$20+1)/MAX(Pipeline!$F$20,1)))+Pipeline!$S$21*Pipeline!$D$21*MIN(1,MAX(0,(56-Pipeline!$E$21+1)/MAX(Pipeline!$F$21,1)))+Pipeline!$S$22*Pipeline!$D$22*MIN(1,MAX(0,(56-Pipeline!$E$22+1)/MAX(Pipeline!$F$22,1)))</f>
        <v>1159.4925</v>
      </c>
      <c r="BG20" s="119" t="n">
        <f aca="false">Pipeline!$S$16*Pipeline!$D$16*MIN(1,MAX(0,(57-Pipeline!$E$16+1)/MAX(Pipeline!$F$16,1)))+Pipeline!$S$17*Pipeline!$D$17*MIN(1,MAX(0,(57-Pipeline!$E$17+1)/MAX(Pipeline!$F$17,1)))+Pipeline!$S$18*Pipeline!$D$18*MIN(1,MAX(0,(57-Pipeline!$E$18+1)/MAX(Pipeline!$F$18,1)))+Pipeline!$S$19*Pipeline!$D$19*MIN(1,MAX(0,(57-Pipeline!$E$19+1)/MAX(Pipeline!$F$19,1)))+Pipeline!$S$20*Pipeline!$D$20*MIN(1,MAX(0,(57-Pipeline!$E$20+1)/MAX(Pipeline!$F$20,1)))+Pipeline!$S$21*Pipeline!$D$21*MIN(1,MAX(0,(57-Pipeline!$E$21+1)/MAX(Pipeline!$F$21,1)))+Pipeline!$S$22*Pipeline!$D$22*MIN(1,MAX(0,(57-Pipeline!$E$22+1)/MAX(Pipeline!$F$22,1)))</f>
        <v>1159.4925</v>
      </c>
      <c r="BH20" s="119" t="n">
        <f aca="false">Pipeline!$S$16*Pipeline!$D$16*MIN(1,MAX(0,(58-Pipeline!$E$16+1)/MAX(Pipeline!$F$16,1)))+Pipeline!$S$17*Pipeline!$D$17*MIN(1,MAX(0,(58-Pipeline!$E$17+1)/MAX(Pipeline!$F$17,1)))+Pipeline!$S$18*Pipeline!$D$18*MIN(1,MAX(0,(58-Pipeline!$E$18+1)/MAX(Pipeline!$F$18,1)))+Pipeline!$S$19*Pipeline!$D$19*MIN(1,MAX(0,(58-Pipeline!$E$19+1)/MAX(Pipeline!$F$19,1)))+Pipeline!$S$20*Pipeline!$D$20*MIN(1,MAX(0,(58-Pipeline!$E$20+1)/MAX(Pipeline!$F$20,1)))+Pipeline!$S$21*Pipeline!$D$21*MIN(1,MAX(0,(58-Pipeline!$E$21+1)/MAX(Pipeline!$F$21,1)))+Pipeline!$S$22*Pipeline!$D$22*MIN(1,MAX(0,(58-Pipeline!$E$22+1)/MAX(Pipeline!$F$22,1)))</f>
        <v>1159.4925</v>
      </c>
      <c r="BI20" s="119" t="n">
        <f aca="false">Pipeline!$S$16*Pipeline!$D$16*MIN(1,MAX(0,(59-Pipeline!$E$16+1)/MAX(Pipeline!$F$16,1)))+Pipeline!$S$17*Pipeline!$D$17*MIN(1,MAX(0,(59-Pipeline!$E$17+1)/MAX(Pipeline!$F$17,1)))+Pipeline!$S$18*Pipeline!$D$18*MIN(1,MAX(0,(59-Pipeline!$E$18+1)/MAX(Pipeline!$F$18,1)))+Pipeline!$S$19*Pipeline!$D$19*MIN(1,MAX(0,(59-Pipeline!$E$19+1)/MAX(Pipeline!$F$19,1)))+Pipeline!$S$20*Pipeline!$D$20*MIN(1,MAX(0,(59-Pipeline!$E$20+1)/MAX(Pipeline!$F$20,1)))+Pipeline!$S$21*Pipeline!$D$21*MIN(1,MAX(0,(59-Pipeline!$E$21+1)/MAX(Pipeline!$F$21,1)))+Pipeline!$S$22*Pipeline!$D$22*MIN(1,MAX(0,(59-Pipeline!$E$22+1)/MAX(Pipeline!$F$22,1)))</f>
        <v>1159.4925</v>
      </c>
      <c r="BJ20" s="119" t="n">
        <f aca="false">Pipeline!$S$16*Pipeline!$D$16*MIN(1,MAX(0,(60-Pipeline!$E$16+1)/MAX(Pipeline!$F$16,1)))+Pipeline!$S$17*Pipeline!$D$17*MIN(1,MAX(0,(60-Pipeline!$E$17+1)/MAX(Pipeline!$F$17,1)))+Pipeline!$S$18*Pipeline!$D$18*MIN(1,MAX(0,(60-Pipeline!$E$18+1)/MAX(Pipeline!$F$18,1)))+Pipeline!$S$19*Pipeline!$D$19*MIN(1,MAX(0,(60-Pipeline!$E$19+1)/MAX(Pipeline!$F$19,1)))+Pipeline!$S$20*Pipeline!$D$20*MIN(1,MAX(0,(60-Pipeline!$E$20+1)/MAX(Pipeline!$F$20,1)))+Pipeline!$S$21*Pipeline!$D$21*MIN(1,MAX(0,(60-Pipeline!$E$21+1)/MAX(Pipeline!$F$21,1)))+Pipeline!$S$22*Pipeline!$D$22*MIN(1,MAX(0,(60-Pipeline!$E$22+1)/MAX(Pipeline!$F$22,1)))</f>
        <v>1159.4925</v>
      </c>
      <c r="BK20" s="119" t="n">
        <f aca="false">Pipeline!$S$16*Pipeline!$D$16*MIN(1,MAX(0,(61-Pipeline!$E$16+1)/MAX(Pipeline!$F$16,1)))+Pipeline!$S$17*Pipeline!$D$17*MIN(1,MAX(0,(61-Pipeline!$E$17+1)/MAX(Pipeline!$F$17,1)))+Pipeline!$S$18*Pipeline!$D$18*MIN(1,MAX(0,(61-Pipeline!$E$18+1)/MAX(Pipeline!$F$18,1)))+Pipeline!$S$19*Pipeline!$D$19*MIN(1,MAX(0,(61-Pipeline!$E$19+1)/MAX(Pipeline!$F$19,1)))+Pipeline!$S$20*Pipeline!$D$20*MIN(1,MAX(0,(61-Pipeline!$E$20+1)/MAX(Pipeline!$F$20,1)))+Pipeline!$S$21*Pipeline!$D$21*MIN(1,MAX(0,(61-Pipeline!$E$21+1)/MAX(Pipeline!$F$21,1)))+Pipeline!$S$22*Pipeline!$D$22*MIN(1,MAX(0,(61-Pipeline!$E$22+1)/MAX(Pipeline!$F$22,1)))</f>
        <v>1159.4925</v>
      </c>
      <c r="BL20" s="119" t="n">
        <f aca="false">Pipeline!$S$16*Pipeline!$D$16*MIN(1,MAX(0,(62-Pipeline!$E$16+1)/MAX(Pipeline!$F$16,1)))+Pipeline!$S$17*Pipeline!$D$17*MIN(1,MAX(0,(62-Pipeline!$E$17+1)/MAX(Pipeline!$F$17,1)))+Pipeline!$S$18*Pipeline!$D$18*MIN(1,MAX(0,(62-Pipeline!$E$18+1)/MAX(Pipeline!$F$18,1)))+Pipeline!$S$19*Pipeline!$D$19*MIN(1,MAX(0,(62-Pipeline!$E$19+1)/MAX(Pipeline!$F$19,1)))+Pipeline!$S$20*Pipeline!$D$20*MIN(1,MAX(0,(62-Pipeline!$E$20+1)/MAX(Pipeline!$F$20,1)))+Pipeline!$S$21*Pipeline!$D$21*MIN(1,MAX(0,(62-Pipeline!$E$21+1)/MAX(Pipeline!$F$21,1)))+Pipeline!$S$22*Pipeline!$D$22*MIN(1,MAX(0,(62-Pipeline!$E$22+1)/MAX(Pipeline!$F$22,1)))</f>
        <v>1159.4925</v>
      </c>
      <c r="BM20" s="119" t="n">
        <f aca="false">Pipeline!$S$16*Pipeline!$D$16*MIN(1,MAX(0,(63-Pipeline!$E$16+1)/MAX(Pipeline!$F$16,1)))+Pipeline!$S$17*Pipeline!$D$17*MIN(1,MAX(0,(63-Pipeline!$E$17+1)/MAX(Pipeline!$F$17,1)))+Pipeline!$S$18*Pipeline!$D$18*MIN(1,MAX(0,(63-Pipeline!$E$18+1)/MAX(Pipeline!$F$18,1)))+Pipeline!$S$19*Pipeline!$D$19*MIN(1,MAX(0,(63-Pipeline!$E$19+1)/MAX(Pipeline!$F$19,1)))+Pipeline!$S$20*Pipeline!$D$20*MIN(1,MAX(0,(63-Pipeline!$E$20+1)/MAX(Pipeline!$F$20,1)))+Pipeline!$S$21*Pipeline!$D$21*MIN(1,MAX(0,(63-Pipeline!$E$21+1)/MAX(Pipeline!$F$21,1)))+Pipeline!$S$22*Pipeline!$D$22*MIN(1,MAX(0,(63-Pipeline!$E$22+1)/MAX(Pipeline!$F$22,1)))</f>
        <v>1159.4925</v>
      </c>
      <c r="BN20" s="119" t="n">
        <f aca="false">Pipeline!$S$16*Pipeline!$D$16*MIN(1,MAX(0,(64-Pipeline!$E$16+1)/MAX(Pipeline!$F$16,1)))+Pipeline!$S$17*Pipeline!$D$17*MIN(1,MAX(0,(64-Pipeline!$E$17+1)/MAX(Pipeline!$F$17,1)))+Pipeline!$S$18*Pipeline!$D$18*MIN(1,MAX(0,(64-Pipeline!$E$18+1)/MAX(Pipeline!$F$18,1)))+Pipeline!$S$19*Pipeline!$D$19*MIN(1,MAX(0,(64-Pipeline!$E$19+1)/MAX(Pipeline!$F$19,1)))+Pipeline!$S$20*Pipeline!$D$20*MIN(1,MAX(0,(64-Pipeline!$E$20+1)/MAX(Pipeline!$F$20,1)))+Pipeline!$S$21*Pipeline!$D$21*MIN(1,MAX(0,(64-Pipeline!$E$21+1)/MAX(Pipeline!$F$21,1)))+Pipeline!$S$22*Pipeline!$D$22*MIN(1,MAX(0,(64-Pipeline!$E$22+1)/MAX(Pipeline!$F$22,1)))</f>
        <v>1159.4925</v>
      </c>
      <c r="BO20" s="119" t="n">
        <f aca="false">Pipeline!$S$16*Pipeline!$D$16*MIN(1,MAX(0,(65-Pipeline!$E$16+1)/MAX(Pipeline!$F$16,1)))+Pipeline!$S$17*Pipeline!$D$17*MIN(1,MAX(0,(65-Pipeline!$E$17+1)/MAX(Pipeline!$F$17,1)))+Pipeline!$S$18*Pipeline!$D$18*MIN(1,MAX(0,(65-Pipeline!$E$18+1)/MAX(Pipeline!$F$18,1)))+Pipeline!$S$19*Pipeline!$D$19*MIN(1,MAX(0,(65-Pipeline!$E$19+1)/MAX(Pipeline!$F$19,1)))+Pipeline!$S$20*Pipeline!$D$20*MIN(1,MAX(0,(65-Pipeline!$E$20+1)/MAX(Pipeline!$F$20,1)))+Pipeline!$S$21*Pipeline!$D$21*MIN(1,MAX(0,(65-Pipeline!$E$21+1)/MAX(Pipeline!$F$21,1)))+Pipeline!$S$22*Pipeline!$D$22*MIN(1,MAX(0,(65-Pipeline!$E$22+1)/MAX(Pipeline!$F$22,1)))</f>
        <v>1159.4925</v>
      </c>
      <c r="BP20" s="119" t="n">
        <f aca="false">Pipeline!$S$16*Pipeline!$D$16*MIN(1,MAX(0,(66-Pipeline!$E$16+1)/MAX(Pipeline!$F$16,1)))+Pipeline!$S$17*Pipeline!$D$17*MIN(1,MAX(0,(66-Pipeline!$E$17+1)/MAX(Pipeline!$F$17,1)))+Pipeline!$S$18*Pipeline!$D$18*MIN(1,MAX(0,(66-Pipeline!$E$18+1)/MAX(Pipeline!$F$18,1)))+Pipeline!$S$19*Pipeline!$D$19*MIN(1,MAX(0,(66-Pipeline!$E$19+1)/MAX(Pipeline!$F$19,1)))+Pipeline!$S$20*Pipeline!$D$20*MIN(1,MAX(0,(66-Pipeline!$E$20+1)/MAX(Pipeline!$F$20,1)))+Pipeline!$S$21*Pipeline!$D$21*MIN(1,MAX(0,(66-Pipeline!$E$21+1)/MAX(Pipeline!$F$21,1)))+Pipeline!$S$22*Pipeline!$D$22*MIN(1,MAX(0,(66-Pipeline!$E$22+1)/MAX(Pipeline!$F$22,1)))</f>
        <v>1159.4925</v>
      </c>
      <c r="BQ20" s="119" t="n">
        <f aca="false">Pipeline!$S$16*Pipeline!$D$16*MIN(1,MAX(0,(67-Pipeline!$E$16+1)/MAX(Pipeline!$F$16,1)))+Pipeline!$S$17*Pipeline!$D$17*MIN(1,MAX(0,(67-Pipeline!$E$17+1)/MAX(Pipeline!$F$17,1)))+Pipeline!$S$18*Pipeline!$D$18*MIN(1,MAX(0,(67-Pipeline!$E$18+1)/MAX(Pipeline!$F$18,1)))+Pipeline!$S$19*Pipeline!$D$19*MIN(1,MAX(0,(67-Pipeline!$E$19+1)/MAX(Pipeline!$F$19,1)))+Pipeline!$S$20*Pipeline!$D$20*MIN(1,MAX(0,(67-Pipeline!$E$20+1)/MAX(Pipeline!$F$20,1)))+Pipeline!$S$21*Pipeline!$D$21*MIN(1,MAX(0,(67-Pipeline!$E$21+1)/MAX(Pipeline!$F$21,1)))+Pipeline!$S$22*Pipeline!$D$22*MIN(1,MAX(0,(67-Pipeline!$E$22+1)/MAX(Pipeline!$F$22,1)))</f>
        <v>1159.4925</v>
      </c>
      <c r="BR20" s="119" t="n">
        <f aca="false">Pipeline!$S$16*Pipeline!$D$16*MIN(1,MAX(0,(68-Pipeline!$E$16+1)/MAX(Pipeline!$F$16,1)))+Pipeline!$S$17*Pipeline!$D$17*MIN(1,MAX(0,(68-Pipeline!$E$17+1)/MAX(Pipeline!$F$17,1)))+Pipeline!$S$18*Pipeline!$D$18*MIN(1,MAX(0,(68-Pipeline!$E$18+1)/MAX(Pipeline!$F$18,1)))+Pipeline!$S$19*Pipeline!$D$19*MIN(1,MAX(0,(68-Pipeline!$E$19+1)/MAX(Pipeline!$F$19,1)))+Pipeline!$S$20*Pipeline!$D$20*MIN(1,MAX(0,(68-Pipeline!$E$20+1)/MAX(Pipeline!$F$20,1)))+Pipeline!$S$21*Pipeline!$D$21*MIN(1,MAX(0,(68-Pipeline!$E$21+1)/MAX(Pipeline!$F$21,1)))+Pipeline!$S$22*Pipeline!$D$22*MIN(1,MAX(0,(68-Pipeline!$E$22+1)/MAX(Pipeline!$F$22,1)))</f>
        <v>1159.4925</v>
      </c>
      <c r="BS20" s="119" t="n">
        <f aca="false">Pipeline!$S$16*Pipeline!$D$16*MIN(1,MAX(0,(69-Pipeline!$E$16+1)/MAX(Pipeline!$F$16,1)))+Pipeline!$S$17*Pipeline!$D$17*MIN(1,MAX(0,(69-Pipeline!$E$17+1)/MAX(Pipeline!$F$17,1)))+Pipeline!$S$18*Pipeline!$D$18*MIN(1,MAX(0,(69-Pipeline!$E$18+1)/MAX(Pipeline!$F$18,1)))+Pipeline!$S$19*Pipeline!$D$19*MIN(1,MAX(0,(69-Pipeline!$E$19+1)/MAX(Pipeline!$F$19,1)))+Pipeline!$S$20*Pipeline!$D$20*MIN(1,MAX(0,(69-Pipeline!$E$20+1)/MAX(Pipeline!$F$20,1)))+Pipeline!$S$21*Pipeline!$D$21*MIN(1,MAX(0,(69-Pipeline!$E$21+1)/MAX(Pipeline!$F$21,1)))+Pipeline!$S$22*Pipeline!$D$22*MIN(1,MAX(0,(69-Pipeline!$E$22+1)/MAX(Pipeline!$F$22,1)))</f>
        <v>1159.4925</v>
      </c>
      <c r="BT20" s="119" t="n">
        <f aca="false">Pipeline!$S$16*Pipeline!$D$16*MIN(1,MAX(0,(70-Pipeline!$E$16+1)/MAX(Pipeline!$F$16,1)))+Pipeline!$S$17*Pipeline!$D$17*MIN(1,MAX(0,(70-Pipeline!$E$17+1)/MAX(Pipeline!$F$17,1)))+Pipeline!$S$18*Pipeline!$D$18*MIN(1,MAX(0,(70-Pipeline!$E$18+1)/MAX(Pipeline!$F$18,1)))+Pipeline!$S$19*Pipeline!$D$19*MIN(1,MAX(0,(70-Pipeline!$E$19+1)/MAX(Pipeline!$F$19,1)))+Pipeline!$S$20*Pipeline!$D$20*MIN(1,MAX(0,(70-Pipeline!$E$20+1)/MAX(Pipeline!$F$20,1)))+Pipeline!$S$21*Pipeline!$D$21*MIN(1,MAX(0,(70-Pipeline!$E$21+1)/MAX(Pipeline!$F$21,1)))+Pipeline!$S$22*Pipeline!$D$22*MIN(1,MAX(0,(70-Pipeline!$E$22+1)/MAX(Pipeline!$F$22,1)))</f>
        <v>1159.4925</v>
      </c>
      <c r="BU20" s="119" t="n">
        <f aca="false">Pipeline!$S$16*Pipeline!$D$16*MIN(1,MAX(0,(71-Pipeline!$E$16+1)/MAX(Pipeline!$F$16,1)))+Pipeline!$S$17*Pipeline!$D$17*MIN(1,MAX(0,(71-Pipeline!$E$17+1)/MAX(Pipeline!$F$17,1)))+Pipeline!$S$18*Pipeline!$D$18*MIN(1,MAX(0,(71-Pipeline!$E$18+1)/MAX(Pipeline!$F$18,1)))+Pipeline!$S$19*Pipeline!$D$19*MIN(1,MAX(0,(71-Pipeline!$E$19+1)/MAX(Pipeline!$F$19,1)))+Pipeline!$S$20*Pipeline!$D$20*MIN(1,MAX(0,(71-Pipeline!$E$20+1)/MAX(Pipeline!$F$20,1)))+Pipeline!$S$21*Pipeline!$D$21*MIN(1,MAX(0,(71-Pipeline!$E$21+1)/MAX(Pipeline!$F$21,1)))+Pipeline!$S$22*Pipeline!$D$22*MIN(1,MAX(0,(71-Pipeline!$E$22+1)/MAX(Pipeline!$F$22,1)))</f>
        <v>1159.4925</v>
      </c>
      <c r="BV20" s="119" t="n">
        <f aca="false">Pipeline!$S$16*Pipeline!$D$16*MIN(1,MAX(0,(72-Pipeline!$E$16+1)/MAX(Pipeline!$F$16,1)))+Pipeline!$S$17*Pipeline!$D$17*MIN(1,MAX(0,(72-Pipeline!$E$17+1)/MAX(Pipeline!$F$17,1)))+Pipeline!$S$18*Pipeline!$D$18*MIN(1,MAX(0,(72-Pipeline!$E$18+1)/MAX(Pipeline!$F$18,1)))+Pipeline!$S$19*Pipeline!$D$19*MIN(1,MAX(0,(72-Pipeline!$E$19+1)/MAX(Pipeline!$F$19,1)))+Pipeline!$S$20*Pipeline!$D$20*MIN(1,MAX(0,(72-Pipeline!$E$20+1)/MAX(Pipeline!$F$20,1)))+Pipeline!$S$21*Pipeline!$D$21*MIN(1,MAX(0,(72-Pipeline!$E$21+1)/MAX(Pipeline!$F$21,1)))+Pipeline!$S$22*Pipeline!$D$22*MIN(1,MAX(0,(72-Pipeline!$E$22+1)/MAX(Pipeline!$F$22,1)))</f>
        <v>1159.4925</v>
      </c>
      <c r="BW20" s="119" t="n">
        <f aca="false">Pipeline!$S$16*Pipeline!$D$16*MIN(1,MAX(0,(73-Pipeline!$E$16+1)/MAX(Pipeline!$F$16,1)))+Pipeline!$S$17*Pipeline!$D$17*MIN(1,MAX(0,(73-Pipeline!$E$17+1)/MAX(Pipeline!$F$17,1)))+Pipeline!$S$18*Pipeline!$D$18*MIN(1,MAX(0,(73-Pipeline!$E$18+1)/MAX(Pipeline!$F$18,1)))+Pipeline!$S$19*Pipeline!$D$19*MIN(1,MAX(0,(73-Pipeline!$E$19+1)/MAX(Pipeline!$F$19,1)))+Pipeline!$S$20*Pipeline!$D$20*MIN(1,MAX(0,(73-Pipeline!$E$20+1)/MAX(Pipeline!$F$20,1)))+Pipeline!$S$21*Pipeline!$D$21*MIN(1,MAX(0,(73-Pipeline!$E$21+1)/MAX(Pipeline!$F$21,1)))+Pipeline!$S$22*Pipeline!$D$22*MIN(1,MAX(0,(73-Pipeline!$E$22+1)/MAX(Pipeline!$F$22,1)))</f>
        <v>1159.4925</v>
      </c>
      <c r="BX20" s="119" t="n">
        <f aca="false">Pipeline!$S$16*Pipeline!$D$16*MIN(1,MAX(0,(74-Pipeline!$E$16+1)/MAX(Pipeline!$F$16,1)))+Pipeline!$S$17*Pipeline!$D$17*MIN(1,MAX(0,(74-Pipeline!$E$17+1)/MAX(Pipeline!$F$17,1)))+Pipeline!$S$18*Pipeline!$D$18*MIN(1,MAX(0,(74-Pipeline!$E$18+1)/MAX(Pipeline!$F$18,1)))+Pipeline!$S$19*Pipeline!$D$19*MIN(1,MAX(0,(74-Pipeline!$E$19+1)/MAX(Pipeline!$F$19,1)))+Pipeline!$S$20*Pipeline!$D$20*MIN(1,MAX(0,(74-Pipeline!$E$20+1)/MAX(Pipeline!$F$20,1)))+Pipeline!$S$21*Pipeline!$D$21*MIN(1,MAX(0,(74-Pipeline!$E$21+1)/MAX(Pipeline!$F$21,1)))+Pipeline!$S$22*Pipeline!$D$22*MIN(1,MAX(0,(74-Pipeline!$E$22+1)/MAX(Pipeline!$F$22,1)))</f>
        <v>1159.4925</v>
      </c>
      <c r="BY20" s="119" t="n">
        <f aca="false">Pipeline!$S$16*Pipeline!$D$16*MIN(1,MAX(0,(75-Pipeline!$E$16+1)/MAX(Pipeline!$F$16,1)))+Pipeline!$S$17*Pipeline!$D$17*MIN(1,MAX(0,(75-Pipeline!$E$17+1)/MAX(Pipeline!$F$17,1)))+Pipeline!$S$18*Pipeline!$D$18*MIN(1,MAX(0,(75-Pipeline!$E$18+1)/MAX(Pipeline!$F$18,1)))+Pipeline!$S$19*Pipeline!$D$19*MIN(1,MAX(0,(75-Pipeline!$E$19+1)/MAX(Pipeline!$F$19,1)))+Pipeline!$S$20*Pipeline!$D$20*MIN(1,MAX(0,(75-Pipeline!$E$20+1)/MAX(Pipeline!$F$20,1)))+Pipeline!$S$21*Pipeline!$D$21*MIN(1,MAX(0,(75-Pipeline!$E$21+1)/MAX(Pipeline!$F$21,1)))+Pipeline!$S$22*Pipeline!$D$22*MIN(1,MAX(0,(75-Pipeline!$E$22+1)/MAX(Pipeline!$F$22,1)))</f>
        <v>1159.4925</v>
      </c>
      <c r="BZ20" s="119" t="n">
        <f aca="false">Pipeline!$S$16*Pipeline!$D$16*MIN(1,MAX(0,(76-Pipeline!$E$16+1)/MAX(Pipeline!$F$16,1)))+Pipeline!$S$17*Pipeline!$D$17*MIN(1,MAX(0,(76-Pipeline!$E$17+1)/MAX(Pipeline!$F$17,1)))+Pipeline!$S$18*Pipeline!$D$18*MIN(1,MAX(0,(76-Pipeline!$E$18+1)/MAX(Pipeline!$F$18,1)))+Pipeline!$S$19*Pipeline!$D$19*MIN(1,MAX(0,(76-Pipeline!$E$19+1)/MAX(Pipeline!$F$19,1)))+Pipeline!$S$20*Pipeline!$D$20*MIN(1,MAX(0,(76-Pipeline!$E$20+1)/MAX(Pipeline!$F$20,1)))+Pipeline!$S$21*Pipeline!$D$21*MIN(1,MAX(0,(76-Pipeline!$E$21+1)/MAX(Pipeline!$F$21,1)))+Pipeline!$S$22*Pipeline!$D$22*MIN(1,MAX(0,(76-Pipeline!$E$22+1)/MAX(Pipeline!$F$22,1)))</f>
        <v>1159.4925</v>
      </c>
      <c r="CA20" s="119" t="n">
        <f aca="false">Pipeline!$S$16*Pipeline!$D$16*MIN(1,MAX(0,(77-Pipeline!$E$16+1)/MAX(Pipeline!$F$16,1)))+Pipeline!$S$17*Pipeline!$D$17*MIN(1,MAX(0,(77-Pipeline!$E$17+1)/MAX(Pipeline!$F$17,1)))+Pipeline!$S$18*Pipeline!$D$18*MIN(1,MAX(0,(77-Pipeline!$E$18+1)/MAX(Pipeline!$F$18,1)))+Pipeline!$S$19*Pipeline!$D$19*MIN(1,MAX(0,(77-Pipeline!$E$19+1)/MAX(Pipeline!$F$19,1)))+Pipeline!$S$20*Pipeline!$D$20*MIN(1,MAX(0,(77-Pipeline!$E$20+1)/MAX(Pipeline!$F$20,1)))+Pipeline!$S$21*Pipeline!$D$21*MIN(1,MAX(0,(77-Pipeline!$E$21+1)/MAX(Pipeline!$F$21,1)))+Pipeline!$S$22*Pipeline!$D$22*MIN(1,MAX(0,(77-Pipeline!$E$22+1)/MAX(Pipeline!$F$22,1)))</f>
        <v>1159.4925</v>
      </c>
      <c r="CB20" s="119" t="n">
        <f aca="false">Pipeline!$S$16*Pipeline!$D$16*MIN(1,MAX(0,(78-Pipeline!$E$16+1)/MAX(Pipeline!$F$16,1)))+Pipeline!$S$17*Pipeline!$D$17*MIN(1,MAX(0,(78-Pipeline!$E$17+1)/MAX(Pipeline!$F$17,1)))+Pipeline!$S$18*Pipeline!$D$18*MIN(1,MAX(0,(78-Pipeline!$E$18+1)/MAX(Pipeline!$F$18,1)))+Pipeline!$S$19*Pipeline!$D$19*MIN(1,MAX(0,(78-Pipeline!$E$19+1)/MAX(Pipeline!$F$19,1)))+Pipeline!$S$20*Pipeline!$D$20*MIN(1,MAX(0,(78-Pipeline!$E$20+1)/MAX(Pipeline!$F$20,1)))+Pipeline!$S$21*Pipeline!$D$21*MIN(1,MAX(0,(78-Pipeline!$E$21+1)/MAX(Pipeline!$F$21,1)))+Pipeline!$S$22*Pipeline!$D$22*MIN(1,MAX(0,(78-Pipeline!$E$22+1)/MAX(Pipeline!$F$22,1)))</f>
        <v>1159.4925</v>
      </c>
      <c r="CC20" s="119" t="n">
        <f aca="false">Pipeline!$S$16*Pipeline!$D$16*MIN(1,MAX(0,(79-Pipeline!$E$16+1)/MAX(Pipeline!$F$16,1)))+Pipeline!$S$17*Pipeline!$D$17*MIN(1,MAX(0,(79-Pipeline!$E$17+1)/MAX(Pipeline!$F$17,1)))+Pipeline!$S$18*Pipeline!$D$18*MIN(1,MAX(0,(79-Pipeline!$E$18+1)/MAX(Pipeline!$F$18,1)))+Pipeline!$S$19*Pipeline!$D$19*MIN(1,MAX(0,(79-Pipeline!$E$19+1)/MAX(Pipeline!$F$19,1)))+Pipeline!$S$20*Pipeline!$D$20*MIN(1,MAX(0,(79-Pipeline!$E$20+1)/MAX(Pipeline!$F$20,1)))+Pipeline!$S$21*Pipeline!$D$21*MIN(1,MAX(0,(79-Pipeline!$E$21+1)/MAX(Pipeline!$F$21,1)))+Pipeline!$S$22*Pipeline!$D$22*MIN(1,MAX(0,(79-Pipeline!$E$22+1)/MAX(Pipeline!$F$22,1)))</f>
        <v>1159.4925</v>
      </c>
      <c r="CD20" s="119" t="n">
        <f aca="false">Pipeline!$S$16*Pipeline!$D$16*MIN(1,MAX(0,(80-Pipeline!$E$16+1)/MAX(Pipeline!$F$16,1)))+Pipeline!$S$17*Pipeline!$D$17*MIN(1,MAX(0,(80-Pipeline!$E$17+1)/MAX(Pipeline!$F$17,1)))+Pipeline!$S$18*Pipeline!$D$18*MIN(1,MAX(0,(80-Pipeline!$E$18+1)/MAX(Pipeline!$F$18,1)))+Pipeline!$S$19*Pipeline!$D$19*MIN(1,MAX(0,(80-Pipeline!$E$19+1)/MAX(Pipeline!$F$19,1)))+Pipeline!$S$20*Pipeline!$D$20*MIN(1,MAX(0,(80-Pipeline!$E$20+1)/MAX(Pipeline!$F$20,1)))+Pipeline!$S$21*Pipeline!$D$21*MIN(1,MAX(0,(80-Pipeline!$E$21+1)/MAX(Pipeline!$F$21,1)))+Pipeline!$S$22*Pipeline!$D$22*MIN(1,MAX(0,(80-Pipeline!$E$22+1)/MAX(Pipeline!$F$22,1)))</f>
        <v>1159.4925</v>
      </c>
      <c r="CE20" s="119" t="n">
        <f aca="false">Pipeline!$S$16*Pipeline!$D$16*MIN(1,MAX(0,(81-Pipeline!$E$16+1)/MAX(Pipeline!$F$16,1)))+Pipeline!$S$17*Pipeline!$D$17*MIN(1,MAX(0,(81-Pipeline!$E$17+1)/MAX(Pipeline!$F$17,1)))+Pipeline!$S$18*Pipeline!$D$18*MIN(1,MAX(0,(81-Pipeline!$E$18+1)/MAX(Pipeline!$F$18,1)))+Pipeline!$S$19*Pipeline!$D$19*MIN(1,MAX(0,(81-Pipeline!$E$19+1)/MAX(Pipeline!$F$19,1)))+Pipeline!$S$20*Pipeline!$D$20*MIN(1,MAX(0,(81-Pipeline!$E$20+1)/MAX(Pipeline!$F$20,1)))+Pipeline!$S$21*Pipeline!$D$21*MIN(1,MAX(0,(81-Pipeline!$E$21+1)/MAX(Pipeline!$F$21,1)))+Pipeline!$S$22*Pipeline!$D$22*MIN(1,MAX(0,(81-Pipeline!$E$22+1)/MAX(Pipeline!$F$22,1)))</f>
        <v>1159.4925</v>
      </c>
      <c r="CF20" s="119" t="n">
        <f aca="false">Pipeline!$S$16*Pipeline!$D$16*MIN(1,MAX(0,(82-Pipeline!$E$16+1)/MAX(Pipeline!$F$16,1)))+Pipeline!$S$17*Pipeline!$D$17*MIN(1,MAX(0,(82-Pipeline!$E$17+1)/MAX(Pipeline!$F$17,1)))+Pipeline!$S$18*Pipeline!$D$18*MIN(1,MAX(0,(82-Pipeline!$E$18+1)/MAX(Pipeline!$F$18,1)))+Pipeline!$S$19*Pipeline!$D$19*MIN(1,MAX(0,(82-Pipeline!$E$19+1)/MAX(Pipeline!$F$19,1)))+Pipeline!$S$20*Pipeline!$D$20*MIN(1,MAX(0,(82-Pipeline!$E$20+1)/MAX(Pipeline!$F$20,1)))+Pipeline!$S$21*Pipeline!$D$21*MIN(1,MAX(0,(82-Pipeline!$E$21+1)/MAX(Pipeline!$F$21,1)))+Pipeline!$S$22*Pipeline!$D$22*MIN(1,MAX(0,(82-Pipeline!$E$22+1)/MAX(Pipeline!$F$22,1)))</f>
        <v>1159.4925</v>
      </c>
      <c r="CG20" s="119" t="n">
        <f aca="false">Pipeline!$S$16*Pipeline!$D$16*MIN(1,MAX(0,(83-Pipeline!$E$16+1)/MAX(Pipeline!$F$16,1)))+Pipeline!$S$17*Pipeline!$D$17*MIN(1,MAX(0,(83-Pipeline!$E$17+1)/MAX(Pipeline!$F$17,1)))+Pipeline!$S$18*Pipeline!$D$18*MIN(1,MAX(0,(83-Pipeline!$E$18+1)/MAX(Pipeline!$F$18,1)))+Pipeline!$S$19*Pipeline!$D$19*MIN(1,MAX(0,(83-Pipeline!$E$19+1)/MAX(Pipeline!$F$19,1)))+Pipeline!$S$20*Pipeline!$D$20*MIN(1,MAX(0,(83-Pipeline!$E$20+1)/MAX(Pipeline!$F$20,1)))+Pipeline!$S$21*Pipeline!$D$21*MIN(1,MAX(0,(83-Pipeline!$E$21+1)/MAX(Pipeline!$F$21,1)))+Pipeline!$S$22*Pipeline!$D$22*MIN(1,MAX(0,(83-Pipeline!$E$22+1)/MAX(Pipeline!$F$22,1)))</f>
        <v>1159.4925</v>
      </c>
      <c r="CH20" s="119" t="n">
        <f aca="false">Pipeline!$S$16*Pipeline!$D$16*MIN(1,MAX(0,(84-Pipeline!$E$16+1)/MAX(Pipeline!$F$16,1)))+Pipeline!$S$17*Pipeline!$D$17*MIN(1,MAX(0,(84-Pipeline!$E$17+1)/MAX(Pipeline!$F$17,1)))+Pipeline!$S$18*Pipeline!$D$18*MIN(1,MAX(0,(84-Pipeline!$E$18+1)/MAX(Pipeline!$F$18,1)))+Pipeline!$S$19*Pipeline!$D$19*MIN(1,MAX(0,(84-Pipeline!$E$19+1)/MAX(Pipeline!$F$19,1)))+Pipeline!$S$20*Pipeline!$D$20*MIN(1,MAX(0,(84-Pipeline!$E$20+1)/MAX(Pipeline!$F$20,1)))+Pipeline!$S$21*Pipeline!$D$21*MIN(1,MAX(0,(84-Pipeline!$E$21+1)/MAX(Pipeline!$F$21,1)))+Pipeline!$S$22*Pipeline!$D$22*MIN(1,MAX(0,(84-Pipeline!$E$22+1)/MAX(Pipeline!$F$22,1)))</f>
        <v>1159.4925</v>
      </c>
    </row>
    <row r="21" customFormat="false" ht="13.5" hidden="false" customHeight="true" outlineLevel="0" collapsed="false">
      <c r="A21" s="6" t="s">
        <v>529</v>
      </c>
      <c r="C21" s="120" t="n">
        <f aca="false">IF(C18=0,1,MIN(1,C8/C18))</f>
        <v>1</v>
      </c>
      <c r="D21" s="120" t="n">
        <f aca="false">IF(D18=0,1,MIN(1,D8/D18))</f>
        <v>1</v>
      </c>
      <c r="E21" s="120" t="n">
        <f aca="false">IF(E18=0,1,MIN(1,E8/E18))</f>
        <v>1</v>
      </c>
      <c r="F21" s="120" t="n">
        <f aca="false">IF(F18=0,1,MIN(1,F8/F18))</f>
        <v>1</v>
      </c>
      <c r="G21" s="120" t="n">
        <f aca="false">IF(G18=0,1,MIN(1,G8/G18))</f>
        <v>1</v>
      </c>
      <c r="H21" s="120" t="n">
        <f aca="false">IF(H18=0,1,MIN(1,H8/H18))</f>
        <v>1</v>
      </c>
      <c r="I21" s="120" t="n">
        <f aca="false">IF(I18=0,1,MIN(1,I8/I18))</f>
        <v>1</v>
      </c>
      <c r="J21" s="120" t="n">
        <f aca="false">IF(J18=0,1,MIN(1,J8/J18))</f>
        <v>1</v>
      </c>
      <c r="K21" s="120" t="n">
        <f aca="false">IF(K18=0,1,MIN(1,K8/K18))</f>
        <v>1</v>
      </c>
      <c r="L21" s="120" t="n">
        <f aca="false">IF(L18=0,1,MIN(1,L8/L18))</f>
        <v>1</v>
      </c>
      <c r="M21" s="120" t="n">
        <f aca="false">IF(M18=0,1,MIN(1,M8/M18))</f>
        <v>1</v>
      </c>
      <c r="N21" s="120" t="n">
        <f aca="false">IF(N18=0,1,MIN(1,N8/N18))</f>
        <v>1</v>
      </c>
      <c r="O21" s="120" t="n">
        <f aca="false">IF(O18=0,1,MIN(1,O8/O18))</f>
        <v>1</v>
      </c>
      <c r="P21" s="120" t="n">
        <f aca="false">IF(P18=0,1,MIN(1,P8/P18))</f>
        <v>1</v>
      </c>
      <c r="Q21" s="120" t="n">
        <f aca="false">IF(Q18=0,1,MIN(1,Q8/Q18))</f>
        <v>1</v>
      </c>
      <c r="R21" s="120" t="n">
        <f aca="false">IF(R18=0,1,MIN(1,R8/R18))</f>
        <v>1</v>
      </c>
      <c r="S21" s="120" t="n">
        <f aca="false">IF(S18=0,1,MIN(1,S8/S18))</f>
        <v>1</v>
      </c>
      <c r="T21" s="120" t="n">
        <f aca="false">IF(T18=0,1,MIN(1,T8/T18))</f>
        <v>1</v>
      </c>
      <c r="U21" s="120" t="n">
        <f aca="false">IF(U18=0,1,MIN(1,U8/U18))</f>
        <v>1</v>
      </c>
      <c r="V21" s="120" t="n">
        <f aca="false">IF(V18=0,1,MIN(1,V8/V18))</f>
        <v>1</v>
      </c>
      <c r="W21" s="120" t="n">
        <f aca="false">IF(W18=0,1,MIN(1,W8/W18))</f>
        <v>1</v>
      </c>
      <c r="X21" s="120" t="n">
        <f aca="false">IF(X18=0,1,MIN(1,X8/X18))</f>
        <v>1</v>
      </c>
      <c r="Y21" s="120" t="n">
        <f aca="false">IF(Y18=0,1,MIN(1,Y8/Y18))</f>
        <v>1</v>
      </c>
      <c r="Z21" s="120" t="n">
        <f aca="false">IF(Z18=0,1,MIN(1,Z8/Z18))</f>
        <v>1</v>
      </c>
      <c r="AA21" s="120" t="n">
        <f aca="false">IF(AA18=0,1,MIN(1,AA8/AA18))</f>
        <v>1</v>
      </c>
      <c r="AB21" s="120" t="n">
        <f aca="false">IF(AB18=0,1,MIN(1,AB8/AB18))</f>
        <v>1</v>
      </c>
      <c r="AC21" s="120" t="n">
        <f aca="false">IF(AC18=0,1,MIN(1,AC8/AC18))</f>
        <v>1</v>
      </c>
      <c r="AD21" s="120" t="n">
        <f aca="false">IF(AD18=0,1,MIN(1,AD8/AD18))</f>
        <v>1</v>
      </c>
      <c r="AE21" s="120" t="n">
        <f aca="false">IF(AE18=0,1,MIN(1,AE8/AE18))</f>
        <v>1</v>
      </c>
      <c r="AF21" s="120" t="n">
        <f aca="false">IF(AF18=0,1,MIN(1,AF8/AF18))</f>
        <v>1</v>
      </c>
      <c r="AG21" s="120" t="n">
        <f aca="false">IF(AG18=0,1,MIN(1,AG8/AG18))</f>
        <v>1</v>
      </c>
      <c r="AH21" s="120" t="n">
        <f aca="false">IF(AH18=0,1,MIN(1,AH8/AH18))</f>
        <v>1</v>
      </c>
      <c r="AI21" s="120" t="n">
        <f aca="false">IF(AI18=0,1,MIN(1,AI8/AI18))</f>
        <v>1</v>
      </c>
      <c r="AJ21" s="120" t="n">
        <f aca="false">IF(AJ18=0,1,MIN(1,AJ8/AJ18))</f>
        <v>1</v>
      </c>
      <c r="AK21" s="120" t="n">
        <f aca="false">IF(AK18=0,1,MIN(1,AK8/AK18))</f>
        <v>1</v>
      </c>
      <c r="AL21" s="120" t="n">
        <f aca="false">IF(AL18=0,1,MIN(1,AL8/AL18))</f>
        <v>1</v>
      </c>
      <c r="AM21" s="120" t="n">
        <f aca="false">IF(AM18=0,1,MIN(1,AM8/AM18))</f>
        <v>1</v>
      </c>
      <c r="AN21" s="120" t="n">
        <f aca="false">IF(AN18=0,1,MIN(1,AN8/AN18))</f>
        <v>1</v>
      </c>
      <c r="AO21" s="120" t="n">
        <f aca="false">IF(AO18=0,1,MIN(1,AO8/AO18))</f>
        <v>1</v>
      </c>
      <c r="AP21" s="120" t="n">
        <f aca="false">IF(AP18=0,1,MIN(1,AP8/AP18))</f>
        <v>1</v>
      </c>
      <c r="AQ21" s="120" t="n">
        <f aca="false">IF(AQ18=0,1,MIN(1,AQ8/AQ18))</f>
        <v>1</v>
      </c>
      <c r="AR21" s="120" t="n">
        <f aca="false">IF(AR18=0,1,MIN(1,AR8/AR18))</f>
        <v>1</v>
      </c>
      <c r="AS21" s="120" t="n">
        <f aca="false">IF(AS18=0,1,MIN(1,AS8/AS18))</f>
        <v>1</v>
      </c>
      <c r="AT21" s="120" t="n">
        <f aca="false">IF(AT18=0,1,MIN(1,AT8/AT18))</f>
        <v>1</v>
      </c>
      <c r="AU21" s="120" t="n">
        <f aca="false">IF(AU18=0,1,MIN(1,AU8/AU18))</f>
        <v>1</v>
      </c>
      <c r="AV21" s="120" t="n">
        <f aca="false">IF(AV18=0,1,MIN(1,AV8/AV18))</f>
        <v>1</v>
      </c>
      <c r="AW21" s="120" t="n">
        <f aca="false">IF(AW18=0,1,MIN(1,AW8/AW18))</f>
        <v>1</v>
      </c>
      <c r="AX21" s="120" t="n">
        <f aca="false">IF(AX18=0,1,MIN(1,AX8/AX18))</f>
        <v>1</v>
      </c>
      <c r="AY21" s="120" t="n">
        <f aca="false">IF(AY18=0,1,MIN(1,AY8/AY18))</f>
        <v>1</v>
      </c>
      <c r="AZ21" s="120" t="n">
        <f aca="false">IF(AZ18=0,1,MIN(1,AZ8/AZ18))</f>
        <v>1</v>
      </c>
      <c r="BA21" s="120" t="n">
        <f aca="false">IF(BA18=0,1,MIN(1,BA8/BA18))</f>
        <v>1</v>
      </c>
      <c r="BB21" s="120" t="n">
        <f aca="false">IF(BB18=0,1,MIN(1,BB8/BB18))</f>
        <v>1</v>
      </c>
      <c r="BC21" s="120" t="n">
        <f aca="false">IF(BC18=0,1,MIN(1,BC8/BC18))</f>
        <v>1</v>
      </c>
      <c r="BD21" s="120" t="n">
        <f aca="false">IF(BD18=0,1,MIN(1,BD8/BD18))</f>
        <v>1</v>
      </c>
      <c r="BE21" s="120" t="n">
        <f aca="false">IF(BE18=0,1,MIN(1,BE8/BE18))</f>
        <v>1</v>
      </c>
      <c r="BF21" s="120" t="n">
        <f aca="false">IF(BF18=0,1,MIN(1,BF8/BF18))</f>
        <v>1</v>
      </c>
      <c r="BG21" s="120" t="n">
        <f aca="false">IF(BG18=0,1,MIN(1,BG8/BG18))</f>
        <v>1</v>
      </c>
      <c r="BH21" s="120" t="n">
        <f aca="false">IF(BH18=0,1,MIN(1,BH8/BH18))</f>
        <v>1</v>
      </c>
      <c r="BI21" s="120" t="n">
        <f aca="false">IF(BI18=0,1,MIN(1,BI8/BI18))</f>
        <v>1</v>
      </c>
      <c r="BJ21" s="120" t="n">
        <f aca="false">IF(BJ18=0,1,MIN(1,BJ8/BJ18))</f>
        <v>1</v>
      </c>
      <c r="BK21" s="120" t="n">
        <f aca="false">IF(BK18=0,1,MIN(1,BK8/BK18))</f>
        <v>1</v>
      </c>
      <c r="BL21" s="120" t="n">
        <f aca="false">IF(BL18=0,1,MIN(1,BL8/BL18))</f>
        <v>1</v>
      </c>
      <c r="BM21" s="120" t="n">
        <f aca="false">IF(BM18=0,1,MIN(1,BM8/BM18))</f>
        <v>1</v>
      </c>
      <c r="BN21" s="120" t="n">
        <f aca="false">IF(BN18=0,1,MIN(1,BN8/BN18))</f>
        <v>1</v>
      </c>
      <c r="BO21" s="120" t="n">
        <f aca="false">IF(BO18=0,1,MIN(1,BO8/BO18))</f>
        <v>1</v>
      </c>
      <c r="BP21" s="120" t="n">
        <f aca="false">IF(BP18=0,1,MIN(1,BP8/BP18))</f>
        <v>1</v>
      </c>
      <c r="BQ21" s="120" t="n">
        <f aca="false">IF(BQ18=0,1,MIN(1,BQ8/BQ18))</f>
        <v>1</v>
      </c>
      <c r="BR21" s="120" t="n">
        <f aca="false">IF(BR18=0,1,MIN(1,BR8/BR18))</f>
        <v>1</v>
      </c>
      <c r="BS21" s="120" t="n">
        <f aca="false">IF(BS18=0,1,MIN(1,BS8/BS18))</f>
        <v>1</v>
      </c>
      <c r="BT21" s="120" t="n">
        <f aca="false">IF(BT18=0,1,MIN(1,BT8/BT18))</f>
        <v>1</v>
      </c>
      <c r="BU21" s="120" t="n">
        <f aca="false">IF(BU18=0,1,MIN(1,BU8/BU18))</f>
        <v>1</v>
      </c>
      <c r="BV21" s="120" t="n">
        <f aca="false">IF(BV18=0,1,MIN(1,BV8/BV18))</f>
        <v>1</v>
      </c>
      <c r="BW21" s="120" t="n">
        <f aca="false">IF(BW18=0,1,MIN(1,BW8/BW18))</f>
        <v>1</v>
      </c>
      <c r="BX21" s="120" t="n">
        <f aca="false">IF(BX18=0,1,MIN(1,BX8/BX18))</f>
        <v>1</v>
      </c>
      <c r="BY21" s="120" t="n">
        <f aca="false">IF(BY18=0,1,MIN(1,BY8/BY18))</f>
        <v>1</v>
      </c>
      <c r="BZ21" s="120" t="n">
        <f aca="false">IF(BZ18=0,1,MIN(1,BZ8/BZ18))</f>
        <v>1</v>
      </c>
      <c r="CA21" s="120" t="n">
        <f aca="false">IF(CA18=0,1,MIN(1,CA8/CA18))</f>
        <v>1</v>
      </c>
      <c r="CB21" s="120" t="n">
        <f aca="false">IF(CB18=0,1,MIN(1,CB8/CB18))</f>
        <v>1</v>
      </c>
      <c r="CC21" s="120" t="n">
        <f aca="false">IF(CC18=0,1,MIN(1,CC8/CC18))</f>
        <v>1</v>
      </c>
      <c r="CD21" s="120" t="n">
        <f aca="false">IF(CD18=0,1,MIN(1,CD8/CD18))</f>
        <v>1</v>
      </c>
      <c r="CE21" s="120" t="n">
        <f aca="false">IF(CE18=0,1,MIN(1,CE8/CE18))</f>
        <v>1</v>
      </c>
      <c r="CF21" s="120" t="n">
        <f aca="false">IF(CF18=0,1,MIN(1,CF8/CF18))</f>
        <v>1</v>
      </c>
      <c r="CG21" s="120" t="n">
        <f aca="false">IF(CG18=0,1,MIN(1,CG8/CG18))</f>
        <v>1</v>
      </c>
      <c r="CH21" s="120" t="n">
        <f aca="false">IF(CH18=0,1,MIN(1,CH8/CH18))</f>
        <v>1</v>
      </c>
    </row>
    <row r="22" customFormat="false" ht="13.5" hidden="false" customHeight="true" outlineLevel="0" collapsed="false">
      <c r="A22" s="6" t="s">
        <v>530</v>
      </c>
      <c r="C22" s="120" t="n">
        <f aca="false">MIN(Hipótesis!$F$32,Hipótesis!$F$31+(Hipótesis!$F$32-Hipótesis!$F$31)*MAX(0,1-Hipótesis!$F$29)/Hipótesis!$F$33)</f>
        <v>0</v>
      </c>
      <c r="D22" s="120" t="n">
        <f aca="false">MIN(Hipótesis!$F$32,Hipótesis!$F$31+(Hipótesis!$F$32-Hipótesis!$F$31)*MAX(0,2-Hipótesis!$F$29)/Hipótesis!$F$33)</f>
        <v>0</v>
      </c>
      <c r="E22" s="120" t="n">
        <f aca="false">MIN(Hipótesis!$F$32,Hipótesis!$F$31+(Hipótesis!$F$32-Hipótesis!$F$31)*MAX(0,3-Hipótesis!$F$29)/Hipótesis!$F$33)</f>
        <v>0</v>
      </c>
      <c r="F22" s="120" t="n">
        <f aca="false">MIN(Hipótesis!$F$32,Hipótesis!$F$31+(Hipótesis!$F$32-Hipótesis!$F$31)*MAX(0,4-Hipótesis!$F$29)/Hipótesis!$F$33)</f>
        <v>0</v>
      </c>
      <c r="G22" s="120" t="n">
        <f aca="false">MIN(Hipótesis!$F$32,Hipótesis!$F$31+(Hipótesis!$F$32-Hipótesis!$F$31)*MAX(0,5-Hipótesis!$F$29)/Hipótesis!$F$33)</f>
        <v>0</v>
      </c>
      <c r="H22" s="120" t="n">
        <f aca="false">MIN(Hipótesis!$F$32,Hipótesis!$F$31+(Hipótesis!$F$32-Hipótesis!$F$31)*MAX(0,6-Hipótesis!$F$29)/Hipótesis!$F$33)</f>
        <v>0</v>
      </c>
      <c r="I22" s="120" t="n">
        <f aca="false">MIN(Hipótesis!$F$32,Hipótesis!$F$31+(Hipótesis!$F$32-Hipótesis!$F$31)*MAX(0,7-Hipótesis!$F$29)/Hipótesis!$F$33)</f>
        <v>0.0152777777777778</v>
      </c>
      <c r="J22" s="120" t="n">
        <f aca="false">MIN(Hipótesis!$F$32,Hipótesis!$F$31+(Hipótesis!$F$32-Hipótesis!$F$31)*MAX(0,8-Hipótesis!$F$29)/Hipótesis!$F$33)</f>
        <v>0.0305555555555556</v>
      </c>
      <c r="K22" s="120" t="n">
        <f aca="false">MIN(Hipótesis!$F$32,Hipótesis!$F$31+(Hipótesis!$F$32-Hipótesis!$F$31)*MAX(0,9-Hipótesis!$F$29)/Hipótesis!$F$33)</f>
        <v>0.0458333333333333</v>
      </c>
      <c r="L22" s="120" t="n">
        <f aca="false">MIN(Hipótesis!$F$32,Hipótesis!$F$31+(Hipótesis!$F$32-Hipótesis!$F$31)*MAX(0,10-Hipótesis!$F$29)/Hipótesis!$F$33)</f>
        <v>0.0611111111111111</v>
      </c>
      <c r="M22" s="120" t="n">
        <f aca="false">MIN(Hipótesis!$F$32,Hipótesis!$F$31+(Hipótesis!$F$32-Hipótesis!$F$31)*MAX(0,11-Hipótesis!$F$29)/Hipótesis!$F$33)</f>
        <v>0.0763888888888889</v>
      </c>
      <c r="N22" s="120" t="n">
        <f aca="false">MIN(Hipótesis!$F$32,Hipótesis!$F$31+(Hipótesis!$F$32-Hipótesis!$F$31)*MAX(0,12-Hipótesis!$F$29)/Hipótesis!$F$33)</f>
        <v>0.0916666666666667</v>
      </c>
      <c r="O22" s="120" t="n">
        <f aca="false">MIN(Hipótesis!$F$32,Hipótesis!$F$31+(Hipótesis!$F$32-Hipótesis!$F$31)*MAX(0,13-Hipótesis!$F$29)/Hipótesis!$F$33)</f>
        <v>0.106944444444444</v>
      </c>
      <c r="P22" s="120" t="n">
        <f aca="false">MIN(Hipótesis!$F$32,Hipótesis!$F$31+(Hipótesis!$F$32-Hipótesis!$F$31)*MAX(0,14-Hipótesis!$F$29)/Hipótesis!$F$33)</f>
        <v>0.122222222222222</v>
      </c>
      <c r="Q22" s="120" t="n">
        <f aca="false">MIN(Hipótesis!$F$32,Hipótesis!$F$31+(Hipótesis!$F$32-Hipótesis!$F$31)*MAX(0,15-Hipótesis!$F$29)/Hipótesis!$F$33)</f>
        <v>0.1375</v>
      </c>
      <c r="R22" s="120" t="n">
        <f aca="false">MIN(Hipótesis!$F$32,Hipótesis!$F$31+(Hipótesis!$F$32-Hipótesis!$F$31)*MAX(0,16-Hipótesis!$F$29)/Hipótesis!$F$33)</f>
        <v>0.152777777777778</v>
      </c>
      <c r="S22" s="120" t="n">
        <f aca="false">MIN(Hipótesis!$F$32,Hipótesis!$F$31+(Hipótesis!$F$32-Hipótesis!$F$31)*MAX(0,17-Hipótesis!$F$29)/Hipótesis!$F$33)</f>
        <v>0.168055555555556</v>
      </c>
      <c r="T22" s="120" t="n">
        <f aca="false">MIN(Hipótesis!$F$32,Hipótesis!$F$31+(Hipótesis!$F$32-Hipótesis!$F$31)*MAX(0,18-Hipótesis!$F$29)/Hipótesis!$F$33)</f>
        <v>0.183333333333333</v>
      </c>
      <c r="U22" s="120" t="n">
        <f aca="false">MIN(Hipótesis!$F$32,Hipótesis!$F$31+(Hipótesis!$F$32-Hipótesis!$F$31)*MAX(0,19-Hipótesis!$F$29)/Hipótesis!$F$33)</f>
        <v>0.198611111111111</v>
      </c>
      <c r="V22" s="120" t="n">
        <f aca="false">MIN(Hipótesis!$F$32,Hipótesis!$F$31+(Hipótesis!$F$32-Hipótesis!$F$31)*MAX(0,20-Hipótesis!$F$29)/Hipótesis!$F$33)</f>
        <v>0.213888888888889</v>
      </c>
      <c r="W22" s="120" t="n">
        <f aca="false">MIN(Hipótesis!$F$32,Hipótesis!$F$31+(Hipótesis!$F$32-Hipótesis!$F$31)*MAX(0,21-Hipótesis!$F$29)/Hipótesis!$F$33)</f>
        <v>0.229166666666667</v>
      </c>
      <c r="X22" s="120" t="n">
        <f aca="false">MIN(Hipótesis!$F$32,Hipótesis!$F$31+(Hipótesis!$F$32-Hipótesis!$F$31)*MAX(0,22-Hipótesis!$F$29)/Hipótesis!$F$33)</f>
        <v>0.244444444444444</v>
      </c>
      <c r="Y22" s="120" t="n">
        <f aca="false">MIN(Hipótesis!$F$32,Hipótesis!$F$31+(Hipótesis!$F$32-Hipótesis!$F$31)*MAX(0,23-Hipótesis!$F$29)/Hipótesis!$F$33)</f>
        <v>0.259722222222222</v>
      </c>
      <c r="Z22" s="120" t="n">
        <f aca="false">MIN(Hipótesis!$F$32,Hipótesis!$F$31+(Hipótesis!$F$32-Hipótesis!$F$31)*MAX(0,24-Hipótesis!$F$29)/Hipótesis!$F$33)</f>
        <v>0.275</v>
      </c>
      <c r="AA22" s="120" t="n">
        <f aca="false">MIN(Hipótesis!$F$32,Hipótesis!$F$31+(Hipótesis!$F$32-Hipótesis!$F$31)*MAX(0,25-Hipótesis!$F$29)/Hipótesis!$F$33)</f>
        <v>0.290277777777778</v>
      </c>
      <c r="AB22" s="120" t="n">
        <f aca="false">MIN(Hipótesis!$F$32,Hipótesis!$F$31+(Hipótesis!$F$32-Hipótesis!$F$31)*MAX(0,26-Hipótesis!$F$29)/Hipótesis!$F$33)</f>
        <v>0.305555555555556</v>
      </c>
      <c r="AC22" s="120" t="n">
        <f aca="false">MIN(Hipótesis!$F$32,Hipótesis!$F$31+(Hipótesis!$F$32-Hipótesis!$F$31)*MAX(0,27-Hipótesis!$F$29)/Hipótesis!$F$33)</f>
        <v>0.320833333333333</v>
      </c>
      <c r="AD22" s="120" t="n">
        <f aca="false">MIN(Hipótesis!$F$32,Hipótesis!$F$31+(Hipótesis!$F$32-Hipótesis!$F$31)*MAX(0,28-Hipótesis!$F$29)/Hipótesis!$F$33)</f>
        <v>0.336111111111111</v>
      </c>
      <c r="AE22" s="120" t="n">
        <f aca="false">MIN(Hipótesis!$F$32,Hipótesis!$F$31+(Hipótesis!$F$32-Hipótesis!$F$31)*MAX(0,29-Hipótesis!$F$29)/Hipótesis!$F$33)</f>
        <v>0.351388888888889</v>
      </c>
      <c r="AF22" s="120" t="n">
        <f aca="false">MIN(Hipótesis!$F$32,Hipótesis!$F$31+(Hipótesis!$F$32-Hipótesis!$F$31)*MAX(0,30-Hipótesis!$F$29)/Hipótesis!$F$33)</f>
        <v>0.366666666666667</v>
      </c>
      <c r="AG22" s="120" t="n">
        <f aca="false">MIN(Hipótesis!$F$32,Hipótesis!$F$31+(Hipótesis!$F$32-Hipótesis!$F$31)*MAX(0,31-Hipótesis!$F$29)/Hipótesis!$F$33)</f>
        <v>0.381944444444445</v>
      </c>
      <c r="AH22" s="120" t="n">
        <f aca="false">MIN(Hipótesis!$F$32,Hipótesis!$F$31+(Hipótesis!$F$32-Hipótesis!$F$31)*MAX(0,32-Hipótesis!$F$29)/Hipótesis!$F$33)</f>
        <v>0.397222222222222</v>
      </c>
      <c r="AI22" s="120" t="n">
        <f aca="false">MIN(Hipótesis!$F$32,Hipótesis!$F$31+(Hipótesis!$F$32-Hipótesis!$F$31)*MAX(0,33-Hipótesis!$F$29)/Hipótesis!$F$33)</f>
        <v>0.4125</v>
      </c>
      <c r="AJ22" s="120" t="n">
        <f aca="false">MIN(Hipótesis!$F$32,Hipótesis!$F$31+(Hipótesis!$F$32-Hipótesis!$F$31)*MAX(0,34-Hipótesis!$F$29)/Hipótesis!$F$33)</f>
        <v>0.427777777777778</v>
      </c>
      <c r="AK22" s="120" t="n">
        <f aca="false">MIN(Hipótesis!$F$32,Hipótesis!$F$31+(Hipótesis!$F$32-Hipótesis!$F$31)*MAX(0,35-Hipótesis!$F$29)/Hipótesis!$F$33)</f>
        <v>0.443055555555556</v>
      </c>
      <c r="AL22" s="120" t="n">
        <f aca="false">MIN(Hipótesis!$F$32,Hipótesis!$F$31+(Hipótesis!$F$32-Hipótesis!$F$31)*MAX(0,36-Hipótesis!$F$29)/Hipótesis!$F$33)</f>
        <v>0.458333333333333</v>
      </c>
      <c r="AM22" s="120" t="n">
        <f aca="false">MIN(Hipótesis!$F$32,Hipótesis!$F$31+(Hipótesis!$F$32-Hipótesis!$F$31)*MAX(0,37-Hipótesis!$F$29)/Hipótesis!$F$33)</f>
        <v>0.473611111111111</v>
      </c>
      <c r="AN22" s="120" t="n">
        <f aca="false">MIN(Hipótesis!$F$32,Hipótesis!$F$31+(Hipótesis!$F$32-Hipótesis!$F$31)*MAX(0,38-Hipótesis!$F$29)/Hipótesis!$F$33)</f>
        <v>0.488888888888889</v>
      </c>
      <c r="AO22" s="120" t="n">
        <f aca="false">MIN(Hipótesis!$F$32,Hipótesis!$F$31+(Hipótesis!$F$32-Hipótesis!$F$31)*MAX(0,39-Hipótesis!$F$29)/Hipótesis!$F$33)</f>
        <v>0.504166666666667</v>
      </c>
      <c r="AP22" s="120" t="n">
        <f aca="false">MIN(Hipótesis!$F$32,Hipótesis!$F$31+(Hipótesis!$F$32-Hipótesis!$F$31)*MAX(0,40-Hipótesis!$F$29)/Hipótesis!$F$33)</f>
        <v>0.519444444444445</v>
      </c>
      <c r="AQ22" s="120" t="n">
        <f aca="false">MIN(Hipótesis!$F$32,Hipótesis!$F$31+(Hipótesis!$F$32-Hipótesis!$F$31)*MAX(0,41-Hipótesis!$F$29)/Hipótesis!$F$33)</f>
        <v>0.534722222222222</v>
      </c>
      <c r="AR22" s="120" t="n">
        <f aca="false">MIN(Hipótesis!$F$32,Hipótesis!$F$31+(Hipótesis!$F$32-Hipótesis!$F$31)*MAX(0,42-Hipótesis!$F$29)/Hipótesis!$F$33)</f>
        <v>0.55</v>
      </c>
      <c r="AS22" s="120" t="n">
        <f aca="false">MIN(Hipótesis!$F$32,Hipótesis!$F$31+(Hipótesis!$F$32-Hipótesis!$F$31)*MAX(0,43-Hipótesis!$F$29)/Hipótesis!$F$33)</f>
        <v>0.55</v>
      </c>
      <c r="AT22" s="120" t="n">
        <f aca="false">MIN(Hipótesis!$F$32,Hipótesis!$F$31+(Hipótesis!$F$32-Hipótesis!$F$31)*MAX(0,44-Hipótesis!$F$29)/Hipótesis!$F$33)</f>
        <v>0.55</v>
      </c>
      <c r="AU22" s="120" t="n">
        <f aca="false">MIN(Hipótesis!$F$32,Hipótesis!$F$31+(Hipótesis!$F$32-Hipótesis!$F$31)*MAX(0,45-Hipótesis!$F$29)/Hipótesis!$F$33)</f>
        <v>0.55</v>
      </c>
      <c r="AV22" s="120" t="n">
        <f aca="false">MIN(Hipótesis!$F$32,Hipótesis!$F$31+(Hipótesis!$F$32-Hipótesis!$F$31)*MAX(0,46-Hipótesis!$F$29)/Hipótesis!$F$33)</f>
        <v>0.55</v>
      </c>
      <c r="AW22" s="120" t="n">
        <f aca="false">MIN(Hipótesis!$F$32,Hipótesis!$F$31+(Hipótesis!$F$32-Hipótesis!$F$31)*MAX(0,47-Hipótesis!$F$29)/Hipótesis!$F$33)</f>
        <v>0.55</v>
      </c>
      <c r="AX22" s="120" t="n">
        <f aca="false">MIN(Hipótesis!$F$32,Hipótesis!$F$31+(Hipótesis!$F$32-Hipótesis!$F$31)*MAX(0,48-Hipótesis!$F$29)/Hipótesis!$F$33)</f>
        <v>0.55</v>
      </c>
      <c r="AY22" s="120" t="n">
        <f aca="false">MIN(Hipótesis!$F$32,Hipótesis!$F$31+(Hipótesis!$F$32-Hipótesis!$F$31)*MAX(0,49-Hipótesis!$F$29)/Hipótesis!$F$33)</f>
        <v>0.55</v>
      </c>
      <c r="AZ22" s="120" t="n">
        <f aca="false">MIN(Hipótesis!$F$32,Hipótesis!$F$31+(Hipótesis!$F$32-Hipótesis!$F$31)*MAX(0,50-Hipótesis!$F$29)/Hipótesis!$F$33)</f>
        <v>0.55</v>
      </c>
      <c r="BA22" s="120" t="n">
        <f aca="false">MIN(Hipótesis!$F$32,Hipótesis!$F$31+(Hipótesis!$F$32-Hipótesis!$F$31)*MAX(0,51-Hipótesis!$F$29)/Hipótesis!$F$33)</f>
        <v>0.55</v>
      </c>
      <c r="BB22" s="120" t="n">
        <f aca="false">MIN(Hipótesis!$F$32,Hipótesis!$F$31+(Hipótesis!$F$32-Hipótesis!$F$31)*MAX(0,52-Hipótesis!$F$29)/Hipótesis!$F$33)</f>
        <v>0.55</v>
      </c>
      <c r="BC22" s="120" t="n">
        <f aca="false">MIN(Hipótesis!$F$32,Hipótesis!$F$31+(Hipótesis!$F$32-Hipótesis!$F$31)*MAX(0,53-Hipótesis!$F$29)/Hipótesis!$F$33)</f>
        <v>0.55</v>
      </c>
      <c r="BD22" s="120" t="n">
        <f aca="false">MIN(Hipótesis!$F$32,Hipótesis!$F$31+(Hipótesis!$F$32-Hipótesis!$F$31)*MAX(0,54-Hipótesis!$F$29)/Hipótesis!$F$33)</f>
        <v>0.55</v>
      </c>
      <c r="BE22" s="120" t="n">
        <f aca="false">MIN(Hipótesis!$F$32,Hipótesis!$F$31+(Hipótesis!$F$32-Hipótesis!$F$31)*MAX(0,55-Hipótesis!$F$29)/Hipótesis!$F$33)</f>
        <v>0.55</v>
      </c>
      <c r="BF22" s="120" t="n">
        <f aca="false">MIN(Hipótesis!$F$32,Hipótesis!$F$31+(Hipótesis!$F$32-Hipótesis!$F$31)*MAX(0,56-Hipótesis!$F$29)/Hipótesis!$F$33)</f>
        <v>0.55</v>
      </c>
      <c r="BG22" s="120" t="n">
        <f aca="false">MIN(Hipótesis!$F$32,Hipótesis!$F$31+(Hipótesis!$F$32-Hipótesis!$F$31)*MAX(0,57-Hipótesis!$F$29)/Hipótesis!$F$33)</f>
        <v>0.55</v>
      </c>
      <c r="BH22" s="120" t="n">
        <f aca="false">MIN(Hipótesis!$F$32,Hipótesis!$F$31+(Hipótesis!$F$32-Hipótesis!$F$31)*MAX(0,58-Hipótesis!$F$29)/Hipótesis!$F$33)</f>
        <v>0.55</v>
      </c>
      <c r="BI22" s="120" t="n">
        <f aca="false">MIN(Hipótesis!$F$32,Hipótesis!$F$31+(Hipótesis!$F$32-Hipótesis!$F$31)*MAX(0,59-Hipótesis!$F$29)/Hipótesis!$F$33)</f>
        <v>0.55</v>
      </c>
      <c r="BJ22" s="120" t="n">
        <f aca="false">MIN(Hipótesis!$F$32,Hipótesis!$F$31+(Hipótesis!$F$32-Hipótesis!$F$31)*MAX(0,60-Hipótesis!$F$29)/Hipótesis!$F$33)</f>
        <v>0.55</v>
      </c>
      <c r="BK22" s="120" t="n">
        <f aca="false">MIN(Hipótesis!$F$32,Hipótesis!$F$31+(Hipótesis!$F$32-Hipótesis!$F$31)*MAX(0,61-Hipótesis!$F$29)/Hipótesis!$F$33)</f>
        <v>0.55</v>
      </c>
      <c r="BL22" s="120" t="n">
        <f aca="false">MIN(Hipótesis!$F$32,Hipótesis!$F$31+(Hipótesis!$F$32-Hipótesis!$F$31)*MAX(0,62-Hipótesis!$F$29)/Hipótesis!$F$33)</f>
        <v>0.55</v>
      </c>
      <c r="BM22" s="120" t="n">
        <f aca="false">MIN(Hipótesis!$F$32,Hipótesis!$F$31+(Hipótesis!$F$32-Hipótesis!$F$31)*MAX(0,63-Hipótesis!$F$29)/Hipótesis!$F$33)</f>
        <v>0.55</v>
      </c>
      <c r="BN22" s="120" t="n">
        <f aca="false">MIN(Hipótesis!$F$32,Hipótesis!$F$31+(Hipótesis!$F$32-Hipótesis!$F$31)*MAX(0,64-Hipótesis!$F$29)/Hipótesis!$F$33)</f>
        <v>0.55</v>
      </c>
      <c r="BO22" s="120" t="n">
        <f aca="false">MIN(Hipótesis!$F$32,Hipótesis!$F$31+(Hipótesis!$F$32-Hipótesis!$F$31)*MAX(0,65-Hipótesis!$F$29)/Hipótesis!$F$33)</f>
        <v>0.55</v>
      </c>
      <c r="BP22" s="120" t="n">
        <f aca="false">MIN(Hipótesis!$F$32,Hipótesis!$F$31+(Hipótesis!$F$32-Hipótesis!$F$31)*MAX(0,66-Hipótesis!$F$29)/Hipótesis!$F$33)</f>
        <v>0.55</v>
      </c>
      <c r="BQ22" s="120" t="n">
        <f aca="false">MIN(Hipótesis!$F$32,Hipótesis!$F$31+(Hipótesis!$F$32-Hipótesis!$F$31)*MAX(0,67-Hipótesis!$F$29)/Hipótesis!$F$33)</f>
        <v>0.55</v>
      </c>
      <c r="BR22" s="120" t="n">
        <f aca="false">MIN(Hipótesis!$F$32,Hipótesis!$F$31+(Hipótesis!$F$32-Hipótesis!$F$31)*MAX(0,68-Hipótesis!$F$29)/Hipótesis!$F$33)</f>
        <v>0.55</v>
      </c>
      <c r="BS22" s="120" t="n">
        <f aca="false">MIN(Hipótesis!$F$32,Hipótesis!$F$31+(Hipótesis!$F$32-Hipótesis!$F$31)*MAX(0,69-Hipótesis!$F$29)/Hipótesis!$F$33)</f>
        <v>0.55</v>
      </c>
      <c r="BT22" s="120" t="n">
        <f aca="false">MIN(Hipótesis!$F$32,Hipótesis!$F$31+(Hipótesis!$F$32-Hipótesis!$F$31)*MAX(0,70-Hipótesis!$F$29)/Hipótesis!$F$33)</f>
        <v>0.55</v>
      </c>
      <c r="BU22" s="120" t="n">
        <f aca="false">MIN(Hipótesis!$F$32,Hipótesis!$F$31+(Hipótesis!$F$32-Hipótesis!$F$31)*MAX(0,71-Hipótesis!$F$29)/Hipótesis!$F$33)</f>
        <v>0.55</v>
      </c>
      <c r="BV22" s="120" t="n">
        <f aca="false">MIN(Hipótesis!$F$32,Hipótesis!$F$31+(Hipótesis!$F$32-Hipótesis!$F$31)*MAX(0,72-Hipótesis!$F$29)/Hipótesis!$F$33)</f>
        <v>0.55</v>
      </c>
      <c r="BW22" s="120" t="n">
        <f aca="false">MIN(Hipótesis!$F$32,Hipótesis!$F$31+(Hipótesis!$F$32-Hipótesis!$F$31)*MAX(0,73-Hipótesis!$F$29)/Hipótesis!$F$33)</f>
        <v>0.55</v>
      </c>
      <c r="BX22" s="120" t="n">
        <f aca="false">MIN(Hipótesis!$F$32,Hipótesis!$F$31+(Hipótesis!$F$32-Hipótesis!$F$31)*MAX(0,74-Hipótesis!$F$29)/Hipótesis!$F$33)</f>
        <v>0.55</v>
      </c>
      <c r="BY22" s="120" t="n">
        <f aca="false">MIN(Hipótesis!$F$32,Hipótesis!$F$31+(Hipótesis!$F$32-Hipótesis!$F$31)*MAX(0,75-Hipótesis!$F$29)/Hipótesis!$F$33)</f>
        <v>0.55</v>
      </c>
      <c r="BZ22" s="120" t="n">
        <f aca="false">MIN(Hipótesis!$F$32,Hipótesis!$F$31+(Hipótesis!$F$32-Hipótesis!$F$31)*MAX(0,76-Hipótesis!$F$29)/Hipótesis!$F$33)</f>
        <v>0.55</v>
      </c>
      <c r="CA22" s="120" t="n">
        <f aca="false">MIN(Hipótesis!$F$32,Hipótesis!$F$31+(Hipótesis!$F$32-Hipótesis!$F$31)*MAX(0,77-Hipótesis!$F$29)/Hipótesis!$F$33)</f>
        <v>0.55</v>
      </c>
      <c r="CB22" s="120" t="n">
        <f aca="false">MIN(Hipótesis!$F$32,Hipótesis!$F$31+(Hipótesis!$F$32-Hipótesis!$F$31)*MAX(0,78-Hipótesis!$F$29)/Hipótesis!$F$33)</f>
        <v>0.55</v>
      </c>
      <c r="CC22" s="120" t="n">
        <f aca="false">MIN(Hipótesis!$F$32,Hipótesis!$F$31+(Hipótesis!$F$32-Hipótesis!$F$31)*MAX(0,79-Hipótesis!$F$29)/Hipótesis!$F$33)</f>
        <v>0.55</v>
      </c>
      <c r="CD22" s="120" t="n">
        <f aca="false">MIN(Hipótesis!$F$32,Hipótesis!$F$31+(Hipótesis!$F$32-Hipótesis!$F$31)*MAX(0,80-Hipótesis!$F$29)/Hipótesis!$F$33)</f>
        <v>0.55</v>
      </c>
      <c r="CE22" s="120" t="n">
        <f aca="false">MIN(Hipótesis!$F$32,Hipótesis!$F$31+(Hipótesis!$F$32-Hipótesis!$F$31)*MAX(0,81-Hipótesis!$F$29)/Hipótesis!$F$33)</f>
        <v>0.55</v>
      </c>
      <c r="CF22" s="120" t="n">
        <f aca="false">MIN(Hipótesis!$F$32,Hipótesis!$F$31+(Hipótesis!$F$32-Hipótesis!$F$31)*MAX(0,82-Hipótesis!$F$29)/Hipótesis!$F$33)</f>
        <v>0.55</v>
      </c>
      <c r="CG22" s="120" t="n">
        <f aca="false">MIN(Hipótesis!$F$32,Hipótesis!$F$31+(Hipótesis!$F$32-Hipótesis!$F$31)*MAX(0,83-Hipótesis!$F$29)/Hipótesis!$F$33)</f>
        <v>0.55</v>
      </c>
      <c r="CH22" s="120" t="n">
        <f aca="false">MIN(Hipótesis!$F$32,Hipótesis!$F$31+(Hipótesis!$F$32-Hipótesis!$F$31)*MAX(0,84-Hipótesis!$F$29)/Hipótesis!$F$33)</f>
        <v>0.55</v>
      </c>
    </row>
    <row r="23" customFormat="false" ht="13.5" hidden="false" customHeight="true" outlineLevel="0" collapsed="false">
      <c r="A23" s="6" t="s">
        <v>531</v>
      </c>
      <c r="C23" s="110" t="n">
        <f aca="false">MAX(0,MIN(C8*C22,C8-C18*C21))</f>
        <v>0</v>
      </c>
      <c r="D23" s="110" t="n">
        <f aca="false">MAX(0,MIN(D8*D22,D8-D18*D21))</f>
        <v>0</v>
      </c>
      <c r="E23" s="110" t="n">
        <f aca="false">MAX(0,MIN(E8*E22,E8-E18*E21))</f>
        <v>0</v>
      </c>
      <c r="F23" s="110" t="n">
        <f aca="false">MAX(0,MIN(F8*F22,F8-F18*F21))</f>
        <v>0</v>
      </c>
      <c r="G23" s="110" t="n">
        <f aca="false">MAX(0,MIN(G8*G22,G8-G18*G21))</f>
        <v>0</v>
      </c>
      <c r="H23" s="110" t="n">
        <f aca="false">MAX(0,MIN(H8*H22,H8-H18*H21))</f>
        <v>0</v>
      </c>
      <c r="I23" s="110" t="n">
        <f aca="false">MAX(0,MIN(I8*I22,I8-I18*I21))</f>
        <v>44</v>
      </c>
      <c r="J23" s="110" t="n">
        <f aca="false">MAX(0,MIN(J8*J22,J8-J18*J21))</f>
        <v>88</v>
      </c>
      <c r="K23" s="110" t="n">
        <f aca="false">MAX(0,MIN(K8*K22,K8-K18*K21))</f>
        <v>132</v>
      </c>
      <c r="L23" s="110" t="n">
        <f aca="false">MAX(0,MIN(L8*L22,L8-L18*L21))</f>
        <v>176</v>
      </c>
      <c r="M23" s="110" t="n">
        <f aca="false">MAX(0,MIN(M8*M22,M8-M18*M21))</f>
        <v>220</v>
      </c>
      <c r="N23" s="110" t="n">
        <f aca="false">MAX(0,MIN(N8*N22,N8-N18*N21))</f>
        <v>264</v>
      </c>
      <c r="O23" s="110" t="n">
        <f aca="false">MAX(0,MIN(O8*O22,O8-O18*O21))</f>
        <v>308</v>
      </c>
      <c r="P23" s="110" t="n">
        <f aca="false">MAX(0,MIN(P8*P22,P8-P18*P21))</f>
        <v>352</v>
      </c>
      <c r="Q23" s="110" t="n">
        <f aca="false">MAX(0,MIN(Q8*Q22,Q8-Q18*Q21))</f>
        <v>396</v>
      </c>
      <c r="R23" s="110" t="n">
        <f aca="false">MAX(0,MIN(R8*R22,R8-R18*R21))</f>
        <v>440</v>
      </c>
      <c r="S23" s="110" t="n">
        <f aca="false">MAX(0,MIN(S8*S22,S8-S18*S21))</f>
        <v>484</v>
      </c>
      <c r="T23" s="110" t="n">
        <f aca="false">MAX(0,MIN(T8*T22,T8-T18*T21))</f>
        <v>528</v>
      </c>
      <c r="U23" s="110" t="n">
        <f aca="false">MAX(0,MIN(U8*U22,U8-U18*U21))</f>
        <v>572</v>
      </c>
      <c r="V23" s="110" t="n">
        <f aca="false">MAX(0,MIN(V8*V22,V8-V18*V21))</f>
        <v>616</v>
      </c>
      <c r="W23" s="110" t="n">
        <f aca="false">MAX(0,MIN(W8*W22,W8-W18*W21))</f>
        <v>660</v>
      </c>
      <c r="X23" s="110" t="n">
        <f aca="false">MAX(0,MIN(X8*X22,X8-X18*X21))</f>
        <v>704</v>
      </c>
      <c r="Y23" s="110" t="n">
        <f aca="false">MAX(0,MIN(Y8*Y22,Y8-Y18*Y21))</f>
        <v>748</v>
      </c>
      <c r="Z23" s="110" t="n">
        <f aca="false">MAX(0,MIN(Z8*Z22,Z8-Z18*Z21))</f>
        <v>792</v>
      </c>
      <c r="AA23" s="110" t="n">
        <f aca="false">MAX(0,MIN(AA8*AA22,AA8-AA18*AA21))</f>
        <v>836</v>
      </c>
      <c r="AB23" s="110" t="n">
        <f aca="false">MAX(0,MIN(AB8*AB22,AB8-AB18*AB21))</f>
        <v>880</v>
      </c>
      <c r="AC23" s="110" t="n">
        <f aca="false">MAX(0,MIN(AC8*AC22,AC8-AC18*AC21))</f>
        <v>924</v>
      </c>
      <c r="AD23" s="110" t="n">
        <f aca="false">MAX(0,MIN(AD8*AD22,AD8-AD18*AD21))</f>
        <v>968</v>
      </c>
      <c r="AE23" s="110" t="n">
        <f aca="false">MAX(0,MIN(AE8*AE22,AE8-AE18*AE21))</f>
        <v>1012</v>
      </c>
      <c r="AF23" s="110" t="n">
        <f aca="false">MAX(0,MIN(AF8*AF22,AF8-AF18*AF21))</f>
        <v>1056</v>
      </c>
      <c r="AG23" s="110" t="n">
        <f aca="false">MAX(0,MIN(AG8*AG22,AG8-AG18*AG21))</f>
        <v>1100</v>
      </c>
      <c r="AH23" s="110" t="n">
        <f aca="false">MAX(0,MIN(AH8*AH22,AH8-AH18*AH21))</f>
        <v>1144</v>
      </c>
      <c r="AI23" s="110" t="n">
        <f aca="false">MAX(0,MIN(AI8*AI22,AI8-AI18*AI21))</f>
        <v>1188</v>
      </c>
      <c r="AJ23" s="110" t="n">
        <f aca="false">MAX(0,MIN(AJ8*AJ22,AJ8-AJ18*AJ21))</f>
        <v>1232</v>
      </c>
      <c r="AK23" s="110" t="n">
        <f aca="false">MAX(0,MIN(AK8*AK22,AK8-AK18*AK21))</f>
        <v>1276</v>
      </c>
      <c r="AL23" s="110" t="n">
        <f aca="false">MAX(0,MIN(AL8*AL22,AL8-AL18*AL21))</f>
        <v>1320</v>
      </c>
      <c r="AM23" s="110" t="n">
        <f aca="false">MAX(0,MIN(AM8*AM22,AM8-AM18*AM21))</f>
        <v>1364</v>
      </c>
      <c r="AN23" s="110" t="n">
        <f aca="false">MAX(0,MIN(AN8*AN22,AN8-AN18*AN21))</f>
        <v>1408</v>
      </c>
      <c r="AO23" s="110" t="n">
        <f aca="false">MAX(0,MIN(AO8*AO22,AO8-AO18*AO21))</f>
        <v>1452</v>
      </c>
      <c r="AP23" s="110" t="n">
        <f aca="false">MAX(0,MIN(AP8*AP22,AP8-AP18*AP21))</f>
        <v>1496</v>
      </c>
      <c r="AQ23" s="110" t="n">
        <f aca="false">MAX(0,MIN(AQ8*AQ22,AQ8-AQ18*AQ21))</f>
        <v>1540</v>
      </c>
      <c r="AR23" s="110" t="n">
        <f aca="false">MAX(0,MIN(AR8*AR22,AR8-AR18*AR21))</f>
        <v>1584</v>
      </c>
      <c r="AS23" s="110" t="n">
        <f aca="false">MAX(0,MIN(AS8*AS22,AS8-AS18*AS21))</f>
        <v>1584</v>
      </c>
      <c r="AT23" s="110" t="n">
        <f aca="false">MAX(0,MIN(AT8*AT22,AT8-AT18*AT21))</f>
        <v>1584</v>
      </c>
      <c r="AU23" s="110" t="n">
        <f aca="false">MAX(0,MIN(AU8*AU22,AU8-AU18*AU21))</f>
        <v>1584</v>
      </c>
      <c r="AV23" s="110" t="n">
        <f aca="false">MAX(0,MIN(AV8*AV22,AV8-AV18*AV21))</f>
        <v>1584</v>
      </c>
      <c r="AW23" s="110" t="n">
        <f aca="false">MAX(0,MIN(AW8*AW22,AW8-AW18*AW21))</f>
        <v>1584</v>
      </c>
      <c r="AX23" s="110" t="n">
        <f aca="false">MAX(0,MIN(AX8*AX22,AX8-AX18*AX21))</f>
        <v>1584</v>
      </c>
      <c r="AY23" s="110" t="n">
        <f aca="false">MAX(0,MIN(AY8*AY22,AY8-AY18*AY21))</f>
        <v>1584</v>
      </c>
      <c r="AZ23" s="110" t="n">
        <f aca="false">MAX(0,MIN(AZ8*AZ22,AZ8-AZ18*AZ21))</f>
        <v>1584</v>
      </c>
      <c r="BA23" s="110" t="n">
        <f aca="false">MAX(0,MIN(BA8*BA22,BA8-BA18*BA21))</f>
        <v>1584</v>
      </c>
      <c r="BB23" s="110" t="n">
        <f aca="false">MAX(0,MIN(BB8*BB22,BB8-BB18*BB21))</f>
        <v>1584</v>
      </c>
      <c r="BC23" s="110" t="n">
        <f aca="false">MAX(0,MIN(BC8*BC22,BC8-BC18*BC21))</f>
        <v>1584</v>
      </c>
      <c r="BD23" s="110" t="n">
        <f aca="false">MAX(0,MIN(BD8*BD22,BD8-BD18*BD21))</f>
        <v>1584</v>
      </c>
      <c r="BE23" s="110" t="n">
        <f aca="false">MAX(0,MIN(BE8*BE22,BE8-BE18*BE21))</f>
        <v>1584</v>
      </c>
      <c r="BF23" s="110" t="n">
        <f aca="false">MAX(0,MIN(BF8*BF22,BF8-BF18*BF21))</f>
        <v>1584</v>
      </c>
      <c r="BG23" s="110" t="n">
        <f aca="false">MAX(0,MIN(BG8*BG22,BG8-BG18*BG21))</f>
        <v>1584</v>
      </c>
      <c r="BH23" s="110" t="n">
        <f aca="false">MAX(0,MIN(BH8*BH22,BH8-BH18*BH21))</f>
        <v>1584</v>
      </c>
      <c r="BI23" s="110" t="n">
        <f aca="false">MAX(0,MIN(BI8*BI22,BI8-BI18*BI21))</f>
        <v>1584</v>
      </c>
      <c r="BJ23" s="110" t="n">
        <f aca="false">MAX(0,MIN(BJ8*BJ22,BJ8-BJ18*BJ21))</f>
        <v>1584</v>
      </c>
      <c r="BK23" s="110" t="n">
        <f aca="false">MAX(0,MIN(BK8*BK22,BK8-BK18*BK21))</f>
        <v>1584</v>
      </c>
      <c r="BL23" s="110" t="n">
        <f aca="false">MAX(0,MIN(BL8*BL22,BL8-BL18*BL21))</f>
        <v>1584</v>
      </c>
      <c r="BM23" s="110" t="n">
        <f aca="false">MAX(0,MIN(BM8*BM22,BM8-BM18*BM21))</f>
        <v>1584</v>
      </c>
      <c r="BN23" s="110" t="n">
        <f aca="false">MAX(0,MIN(BN8*BN22,BN8-BN18*BN21))</f>
        <v>1584</v>
      </c>
      <c r="BO23" s="110" t="n">
        <f aca="false">MAX(0,MIN(BO8*BO22,BO8-BO18*BO21))</f>
        <v>1584</v>
      </c>
      <c r="BP23" s="110" t="n">
        <f aca="false">MAX(0,MIN(BP8*BP22,BP8-BP18*BP21))</f>
        <v>1584</v>
      </c>
      <c r="BQ23" s="110" t="n">
        <f aca="false">MAX(0,MIN(BQ8*BQ22,BQ8-BQ18*BQ21))</f>
        <v>1584</v>
      </c>
      <c r="BR23" s="110" t="n">
        <f aca="false">MAX(0,MIN(BR8*BR22,BR8-BR18*BR21))</f>
        <v>1584</v>
      </c>
      <c r="BS23" s="110" t="n">
        <f aca="false">MAX(0,MIN(BS8*BS22,BS8-BS18*BS21))</f>
        <v>1584</v>
      </c>
      <c r="BT23" s="110" t="n">
        <f aca="false">MAX(0,MIN(BT8*BT22,BT8-BT18*BT21))</f>
        <v>1584</v>
      </c>
      <c r="BU23" s="110" t="n">
        <f aca="false">MAX(0,MIN(BU8*BU22,BU8-BU18*BU21))</f>
        <v>1584</v>
      </c>
      <c r="BV23" s="110" t="n">
        <f aca="false">MAX(0,MIN(BV8*BV22,BV8-BV18*BV21))</f>
        <v>1584</v>
      </c>
      <c r="BW23" s="110" t="n">
        <f aca="false">MAX(0,MIN(BW8*BW22,BW8-BW18*BW21))</f>
        <v>1584</v>
      </c>
      <c r="BX23" s="110" t="n">
        <f aca="false">MAX(0,MIN(BX8*BX22,BX8-BX18*BX21))</f>
        <v>1584</v>
      </c>
      <c r="BY23" s="110" t="n">
        <f aca="false">MAX(0,MIN(BY8*BY22,BY8-BY18*BY21))</f>
        <v>1584</v>
      </c>
      <c r="BZ23" s="110" t="n">
        <f aca="false">MAX(0,MIN(BZ8*BZ22,BZ8-BZ18*BZ21))</f>
        <v>1584</v>
      </c>
      <c r="CA23" s="110" t="n">
        <f aca="false">MAX(0,MIN(CA8*CA22,CA8-CA18*CA21))</f>
        <v>1584</v>
      </c>
      <c r="CB23" s="110" t="n">
        <f aca="false">MAX(0,MIN(CB8*CB22,CB8-CB18*CB21))</f>
        <v>1584</v>
      </c>
      <c r="CC23" s="110" t="n">
        <f aca="false">MAX(0,MIN(CC8*CC22,CC8-CC18*CC21))</f>
        <v>1584</v>
      </c>
      <c r="CD23" s="110" t="n">
        <f aca="false">MAX(0,MIN(CD8*CD22,CD8-CD18*CD21))</f>
        <v>1584</v>
      </c>
      <c r="CE23" s="110" t="n">
        <f aca="false">MAX(0,MIN(CE8*CE22,CE8-CE18*CE21))</f>
        <v>1584</v>
      </c>
      <c r="CF23" s="110" t="n">
        <f aca="false">MAX(0,MIN(CF8*CF22,CF8-CF18*CF21))</f>
        <v>1584</v>
      </c>
      <c r="CG23" s="110" t="n">
        <f aca="false">MAX(0,MIN(CG8*CG22,CG8-CG18*CG21))</f>
        <v>1584</v>
      </c>
      <c r="CH23" s="110" t="n">
        <f aca="false">MAX(0,MIN(CH8*CH22,CH8-CH18*CH21))</f>
        <v>1584</v>
      </c>
    </row>
    <row r="24" customFormat="false" ht="13.5" hidden="false" customHeight="true" outlineLevel="0" collapsed="false">
      <c r="A24" s="22" t="s">
        <v>532</v>
      </c>
      <c r="C24" s="110" t="n">
        <f aca="false">C18*C21+C23</f>
        <v>40.2339469647162</v>
      </c>
      <c r="D24" s="110" t="n">
        <f aca="false">D18*D21+D23</f>
        <v>82.3352799370899</v>
      </c>
      <c r="E24" s="110" t="n">
        <f aca="false">E18*E21+E23</f>
        <v>155.435557112391</v>
      </c>
      <c r="F24" s="110" t="n">
        <f aca="false">F18*F21+F23</f>
        <v>188.301887322976</v>
      </c>
      <c r="G24" s="110" t="n">
        <f aca="false">G18*G21+G23</f>
        <v>219.300831525904</v>
      </c>
      <c r="H24" s="110" t="n">
        <f aca="false">H18*H21+H23</f>
        <v>271.696907066574</v>
      </c>
      <c r="I24" s="110" t="n">
        <f aca="false">I18*I21+I23</f>
        <v>368.092982607244</v>
      </c>
      <c r="J24" s="110" t="n">
        <f aca="false">J18*J21+J23</f>
        <v>464.489058147914</v>
      </c>
      <c r="K24" s="110" t="n">
        <f aca="false">K18*K21+K23</f>
        <v>560.885133688584</v>
      </c>
      <c r="L24" s="110" t="n">
        <f aca="false">L18*L21+L23</f>
        <v>657.281209229254</v>
      </c>
      <c r="M24" s="110" t="n">
        <f aca="false">M18*M21+M23</f>
        <v>722.678340566996</v>
      </c>
      <c r="N24" s="110" t="n">
        <f aca="false">N18*N21+N23</f>
        <v>819.198572032363</v>
      </c>
      <c r="O24" s="110" t="n">
        <f aca="false">O18*O21+O23</f>
        <v>915.71880349773</v>
      </c>
      <c r="P24" s="110" t="n">
        <f aca="false">P18*P21+P23</f>
        <v>1003.29114367641</v>
      </c>
      <c r="Q24" s="110" t="n">
        <f aca="false">Q18*Q21+Q23</f>
        <v>1090.86348385508</v>
      </c>
      <c r="R24" s="110" t="n">
        <f aca="false">R18*R21+R23</f>
        <v>1178.43582403376</v>
      </c>
      <c r="S24" s="110" t="n">
        <f aca="false">S18*S21+S23</f>
        <v>1266.00816421243</v>
      </c>
      <c r="T24" s="110" t="n">
        <f aca="false">T18*T21+T23</f>
        <v>1353.58050439111</v>
      </c>
      <c r="U24" s="110" t="n">
        <f aca="false">U18*U21+U23</f>
        <v>1441.15284456978</v>
      </c>
      <c r="V24" s="110" t="n">
        <f aca="false">V18*V21+V23</f>
        <v>1528.72518474846</v>
      </c>
      <c r="W24" s="110" t="n">
        <f aca="false">W18*W21+W23</f>
        <v>1616.29752492713</v>
      </c>
      <c r="X24" s="110" t="n">
        <f aca="false">X18*X21+X23</f>
        <v>1672.74676497818</v>
      </c>
      <c r="Y24" s="110" t="n">
        <f aca="false">Y18*Y21+Y23</f>
        <v>1729.19600502923</v>
      </c>
      <c r="Z24" s="110" t="n">
        <f aca="false">Z18*Z21+Z23</f>
        <v>1773.19600502923</v>
      </c>
      <c r="AA24" s="110" t="n">
        <f aca="false">AA18*AA21+AA23</f>
        <v>1817.19600502923</v>
      </c>
      <c r="AB24" s="110" t="n">
        <f aca="false">AB18*AB21+AB23</f>
        <v>1861.19600502923</v>
      </c>
      <c r="AC24" s="110" t="n">
        <f aca="false">AC18*AC21+AC23</f>
        <v>1905.19600502923</v>
      </c>
      <c r="AD24" s="110" t="n">
        <f aca="false">AD18*AD21+AD23</f>
        <v>1949.19600502923</v>
      </c>
      <c r="AE24" s="110" t="n">
        <f aca="false">AE18*AE21+AE23</f>
        <v>1993.19600502923</v>
      </c>
      <c r="AF24" s="110" t="n">
        <f aca="false">AF18*AF21+AF23</f>
        <v>2037.19600502923</v>
      </c>
      <c r="AG24" s="110" t="n">
        <f aca="false">AG18*AG21+AG23</f>
        <v>2081.19600502923</v>
      </c>
      <c r="AH24" s="110" t="n">
        <f aca="false">AH18*AH21+AH23</f>
        <v>2125.19600502923</v>
      </c>
      <c r="AI24" s="110" t="n">
        <f aca="false">AI18*AI21+AI23</f>
        <v>2169.19600502923</v>
      </c>
      <c r="AJ24" s="110" t="n">
        <f aca="false">AJ18*AJ21+AJ23</f>
        <v>2213.19600502923</v>
      </c>
      <c r="AK24" s="110" t="n">
        <f aca="false">AK18*AK21+AK23</f>
        <v>2257.19600502923</v>
      </c>
      <c r="AL24" s="110" t="n">
        <f aca="false">AL18*AL21+AL23</f>
        <v>2301.19600502923</v>
      </c>
      <c r="AM24" s="110" t="n">
        <f aca="false">AM18*AM21+AM23</f>
        <v>2345.19600502923</v>
      </c>
      <c r="AN24" s="110" t="n">
        <f aca="false">AN18*AN21+AN23</f>
        <v>2389.19600502923</v>
      </c>
      <c r="AO24" s="110" t="n">
        <f aca="false">AO18*AO21+AO23</f>
        <v>2433.19600502923</v>
      </c>
      <c r="AP24" s="110" t="n">
        <f aca="false">AP18*AP21+AP23</f>
        <v>2477.19600502923</v>
      </c>
      <c r="AQ24" s="110" t="n">
        <f aca="false">AQ18*AQ21+AQ23</f>
        <v>2521.19600502923</v>
      </c>
      <c r="AR24" s="110" t="n">
        <f aca="false">AR18*AR21+AR23</f>
        <v>2565.19600502923</v>
      </c>
      <c r="AS24" s="110" t="n">
        <f aca="false">AS18*AS21+AS23</f>
        <v>2565.19600502923</v>
      </c>
      <c r="AT24" s="110" t="n">
        <f aca="false">AT18*AT21+AT23</f>
        <v>2565.19600502923</v>
      </c>
      <c r="AU24" s="110" t="n">
        <f aca="false">AU18*AU21+AU23</f>
        <v>2565.19600502923</v>
      </c>
      <c r="AV24" s="110" t="n">
        <f aca="false">AV18*AV21+AV23</f>
        <v>2565.19600502923</v>
      </c>
      <c r="AW24" s="110" t="n">
        <f aca="false">AW18*AW21+AW23</f>
        <v>2565.19600502923</v>
      </c>
      <c r="AX24" s="110" t="n">
        <f aca="false">AX18*AX21+AX23</f>
        <v>2565.19600502923</v>
      </c>
      <c r="AY24" s="110" t="n">
        <f aca="false">AY18*AY21+AY23</f>
        <v>2565.19600502923</v>
      </c>
      <c r="AZ24" s="110" t="n">
        <f aca="false">AZ18*AZ21+AZ23</f>
        <v>2565.19600502923</v>
      </c>
      <c r="BA24" s="110" t="n">
        <f aca="false">BA18*BA21+BA23</f>
        <v>2565.19600502923</v>
      </c>
      <c r="BB24" s="110" t="n">
        <f aca="false">BB18*BB21+BB23</f>
        <v>2565.19600502923</v>
      </c>
      <c r="BC24" s="110" t="n">
        <f aca="false">BC18*BC21+BC23</f>
        <v>2565.19600502923</v>
      </c>
      <c r="BD24" s="110" t="n">
        <f aca="false">BD18*BD21+BD23</f>
        <v>2565.19600502923</v>
      </c>
      <c r="BE24" s="110" t="n">
        <f aca="false">BE18*BE21+BE23</f>
        <v>2565.19600502923</v>
      </c>
      <c r="BF24" s="110" t="n">
        <f aca="false">BF18*BF21+BF23</f>
        <v>2565.19600502923</v>
      </c>
      <c r="BG24" s="110" t="n">
        <f aca="false">BG18*BG21+BG23</f>
        <v>2565.19600502923</v>
      </c>
      <c r="BH24" s="110" t="n">
        <f aca="false">BH18*BH21+BH23</f>
        <v>2565.19600502923</v>
      </c>
      <c r="BI24" s="110" t="n">
        <f aca="false">BI18*BI21+BI23</f>
        <v>2565.19600502923</v>
      </c>
      <c r="BJ24" s="110" t="n">
        <f aca="false">BJ18*BJ21+BJ23</f>
        <v>2565.19600502923</v>
      </c>
      <c r="BK24" s="110" t="n">
        <f aca="false">BK18*BK21+BK23</f>
        <v>2565.19600502923</v>
      </c>
      <c r="BL24" s="110" t="n">
        <f aca="false">BL18*BL21+BL23</f>
        <v>2565.19600502923</v>
      </c>
      <c r="BM24" s="110" t="n">
        <f aca="false">BM18*BM21+BM23</f>
        <v>2565.19600502923</v>
      </c>
      <c r="BN24" s="110" t="n">
        <f aca="false">BN18*BN21+BN23</f>
        <v>2565.19600502923</v>
      </c>
      <c r="BO24" s="110" t="n">
        <f aca="false">BO18*BO21+BO23</f>
        <v>2565.19600502923</v>
      </c>
      <c r="BP24" s="110" t="n">
        <f aca="false">BP18*BP21+BP23</f>
        <v>2565.19600502923</v>
      </c>
      <c r="BQ24" s="110" t="n">
        <f aca="false">BQ18*BQ21+BQ23</f>
        <v>2565.19600502923</v>
      </c>
      <c r="BR24" s="110" t="n">
        <f aca="false">BR18*BR21+BR23</f>
        <v>2565.19600502923</v>
      </c>
      <c r="BS24" s="110" t="n">
        <f aca="false">BS18*BS21+BS23</f>
        <v>2565.19600502923</v>
      </c>
      <c r="BT24" s="110" t="n">
        <f aca="false">BT18*BT21+BT23</f>
        <v>2565.19600502923</v>
      </c>
      <c r="BU24" s="110" t="n">
        <f aca="false">BU18*BU21+BU23</f>
        <v>2565.19600502923</v>
      </c>
      <c r="BV24" s="110" t="n">
        <f aca="false">BV18*BV21+BV23</f>
        <v>2565.19600502923</v>
      </c>
      <c r="BW24" s="110" t="n">
        <f aca="false">BW18*BW21+BW23</f>
        <v>2565.19600502923</v>
      </c>
      <c r="BX24" s="110" t="n">
        <f aca="false">BX18*BX21+BX23</f>
        <v>2565.19600502923</v>
      </c>
      <c r="BY24" s="110" t="n">
        <f aca="false">BY18*BY21+BY23</f>
        <v>2565.19600502923</v>
      </c>
      <c r="BZ24" s="110" t="n">
        <f aca="false">BZ18*BZ21+BZ23</f>
        <v>2565.19600502923</v>
      </c>
      <c r="CA24" s="110" t="n">
        <f aca="false">CA18*CA21+CA23</f>
        <v>2565.19600502923</v>
      </c>
      <c r="CB24" s="110" t="n">
        <f aca="false">CB18*CB21+CB23</f>
        <v>2565.19600502923</v>
      </c>
      <c r="CC24" s="110" t="n">
        <f aca="false">CC18*CC21+CC23</f>
        <v>2565.19600502923</v>
      </c>
      <c r="CD24" s="110" t="n">
        <f aca="false">CD18*CD21+CD23</f>
        <v>2565.19600502923</v>
      </c>
      <c r="CE24" s="110" t="n">
        <f aca="false">CE18*CE21+CE23</f>
        <v>2565.19600502923</v>
      </c>
      <c r="CF24" s="110" t="n">
        <f aca="false">CF18*CF21+CF23</f>
        <v>2565.19600502923</v>
      </c>
      <c r="CG24" s="110" t="n">
        <f aca="false">CG18*CG21+CG23</f>
        <v>2565.19600502923</v>
      </c>
      <c r="CH24" s="110" t="n">
        <f aca="false">CH18*CH21+CH23</f>
        <v>2565.19600502923</v>
      </c>
    </row>
    <row r="25" customFormat="false" ht="13.5" hidden="false" customHeight="true" outlineLevel="0" collapsed="false">
      <c r="A25" s="6" t="s">
        <v>533</v>
      </c>
      <c r="C25" s="120" t="n">
        <f aca="false">IFERROR(C24/C8,0)</f>
        <v>0.0419103614215794</v>
      </c>
      <c r="D25" s="120" t="n">
        <f aca="false">IFERROR(D24/D8,0)</f>
        <v>0.0571772777340902</v>
      </c>
      <c r="E25" s="120" t="n">
        <f aca="false">IFERROR(E24/E8,0)</f>
        <v>0.0809560193293705</v>
      </c>
      <c r="F25" s="120" t="n">
        <f aca="false">IFERROR(F24/F8,0)</f>
        <v>0.0784591197179069</v>
      </c>
      <c r="G25" s="120" t="n">
        <f aca="false">IFERROR(G24/G8,0)</f>
        <v>0.0761461220576056</v>
      </c>
      <c r="H25" s="120" t="n">
        <f aca="false">IFERROR(H24/H8,0)</f>
        <v>0.0943392038425605</v>
      </c>
      <c r="I25" s="120" t="n">
        <f aca="false">IFERROR(I24/I8,0)</f>
        <v>0.127810063405293</v>
      </c>
      <c r="J25" s="120" t="n">
        <f aca="false">IFERROR(J24/J8,0)</f>
        <v>0.161280922968026</v>
      </c>
      <c r="K25" s="120" t="n">
        <f aca="false">IFERROR(K24/K8,0)</f>
        <v>0.194751782530758</v>
      </c>
      <c r="L25" s="120" t="n">
        <f aca="false">IFERROR(L24/L8,0)</f>
        <v>0.228222642093491</v>
      </c>
      <c r="M25" s="120" t="n">
        <f aca="false">IFERROR(M24/M8,0)</f>
        <v>0.25092997936354</v>
      </c>
      <c r="N25" s="120" t="n">
        <f aca="false">IFERROR(N24/N8,0)</f>
        <v>0.284443948622348</v>
      </c>
      <c r="O25" s="120" t="n">
        <f aca="false">IFERROR(O24/O8,0)</f>
        <v>0.317957917881156</v>
      </c>
      <c r="P25" s="120" t="n">
        <f aca="false">IFERROR(P24/P8,0)</f>
        <v>0.348364980443196</v>
      </c>
      <c r="Q25" s="120" t="n">
        <f aca="false">IFERROR(Q24/Q8,0)</f>
        <v>0.378772043005236</v>
      </c>
      <c r="R25" s="120" t="n">
        <f aca="false">IFERROR(R24/R8,0)</f>
        <v>0.409179105567276</v>
      </c>
      <c r="S25" s="120" t="n">
        <f aca="false">IFERROR(S24/S8,0)</f>
        <v>0.439586168129316</v>
      </c>
      <c r="T25" s="120" t="n">
        <f aca="false">IFERROR(T24/T8,0)</f>
        <v>0.469993230691356</v>
      </c>
      <c r="U25" s="120" t="n">
        <f aca="false">IFERROR(U24/U8,0)</f>
        <v>0.500400293253396</v>
      </c>
      <c r="V25" s="120" t="n">
        <f aca="false">IFERROR(V24/V8,0)</f>
        <v>0.530807355815436</v>
      </c>
      <c r="W25" s="120" t="n">
        <f aca="false">IFERROR(W24/W8,0)</f>
        <v>0.561214418377476</v>
      </c>
      <c r="X25" s="120" t="n">
        <f aca="false">IFERROR(X24/X8,0)</f>
        <v>0.580814848950757</v>
      </c>
      <c r="Y25" s="120" t="n">
        <f aca="false">IFERROR(Y24/Y8,0)</f>
        <v>0.600415279524038</v>
      </c>
      <c r="Z25" s="120" t="n">
        <f aca="false">IFERROR(Z24/Z8,0)</f>
        <v>0.615693057301816</v>
      </c>
      <c r="AA25" s="120" t="n">
        <f aca="false">IFERROR(AA24/AA8,0)</f>
        <v>0.630970835079594</v>
      </c>
      <c r="AB25" s="120" t="n">
        <f aca="false">IFERROR(AB24/AB8,0)</f>
        <v>0.646248612857372</v>
      </c>
      <c r="AC25" s="120" t="n">
        <f aca="false">IFERROR(AC24/AC8,0)</f>
        <v>0.66152639063515</v>
      </c>
      <c r="AD25" s="120" t="n">
        <f aca="false">IFERROR(AD24/AD8,0)</f>
        <v>0.676804168412927</v>
      </c>
      <c r="AE25" s="120" t="n">
        <f aca="false">IFERROR(AE24/AE8,0)</f>
        <v>0.692081946190705</v>
      </c>
      <c r="AF25" s="120" t="n">
        <f aca="false">IFERROR(AF24/AF8,0)</f>
        <v>0.707359723968483</v>
      </c>
      <c r="AG25" s="120" t="n">
        <f aca="false">IFERROR(AG24/AG8,0)</f>
        <v>0.722637501746261</v>
      </c>
      <c r="AH25" s="120" t="n">
        <f aca="false">IFERROR(AH24/AH8,0)</f>
        <v>0.737915279524038</v>
      </c>
      <c r="AI25" s="120" t="n">
        <f aca="false">IFERROR(AI24/AI8,0)</f>
        <v>0.753193057301816</v>
      </c>
      <c r="AJ25" s="120" t="n">
        <f aca="false">IFERROR(AJ24/AJ8,0)</f>
        <v>0.768470835079594</v>
      </c>
      <c r="AK25" s="120" t="n">
        <f aca="false">IFERROR(AK24/AK8,0)</f>
        <v>0.783748612857372</v>
      </c>
      <c r="AL25" s="120" t="n">
        <f aca="false">IFERROR(AL24/AL8,0)</f>
        <v>0.79902639063515</v>
      </c>
      <c r="AM25" s="120" t="n">
        <f aca="false">IFERROR(AM24/AM8,0)</f>
        <v>0.814304168412927</v>
      </c>
      <c r="AN25" s="120" t="n">
        <f aca="false">IFERROR(AN24/AN8,0)</f>
        <v>0.829581946190705</v>
      </c>
      <c r="AO25" s="120" t="n">
        <f aca="false">IFERROR(AO24/AO8,0)</f>
        <v>0.844859723968483</v>
      </c>
      <c r="AP25" s="120" t="n">
        <f aca="false">IFERROR(AP24/AP8,0)</f>
        <v>0.860137501746261</v>
      </c>
      <c r="AQ25" s="120" t="n">
        <f aca="false">IFERROR(AQ24/AQ8,0)</f>
        <v>0.875415279524038</v>
      </c>
      <c r="AR25" s="120" t="n">
        <f aca="false">IFERROR(AR24/AR8,0)</f>
        <v>0.890693057301816</v>
      </c>
      <c r="AS25" s="120" t="n">
        <f aca="false">IFERROR(AS24/AS8,0)</f>
        <v>0.890693057301816</v>
      </c>
      <c r="AT25" s="120" t="n">
        <f aca="false">IFERROR(AT24/AT8,0)</f>
        <v>0.890693057301816</v>
      </c>
      <c r="AU25" s="120" t="n">
        <f aca="false">IFERROR(AU24/AU8,0)</f>
        <v>0.890693057301816</v>
      </c>
      <c r="AV25" s="120" t="n">
        <f aca="false">IFERROR(AV24/AV8,0)</f>
        <v>0.890693057301816</v>
      </c>
      <c r="AW25" s="120" t="n">
        <f aca="false">IFERROR(AW24/AW8,0)</f>
        <v>0.890693057301816</v>
      </c>
      <c r="AX25" s="120" t="n">
        <f aca="false">IFERROR(AX24/AX8,0)</f>
        <v>0.890693057301816</v>
      </c>
      <c r="AY25" s="120" t="n">
        <f aca="false">IFERROR(AY24/AY8,0)</f>
        <v>0.890693057301816</v>
      </c>
      <c r="AZ25" s="120" t="n">
        <f aca="false">IFERROR(AZ24/AZ8,0)</f>
        <v>0.890693057301816</v>
      </c>
      <c r="BA25" s="120" t="n">
        <f aca="false">IFERROR(BA24/BA8,0)</f>
        <v>0.890693057301816</v>
      </c>
      <c r="BB25" s="120" t="n">
        <f aca="false">IFERROR(BB24/BB8,0)</f>
        <v>0.890693057301816</v>
      </c>
      <c r="BC25" s="120" t="n">
        <f aca="false">IFERROR(BC24/BC8,0)</f>
        <v>0.890693057301816</v>
      </c>
      <c r="BD25" s="120" t="n">
        <f aca="false">IFERROR(BD24/BD8,0)</f>
        <v>0.890693057301816</v>
      </c>
      <c r="BE25" s="120" t="n">
        <f aca="false">IFERROR(BE24/BE8,0)</f>
        <v>0.890693057301816</v>
      </c>
      <c r="BF25" s="120" t="n">
        <f aca="false">IFERROR(BF24/BF8,0)</f>
        <v>0.890693057301816</v>
      </c>
      <c r="BG25" s="120" t="n">
        <f aca="false">IFERROR(BG24/BG8,0)</f>
        <v>0.890693057301816</v>
      </c>
      <c r="BH25" s="120" t="n">
        <f aca="false">IFERROR(BH24/BH8,0)</f>
        <v>0.890693057301816</v>
      </c>
      <c r="BI25" s="120" t="n">
        <f aca="false">IFERROR(BI24/BI8,0)</f>
        <v>0.890693057301816</v>
      </c>
      <c r="BJ25" s="120" t="n">
        <f aca="false">IFERROR(BJ24/BJ8,0)</f>
        <v>0.890693057301816</v>
      </c>
      <c r="BK25" s="120" t="n">
        <f aca="false">IFERROR(BK24/BK8,0)</f>
        <v>0.890693057301816</v>
      </c>
      <c r="BL25" s="120" t="n">
        <f aca="false">IFERROR(BL24/BL8,0)</f>
        <v>0.890693057301816</v>
      </c>
      <c r="BM25" s="120" t="n">
        <f aca="false">IFERROR(BM24/BM8,0)</f>
        <v>0.890693057301816</v>
      </c>
      <c r="BN25" s="120" t="n">
        <f aca="false">IFERROR(BN24/BN8,0)</f>
        <v>0.890693057301816</v>
      </c>
      <c r="BO25" s="120" t="n">
        <f aca="false">IFERROR(BO24/BO8,0)</f>
        <v>0.890693057301816</v>
      </c>
      <c r="BP25" s="120" t="n">
        <f aca="false">IFERROR(BP24/BP8,0)</f>
        <v>0.890693057301816</v>
      </c>
      <c r="BQ25" s="120" t="n">
        <f aca="false">IFERROR(BQ24/BQ8,0)</f>
        <v>0.890693057301816</v>
      </c>
      <c r="BR25" s="120" t="n">
        <f aca="false">IFERROR(BR24/BR8,0)</f>
        <v>0.890693057301816</v>
      </c>
      <c r="BS25" s="120" t="n">
        <f aca="false">IFERROR(BS24/BS8,0)</f>
        <v>0.890693057301816</v>
      </c>
      <c r="BT25" s="120" t="n">
        <f aca="false">IFERROR(BT24/BT8,0)</f>
        <v>0.890693057301816</v>
      </c>
      <c r="BU25" s="120" t="n">
        <f aca="false">IFERROR(BU24/BU8,0)</f>
        <v>0.890693057301816</v>
      </c>
      <c r="BV25" s="120" t="n">
        <f aca="false">IFERROR(BV24/BV8,0)</f>
        <v>0.890693057301816</v>
      </c>
      <c r="BW25" s="120" t="n">
        <f aca="false">IFERROR(BW24/BW8,0)</f>
        <v>0.890693057301816</v>
      </c>
      <c r="BX25" s="120" t="n">
        <f aca="false">IFERROR(BX24/BX8,0)</f>
        <v>0.890693057301816</v>
      </c>
      <c r="BY25" s="120" t="n">
        <f aca="false">IFERROR(BY24/BY8,0)</f>
        <v>0.890693057301816</v>
      </c>
      <c r="BZ25" s="120" t="n">
        <f aca="false">IFERROR(BZ24/BZ8,0)</f>
        <v>0.890693057301816</v>
      </c>
      <c r="CA25" s="120" t="n">
        <f aca="false">IFERROR(CA24/CA8,0)</f>
        <v>0.890693057301816</v>
      </c>
      <c r="CB25" s="120" t="n">
        <f aca="false">IFERROR(CB24/CB8,0)</f>
        <v>0.890693057301816</v>
      </c>
      <c r="CC25" s="120" t="n">
        <f aca="false">IFERROR(CC24/CC8,0)</f>
        <v>0.890693057301816</v>
      </c>
      <c r="CD25" s="120" t="n">
        <f aca="false">IFERROR(CD24/CD8,0)</f>
        <v>0.890693057301816</v>
      </c>
      <c r="CE25" s="120" t="n">
        <f aca="false">IFERROR(CE24/CE8,0)</f>
        <v>0.890693057301816</v>
      </c>
      <c r="CF25" s="120" t="n">
        <f aca="false">IFERROR(CF24/CF8,0)</f>
        <v>0.890693057301816</v>
      </c>
      <c r="CG25" s="120" t="n">
        <f aca="false">IFERROR(CG24/CG8,0)</f>
        <v>0.890693057301816</v>
      </c>
      <c r="CH25" s="120" t="n">
        <f aca="false">IFERROR(CH24/CH8,0)</f>
        <v>0.890693057301816</v>
      </c>
    </row>
    <row r="26" customFormat="false" ht="13.5" hidden="false" customHeight="true" outlineLevel="0" collapsed="false">
      <c r="A26" s="6" t="s">
        <v>262</v>
      </c>
      <c r="C26" s="110" t="n">
        <f aca="false">C20*C21+C23*Hipótesis!$F$23</f>
        <v>12.3975</v>
      </c>
      <c r="D26" s="110" t="n">
        <f aca="false">D20*D21+D23*Hipótesis!$F$23</f>
        <v>27.405</v>
      </c>
      <c r="E26" s="110" t="n">
        <f aca="false">E20*E21+E23*Hipótesis!$F$23</f>
        <v>75.69</v>
      </c>
      <c r="F26" s="110" t="n">
        <f aca="false">F20*F21+F23*Hipótesis!$F$23</f>
        <v>111.5775</v>
      </c>
      <c r="G26" s="110" t="n">
        <f aca="false">G20*G21+G23*Hipótesis!$F$23</f>
        <v>144.855</v>
      </c>
      <c r="H26" s="110" t="n">
        <f aca="false">H20*H21+H23*Hipótesis!$F$23</f>
        <v>208.03875</v>
      </c>
      <c r="I26" s="110" t="n">
        <f aca="false">I20*I21+I23*Hipótesis!$F$23</f>
        <v>325.651287891892</v>
      </c>
      <c r="J26" s="110" t="n">
        <f aca="false">J20*J21+J23*Hipótesis!$F$23</f>
        <v>443.263825783784</v>
      </c>
      <c r="K26" s="110" t="n">
        <f aca="false">K20*K21+K23*Hipótesis!$F$23</f>
        <v>560.876363675676</v>
      </c>
      <c r="L26" s="110" t="n">
        <f aca="false">L20*L21+L23*Hipótesis!$F$23</f>
        <v>678.488901567568</v>
      </c>
      <c r="M26" s="110" t="n">
        <f aca="false">M20*M21+M23*Hipótesis!$F$23</f>
        <v>762.82393945946</v>
      </c>
      <c r="N26" s="110" t="n">
        <f aca="false">N20*N21+N23*Hipótesis!$F$23</f>
        <v>890.658977351351</v>
      </c>
      <c r="O26" s="110" t="n">
        <f aca="false">O20*O21+O23*Hipótesis!$F$23</f>
        <v>1018.49401524324</v>
      </c>
      <c r="P26" s="110" t="n">
        <f aca="false">P20*P21+P23*Hipótesis!$F$23</f>
        <v>1133.82280313514</v>
      </c>
      <c r="Q26" s="110" t="n">
        <f aca="false">Q20*Q21+Q23*Hipótesis!$F$23</f>
        <v>1249.15159102703</v>
      </c>
      <c r="R26" s="110" t="n">
        <f aca="false">R20*R21+R23*Hipótesis!$F$23</f>
        <v>1364.48037891892</v>
      </c>
      <c r="S26" s="110" t="n">
        <f aca="false">S20*S21+S23*Hipótesis!$F$23</f>
        <v>1479.80916681081</v>
      </c>
      <c r="T26" s="110" t="n">
        <f aca="false">T20*T21+T23*Hipótesis!$F$23</f>
        <v>1595.1379547027</v>
      </c>
      <c r="U26" s="110" t="n">
        <f aca="false">U20*U21+U23*Hipótesis!$F$23</f>
        <v>1710.46674259459</v>
      </c>
      <c r="V26" s="110" t="n">
        <f aca="false">V20*V21+V23*Hipótesis!$F$23</f>
        <v>1825.79553048649</v>
      </c>
      <c r="W26" s="110" t="n">
        <f aca="false">W20*W21+W23*Hipótesis!$F$23</f>
        <v>1941.12431837838</v>
      </c>
      <c r="X26" s="110" t="n">
        <f aca="false">X20*X21+X23*Hipótesis!$F$23</f>
        <v>2012.95310627027</v>
      </c>
      <c r="Y26" s="110" t="n">
        <f aca="false">Y20*Y21+Y23*Hipótesis!$F$23</f>
        <v>2084.78189416216</v>
      </c>
      <c r="Z26" s="110" t="n">
        <f aca="false">Z20*Z21+Z23*Hipótesis!$F$23</f>
        <v>2139.21068205405</v>
      </c>
      <c r="AA26" s="110" t="n">
        <f aca="false">AA20*AA21+AA23*Hipótesis!$F$23</f>
        <v>2193.63946994595</v>
      </c>
      <c r="AB26" s="110" t="n">
        <f aca="false">AB20*AB21+AB23*Hipótesis!$F$23</f>
        <v>2248.06825783784</v>
      </c>
      <c r="AC26" s="110" t="n">
        <f aca="false">AC20*AC21+AC23*Hipótesis!$F$23</f>
        <v>2302.49704572973</v>
      </c>
      <c r="AD26" s="110" t="n">
        <f aca="false">AD20*AD21+AD23*Hipótesis!$F$23</f>
        <v>2356.92583362162</v>
      </c>
      <c r="AE26" s="110" t="n">
        <f aca="false">AE20*AE21+AE23*Hipótesis!$F$23</f>
        <v>2411.35462151351</v>
      </c>
      <c r="AF26" s="110" t="n">
        <f aca="false">AF20*AF21+AF23*Hipótesis!$F$23</f>
        <v>2465.78340940541</v>
      </c>
      <c r="AG26" s="110" t="n">
        <f aca="false">AG20*AG21+AG23*Hipótesis!$F$23</f>
        <v>2520.2121972973</v>
      </c>
      <c r="AH26" s="110" t="n">
        <f aca="false">AH20*AH21+AH23*Hipótesis!$F$23</f>
        <v>2574.64098518919</v>
      </c>
      <c r="AI26" s="110" t="n">
        <f aca="false">AI20*AI21+AI23*Hipótesis!$F$23</f>
        <v>2629.06977308108</v>
      </c>
      <c r="AJ26" s="110" t="n">
        <f aca="false">AJ20*AJ21+AJ23*Hipótesis!$F$23</f>
        <v>2683.49856097297</v>
      </c>
      <c r="AK26" s="110" t="n">
        <f aca="false">AK20*AK21+AK23*Hipótesis!$F$23</f>
        <v>2737.92734886487</v>
      </c>
      <c r="AL26" s="110" t="n">
        <f aca="false">AL20*AL21+AL23*Hipótesis!$F$23</f>
        <v>2792.35613675676</v>
      </c>
      <c r="AM26" s="110" t="n">
        <f aca="false">AM20*AM21+AM23*Hipótesis!$F$23</f>
        <v>2846.78492464865</v>
      </c>
      <c r="AN26" s="110" t="n">
        <f aca="false">AN20*AN21+AN23*Hipótesis!$F$23</f>
        <v>2901.21371254054</v>
      </c>
      <c r="AO26" s="110" t="n">
        <f aca="false">AO20*AO21+AO23*Hipótesis!$F$23</f>
        <v>2955.64250043243</v>
      </c>
      <c r="AP26" s="110" t="n">
        <f aca="false">AP20*AP21+AP23*Hipótesis!$F$23</f>
        <v>3010.07128832433</v>
      </c>
      <c r="AQ26" s="110" t="n">
        <f aca="false">AQ20*AQ21+AQ23*Hipótesis!$F$23</f>
        <v>3064.50007621622</v>
      </c>
      <c r="AR26" s="110" t="n">
        <f aca="false">AR20*AR21+AR23*Hipótesis!$F$23</f>
        <v>3118.92886410811</v>
      </c>
      <c r="AS26" s="110" t="n">
        <f aca="false">AS20*AS21+AS23*Hipótesis!$F$23</f>
        <v>3118.92886410811</v>
      </c>
      <c r="AT26" s="110" t="n">
        <f aca="false">AT20*AT21+AT23*Hipótesis!$F$23</f>
        <v>3118.92886410811</v>
      </c>
      <c r="AU26" s="110" t="n">
        <f aca="false">AU20*AU21+AU23*Hipótesis!$F$23</f>
        <v>3118.92886410811</v>
      </c>
      <c r="AV26" s="110" t="n">
        <f aca="false">AV20*AV21+AV23*Hipótesis!$F$23</f>
        <v>3118.92886410811</v>
      </c>
      <c r="AW26" s="110" t="n">
        <f aca="false">AW20*AW21+AW23*Hipótesis!$F$23</f>
        <v>3118.92886410811</v>
      </c>
      <c r="AX26" s="110" t="n">
        <f aca="false">AX20*AX21+AX23*Hipótesis!$F$23</f>
        <v>3118.92886410811</v>
      </c>
      <c r="AY26" s="110" t="n">
        <f aca="false">AY20*AY21+AY23*Hipótesis!$F$23</f>
        <v>3118.92886410811</v>
      </c>
      <c r="AZ26" s="110" t="n">
        <f aca="false">AZ20*AZ21+AZ23*Hipótesis!$F$23</f>
        <v>3118.92886410811</v>
      </c>
      <c r="BA26" s="110" t="n">
        <f aca="false">BA20*BA21+BA23*Hipótesis!$F$23</f>
        <v>3118.92886410811</v>
      </c>
      <c r="BB26" s="110" t="n">
        <f aca="false">BB20*BB21+BB23*Hipótesis!$F$23</f>
        <v>3118.92886410811</v>
      </c>
      <c r="BC26" s="110" t="n">
        <f aca="false">BC20*BC21+BC23*Hipótesis!$F$23</f>
        <v>3118.92886410811</v>
      </c>
      <c r="BD26" s="110" t="n">
        <f aca="false">BD20*BD21+BD23*Hipótesis!$F$23</f>
        <v>3118.92886410811</v>
      </c>
      <c r="BE26" s="110" t="n">
        <f aca="false">BE20*BE21+BE23*Hipótesis!$F$23</f>
        <v>3118.92886410811</v>
      </c>
      <c r="BF26" s="110" t="n">
        <f aca="false">BF20*BF21+BF23*Hipótesis!$F$23</f>
        <v>3118.92886410811</v>
      </c>
      <c r="BG26" s="110" t="n">
        <f aca="false">BG20*BG21+BG23*Hipótesis!$F$23</f>
        <v>3118.92886410811</v>
      </c>
      <c r="BH26" s="110" t="n">
        <f aca="false">BH20*BH21+BH23*Hipótesis!$F$23</f>
        <v>3118.92886410811</v>
      </c>
      <c r="BI26" s="110" t="n">
        <f aca="false">BI20*BI21+BI23*Hipótesis!$F$23</f>
        <v>3118.92886410811</v>
      </c>
      <c r="BJ26" s="110" t="n">
        <f aca="false">BJ20*BJ21+BJ23*Hipótesis!$F$23</f>
        <v>3118.92886410811</v>
      </c>
      <c r="BK26" s="110" t="n">
        <f aca="false">BK20*BK21+BK23*Hipótesis!$F$23</f>
        <v>3118.92886410811</v>
      </c>
      <c r="BL26" s="110" t="n">
        <f aca="false">BL20*BL21+BL23*Hipótesis!$F$23</f>
        <v>3118.92886410811</v>
      </c>
      <c r="BM26" s="110" t="n">
        <f aca="false">BM20*BM21+BM23*Hipótesis!$F$23</f>
        <v>3118.92886410811</v>
      </c>
      <c r="BN26" s="110" t="n">
        <f aca="false">BN20*BN21+BN23*Hipótesis!$F$23</f>
        <v>3118.92886410811</v>
      </c>
      <c r="BO26" s="110" t="n">
        <f aca="false">BO20*BO21+BO23*Hipótesis!$F$23</f>
        <v>3118.92886410811</v>
      </c>
      <c r="BP26" s="110" t="n">
        <f aca="false">BP20*BP21+BP23*Hipótesis!$F$23</f>
        <v>3118.92886410811</v>
      </c>
      <c r="BQ26" s="110" t="n">
        <f aca="false">BQ20*BQ21+BQ23*Hipótesis!$F$23</f>
        <v>3118.92886410811</v>
      </c>
      <c r="BR26" s="110" t="n">
        <f aca="false">BR20*BR21+BR23*Hipótesis!$F$23</f>
        <v>3118.92886410811</v>
      </c>
      <c r="BS26" s="110" t="n">
        <f aca="false">BS20*BS21+BS23*Hipótesis!$F$23</f>
        <v>3118.92886410811</v>
      </c>
      <c r="BT26" s="110" t="n">
        <f aca="false">BT20*BT21+BT23*Hipótesis!$F$23</f>
        <v>3118.92886410811</v>
      </c>
      <c r="BU26" s="110" t="n">
        <f aca="false">BU20*BU21+BU23*Hipótesis!$F$23</f>
        <v>3118.92886410811</v>
      </c>
      <c r="BV26" s="110" t="n">
        <f aca="false">BV20*BV21+BV23*Hipótesis!$F$23</f>
        <v>3118.92886410811</v>
      </c>
      <c r="BW26" s="110" t="n">
        <f aca="false">BW20*BW21+BW23*Hipótesis!$F$23</f>
        <v>3118.92886410811</v>
      </c>
      <c r="BX26" s="110" t="n">
        <f aca="false">BX20*BX21+BX23*Hipótesis!$F$23</f>
        <v>3118.92886410811</v>
      </c>
      <c r="BY26" s="110" t="n">
        <f aca="false">BY20*BY21+BY23*Hipótesis!$F$23</f>
        <v>3118.92886410811</v>
      </c>
      <c r="BZ26" s="110" t="n">
        <f aca="false">BZ20*BZ21+BZ23*Hipótesis!$F$23</f>
        <v>3118.92886410811</v>
      </c>
      <c r="CA26" s="110" t="n">
        <f aca="false">CA20*CA21+CA23*Hipótesis!$F$23</f>
        <v>3118.92886410811</v>
      </c>
      <c r="CB26" s="110" t="n">
        <f aca="false">CB20*CB21+CB23*Hipótesis!$F$23</f>
        <v>3118.92886410811</v>
      </c>
      <c r="CC26" s="110" t="n">
        <f aca="false">CC20*CC21+CC23*Hipótesis!$F$23</f>
        <v>3118.92886410811</v>
      </c>
      <c r="CD26" s="110" t="n">
        <f aca="false">CD20*CD21+CD23*Hipótesis!$F$23</f>
        <v>3118.92886410811</v>
      </c>
      <c r="CE26" s="110" t="n">
        <f aca="false">CE20*CE21+CE23*Hipótesis!$F$23</f>
        <v>3118.92886410811</v>
      </c>
      <c r="CF26" s="110" t="n">
        <f aca="false">CF20*CF21+CF23*Hipótesis!$F$23</f>
        <v>3118.92886410811</v>
      </c>
      <c r="CG26" s="110" t="n">
        <f aca="false">CG20*CG21+CG23*Hipótesis!$F$23</f>
        <v>3118.92886410811</v>
      </c>
      <c r="CH26" s="110" t="n">
        <f aca="false">CH20*CH21+CH23*Hipótesis!$F$23</f>
        <v>3118.92886410811</v>
      </c>
    </row>
    <row r="27" customFormat="false" ht="13.5" hidden="false" customHeight="true" outlineLevel="0" collapsed="false">
      <c r="A27" s="6" t="s">
        <v>447</v>
      </c>
      <c r="C27" s="110" t="n">
        <f aca="false">C17*C21+C23*Hipótesis!$F$24</f>
        <v>102.916666666667</v>
      </c>
      <c r="D27" s="110" t="n">
        <f aca="false">D17*D21+D23*Hipótesis!$F$24</f>
        <v>221.186274509804</v>
      </c>
      <c r="E27" s="110" t="n">
        <f aca="false">E17*E21+E23*Hipótesis!$F$24</f>
        <v>538.868509903962</v>
      </c>
      <c r="F27" s="110" t="n">
        <f aca="false">F17*F21+F23*Hipótesis!$F$24</f>
        <v>753.634078631453</v>
      </c>
      <c r="G27" s="110" t="n">
        <f aca="false">G17*G21+G23*Hipótesis!$F$24</f>
        <v>953.046706182473</v>
      </c>
      <c r="H27" s="110" t="n">
        <f aca="false">H17*H21+H23*Hipótesis!$F$24</f>
        <v>1328.37845138055</v>
      </c>
      <c r="I27" s="110" t="n">
        <f aca="false">I17*I21+I23*Hipótesis!$F$24</f>
        <v>2005.22973711917</v>
      </c>
      <c r="J27" s="110" t="n">
        <f aca="false">J17*J21+J23*Hipótesis!$F$24</f>
        <v>2682.08102285779</v>
      </c>
      <c r="K27" s="110" t="n">
        <f aca="false">K17*K21+K23*Hipótesis!$F$24</f>
        <v>3358.93230859641</v>
      </c>
      <c r="L27" s="110" t="n">
        <f aca="false">L17*L21+L23*Hipótesis!$F$24</f>
        <v>4035.78359433503</v>
      </c>
      <c r="M27" s="110" t="n">
        <f aca="false">M17*M21+M23*Hipótesis!$F$24</f>
        <v>4513.22225252263</v>
      </c>
      <c r="N27" s="110" t="n">
        <f aca="false">N17*N21+N23*Hipótesis!$F$24</f>
        <v>5246.54326365141</v>
      </c>
      <c r="O27" s="110" t="n">
        <f aca="false">O17*O21+O23*Hipótesis!$F$24</f>
        <v>5979.86427478018</v>
      </c>
      <c r="P27" s="110" t="n">
        <f aca="false">P17*P21+P23*Hipótesis!$F$24</f>
        <v>6639.61910943837</v>
      </c>
      <c r="Q27" s="110" t="n">
        <f aca="false">Q17*Q21+Q23*Hipótesis!$F$24</f>
        <v>7299.37394409656</v>
      </c>
      <c r="R27" s="110" t="n">
        <f aca="false">R17*R21+R23*Hipótesis!$F$24</f>
        <v>7959.12877875475</v>
      </c>
      <c r="S27" s="110" t="n">
        <f aca="false">S17*S21+S23*Hipótesis!$F$24</f>
        <v>8618.88361341293</v>
      </c>
      <c r="T27" s="110" t="n">
        <f aca="false">T17*T21+T23*Hipótesis!$F$24</f>
        <v>9278.63844807112</v>
      </c>
      <c r="U27" s="110" t="n">
        <f aca="false">U17*U21+U23*Hipótesis!$F$24</f>
        <v>9938.39328272931</v>
      </c>
      <c r="V27" s="110" t="n">
        <f aca="false">V17*V21+V23*Hipótesis!$F$24</f>
        <v>10598.1481173875</v>
      </c>
      <c r="W27" s="110" t="n">
        <f aca="false">W17*W21+W23*Hipótesis!$F$24</f>
        <v>11257.9029520457</v>
      </c>
      <c r="X27" s="110" t="n">
        <f aca="false">X17*X21+X23*Hipótesis!$F$24</f>
        <v>11661.7754337627</v>
      </c>
      <c r="Y27" s="110" t="n">
        <f aca="false">Y17*Y21+Y23*Hipótesis!$F$24</f>
        <v>12065.6479154797</v>
      </c>
      <c r="Z27" s="110" t="n">
        <f aca="false">Z17*Z21+Z23*Hipótesis!$F$24</f>
        <v>12367.1674560202</v>
      </c>
      <c r="AA27" s="110" t="n">
        <f aca="false">AA17*AA21+AA23*Hipótesis!$F$24</f>
        <v>12668.6869965608</v>
      </c>
      <c r="AB27" s="110" t="n">
        <f aca="false">AB17*AB21+AB23*Hipótesis!$F$24</f>
        <v>12970.2065371013</v>
      </c>
      <c r="AC27" s="110" t="n">
        <f aca="false">AC17*AC21+AC23*Hipótesis!$F$24</f>
        <v>13271.7260776419</v>
      </c>
      <c r="AD27" s="110" t="n">
        <f aca="false">AD17*AD21+AD23*Hipótesis!$F$24</f>
        <v>13573.2456181824</v>
      </c>
      <c r="AE27" s="110" t="n">
        <f aca="false">AE17*AE21+AE23*Hipótesis!$F$24</f>
        <v>13874.7651587229</v>
      </c>
      <c r="AF27" s="110" t="n">
        <f aca="false">AF17*AF21+AF23*Hipótesis!$F$24</f>
        <v>14176.2846992635</v>
      </c>
      <c r="AG27" s="110" t="n">
        <f aca="false">AG17*AG21+AG23*Hipótesis!$F$24</f>
        <v>14477.804239804</v>
      </c>
      <c r="AH27" s="110" t="n">
        <f aca="false">AH17*AH21+AH23*Hipótesis!$F$24</f>
        <v>14779.3237803446</v>
      </c>
      <c r="AI27" s="110" t="n">
        <f aca="false">AI17*AI21+AI23*Hipótesis!$F$24</f>
        <v>15080.8433208851</v>
      </c>
      <c r="AJ27" s="110" t="n">
        <f aca="false">AJ17*AJ21+AJ23*Hipótesis!$F$24</f>
        <v>15382.3628614257</v>
      </c>
      <c r="AK27" s="110" t="n">
        <f aca="false">AK17*AK21+AK23*Hipótesis!$F$24</f>
        <v>15683.8824019662</v>
      </c>
      <c r="AL27" s="110" t="n">
        <f aca="false">AL17*AL21+AL23*Hipótesis!$F$24</f>
        <v>15985.4019425067</v>
      </c>
      <c r="AM27" s="110" t="n">
        <f aca="false">AM17*AM21+AM23*Hipótesis!$F$24</f>
        <v>16286.9214830473</v>
      </c>
      <c r="AN27" s="110" t="n">
        <f aca="false">AN17*AN21+AN23*Hipótesis!$F$24</f>
        <v>16588.4410235878</v>
      </c>
      <c r="AO27" s="110" t="n">
        <f aca="false">AO17*AO21+AO23*Hipótesis!$F$24</f>
        <v>16889.9605641284</v>
      </c>
      <c r="AP27" s="110" t="n">
        <f aca="false">AP17*AP21+AP23*Hipótesis!$F$24</f>
        <v>17191.4801046689</v>
      </c>
      <c r="AQ27" s="110" t="n">
        <f aca="false">AQ17*AQ21+AQ23*Hipótesis!$F$24</f>
        <v>17492.9996452094</v>
      </c>
      <c r="AR27" s="110" t="n">
        <f aca="false">AR17*AR21+AR23*Hipótesis!$F$24</f>
        <v>17794.51918575</v>
      </c>
      <c r="AS27" s="110" t="n">
        <f aca="false">AS17*AS21+AS23*Hipótesis!$F$24</f>
        <v>17794.51918575</v>
      </c>
      <c r="AT27" s="110" t="n">
        <f aca="false">AT17*AT21+AT23*Hipótesis!$F$24</f>
        <v>17794.51918575</v>
      </c>
      <c r="AU27" s="110" t="n">
        <f aca="false">AU17*AU21+AU23*Hipótesis!$F$24</f>
        <v>17794.51918575</v>
      </c>
      <c r="AV27" s="110" t="n">
        <f aca="false">AV17*AV21+AV23*Hipótesis!$F$24</f>
        <v>17794.51918575</v>
      </c>
      <c r="AW27" s="110" t="n">
        <f aca="false">AW17*AW21+AW23*Hipótesis!$F$24</f>
        <v>17794.51918575</v>
      </c>
      <c r="AX27" s="110" t="n">
        <f aca="false">AX17*AX21+AX23*Hipótesis!$F$24</f>
        <v>17794.51918575</v>
      </c>
      <c r="AY27" s="110" t="n">
        <f aca="false">AY17*AY21+AY23*Hipótesis!$F$24</f>
        <v>17794.51918575</v>
      </c>
      <c r="AZ27" s="110" t="n">
        <f aca="false">AZ17*AZ21+AZ23*Hipótesis!$F$24</f>
        <v>17794.51918575</v>
      </c>
      <c r="BA27" s="110" t="n">
        <f aca="false">BA17*BA21+BA23*Hipótesis!$F$24</f>
        <v>17794.51918575</v>
      </c>
      <c r="BB27" s="110" t="n">
        <f aca="false">BB17*BB21+BB23*Hipótesis!$F$24</f>
        <v>17794.51918575</v>
      </c>
      <c r="BC27" s="110" t="n">
        <f aca="false">BC17*BC21+BC23*Hipótesis!$F$24</f>
        <v>17794.51918575</v>
      </c>
      <c r="BD27" s="110" t="n">
        <f aca="false">BD17*BD21+BD23*Hipótesis!$F$24</f>
        <v>17794.51918575</v>
      </c>
      <c r="BE27" s="110" t="n">
        <f aca="false">BE17*BE21+BE23*Hipótesis!$F$24</f>
        <v>17794.51918575</v>
      </c>
      <c r="BF27" s="110" t="n">
        <f aca="false">BF17*BF21+BF23*Hipótesis!$F$24</f>
        <v>17794.51918575</v>
      </c>
      <c r="BG27" s="110" t="n">
        <f aca="false">BG17*BG21+BG23*Hipótesis!$F$24</f>
        <v>17794.51918575</v>
      </c>
      <c r="BH27" s="110" t="n">
        <f aca="false">BH17*BH21+BH23*Hipótesis!$F$24</f>
        <v>17794.51918575</v>
      </c>
      <c r="BI27" s="110" t="n">
        <f aca="false">BI17*BI21+BI23*Hipótesis!$F$24</f>
        <v>17794.51918575</v>
      </c>
      <c r="BJ27" s="110" t="n">
        <f aca="false">BJ17*BJ21+BJ23*Hipótesis!$F$24</f>
        <v>17794.51918575</v>
      </c>
      <c r="BK27" s="110" t="n">
        <f aca="false">BK17*BK21+BK23*Hipótesis!$F$24</f>
        <v>17794.51918575</v>
      </c>
      <c r="BL27" s="110" t="n">
        <f aca="false">BL17*BL21+BL23*Hipótesis!$F$24</f>
        <v>17794.51918575</v>
      </c>
      <c r="BM27" s="110" t="n">
        <f aca="false">BM17*BM21+BM23*Hipótesis!$F$24</f>
        <v>17794.51918575</v>
      </c>
      <c r="BN27" s="110" t="n">
        <f aca="false">BN17*BN21+BN23*Hipótesis!$F$24</f>
        <v>17794.51918575</v>
      </c>
      <c r="BO27" s="110" t="n">
        <f aca="false">BO17*BO21+BO23*Hipótesis!$F$24</f>
        <v>17794.51918575</v>
      </c>
      <c r="BP27" s="110" t="n">
        <f aca="false">BP17*BP21+BP23*Hipótesis!$F$24</f>
        <v>17794.51918575</v>
      </c>
      <c r="BQ27" s="110" t="n">
        <f aca="false">BQ17*BQ21+BQ23*Hipótesis!$F$24</f>
        <v>17794.51918575</v>
      </c>
      <c r="BR27" s="110" t="n">
        <f aca="false">BR17*BR21+BR23*Hipótesis!$F$24</f>
        <v>17794.51918575</v>
      </c>
      <c r="BS27" s="110" t="n">
        <f aca="false">BS17*BS21+BS23*Hipótesis!$F$24</f>
        <v>17794.51918575</v>
      </c>
      <c r="BT27" s="110" t="n">
        <f aca="false">BT17*BT21+BT23*Hipótesis!$F$24</f>
        <v>17794.51918575</v>
      </c>
      <c r="BU27" s="110" t="n">
        <f aca="false">BU17*BU21+BU23*Hipótesis!$F$24</f>
        <v>17794.51918575</v>
      </c>
      <c r="BV27" s="110" t="n">
        <f aca="false">BV17*BV21+BV23*Hipótesis!$F$24</f>
        <v>17794.51918575</v>
      </c>
      <c r="BW27" s="110" t="n">
        <f aca="false">BW17*BW21+BW23*Hipótesis!$F$24</f>
        <v>17794.51918575</v>
      </c>
      <c r="BX27" s="110" t="n">
        <f aca="false">BX17*BX21+BX23*Hipótesis!$F$24</f>
        <v>17794.51918575</v>
      </c>
      <c r="BY27" s="110" t="n">
        <f aca="false">BY17*BY21+BY23*Hipótesis!$F$24</f>
        <v>17794.51918575</v>
      </c>
      <c r="BZ27" s="110" t="n">
        <f aca="false">BZ17*BZ21+BZ23*Hipótesis!$F$24</f>
        <v>17794.51918575</v>
      </c>
      <c r="CA27" s="110" t="n">
        <f aca="false">CA17*CA21+CA23*Hipótesis!$F$24</f>
        <v>17794.51918575</v>
      </c>
      <c r="CB27" s="110" t="n">
        <f aca="false">CB17*CB21+CB23*Hipótesis!$F$24</f>
        <v>17794.51918575</v>
      </c>
      <c r="CC27" s="110" t="n">
        <f aca="false">CC17*CC21+CC23*Hipótesis!$F$24</f>
        <v>17794.51918575</v>
      </c>
      <c r="CD27" s="110" t="n">
        <f aca="false">CD17*CD21+CD23*Hipótesis!$F$24</f>
        <v>17794.51918575</v>
      </c>
      <c r="CE27" s="110" t="n">
        <f aca="false">CE17*CE21+CE23*Hipótesis!$F$24</f>
        <v>17794.51918575</v>
      </c>
      <c r="CF27" s="110" t="n">
        <f aca="false">CF17*CF21+CF23*Hipótesis!$F$24</f>
        <v>17794.51918575</v>
      </c>
      <c r="CG27" s="110" t="n">
        <f aca="false">CG17*CG21+CG23*Hipótesis!$F$24</f>
        <v>17794.51918575</v>
      </c>
      <c r="CH27" s="110" t="n">
        <f aca="false">CH17*CH21+CH23*Hipótesis!$F$24</f>
        <v>17794.51918575</v>
      </c>
    </row>
    <row r="28" customFormat="false" ht="13.5" hidden="false" customHeight="true" outlineLevel="0" collapsed="false">
      <c r="A28" s="6" t="s">
        <v>534</v>
      </c>
      <c r="C28" s="110" t="n">
        <f aca="false">C27*Producto!$D$11/60</f>
        <v>5.14583333333333</v>
      </c>
      <c r="D28" s="110" t="n">
        <f aca="false">D27*Producto!$D$11/60</f>
        <v>11.0593137254902</v>
      </c>
      <c r="E28" s="110" t="n">
        <f aca="false">E27*Producto!$D$11/60</f>
        <v>26.9434254951981</v>
      </c>
      <c r="F28" s="110" t="n">
        <f aca="false">F27*Producto!$D$11/60</f>
        <v>37.6817039315726</v>
      </c>
      <c r="G28" s="110" t="n">
        <f aca="false">G27*Producto!$D$11/60</f>
        <v>47.6523353091236</v>
      </c>
      <c r="H28" s="110" t="n">
        <f aca="false">H27*Producto!$D$11/60</f>
        <v>66.4189225690276</v>
      </c>
      <c r="I28" s="110" t="n">
        <f aca="false">I27*Producto!$D$11/60</f>
        <v>100.261486855959</v>
      </c>
      <c r="J28" s="110" t="n">
        <f aca="false">J27*Producto!$D$11/60</f>
        <v>134.10405114289</v>
      </c>
      <c r="K28" s="110" t="n">
        <f aca="false">K27*Producto!$D$11/60</f>
        <v>167.946615429821</v>
      </c>
      <c r="L28" s="110" t="n">
        <f aca="false">L27*Producto!$D$11/60</f>
        <v>201.789179716752</v>
      </c>
      <c r="M28" s="110" t="n">
        <f aca="false">M27*Producto!$D$11/60</f>
        <v>225.661112626132</v>
      </c>
      <c r="N28" s="110" t="n">
        <f aca="false">N27*Producto!$D$11/60</f>
        <v>262.32716318257</v>
      </c>
      <c r="O28" s="110" t="n">
        <f aca="false">O27*Producto!$D$11/60</f>
        <v>298.993213739009</v>
      </c>
      <c r="P28" s="110" t="n">
        <f aca="false">P27*Producto!$D$11/60</f>
        <v>331.980955471919</v>
      </c>
      <c r="Q28" s="110" t="n">
        <f aca="false">Q27*Producto!$D$11/60</f>
        <v>364.968697204828</v>
      </c>
      <c r="R28" s="110" t="n">
        <f aca="false">R27*Producto!$D$11/60</f>
        <v>397.956438937737</v>
      </c>
      <c r="S28" s="110" t="n">
        <f aca="false">S27*Producto!$D$11/60</f>
        <v>430.944180670647</v>
      </c>
      <c r="T28" s="110" t="n">
        <f aca="false">T27*Producto!$D$11/60</f>
        <v>463.931922403556</v>
      </c>
      <c r="U28" s="110" t="n">
        <f aca="false">U27*Producto!$D$11/60</f>
        <v>496.919664136465</v>
      </c>
      <c r="V28" s="110" t="n">
        <f aca="false">V27*Producto!$D$11/60</f>
        <v>529.907405869375</v>
      </c>
      <c r="W28" s="110" t="n">
        <f aca="false">W27*Producto!$D$11/60</f>
        <v>562.895147602284</v>
      </c>
      <c r="X28" s="110" t="n">
        <f aca="false">X27*Producto!$D$11/60</f>
        <v>583.088771688135</v>
      </c>
      <c r="Y28" s="110" t="n">
        <f aca="false">Y27*Producto!$D$11/60</f>
        <v>603.282395773985</v>
      </c>
      <c r="Z28" s="110" t="n">
        <f aca="false">Z27*Producto!$D$11/60</f>
        <v>618.358372801012</v>
      </c>
      <c r="AA28" s="110" t="n">
        <f aca="false">AA27*Producto!$D$11/60</f>
        <v>633.434349828039</v>
      </c>
      <c r="AB28" s="110" t="n">
        <f aca="false">AB27*Producto!$D$11/60</f>
        <v>648.510326855066</v>
      </c>
      <c r="AC28" s="110" t="n">
        <f aca="false">AC27*Producto!$D$11/60</f>
        <v>663.586303882093</v>
      </c>
      <c r="AD28" s="110" t="n">
        <f aca="false">AD27*Producto!$D$11/60</f>
        <v>678.662280909121</v>
      </c>
      <c r="AE28" s="110" t="n">
        <f aca="false">AE27*Producto!$D$11/60</f>
        <v>693.738257936147</v>
      </c>
      <c r="AF28" s="110" t="n">
        <f aca="false">AF27*Producto!$D$11/60</f>
        <v>708.814234963174</v>
      </c>
      <c r="AG28" s="110" t="n">
        <f aca="false">AG27*Producto!$D$11/60</f>
        <v>723.890211990202</v>
      </c>
      <c r="AH28" s="110" t="n">
        <f aca="false">AH27*Producto!$D$11/60</f>
        <v>738.966189017229</v>
      </c>
      <c r="AI28" s="110" t="n">
        <f aca="false">AI27*Producto!$D$11/60</f>
        <v>754.042166044256</v>
      </c>
      <c r="AJ28" s="110" t="n">
        <f aca="false">AJ27*Producto!$D$11/60</f>
        <v>769.118143071283</v>
      </c>
      <c r="AK28" s="110" t="n">
        <f aca="false">AK27*Producto!$D$11/60</f>
        <v>784.19412009831</v>
      </c>
      <c r="AL28" s="110" t="n">
        <f aca="false">AL27*Producto!$D$11/60</f>
        <v>799.270097125337</v>
      </c>
      <c r="AM28" s="110" t="n">
        <f aca="false">AM27*Producto!$D$11/60</f>
        <v>814.346074152364</v>
      </c>
      <c r="AN28" s="110" t="n">
        <f aca="false">AN27*Producto!$D$11/60</f>
        <v>829.422051179391</v>
      </c>
      <c r="AO28" s="110" t="n">
        <f aca="false">AO27*Producto!$D$11/60</f>
        <v>844.498028206418</v>
      </c>
      <c r="AP28" s="110" t="n">
        <f aca="false">AP27*Producto!$D$11/60</f>
        <v>859.574005233445</v>
      </c>
      <c r="AQ28" s="110" t="n">
        <f aca="false">AQ27*Producto!$D$11/60</f>
        <v>874.649982260472</v>
      </c>
      <c r="AR28" s="110" t="n">
        <f aca="false">AR27*Producto!$D$11/60</f>
        <v>889.725959287499</v>
      </c>
      <c r="AS28" s="110" t="n">
        <f aca="false">AS27*Producto!$D$11/60</f>
        <v>889.725959287499</v>
      </c>
      <c r="AT28" s="110" t="n">
        <f aca="false">AT27*Producto!$D$11/60</f>
        <v>889.725959287499</v>
      </c>
      <c r="AU28" s="110" t="n">
        <f aca="false">AU27*Producto!$D$11/60</f>
        <v>889.725959287499</v>
      </c>
      <c r="AV28" s="110" t="n">
        <f aca="false">AV27*Producto!$D$11/60</f>
        <v>889.725959287499</v>
      </c>
      <c r="AW28" s="110" t="n">
        <f aca="false">AW27*Producto!$D$11/60</f>
        <v>889.725959287499</v>
      </c>
      <c r="AX28" s="110" t="n">
        <f aca="false">AX27*Producto!$D$11/60</f>
        <v>889.725959287499</v>
      </c>
      <c r="AY28" s="110" t="n">
        <f aca="false">AY27*Producto!$D$11/60</f>
        <v>889.725959287499</v>
      </c>
      <c r="AZ28" s="110" t="n">
        <f aca="false">AZ27*Producto!$D$11/60</f>
        <v>889.725959287499</v>
      </c>
      <c r="BA28" s="110" t="n">
        <f aca="false">BA27*Producto!$D$11/60</f>
        <v>889.725959287499</v>
      </c>
      <c r="BB28" s="110" t="n">
        <f aca="false">BB27*Producto!$D$11/60</f>
        <v>889.725959287499</v>
      </c>
      <c r="BC28" s="110" t="n">
        <f aca="false">BC27*Producto!$D$11/60</f>
        <v>889.725959287499</v>
      </c>
      <c r="BD28" s="110" t="n">
        <f aca="false">BD27*Producto!$D$11/60</f>
        <v>889.725959287499</v>
      </c>
      <c r="BE28" s="110" t="n">
        <f aca="false">BE27*Producto!$D$11/60</f>
        <v>889.725959287499</v>
      </c>
      <c r="BF28" s="110" t="n">
        <f aca="false">BF27*Producto!$D$11/60</f>
        <v>889.725959287499</v>
      </c>
      <c r="BG28" s="110" t="n">
        <f aca="false">BG27*Producto!$D$11/60</f>
        <v>889.725959287499</v>
      </c>
      <c r="BH28" s="110" t="n">
        <f aca="false">BH27*Producto!$D$11/60</f>
        <v>889.725959287499</v>
      </c>
      <c r="BI28" s="110" t="n">
        <f aca="false">BI27*Producto!$D$11/60</f>
        <v>889.725959287499</v>
      </c>
      <c r="BJ28" s="110" t="n">
        <f aca="false">BJ27*Producto!$D$11/60</f>
        <v>889.725959287499</v>
      </c>
      <c r="BK28" s="110" t="n">
        <f aca="false">BK27*Producto!$D$11/60</f>
        <v>889.725959287499</v>
      </c>
      <c r="BL28" s="110" t="n">
        <f aca="false">BL27*Producto!$D$11/60</f>
        <v>889.725959287499</v>
      </c>
      <c r="BM28" s="110" t="n">
        <f aca="false">BM27*Producto!$D$11/60</f>
        <v>889.725959287499</v>
      </c>
      <c r="BN28" s="110" t="n">
        <f aca="false">BN27*Producto!$D$11/60</f>
        <v>889.725959287499</v>
      </c>
      <c r="BO28" s="110" t="n">
        <f aca="false">BO27*Producto!$D$11/60</f>
        <v>889.725959287499</v>
      </c>
      <c r="BP28" s="110" t="n">
        <f aca="false">BP27*Producto!$D$11/60</f>
        <v>889.725959287499</v>
      </c>
      <c r="BQ28" s="110" t="n">
        <f aca="false">BQ27*Producto!$D$11/60</f>
        <v>889.725959287499</v>
      </c>
      <c r="BR28" s="110" t="n">
        <f aca="false">BR27*Producto!$D$11/60</f>
        <v>889.725959287499</v>
      </c>
      <c r="BS28" s="110" t="n">
        <f aca="false">BS27*Producto!$D$11/60</f>
        <v>889.725959287499</v>
      </c>
      <c r="BT28" s="110" t="n">
        <f aca="false">BT27*Producto!$D$11/60</f>
        <v>889.725959287499</v>
      </c>
      <c r="BU28" s="110" t="n">
        <f aca="false">BU27*Producto!$D$11/60</f>
        <v>889.725959287499</v>
      </c>
      <c r="BV28" s="110" t="n">
        <f aca="false">BV27*Producto!$D$11/60</f>
        <v>889.725959287499</v>
      </c>
      <c r="BW28" s="110" t="n">
        <f aca="false">BW27*Producto!$D$11/60</f>
        <v>889.725959287499</v>
      </c>
      <c r="BX28" s="110" t="n">
        <f aca="false">BX27*Producto!$D$11/60</f>
        <v>889.725959287499</v>
      </c>
      <c r="BY28" s="110" t="n">
        <f aca="false">BY27*Producto!$D$11/60</f>
        <v>889.725959287499</v>
      </c>
      <c r="BZ28" s="110" t="n">
        <f aca="false">BZ27*Producto!$D$11/60</f>
        <v>889.725959287499</v>
      </c>
      <c r="CA28" s="110" t="n">
        <f aca="false">CA27*Producto!$D$11/60</f>
        <v>889.725959287499</v>
      </c>
      <c r="CB28" s="110" t="n">
        <f aca="false">CB27*Producto!$D$11/60</f>
        <v>889.725959287499</v>
      </c>
      <c r="CC28" s="110" t="n">
        <f aca="false">CC27*Producto!$D$11/60</f>
        <v>889.725959287499</v>
      </c>
      <c r="CD28" s="110" t="n">
        <f aca="false">CD27*Producto!$D$11/60</f>
        <v>889.725959287499</v>
      </c>
      <c r="CE28" s="110" t="n">
        <f aca="false">CE27*Producto!$D$11/60</f>
        <v>889.725959287499</v>
      </c>
      <c r="CF28" s="110" t="n">
        <f aca="false">CF27*Producto!$D$11/60</f>
        <v>889.725959287499</v>
      </c>
      <c r="CG28" s="110" t="n">
        <f aca="false">CG27*Producto!$D$11/60</f>
        <v>889.725959287499</v>
      </c>
      <c r="CH28" s="110" t="n">
        <f aca="false">CH27*Producto!$D$11/60</f>
        <v>889.725959287499</v>
      </c>
    </row>
    <row r="29" customFormat="false" ht="13.5" hidden="false" customHeight="true" outlineLevel="0" collapsed="false">
      <c r="A29" s="6" t="s">
        <v>535</v>
      </c>
      <c r="C29" s="110" t="n">
        <f aca="false">SUMPRODUCT((Hipótesis!$D$48:$D$53&lt;=1)*(Hipótesis!$B$48:$B$53)*(Hipótesis!$F$48:$F$53))</f>
        <v>320</v>
      </c>
      <c r="D29" s="110" t="n">
        <f aca="false">SUMPRODUCT((Hipótesis!$D$48:$D$53&lt;=2)*(Hipótesis!$B$48:$B$53)*(Hipótesis!$F$48:$F$53))</f>
        <v>320</v>
      </c>
      <c r="E29" s="110" t="n">
        <f aca="false">SUMPRODUCT((Hipótesis!$D$48:$D$53&lt;=3)*(Hipótesis!$B$48:$B$53)*(Hipótesis!$F$48:$F$53))</f>
        <v>320</v>
      </c>
      <c r="F29" s="110" t="n">
        <f aca="false">SUMPRODUCT((Hipótesis!$D$48:$D$53&lt;=4)*(Hipótesis!$B$48:$B$53)*(Hipótesis!$F$48:$F$53))</f>
        <v>320</v>
      </c>
      <c r="G29" s="110" t="n">
        <f aca="false">SUMPRODUCT((Hipótesis!$D$48:$D$53&lt;=5)*(Hipótesis!$B$48:$B$53)*(Hipótesis!$F$48:$F$53))</f>
        <v>320</v>
      </c>
      <c r="H29" s="110" t="n">
        <f aca="false">SUMPRODUCT((Hipótesis!$D$48:$D$53&lt;=6)*(Hipótesis!$B$48:$B$53)*(Hipótesis!$F$48:$F$53))</f>
        <v>320</v>
      </c>
      <c r="I29" s="110" t="n">
        <f aca="false">SUMPRODUCT((Hipótesis!$D$48:$D$53&lt;=7)*(Hipótesis!$B$48:$B$53)*(Hipótesis!$F$48:$F$53))</f>
        <v>320</v>
      </c>
      <c r="J29" s="110" t="n">
        <f aca="false">SUMPRODUCT((Hipótesis!$D$48:$D$53&lt;=8)*(Hipótesis!$B$48:$B$53)*(Hipótesis!$F$48:$F$53))</f>
        <v>320</v>
      </c>
      <c r="K29" s="110" t="n">
        <f aca="false">SUMPRODUCT((Hipótesis!$D$48:$D$53&lt;=9)*(Hipótesis!$B$48:$B$53)*(Hipótesis!$F$48:$F$53))</f>
        <v>320</v>
      </c>
      <c r="L29" s="110" t="n">
        <f aca="false">SUMPRODUCT((Hipótesis!$D$48:$D$53&lt;=10)*(Hipótesis!$B$48:$B$53)*(Hipótesis!$F$48:$F$53))</f>
        <v>320</v>
      </c>
      <c r="M29" s="110" t="n">
        <f aca="false">SUMPRODUCT((Hipótesis!$D$48:$D$53&lt;=11)*(Hipótesis!$B$48:$B$53)*(Hipótesis!$F$48:$F$53))</f>
        <v>320</v>
      </c>
      <c r="N29" s="110" t="n">
        <f aca="false">SUMPRODUCT((Hipótesis!$D$48:$D$53&lt;=12)*(Hipótesis!$B$48:$B$53)*(Hipótesis!$F$48:$F$53))</f>
        <v>320</v>
      </c>
      <c r="O29" s="110" t="n">
        <f aca="false">SUMPRODUCT((Hipótesis!$D$48:$D$53&lt;=13)*(Hipótesis!$B$48:$B$53)*(Hipótesis!$F$48:$F$53))</f>
        <v>320</v>
      </c>
      <c r="P29" s="110" t="n">
        <f aca="false">SUMPRODUCT((Hipótesis!$D$48:$D$53&lt;=14)*(Hipótesis!$B$48:$B$53)*(Hipótesis!$F$48:$F$53))</f>
        <v>320</v>
      </c>
      <c r="Q29" s="110" t="n">
        <f aca="false">SUMPRODUCT((Hipótesis!$D$48:$D$53&lt;=15)*(Hipótesis!$B$48:$B$53)*(Hipótesis!$F$48:$F$53))</f>
        <v>320</v>
      </c>
      <c r="R29" s="110" t="n">
        <f aca="false">SUMPRODUCT((Hipótesis!$D$48:$D$53&lt;=16)*(Hipótesis!$B$48:$B$53)*(Hipótesis!$F$48:$F$53))</f>
        <v>320</v>
      </c>
      <c r="S29" s="110" t="n">
        <f aca="false">SUMPRODUCT((Hipótesis!$D$48:$D$53&lt;=17)*(Hipótesis!$B$48:$B$53)*(Hipótesis!$F$48:$F$53))</f>
        <v>320</v>
      </c>
      <c r="T29" s="110" t="n">
        <f aca="false">SUMPRODUCT((Hipótesis!$D$48:$D$53&lt;=18)*(Hipótesis!$B$48:$B$53)*(Hipótesis!$F$48:$F$53))</f>
        <v>320</v>
      </c>
      <c r="U29" s="110" t="n">
        <f aca="false">SUMPRODUCT((Hipótesis!$D$48:$D$53&lt;=19)*(Hipótesis!$B$48:$B$53)*(Hipótesis!$F$48:$F$53))</f>
        <v>320</v>
      </c>
      <c r="V29" s="110" t="n">
        <f aca="false">SUMPRODUCT((Hipótesis!$D$48:$D$53&lt;=20)*(Hipótesis!$B$48:$B$53)*(Hipótesis!$F$48:$F$53))</f>
        <v>320</v>
      </c>
      <c r="W29" s="110" t="n">
        <f aca="false">SUMPRODUCT((Hipótesis!$D$48:$D$53&lt;=21)*(Hipótesis!$B$48:$B$53)*(Hipótesis!$F$48:$F$53))</f>
        <v>320</v>
      </c>
      <c r="X29" s="110" t="n">
        <f aca="false">SUMPRODUCT((Hipótesis!$D$48:$D$53&lt;=22)*(Hipótesis!$B$48:$B$53)*(Hipótesis!$F$48:$F$53))</f>
        <v>320</v>
      </c>
      <c r="Y29" s="110" t="n">
        <f aca="false">SUMPRODUCT((Hipótesis!$D$48:$D$53&lt;=23)*(Hipótesis!$B$48:$B$53)*(Hipótesis!$F$48:$F$53))</f>
        <v>320</v>
      </c>
      <c r="Z29" s="110" t="n">
        <f aca="false">SUMPRODUCT((Hipótesis!$D$48:$D$53&lt;=24)*(Hipótesis!$B$48:$B$53)*(Hipótesis!$F$48:$F$53))</f>
        <v>320</v>
      </c>
      <c r="AA29" s="110" t="n">
        <f aca="false">SUMPRODUCT((Hipótesis!$D$48:$D$53&lt;=25)*(Hipótesis!$B$48:$B$53)*(Hipótesis!$F$48:$F$53))</f>
        <v>320</v>
      </c>
      <c r="AB29" s="110" t="n">
        <f aca="false">SUMPRODUCT((Hipótesis!$D$48:$D$53&lt;=26)*(Hipótesis!$B$48:$B$53)*(Hipótesis!$F$48:$F$53))</f>
        <v>320</v>
      </c>
      <c r="AC29" s="110" t="n">
        <f aca="false">SUMPRODUCT((Hipótesis!$D$48:$D$53&lt;=27)*(Hipótesis!$B$48:$B$53)*(Hipótesis!$F$48:$F$53))</f>
        <v>320</v>
      </c>
      <c r="AD29" s="110" t="n">
        <f aca="false">SUMPRODUCT((Hipótesis!$D$48:$D$53&lt;=28)*(Hipótesis!$B$48:$B$53)*(Hipótesis!$F$48:$F$53))</f>
        <v>320</v>
      </c>
      <c r="AE29" s="110" t="n">
        <f aca="false">SUMPRODUCT((Hipótesis!$D$48:$D$53&lt;=29)*(Hipótesis!$B$48:$B$53)*(Hipótesis!$F$48:$F$53))</f>
        <v>320</v>
      </c>
      <c r="AF29" s="110" t="n">
        <f aca="false">SUMPRODUCT((Hipótesis!$D$48:$D$53&lt;=30)*(Hipótesis!$B$48:$B$53)*(Hipótesis!$F$48:$F$53))</f>
        <v>320</v>
      </c>
      <c r="AG29" s="110" t="n">
        <f aca="false">SUMPRODUCT((Hipótesis!$D$48:$D$53&lt;=31)*(Hipótesis!$B$48:$B$53)*(Hipótesis!$F$48:$F$53))</f>
        <v>320</v>
      </c>
      <c r="AH29" s="110" t="n">
        <f aca="false">SUMPRODUCT((Hipótesis!$D$48:$D$53&lt;=32)*(Hipótesis!$B$48:$B$53)*(Hipótesis!$F$48:$F$53))</f>
        <v>320</v>
      </c>
      <c r="AI29" s="110" t="n">
        <f aca="false">SUMPRODUCT((Hipótesis!$D$48:$D$53&lt;=33)*(Hipótesis!$B$48:$B$53)*(Hipótesis!$F$48:$F$53))</f>
        <v>320</v>
      </c>
      <c r="AJ29" s="110" t="n">
        <f aca="false">SUMPRODUCT((Hipótesis!$D$48:$D$53&lt;=34)*(Hipótesis!$B$48:$B$53)*(Hipótesis!$F$48:$F$53))</f>
        <v>320</v>
      </c>
      <c r="AK29" s="110" t="n">
        <f aca="false">SUMPRODUCT((Hipótesis!$D$48:$D$53&lt;=35)*(Hipótesis!$B$48:$B$53)*(Hipótesis!$F$48:$F$53))</f>
        <v>320</v>
      </c>
      <c r="AL29" s="110" t="n">
        <f aca="false">SUMPRODUCT((Hipótesis!$D$48:$D$53&lt;=36)*(Hipótesis!$B$48:$B$53)*(Hipótesis!$F$48:$F$53))</f>
        <v>320</v>
      </c>
      <c r="AM29" s="110" t="n">
        <f aca="false">SUMPRODUCT((Hipótesis!$D$48:$D$53&lt;=37)*(Hipótesis!$B$48:$B$53)*(Hipótesis!$F$48:$F$53))</f>
        <v>320</v>
      </c>
      <c r="AN29" s="110" t="n">
        <f aca="false">SUMPRODUCT((Hipótesis!$D$48:$D$53&lt;=38)*(Hipótesis!$B$48:$B$53)*(Hipótesis!$F$48:$F$53))</f>
        <v>320</v>
      </c>
      <c r="AO29" s="110" t="n">
        <f aca="false">SUMPRODUCT((Hipótesis!$D$48:$D$53&lt;=39)*(Hipótesis!$B$48:$B$53)*(Hipótesis!$F$48:$F$53))</f>
        <v>320</v>
      </c>
      <c r="AP29" s="110" t="n">
        <f aca="false">SUMPRODUCT((Hipótesis!$D$48:$D$53&lt;=40)*(Hipótesis!$B$48:$B$53)*(Hipótesis!$F$48:$F$53))</f>
        <v>320</v>
      </c>
      <c r="AQ29" s="110" t="n">
        <f aca="false">SUMPRODUCT((Hipótesis!$D$48:$D$53&lt;=41)*(Hipótesis!$B$48:$B$53)*(Hipótesis!$F$48:$F$53))</f>
        <v>320</v>
      </c>
      <c r="AR29" s="110" t="n">
        <f aca="false">SUMPRODUCT((Hipótesis!$D$48:$D$53&lt;=42)*(Hipótesis!$B$48:$B$53)*(Hipótesis!$F$48:$F$53))</f>
        <v>320</v>
      </c>
      <c r="AS29" s="110" t="n">
        <f aca="false">SUMPRODUCT((Hipótesis!$D$48:$D$53&lt;=43)*(Hipótesis!$B$48:$B$53)*(Hipótesis!$F$48:$F$53))</f>
        <v>320</v>
      </c>
      <c r="AT29" s="110" t="n">
        <f aca="false">SUMPRODUCT((Hipótesis!$D$48:$D$53&lt;=44)*(Hipótesis!$B$48:$B$53)*(Hipótesis!$F$48:$F$53))</f>
        <v>320</v>
      </c>
      <c r="AU29" s="110" t="n">
        <f aca="false">SUMPRODUCT((Hipótesis!$D$48:$D$53&lt;=45)*(Hipótesis!$B$48:$B$53)*(Hipótesis!$F$48:$F$53))</f>
        <v>320</v>
      </c>
      <c r="AV29" s="110" t="n">
        <f aca="false">SUMPRODUCT((Hipótesis!$D$48:$D$53&lt;=46)*(Hipótesis!$B$48:$B$53)*(Hipótesis!$F$48:$F$53))</f>
        <v>320</v>
      </c>
      <c r="AW29" s="110" t="n">
        <f aca="false">SUMPRODUCT((Hipótesis!$D$48:$D$53&lt;=47)*(Hipótesis!$B$48:$B$53)*(Hipótesis!$F$48:$F$53))</f>
        <v>320</v>
      </c>
      <c r="AX29" s="110" t="n">
        <f aca="false">SUMPRODUCT((Hipótesis!$D$48:$D$53&lt;=48)*(Hipótesis!$B$48:$B$53)*(Hipótesis!$F$48:$F$53))</f>
        <v>320</v>
      </c>
      <c r="AY29" s="110" t="n">
        <f aca="false">SUMPRODUCT((Hipótesis!$D$48:$D$53&lt;=49)*(Hipótesis!$B$48:$B$53)*(Hipótesis!$F$48:$F$53))</f>
        <v>320</v>
      </c>
      <c r="AZ29" s="110" t="n">
        <f aca="false">SUMPRODUCT((Hipótesis!$D$48:$D$53&lt;=50)*(Hipótesis!$B$48:$B$53)*(Hipótesis!$F$48:$F$53))</f>
        <v>320</v>
      </c>
      <c r="BA29" s="110" t="n">
        <f aca="false">SUMPRODUCT((Hipótesis!$D$48:$D$53&lt;=51)*(Hipótesis!$B$48:$B$53)*(Hipótesis!$F$48:$F$53))</f>
        <v>320</v>
      </c>
      <c r="BB29" s="110" t="n">
        <f aca="false">SUMPRODUCT((Hipótesis!$D$48:$D$53&lt;=52)*(Hipótesis!$B$48:$B$53)*(Hipótesis!$F$48:$F$53))</f>
        <v>320</v>
      </c>
      <c r="BC29" s="110" t="n">
        <f aca="false">SUMPRODUCT((Hipótesis!$D$48:$D$53&lt;=53)*(Hipótesis!$B$48:$B$53)*(Hipótesis!$F$48:$F$53))</f>
        <v>320</v>
      </c>
      <c r="BD29" s="110" t="n">
        <f aca="false">SUMPRODUCT((Hipótesis!$D$48:$D$53&lt;=54)*(Hipótesis!$B$48:$B$53)*(Hipótesis!$F$48:$F$53))</f>
        <v>320</v>
      </c>
      <c r="BE29" s="110" t="n">
        <f aca="false">SUMPRODUCT((Hipótesis!$D$48:$D$53&lt;=55)*(Hipótesis!$B$48:$B$53)*(Hipótesis!$F$48:$F$53))</f>
        <v>320</v>
      </c>
      <c r="BF29" s="110" t="n">
        <f aca="false">SUMPRODUCT((Hipótesis!$D$48:$D$53&lt;=56)*(Hipótesis!$B$48:$B$53)*(Hipótesis!$F$48:$F$53))</f>
        <v>320</v>
      </c>
      <c r="BG29" s="110" t="n">
        <f aca="false">SUMPRODUCT((Hipótesis!$D$48:$D$53&lt;=57)*(Hipótesis!$B$48:$B$53)*(Hipótesis!$F$48:$F$53))</f>
        <v>320</v>
      </c>
      <c r="BH29" s="110" t="n">
        <f aca="false">SUMPRODUCT((Hipótesis!$D$48:$D$53&lt;=58)*(Hipótesis!$B$48:$B$53)*(Hipótesis!$F$48:$F$53))</f>
        <v>320</v>
      </c>
      <c r="BI29" s="110" t="n">
        <f aca="false">SUMPRODUCT((Hipótesis!$D$48:$D$53&lt;=59)*(Hipótesis!$B$48:$B$53)*(Hipótesis!$F$48:$F$53))</f>
        <v>320</v>
      </c>
      <c r="BJ29" s="110" t="n">
        <f aca="false">SUMPRODUCT((Hipótesis!$D$48:$D$53&lt;=60)*(Hipótesis!$B$48:$B$53)*(Hipótesis!$F$48:$F$53))</f>
        <v>320</v>
      </c>
      <c r="BK29" s="110" t="n">
        <f aca="false">SUMPRODUCT((Hipótesis!$D$48:$D$53&lt;=61)*(Hipótesis!$B$48:$B$53)*(Hipótesis!$F$48:$F$53))</f>
        <v>320</v>
      </c>
      <c r="BL29" s="110" t="n">
        <f aca="false">SUMPRODUCT((Hipótesis!$D$48:$D$53&lt;=62)*(Hipótesis!$B$48:$B$53)*(Hipótesis!$F$48:$F$53))</f>
        <v>320</v>
      </c>
      <c r="BM29" s="110" t="n">
        <f aca="false">SUMPRODUCT((Hipótesis!$D$48:$D$53&lt;=63)*(Hipótesis!$B$48:$B$53)*(Hipótesis!$F$48:$F$53))</f>
        <v>320</v>
      </c>
      <c r="BN29" s="110" t="n">
        <f aca="false">SUMPRODUCT((Hipótesis!$D$48:$D$53&lt;=64)*(Hipótesis!$B$48:$B$53)*(Hipótesis!$F$48:$F$53))</f>
        <v>320</v>
      </c>
      <c r="BO29" s="110" t="n">
        <f aca="false">SUMPRODUCT((Hipótesis!$D$48:$D$53&lt;=65)*(Hipótesis!$B$48:$B$53)*(Hipótesis!$F$48:$F$53))</f>
        <v>320</v>
      </c>
      <c r="BP29" s="110" t="n">
        <f aca="false">SUMPRODUCT((Hipótesis!$D$48:$D$53&lt;=66)*(Hipótesis!$B$48:$B$53)*(Hipótesis!$F$48:$F$53))</f>
        <v>320</v>
      </c>
      <c r="BQ29" s="110" t="n">
        <f aca="false">SUMPRODUCT((Hipótesis!$D$48:$D$53&lt;=67)*(Hipótesis!$B$48:$B$53)*(Hipótesis!$F$48:$F$53))</f>
        <v>320</v>
      </c>
      <c r="BR29" s="110" t="n">
        <f aca="false">SUMPRODUCT((Hipótesis!$D$48:$D$53&lt;=68)*(Hipótesis!$B$48:$B$53)*(Hipótesis!$F$48:$F$53))</f>
        <v>320</v>
      </c>
      <c r="BS29" s="110" t="n">
        <f aca="false">SUMPRODUCT((Hipótesis!$D$48:$D$53&lt;=69)*(Hipótesis!$B$48:$B$53)*(Hipótesis!$F$48:$F$53))</f>
        <v>320</v>
      </c>
      <c r="BT29" s="110" t="n">
        <f aca="false">SUMPRODUCT((Hipótesis!$D$48:$D$53&lt;=70)*(Hipótesis!$B$48:$B$53)*(Hipótesis!$F$48:$F$53))</f>
        <v>320</v>
      </c>
      <c r="BU29" s="110" t="n">
        <f aca="false">SUMPRODUCT((Hipótesis!$D$48:$D$53&lt;=71)*(Hipótesis!$B$48:$B$53)*(Hipótesis!$F$48:$F$53))</f>
        <v>320</v>
      </c>
      <c r="BV29" s="110" t="n">
        <f aca="false">SUMPRODUCT((Hipótesis!$D$48:$D$53&lt;=72)*(Hipótesis!$B$48:$B$53)*(Hipótesis!$F$48:$F$53))</f>
        <v>320</v>
      </c>
      <c r="BW29" s="110" t="n">
        <f aca="false">SUMPRODUCT((Hipótesis!$D$48:$D$53&lt;=73)*(Hipótesis!$B$48:$B$53)*(Hipótesis!$F$48:$F$53))</f>
        <v>320</v>
      </c>
      <c r="BX29" s="110" t="n">
        <f aca="false">SUMPRODUCT((Hipótesis!$D$48:$D$53&lt;=74)*(Hipótesis!$B$48:$B$53)*(Hipótesis!$F$48:$F$53))</f>
        <v>320</v>
      </c>
      <c r="BY29" s="110" t="n">
        <f aca="false">SUMPRODUCT((Hipótesis!$D$48:$D$53&lt;=75)*(Hipótesis!$B$48:$B$53)*(Hipótesis!$F$48:$F$53))</f>
        <v>320</v>
      </c>
      <c r="BZ29" s="110" t="n">
        <f aca="false">SUMPRODUCT((Hipótesis!$D$48:$D$53&lt;=76)*(Hipótesis!$B$48:$B$53)*(Hipótesis!$F$48:$F$53))</f>
        <v>320</v>
      </c>
      <c r="CA29" s="110" t="n">
        <f aca="false">SUMPRODUCT((Hipótesis!$D$48:$D$53&lt;=77)*(Hipótesis!$B$48:$B$53)*(Hipótesis!$F$48:$F$53))</f>
        <v>320</v>
      </c>
      <c r="CB29" s="110" t="n">
        <f aca="false">SUMPRODUCT((Hipótesis!$D$48:$D$53&lt;=78)*(Hipótesis!$B$48:$B$53)*(Hipótesis!$F$48:$F$53))</f>
        <v>320</v>
      </c>
      <c r="CC29" s="110" t="n">
        <f aca="false">SUMPRODUCT((Hipótesis!$D$48:$D$53&lt;=79)*(Hipótesis!$B$48:$B$53)*(Hipótesis!$F$48:$F$53))</f>
        <v>320</v>
      </c>
      <c r="CD29" s="110" t="n">
        <f aca="false">SUMPRODUCT((Hipótesis!$D$48:$D$53&lt;=80)*(Hipótesis!$B$48:$B$53)*(Hipótesis!$F$48:$F$53))</f>
        <v>320</v>
      </c>
      <c r="CE29" s="110" t="n">
        <f aca="false">SUMPRODUCT((Hipótesis!$D$48:$D$53&lt;=81)*(Hipótesis!$B$48:$B$53)*(Hipótesis!$F$48:$F$53))</f>
        <v>320</v>
      </c>
      <c r="CF29" s="110" t="n">
        <f aca="false">SUMPRODUCT((Hipótesis!$D$48:$D$53&lt;=82)*(Hipótesis!$B$48:$B$53)*(Hipótesis!$F$48:$F$53))</f>
        <v>320</v>
      </c>
      <c r="CG29" s="110" t="n">
        <f aca="false">SUMPRODUCT((Hipótesis!$D$48:$D$53&lt;=83)*(Hipótesis!$B$48:$B$53)*(Hipótesis!$F$48:$F$53))</f>
        <v>320</v>
      </c>
      <c r="CH29" s="110" t="n">
        <f aca="false">SUMPRODUCT((Hipótesis!$D$48:$D$53&lt;=84)*(Hipótesis!$B$48:$B$53)*(Hipótesis!$F$48:$F$53))</f>
        <v>320</v>
      </c>
    </row>
    <row r="30" customFormat="false" ht="13.5" hidden="false" customHeight="true" outlineLevel="0" collapsed="false">
      <c r="A30" s="22" t="s">
        <v>536</v>
      </c>
      <c r="C30" s="110" t="n">
        <f aca="false">ROUNDUP(MAX(0,C28-C29)/Hipótesis!$D$63,0)</f>
        <v>0</v>
      </c>
      <c r="D30" s="110" t="n">
        <f aca="false">ROUNDUP(MAX(0,D28-D29)/Hipótesis!$D$63,0)</f>
        <v>0</v>
      </c>
      <c r="E30" s="110" t="n">
        <f aca="false">ROUNDUP(MAX(0,E28-E29)/Hipótesis!$D$63,0)</f>
        <v>0</v>
      </c>
      <c r="F30" s="110" t="n">
        <f aca="false">ROUNDUP(MAX(0,F28-F29)/Hipótesis!$D$63,0)</f>
        <v>0</v>
      </c>
      <c r="G30" s="110" t="n">
        <f aca="false">ROUNDUP(MAX(0,G28-G29)/Hipótesis!$D$63,0)</f>
        <v>0</v>
      </c>
      <c r="H30" s="110" t="n">
        <f aca="false">ROUNDUP(MAX(0,H28-H29)/Hipótesis!$D$63,0)</f>
        <v>0</v>
      </c>
      <c r="I30" s="110" t="n">
        <f aca="false">ROUNDUP(MAX(0,I28-I29)/Hipótesis!$D$63,0)</f>
        <v>0</v>
      </c>
      <c r="J30" s="110" t="n">
        <f aca="false">ROUNDUP(MAX(0,J28-J29)/Hipótesis!$D$63,0)</f>
        <v>0</v>
      </c>
      <c r="K30" s="110" t="n">
        <f aca="false">ROUNDUP(MAX(0,K28-K29)/Hipótesis!$D$63,0)</f>
        <v>0</v>
      </c>
      <c r="L30" s="110" t="n">
        <f aca="false">ROUNDUP(MAX(0,L28-L29)/Hipótesis!$D$63,0)</f>
        <v>0</v>
      </c>
      <c r="M30" s="110" t="n">
        <f aca="false">ROUNDUP(MAX(0,M28-M29)/Hipótesis!$D$63,0)</f>
        <v>0</v>
      </c>
      <c r="N30" s="110" t="n">
        <f aca="false">ROUNDUP(MAX(0,N28-N29)/Hipótesis!$D$63,0)</f>
        <v>0</v>
      </c>
      <c r="O30" s="110" t="n">
        <f aca="false">ROUNDUP(MAX(0,O28-O29)/Hipótesis!$D$63,0)</f>
        <v>0</v>
      </c>
      <c r="P30" s="110" t="n">
        <f aca="false">ROUNDUP(MAX(0,P28-P29)/Hipótesis!$D$63,0)</f>
        <v>1</v>
      </c>
      <c r="Q30" s="110" t="n">
        <f aca="false">ROUNDUP(MAX(0,Q28-Q29)/Hipótesis!$D$63,0)</f>
        <v>1</v>
      </c>
      <c r="R30" s="110" t="n">
        <f aca="false">ROUNDUP(MAX(0,R28-R29)/Hipótesis!$D$63,0)</f>
        <v>1</v>
      </c>
      <c r="S30" s="110" t="n">
        <f aca="false">ROUNDUP(MAX(0,S28-S29)/Hipótesis!$D$63,0)</f>
        <v>1</v>
      </c>
      <c r="T30" s="110" t="n">
        <f aca="false">ROUNDUP(MAX(0,T28-T29)/Hipótesis!$D$63,0)</f>
        <v>1</v>
      </c>
      <c r="U30" s="110" t="n">
        <f aca="false">ROUNDUP(MAX(0,U28-U29)/Hipótesis!$D$63,0)</f>
        <v>2</v>
      </c>
      <c r="V30" s="110" t="n">
        <f aca="false">ROUNDUP(MAX(0,V28-V29)/Hipótesis!$D$63,0)</f>
        <v>2</v>
      </c>
      <c r="W30" s="110" t="n">
        <f aca="false">ROUNDUP(MAX(0,W28-W29)/Hipótesis!$D$63,0)</f>
        <v>2</v>
      </c>
      <c r="X30" s="110" t="n">
        <f aca="false">ROUNDUP(MAX(0,X28-X29)/Hipótesis!$D$63,0)</f>
        <v>2</v>
      </c>
      <c r="Y30" s="110" t="n">
        <f aca="false">ROUNDUP(MAX(0,Y28-Y29)/Hipótesis!$D$63,0)</f>
        <v>2</v>
      </c>
      <c r="Z30" s="110" t="n">
        <f aca="false">ROUNDUP(MAX(0,Z28-Z29)/Hipótesis!$D$63,0)</f>
        <v>2</v>
      </c>
      <c r="AA30" s="110" t="n">
        <f aca="false">ROUNDUP(MAX(0,AA28-AA29)/Hipótesis!$D$63,0)</f>
        <v>2</v>
      </c>
      <c r="AB30" s="110" t="n">
        <f aca="false">ROUNDUP(MAX(0,AB28-AB29)/Hipótesis!$D$63,0)</f>
        <v>3</v>
      </c>
      <c r="AC30" s="110" t="n">
        <f aca="false">ROUNDUP(MAX(0,AC28-AC29)/Hipótesis!$D$63,0)</f>
        <v>3</v>
      </c>
      <c r="AD30" s="110" t="n">
        <f aca="false">ROUNDUP(MAX(0,AD28-AD29)/Hipótesis!$D$63,0)</f>
        <v>3</v>
      </c>
      <c r="AE30" s="110" t="n">
        <f aca="false">ROUNDUP(MAX(0,AE28-AE29)/Hipótesis!$D$63,0)</f>
        <v>3</v>
      </c>
      <c r="AF30" s="110" t="n">
        <f aca="false">ROUNDUP(MAX(0,AF28-AF29)/Hipótesis!$D$63,0)</f>
        <v>3</v>
      </c>
      <c r="AG30" s="110" t="n">
        <f aca="false">ROUNDUP(MAX(0,AG28-AG29)/Hipótesis!$D$63,0)</f>
        <v>3</v>
      </c>
      <c r="AH30" s="110" t="n">
        <f aca="false">ROUNDUP(MAX(0,AH28-AH29)/Hipótesis!$D$63,0)</f>
        <v>3</v>
      </c>
      <c r="AI30" s="110" t="n">
        <f aca="false">ROUNDUP(MAX(0,AI28-AI29)/Hipótesis!$D$63,0)</f>
        <v>3</v>
      </c>
      <c r="AJ30" s="110" t="n">
        <f aca="false">ROUNDUP(MAX(0,AJ28-AJ29)/Hipótesis!$D$63,0)</f>
        <v>3</v>
      </c>
      <c r="AK30" s="110" t="n">
        <f aca="false">ROUNDUP(MAX(0,AK28-AK29)/Hipótesis!$D$63,0)</f>
        <v>3</v>
      </c>
      <c r="AL30" s="110" t="n">
        <f aca="false">ROUNDUP(MAX(0,AL28-AL29)/Hipótesis!$D$63,0)</f>
        <v>3</v>
      </c>
      <c r="AM30" s="110" t="n">
        <f aca="false">ROUNDUP(MAX(0,AM28-AM29)/Hipótesis!$D$63,0)</f>
        <v>4</v>
      </c>
      <c r="AN30" s="110" t="n">
        <f aca="false">ROUNDUP(MAX(0,AN28-AN29)/Hipótesis!$D$63,0)</f>
        <v>4</v>
      </c>
      <c r="AO30" s="110" t="n">
        <f aca="false">ROUNDUP(MAX(0,AO28-AO29)/Hipótesis!$D$63,0)</f>
        <v>4</v>
      </c>
      <c r="AP30" s="110" t="n">
        <f aca="false">ROUNDUP(MAX(0,AP28-AP29)/Hipótesis!$D$63,0)</f>
        <v>4</v>
      </c>
      <c r="AQ30" s="110" t="n">
        <f aca="false">ROUNDUP(MAX(0,AQ28-AQ29)/Hipótesis!$D$63,0)</f>
        <v>4</v>
      </c>
      <c r="AR30" s="110" t="n">
        <f aca="false">ROUNDUP(MAX(0,AR28-AR29)/Hipótesis!$D$63,0)</f>
        <v>4</v>
      </c>
      <c r="AS30" s="110" t="n">
        <f aca="false">ROUNDUP(MAX(0,AS28-AS29)/Hipótesis!$D$63,0)</f>
        <v>4</v>
      </c>
      <c r="AT30" s="110" t="n">
        <f aca="false">ROUNDUP(MAX(0,AT28-AT29)/Hipótesis!$D$63,0)</f>
        <v>4</v>
      </c>
      <c r="AU30" s="110" t="n">
        <f aca="false">ROUNDUP(MAX(0,AU28-AU29)/Hipótesis!$D$63,0)</f>
        <v>4</v>
      </c>
      <c r="AV30" s="110" t="n">
        <f aca="false">ROUNDUP(MAX(0,AV28-AV29)/Hipótesis!$D$63,0)</f>
        <v>4</v>
      </c>
      <c r="AW30" s="110" t="n">
        <f aca="false">ROUNDUP(MAX(0,AW28-AW29)/Hipótesis!$D$63,0)</f>
        <v>4</v>
      </c>
      <c r="AX30" s="110" t="n">
        <f aca="false">ROUNDUP(MAX(0,AX28-AX29)/Hipótesis!$D$63,0)</f>
        <v>4</v>
      </c>
      <c r="AY30" s="110" t="n">
        <f aca="false">ROUNDUP(MAX(0,AY28-AY29)/Hipótesis!$D$63,0)</f>
        <v>4</v>
      </c>
      <c r="AZ30" s="110" t="n">
        <f aca="false">ROUNDUP(MAX(0,AZ28-AZ29)/Hipótesis!$D$63,0)</f>
        <v>4</v>
      </c>
      <c r="BA30" s="110" t="n">
        <f aca="false">ROUNDUP(MAX(0,BA28-BA29)/Hipótesis!$D$63,0)</f>
        <v>4</v>
      </c>
      <c r="BB30" s="110" t="n">
        <f aca="false">ROUNDUP(MAX(0,BB28-BB29)/Hipótesis!$D$63,0)</f>
        <v>4</v>
      </c>
      <c r="BC30" s="110" t="n">
        <f aca="false">ROUNDUP(MAX(0,BC28-BC29)/Hipótesis!$D$63,0)</f>
        <v>4</v>
      </c>
      <c r="BD30" s="110" t="n">
        <f aca="false">ROUNDUP(MAX(0,BD28-BD29)/Hipótesis!$D$63,0)</f>
        <v>4</v>
      </c>
      <c r="BE30" s="110" t="n">
        <f aca="false">ROUNDUP(MAX(0,BE28-BE29)/Hipótesis!$D$63,0)</f>
        <v>4</v>
      </c>
      <c r="BF30" s="110" t="n">
        <f aca="false">ROUNDUP(MAX(0,BF28-BF29)/Hipótesis!$D$63,0)</f>
        <v>4</v>
      </c>
      <c r="BG30" s="110" t="n">
        <f aca="false">ROUNDUP(MAX(0,BG28-BG29)/Hipótesis!$D$63,0)</f>
        <v>4</v>
      </c>
      <c r="BH30" s="110" t="n">
        <f aca="false">ROUNDUP(MAX(0,BH28-BH29)/Hipótesis!$D$63,0)</f>
        <v>4</v>
      </c>
      <c r="BI30" s="110" t="n">
        <f aca="false">ROUNDUP(MAX(0,BI28-BI29)/Hipótesis!$D$63,0)</f>
        <v>4</v>
      </c>
      <c r="BJ30" s="110" t="n">
        <f aca="false">ROUNDUP(MAX(0,BJ28-BJ29)/Hipótesis!$D$63,0)</f>
        <v>4</v>
      </c>
      <c r="BK30" s="110" t="n">
        <f aca="false">ROUNDUP(MAX(0,BK28-BK29)/Hipótesis!$D$63,0)</f>
        <v>4</v>
      </c>
      <c r="BL30" s="110" t="n">
        <f aca="false">ROUNDUP(MAX(0,BL28-BL29)/Hipótesis!$D$63,0)</f>
        <v>4</v>
      </c>
      <c r="BM30" s="110" t="n">
        <f aca="false">ROUNDUP(MAX(0,BM28-BM29)/Hipótesis!$D$63,0)</f>
        <v>4</v>
      </c>
      <c r="BN30" s="110" t="n">
        <f aca="false">ROUNDUP(MAX(0,BN28-BN29)/Hipótesis!$D$63,0)</f>
        <v>4</v>
      </c>
      <c r="BO30" s="110" t="n">
        <f aca="false">ROUNDUP(MAX(0,BO28-BO29)/Hipótesis!$D$63,0)</f>
        <v>4</v>
      </c>
      <c r="BP30" s="110" t="n">
        <f aca="false">ROUNDUP(MAX(0,BP28-BP29)/Hipótesis!$D$63,0)</f>
        <v>4</v>
      </c>
      <c r="BQ30" s="110" t="n">
        <f aca="false">ROUNDUP(MAX(0,BQ28-BQ29)/Hipótesis!$D$63,0)</f>
        <v>4</v>
      </c>
      <c r="BR30" s="110" t="n">
        <f aca="false">ROUNDUP(MAX(0,BR28-BR29)/Hipótesis!$D$63,0)</f>
        <v>4</v>
      </c>
      <c r="BS30" s="110" t="n">
        <f aca="false">ROUNDUP(MAX(0,BS28-BS29)/Hipótesis!$D$63,0)</f>
        <v>4</v>
      </c>
      <c r="BT30" s="110" t="n">
        <f aca="false">ROUNDUP(MAX(0,BT28-BT29)/Hipótesis!$D$63,0)</f>
        <v>4</v>
      </c>
      <c r="BU30" s="110" t="n">
        <f aca="false">ROUNDUP(MAX(0,BU28-BU29)/Hipótesis!$D$63,0)</f>
        <v>4</v>
      </c>
      <c r="BV30" s="110" t="n">
        <f aca="false">ROUNDUP(MAX(0,BV28-BV29)/Hipótesis!$D$63,0)</f>
        <v>4</v>
      </c>
      <c r="BW30" s="110" t="n">
        <f aca="false">ROUNDUP(MAX(0,BW28-BW29)/Hipótesis!$D$63,0)</f>
        <v>4</v>
      </c>
      <c r="BX30" s="110" t="n">
        <f aca="false">ROUNDUP(MAX(0,BX28-BX29)/Hipótesis!$D$63,0)</f>
        <v>4</v>
      </c>
      <c r="BY30" s="110" t="n">
        <f aca="false">ROUNDUP(MAX(0,BY28-BY29)/Hipótesis!$D$63,0)</f>
        <v>4</v>
      </c>
      <c r="BZ30" s="110" t="n">
        <f aca="false">ROUNDUP(MAX(0,BZ28-BZ29)/Hipótesis!$D$63,0)</f>
        <v>4</v>
      </c>
      <c r="CA30" s="110" t="n">
        <f aca="false">ROUNDUP(MAX(0,CA28-CA29)/Hipótesis!$D$63,0)</f>
        <v>4</v>
      </c>
      <c r="CB30" s="110" t="n">
        <f aca="false">ROUNDUP(MAX(0,CB28-CB29)/Hipótesis!$D$63,0)</f>
        <v>4</v>
      </c>
      <c r="CC30" s="110" t="n">
        <f aca="false">ROUNDUP(MAX(0,CC28-CC29)/Hipótesis!$D$63,0)</f>
        <v>4</v>
      </c>
      <c r="CD30" s="110" t="n">
        <f aca="false">ROUNDUP(MAX(0,CD28-CD29)/Hipótesis!$D$63,0)</f>
        <v>4</v>
      </c>
      <c r="CE30" s="110" t="n">
        <f aca="false">ROUNDUP(MAX(0,CE28-CE29)/Hipótesis!$D$63,0)</f>
        <v>4</v>
      </c>
      <c r="CF30" s="110" t="n">
        <f aca="false">ROUNDUP(MAX(0,CF28-CF29)/Hipótesis!$D$63,0)</f>
        <v>4</v>
      </c>
      <c r="CG30" s="110" t="n">
        <f aca="false">ROUNDUP(MAX(0,CG28-CG29)/Hipótesis!$D$63,0)</f>
        <v>4</v>
      </c>
      <c r="CH30" s="110" t="n">
        <f aca="false">ROUNDUP(MAX(0,CH28-CH29)/Hipótesis!$D$63,0)</f>
        <v>4</v>
      </c>
    </row>
    <row r="31" customFormat="false" ht="13.5" hidden="false" customHeight="true" outlineLevel="0" collapsed="false">
      <c r="A31" s="22" t="s">
        <v>537</v>
      </c>
      <c r="C31" s="110" t="n">
        <f aca="false">SUMPRODUCT((Hipótesis!$D$48:$D$53&lt;=1)*(Hipótesis!$B$48:$B$53))+C30</f>
        <v>4</v>
      </c>
      <c r="D31" s="110" t="n">
        <f aca="false">SUMPRODUCT((Hipótesis!$D$48:$D$53&lt;=2)*(Hipótesis!$B$48:$B$53))+D30</f>
        <v>4</v>
      </c>
      <c r="E31" s="110" t="n">
        <f aca="false">SUMPRODUCT((Hipótesis!$D$48:$D$53&lt;=3)*(Hipótesis!$B$48:$B$53))+E30</f>
        <v>4</v>
      </c>
      <c r="F31" s="110" t="n">
        <f aca="false">SUMPRODUCT((Hipótesis!$D$48:$D$53&lt;=4)*(Hipótesis!$B$48:$B$53))+F30</f>
        <v>4</v>
      </c>
      <c r="G31" s="110" t="n">
        <f aca="false">SUMPRODUCT((Hipótesis!$D$48:$D$53&lt;=5)*(Hipótesis!$B$48:$B$53))+G30</f>
        <v>4</v>
      </c>
      <c r="H31" s="110" t="n">
        <f aca="false">SUMPRODUCT((Hipótesis!$D$48:$D$53&lt;=6)*(Hipótesis!$B$48:$B$53))+H30</f>
        <v>4</v>
      </c>
      <c r="I31" s="110" t="n">
        <f aca="false">SUMPRODUCT((Hipótesis!$D$48:$D$53&lt;=7)*(Hipótesis!$B$48:$B$53))+I30</f>
        <v>4</v>
      </c>
      <c r="J31" s="110" t="n">
        <f aca="false">SUMPRODUCT((Hipótesis!$D$48:$D$53&lt;=8)*(Hipótesis!$B$48:$B$53))+J30</f>
        <v>4</v>
      </c>
      <c r="K31" s="110" t="n">
        <f aca="false">SUMPRODUCT((Hipótesis!$D$48:$D$53&lt;=9)*(Hipótesis!$B$48:$B$53))+K30</f>
        <v>4</v>
      </c>
      <c r="L31" s="110" t="n">
        <f aca="false">SUMPRODUCT((Hipótesis!$D$48:$D$53&lt;=10)*(Hipótesis!$B$48:$B$53))+L30</f>
        <v>4</v>
      </c>
      <c r="M31" s="110" t="n">
        <f aca="false">SUMPRODUCT((Hipótesis!$D$48:$D$53&lt;=11)*(Hipótesis!$B$48:$B$53))+M30</f>
        <v>4</v>
      </c>
      <c r="N31" s="110" t="n">
        <f aca="false">SUMPRODUCT((Hipótesis!$D$48:$D$53&lt;=12)*(Hipótesis!$B$48:$B$53))+N30</f>
        <v>4</v>
      </c>
      <c r="O31" s="110" t="n">
        <f aca="false">SUMPRODUCT((Hipótesis!$D$48:$D$53&lt;=13)*(Hipótesis!$B$48:$B$53))+O30</f>
        <v>4</v>
      </c>
      <c r="P31" s="110" t="n">
        <f aca="false">SUMPRODUCT((Hipótesis!$D$48:$D$53&lt;=14)*(Hipótesis!$B$48:$B$53))+P30</f>
        <v>5</v>
      </c>
      <c r="Q31" s="110" t="n">
        <f aca="false">SUMPRODUCT((Hipótesis!$D$48:$D$53&lt;=15)*(Hipótesis!$B$48:$B$53))+Q30</f>
        <v>5</v>
      </c>
      <c r="R31" s="110" t="n">
        <f aca="false">SUMPRODUCT((Hipótesis!$D$48:$D$53&lt;=16)*(Hipótesis!$B$48:$B$53))+R30</f>
        <v>5</v>
      </c>
      <c r="S31" s="110" t="n">
        <f aca="false">SUMPRODUCT((Hipótesis!$D$48:$D$53&lt;=17)*(Hipótesis!$B$48:$B$53))+S30</f>
        <v>5</v>
      </c>
      <c r="T31" s="110" t="n">
        <f aca="false">SUMPRODUCT((Hipótesis!$D$48:$D$53&lt;=18)*(Hipótesis!$B$48:$B$53))+T30</f>
        <v>5</v>
      </c>
      <c r="U31" s="110" t="n">
        <f aca="false">SUMPRODUCT((Hipótesis!$D$48:$D$53&lt;=19)*(Hipótesis!$B$48:$B$53))+U30</f>
        <v>6</v>
      </c>
      <c r="V31" s="110" t="n">
        <f aca="false">SUMPRODUCT((Hipótesis!$D$48:$D$53&lt;=20)*(Hipótesis!$B$48:$B$53))+V30</f>
        <v>7</v>
      </c>
      <c r="W31" s="110" t="n">
        <f aca="false">SUMPRODUCT((Hipótesis!$D$48:$D$53&lt;=21)*(Hipótesis!$B$48:$B$53))+W30</f>
        <v>7</v>
      </c>
      <c r="X31" s="110" t="n">
        <f aca="false">SUMPRODUCT((Hipótesis!$D$48:$D$53&lt;=22)*(Hipótesis!$B$48:$B$53))+X30</f>
        <v>7</v>
      </c>
      <c r="Y31" s="110" t="n">
        <f aca="false">SUMPRODUCT((Hipótesis!$D$48:$D$53&lt;=23)*(Hipótesis!$B$48:$B$53))+Y30</f>
        <v>7</v>
      </c>
      <c r="Z31" s="110" t="n">
        <f aca="false">SUMPRODUCT((Hipótesis!$D$48:$D$53&lt;=24)*(Hipótesis!$B$48:$B$53))+Z30</f>
        <v>7</v>
      </c>
      <c r="AA31" s="110" t="n">
        <f aca="false">SUMPRODUCT((Hipótesis!$D$48:$D$53&lt;=25)*(Hipótesis!$B$48:$B$53))+AA30</f>
        <v>7</v>
      </c>
      <c r="AB31" s="110" t="n">
        <f aca="false">SUMPRODUCT((Hipótesis!$D$48:$D$53&lt;=26)*(Hipótesis!$B$48:$B$53))+AB30</f>
        <v>8</v>
      </c>
      <c r="AC31" s="110" t="n">
        <f aca="false">SUMPRODUCT((Hipótesis!$D$48:$D$53&lt;=27)*(Hipótesis!$B$48:$B$53))+AC30</f>
        <v>8</v>
      </c>
      <c r="AD31" s="110" t="n">
        <f aca="false">SUMPRODUCT((Hipótesis!$D$48:$D$53&lt;=28)*(Hipótesis!$B$48:$B$53))+AD30</f>
        <v>8</v>
      </c>
      <c r="AE31" s="110" t="n">
        <f aca="false">SUMPRODUCT((Hipótesis!$D$48:$D$53&lt;=29)*(Hipótesis!$B$48:$B$53))+AE30</f>
        <v>8</v>
      </c>
      <c r="AF31" s="110" t="n">
        <f aca="false">SUMPRODUCT((Hipótesis!$D$48:$D$53&lt;=30)*(Hipótesis!$B$48:$B$53))+AF30</f>
        <v>8</v>
      </c>
      <c r="AG31" s="110" t="n">
        <f aca="false">SUMPRODUCT((Hipótesis!$D$48:$D$53&lt;=31)*(Hipótesis!$B$48:$B$53))+AG30</f>
        <v>8</v>
      </c>
      <c r="AH31" s="110" t="n">
        <f aca="false">SUMPRODUCT((Hipótesis!$D$48:$D$53&lt;=32)*(Hipótesis!$B$48:$B$53))+AH30</f>
        <v>8</v>
      </c>
      <c r="AI31" s="110" t="n">
        <f aca="false">SUMPRODUCT((Hipótesis!$D$48:$D$53&lt;=33)*(Hipótesis!$B$48:$B$53))+AI30</f>
        <v>8</v>
      </c>
      <c r="AJ31" s="110" t="n">
        <f aca="false">SUMPRODUCT((Hipótesis!$D$48:$D$53&lt;=34)*(Hipótesis!$B$48:$B$53))+AJ30</f>
        <v>8</v>
      </c>
      <c r="AK31" s="110" t="n">
        <f aca="false">SUMPRODUCT((Hipótesis!$D$48:$D$53&lt;=35)*(Hipótesis!$B$48:$B$53))+AK30</f>
        <v>8</v>
      </c>
      <c r="AL31" s="110" t="n">
        <f aca="false">SUMPRODUCT((Hipótesis!$D$48:$D$53&lt;=36)*(Hipótesis!$B$48:$B$53))+AL30</f>
        <v>8</v>
      </c>
      <c r="AM31" s="110" t="n">
        <f aca="false">SUMPRODUCT((Hipótesis!$D$48:$D$53&lt;=37)*(Hipótesis!$B$48:$B$53))+AM30</f>
        <v>9</v>
      </c>
      <c r="AN31" s="110" t="n">
        <f aca="false">SUMPRODUCT((Hipótesis!$D$48:$D$53&lt;=38)*(Hipótesis!$B$48:$B$53))+AN30</f>
        <v>9</v>
      </c>
      <c r="AO31" s="110" t="n">
        <f aca="false">SUMPRODUCT((Hipótesis!$D$48:$D$53&lt;=39)*(Hipótesis!$B$48:$B$53))+AO30</f>
        <v>9</v>
      </c>
      <c r="AP31" s="110" t="n">
        <f aca="false">SUMPRODUCT((Hipótesis!$D$48:$D$53&lt;=40)*(Hipótesis!$B$48:$B$53))+AP30</f>
        <v>9</v>
      </c>
      <c r="AQ31" s="110" t="n">
        <f aca="false">SUMPRODUCT((Hipótesis!$D$48:$D$53&lt;=41)*(Hipótesis!$B$48:$B$53))+AQ30</f>
        <v>9</v>
      </c>
      <c r="AR31" s="110" t="n">
        <f aca="false">SUMPRODUCT((Hipótesis!$D$48:$D$53&lt;=42)*(Hipótesis!$B$48:$B$53))+AR30</f>
        <v>9</v>
      </c>
      <c r="AS31" s="110" t="n">
        <f aca="false">SUMPRODUCT((Hipótesis!$D$48:$D$53&lt;=43)*(Hipótesis!$B$48:$B$53))+AS30</f>
        <v>9</v>
      </c>
      <c r="AT31" s="110" t="n">
        <f aca="false">SUMPRODUCT((Hipótesis!$D$48:$D$53&lt;=44)*(Hipótesis!$B$48:$B$53))+AT30</f>
        <v>9</v>
      </c>
      <c r="AU31" s="110" t="n">
        <f aca="false">SUMPRODUCT((Hipótesis!$D$48:$D$53&lt;=45)*(Hipótesis!$B$48:$B$53))+AU30</f>
        <v>9</v>
      </c>
      <c r="AV31" s="110" t="n">
        <f aca="false">SUMPRODUCT((Hipótesis!$D$48:$D$53&lt;=46)*(Hipótesis!$B$48:$B$53))+AV30</f>
        <v>9</v>
      </c>
      <c r="AW31" s="110" t="n">
        <f aca="false">SUMPRODUCT((Hipótesis!$D$48:$D$53&lt;=47)*(Hipótesis!$B$48:$B$53))+AW30</f>
        <v>9</v>
      </c>
      <c r="AX31" s="110" t="n">
        <f aca="false">SUMPRODUCT((Hipótesis!$D$48:$D$53&lt;=48)*(Hipótesis!$B$48:$B$53))+AX30</f>
        <v>9</v>
      </c>
      <c r="AY31" s="110" t="n">
        <f aca="false">SUMPRODUCT((Hipótesis!$D$48:$D$53&lt;=49)*(Hipótesis!$B$48:$B$53))+AY30</f>
        <v>9</v>
      </c>
      <c r="AZ31" s="110" t="n">
        <f aca="false">SUMPRODUCT((Hipótesis!$D$48:$D$53&lt;=50)*(Hipótesis!$B$48:$B$53))+AZ30</f>
        <v>9</v>
      </c>
      <c r="BA31" s="110" t="n">
        <f aca="false">SUMPRODUCT((Hipótesis!$D$48:$D$53&lt;=51)*(Hipótesis!$B$48:$B$53))+BA30</f>
        <v>9</v>
      </c>
      <c r="BB31" s="110" t="n">
        <f aca="false">SUMPRODUCT((Hipótesis!$D$48:$D$53&lt;=52)*(Hipótesis!$B$48:$B$53))+BB30</f>
        <v>9</v>
      </c>
      <c r="BC31" s="110" t="n">
        <f aca="false">SUMPRODUCT((Hipótesis!$D$48:$D$53&lt;=53)*(Hipótesis!$B$48:$B$53))+BC30</f>
        <v>9</v>
      </c>
      <c r="BD31" s="110" t="n">
        <f aca="false">SUMPRODUCT((Hipótesis!$D$48:$D$53&lt;=54)*(Hipótesis!$B$48:$B$53))+BD30</f>
        <v>9</v>
      </c>
      <c r="BE31" s="110" t="n">
        <f aca="false">SUMPRODUCT((Hipótesis!$D$48:$D$53&lt;=55)*(Hipótesis!$B$48:$B$53))+BE30</f>
        <v>9</v>
      </c>
      <c r="BF31" s="110" t="n">
        <f aca="false">SUMPRODUCT((Hipótesis!$D$48:$D$53&lt;=56)*(Hipótesis!$B$48:$B$53))+BF30</f>
        <v>9</v>
      </c>
      <c r="BG31" s="110" t="n">
        <f aca="false">SUMPRODUCT((Hipótesis!$D$48:$D$53&lt;=57)*(Hipótesis!$B$48:$B$53))+BG30</f>
        <v>9</v>
      </c>
      <c r="BH31" s="110" t="n">
        <f aca="false">SUMPRODUCT((Hipótesis!$D$48:$D$53&lt;=58)*(Hipótesis!$B$48:$B$53))+BH30</f>
        <v>9</v>
      </c>
      <c r="BI31" s="110" t="n">
        <f aca="false">SUMPRODUCT((Hipótesis!$D$48:$D$53&lt;=59)*(Hipótesis!$B$48:$B$53))+BI30</f>
        <v>9</v>
      </c>
      <c r="BJ31" s="110" t="n">
        <f aca="false">SUMPRODUCT((Hipótesis!$D$48:$D$53&lt;=60)*(Hipótesis!$B$48:$B$53))+BJ30</f>
        <v>9</v>
      </c>
      <c r="BK31" s="110" t="n">
        <f aca="false">SUMPRODUCT((Hipótesis!$D$48:$D$53&lt;=61)*(Hipótesis!$B$48:$B$53))+BK30</f>
        <v>9</v>
      </c>
      <c r="BL31" s="110" t="n">
        <f aca="false">SUMPRODUCT((Hipótesis!$D$48:$D$53&lt;=62)*(Hipótesis!$B$48:$B$53))+BL30</f>
        <v>9</v>
      </c>
      <c r="BM31" s="110" t="n">
        <f aca="false">SUMPRODUCT((Hipótesis!$D$48:$D$53&lt;=63)*(Hipótesis!$B$48:$B$53))+BM30</f>
        <v>9</v>
      </c>
      <c r="BN31" s="110" t="n">
        <f aca="false">SUMPRODUCT((Hipótesis!$D$48:$D$53&lt;=64)*(Hipótesis!$B$48:$B$53))+BN30</f>
        <v>9</v>
      </c>
      <c r="BO31" s="110" t="n">
        <f aca="false">SUMPRODUCT((Hipótesis!$D$48:$D$53&lt;=65)*(Hipótesis!$B$48:$B$53))+BO30</f>
        <v>9</v>
      </c>
      <c r="BP31" s="110" t="n">
        <f aca="false">SUMPRODUCT((Hipótesis!$D$48:$D$53&lt;=66)*(Hipótesis!$B$48:$B$53))+BP30</f>
        <v>9</v>
      </c>
      <c r="BQ31" s="110" t="n">
        <f aca="false">SUMPRODUCT((Hipótesis!$D$48:$D$53&lt;=67)*(Hipótesis!$B$48:$B$53))+BQ30</f>
        <v>9</v>
      </c>
      <c r="BR31" s="110" t="n">
        <f aca="false">SUMPRODUCT((Hipótesis!$D$48:$D$53&lt;=68)*(Hipótesis!$B$48:$B$53))+BR30</f>
        <v>9</v>
      </c>
      <c r="BS31" s="110" t="n">
        <f aca="false">SUMPRODUCT((Hipótesis!$D$48:$D$53&lt;=69)*(Hipótesis!$B$48:$B$53))+BS30</f>
        <v>9</v>
      </c>
      <c r="BT31" s="110" t="n">
        <f aca="false">SUMPRODUCT((Hipótesis!$D$48:$D$53&lt;=70)*(Hipótesis!$B$48:$B$53))+BT30</f>
        <v>9</v>
      </c>
      <c r="BU31" s="110" t="n">
        <f aca="false">SUMPRODUCT((Hipótesis!$D$48:$D$53&lt;=71)*(Hipótesis!$B$48:$B$53))+BU30</f>
        <v>9</v>
      </c>
      <c r="BV31" s="110" t="n">
        <f aca="false">SUMPRODUCT((Hipótesis!$D$48:$D$53&lt;=72)*(Hipótesis!$B$48:$B$53))+BV30</f>
        <v>9</v>
      </c>
      <c r="BW31" s="110" t="n">
        <f aca="false">SUMPRODUCT((Hipótesis!$D$48:$D$53&lt;=73)*(Hipótesis!$B$48:$B$53))+BW30</f>
        <v>9</v>
      </c>
      <c r="BX31" s="110" t="n">
        <f aca="false">SUMPRODUCT((Hipótesis!$D$48:$D$53&lt;=74)*(Hipótesis!$B$48:$B$53))+BX30</f>
        <v>9</v>
      </c>
      <c r="BY31" s="110" t="n">
        <f aca="false">SUMPRODUCT((Hipótesis!$D$48:$D$53&lt;=75)*(Hipótesis!$B$48:$B$53))+BY30</f>
        <v>9</v>
      </c>
      <c r="BZ31" s="110" t="n">
        <f aca="false">SUMPRODUCT((Hipótesis!$D$48:$D$53&lt;=76)*(Hipótesis!$B$48:$B$53))+BZ30</f>
        <v>9</v>
      </c>
      <c r="CA31" s="110" t="n">
        <f aca="false">SUMPRODUCT((Hipótesis!$D$48:$D$53&lt;=77)*(Hipótesis!$B$48:$B$53))+CA30</f>
        <v>9</v>
      </c>
      <c r="CB31" s="110" t="n">
        <f aca="false">SUMPRODUCT((Hipótesis!$D$48:$D$53&lt;=78)*(Hipótesis!$B$48:$B$53))+CB30</f>
        <v>9</v>
      </c>
      <c r="CC31" s="110" t="n">
        <f aca="false">SUMPRODUCT((Hipótesis!$D$48:$D$53&lt;=79)*(Hipótesis!$B$48:$B$53))+CC30</f>
        <v>9</v>
      </c>
      <c r="CD31" s="110" t="n">
        <f aca="false">SUMPRODUCT((Hipótesis!$D$48:$D$53&lt;=80)*(Hipótesis!$B$48:$B$53))+CD30</f>
        <v>9</v>
      </c>
      <c r="CE31" s="110" t="n">
        <f aca="false">SUMPRODUCT((Hipótesis!$D$48:$D$53&lt;=81)*(Hipótesis!$B$48:$B$53))+CE30</f>
        <v>9</v>
      </c>
      <c r="CF31" s="110" t="n">
        <f aca="false">SUMPRODUCT((Hipótesis!$D$48:$D$53&lt;=82)*(Hipótesis!$B$48:$B$53))+CF30</f>
        <v>9</v>
      </c>
      <c r="CG31" s="110" t="n">
        <f aca="false">SUMPRODUCT((Hipótesis!$D$48:$D$53&lt;=83)*(Hipótesis!$B$48:$B$53))+CG30</f>
        <v>9</v>
      </c>
      <c r="CH31" s="110" t="n">
        <f aca="false">SUMPRODUCT((Hipótesis!$D$48:$D$53&lt;=84)*(Hipótesis!$B$48:$B$53))+CH30</f>
        <v>9</v>
      </c>
    </row>
    <row r="32" customFormat="false" ht="13.5" hidden="false" customHeight="true" outlineLevel="0" collapsed="false"/>
    <row r="33" customFormat="false" ht="12.75" hidden="false" customHeight="true" outlineLevel="0" collapsed="false">
      <c r="A33" s="9" t="s">
        <v>538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</row>
    <row r="34" customFormat="false" ht="13.5" hidden="false" customHeight="true" outlineLevel="0" collapsed="false">
      <c r="A34" s="6" t="s">
        <v>539</v>
      </c>
      <c r="C34" s="109" t="n">
        <f aca="false">C16*C21*Hipótesis!$F$16</f>
        <v>1206.69</v>
      </c>
      <c r="D34" s="109" t="n">
        <f aca="false">D16*D21*Hipótesis!$F$16</f>
        <v>2507.34</v>
      </c>
      <c r="E34" s="109" t="n">
        <f aca="false">E16*E21*Hipótesis!$F$16</f>
        <v>5222.28375</v>
      </c>
      <c r="F34" s="109" t="n">
        <f aca="false">F16*F21*Hipótesis!$F$16</f>
        <v>6730.5375</v>
      </c>
      <c r="G34" s="109" t="n">
        <f aca="false">G16*G21*Hipótesis!$F$16</f>
        <v>8144.83125</v>
      </c>
      <c r="H34" s="109" t="n">
        <f aca="false">H16*H21*Hipótesis!$F$16</f>
        <v>10420.425</v>
      </c>
      <c r="I34" s="109" t="n">
        <f aca="false">I16*I21*Hipótesis!$F$16</f>
        <v>12696.01875</v>
      </c>
      <c r="J34" s="109" t="n">
        <f aca="false">J16*J21*Hipótesis!$F$16</f>
        <v>14971.6125</v>
      </c>
      <c r="K34" s="109" t="n">
        <f aca="false">K16*K21*Hipótesis!$F$16</f>
        <v>17247.20625</v>
      </c>
      <c r="L34" s="109" t="n">
        <f aca="false">L16*L21*Hipótesis!$F$16</f>
        <v>19522.8</v>
      </c>
      <c r="M34" s="109" t="n">
        <f aca="false">M16*M21*Hipótesis!$F$16</f>
        <v>20384.1</v>
      </c>
      <c r="N34" s="109" t="n">
        <f aca="false">N16*N21*Hipótesis!$F$16</f>
        <v>22419.9</v>
      </c>
      <c r="O34" s="109" t="n">
        <f aca="false">O16*O21*Hipótesis!$F$16</f>
        <v>24455.7</v>
      </c>
      <c r="P34" s="109" t="n">
        <f aca="false">P16*P21*Hipótesis!$F$16</f>
        <v>26068.68</v>
      </c>
      <c r="Q34" s="109" t="n">
        <f aca="false">Q16*Q21*Hipótesis!$F$16</f>
        <v>27681.66</v>
      </c>
      <c r="R34" s="109" t="n">
        <f aca="false">R16*R21*Hipótesis!$F$16</f>
        <v>29294.64</v>
      </c>
      <c r="S34" s="109" t="n">
        <f aca="false">S16*S21*Hipótesis!$F$16</f>
        <v>30907.62</v>
      </c>
      <c r="T34" s="109" t="n">
        <f aca="false">T16*T21*Hipótesis!$F$16</f>
        <v>32520.6</v>
      </c>
      <c r="U34" s="109" t="n">
        <f aca="false">U16*U21*Hipótesis!$F$16</f>
        <v>34133.58</v>
      </c>
      <c r="V34" s="109" t="n">
        <f aca="false">V16*V21*Hipótesis!$F$16</f>
        <v>35746.56</v>
      </c>
      <c r="W34" s="109" t="n">
        <f aca="false">W16*W21*Hipótesis!$F$16</f>
        <v>37359.54</v>
      </c>
      <c r="X34" s="109" t="n">
        <f aca="false">X16*X21*Hipótesis!$F$16</f>
        <v>37798.02</v>
      </c>
      <c r="Y34" s="109" t="n">
        <f aca="false">Y16*Y21*Hipótesis!$F$16</f>
        <v>38236.5</v>
      </c>
      <c r="Z34" s="109" t="n">
        <f aca="false">Z16*Z21*Hipótesis!$F$16</f>
        <v>38236.5</v>
      </c>
      <c r="AA34" s="109" t="n">
        <f aca="false">AA16*AA21*Hipótesis!$F$16</f>
        <v>38236.5</v>
      </c>
      <c r="AB34" s="109" t="n">
        <f aca="false">AB16*AB21*Hipótesis!$F$16</f>
        <v>38236.5</v>
      </c>
      <c r="AC34" s="109" t="n">
        <f aca="false">AC16*AC21*Hipótesis!$F$16</f>
        <v>38236.5</v>
      </c>
      <c r="AD34" s="109" t="n">
        <f aca="false">AD16*AD21*Hipótesis!$F$16</f>
        <v>38236.5</v>
      </c>
      <c r="AE34" s="109" t="n">
        <f aca="false">AE16*AE21*Hipótesis!$F$16</f>
        <v>38236.5</v>
      </c>
      <c r="AF34" s="109" t="n">
        <f aca="false">AF16*AF21*Hipótesis!$F$16</f>
        <v>38236.5</v>
      </c>
      <c r="AG34" s="109" t="n">
        <f aca="false">AG16*AG21*Hipótesis!$F$16</f>
        <v>38236.5</v>
      </c>
      <c r="AH34" s="109" t="n">
        <f aca="false">AH16*AH21*Hipótesis!$F$16</f>
        <v>38236.5</v>
      </c>
      <c r="AI34" s="109" t="n">
        <f aca="false">AI16*AI21*Hipótesis!$F$16</f>
        <v>38236.5</v>
      </c>
      <c r="AJ34" s="109" t="n">
        <f aca="false">AJ16*AJ21*Hipótesis!$F$16</f>
        <v>38236.5</v>
      </c>
      <c r="AK34" s="109" t="n">
        <f aca="false">AK16*AK21*Hipótesis!$F$16</f>
        <v>38236.5</v>
      </c>
      <c r="AL34" s="109" t="n">
        <f aca="false">AL16*AL21*Hipótesis!$F$16</f>
        <v>38236.5</v>
      </c>
      <c r="AM34" s="109" t="n">
        <f aca="false">AM16*AM21*Hipótesis!$F$16</f>
        <v>38236.5</v>
      </c>
      <c r="AN34" s="109" t="n">
        <f aca="false">AN16*AN21*Hipótesis!$F$16</f>
        <v>38236.5</v>
      </c>
      <c r="AO34" s="109" t="n">
        <f aca="false">AO16*AO21*Hipótesis!$F$16</f>
        <v>38236.5</v>
      </c>
      <c r="AP34" s="109" t="n">
        <f aca="false">AP16*AP21*Hipótesis!$F$16</f>
        <v>38236.5</v>
      </c>
      <c r="AQ34" s="109" t="n">
        <f aca="false">AQ16*AQ21*Hipótesis!$F$16</f>
        <v>38236.5</v>
      </c>
      <c r="AR34" s="109" t="n">
        <f aca="false">AR16*AR21*Hipótesis!$F$16</f>
        <v>38236.5</v>
      </c>
      <c r="AS34" s="109" t="n">
        <f aca="false">AS16*AS21*Hipótesis!$F$16</f>
        <v>38236.5</v>
      </c>
      <c r="AT34" s="109" t="n">
        <f aca="false">AT16*AT21*Hipótesis!$F$16</f>
        <v>38236.5</v>
      </c>
      <c r="AU34" s="109" t="n">
        <f aca="false">AU16*AU21*Hipótesis!$F$16</f>
        <v>38236.5</v>
      </c>
      <c r="AV34" s="109" t="n">
        <f aca="false">AV16*AV21*Hipótesis!$F$16</f>
        <v>38236.5</v>
      </c>
      <c r="AW34" s="109" t="n">
        <f aca="false">AW16*AW21*Hipótesis!$F$16</f>
        <v>38236.5</v>
      </c>
      <c r="AX34" s="109" t="n">
        <f aca="false">AX16*AX21*Hipótesis!$F$16</f>
        <v>38236.5</v>
      </c>
      <c r="AY34" s="109" t="n">
        <f aca="false">AY16*AY21*Hipótesis!$F$16</f>
        <v>38236.5</v>
      </c>
      <c r="AZ34" s="109" t="n">
        <f aca="false">AZ16*AZ21*Hipótesis!$F$16</f>
        <v>38236.5</v>
      </c>
      <c r="BA34" s="109" t="n">
        <f aca="false">BA16*BA21*Hipótesis!$F$16</f>
        <v>38236.5</v>
      </c>
      <c r="BB34" s="109" t="n">
        <f aca="false">BB16*BB21*Hipótesis!$F$16</f>
        <v>38236.5</v>
      </c>
      <c r="BC34" s="109" t="n">
        <f aca="false">BC16*BC21*Hipótesis!$F$16</f>
        <v>38236.5</v>
      </c>
      <c r="BD34" s="109" t="n">
        <f aca="false">BD16*BD21*Hipótesis!$F$16</f>
        <v>38236.5</v>
      </c>
      <c r="BE34" s="109" t="n">
        <f aca="false">BE16*BE21*Hipótesis!$F$16</f>
        <v>38236.5</v>
      </c>
      <c r="BF34" s="109" t="n">
        <f aca="false">BF16*BF21*Hipótesis!$F$16</f>
        <v>38236.5</v>
      </c>
      <c r="BG34" s="109" t="n">
        <f aca="false">BG16*BG21*Hipótesis!$F$16</f>
        <v>38236.5</v>
      </c>
      <c r="BH34" s="109" t="n">
        <f aca="false">BH16*BH21*Hipótesis!$F$16</f>
        <v>38236.5</v>
      </c>
      <c r="BI34" s="109" t="n">
        <f aca="false">BI16*BI21*Hipótesis!$F$16</f>
        <v>38236.5</v>
      </c>
      <c r="BJ34" s="109" t="n">
        <f aca="false">BJ16*BJ21*Hipótesis!$F$16</f>
        <v>38236.5</v>
      </c>
      <c r="BK34" s="109" t="n">
        <f aca="false">BK16*BK21*Hipótesis!$F$16</f>
        <v>38236.5</v>
      </c>
      <c r="BL34" s="109" t="n">
        <f aca="false">BL16*BL21*Hipótesis!$F$16</f>
        <v>38236.5</v>
      </c>
      <c r="BM34" s="109" t="n">
        <f aca="false">BM16*BM21*Hipótesis!$F$16</f>
        <v>38236.5</v>
      </c>
      <c r="BN34" s="109" t="n">
        <f aca="false">BN16*BN21*Hipótesis!$F$16</f>
        <v>38236.5</v>
      </c>
      <c r="BO34" s="109" t="n">
        <f aca="false">BO16*BO21*Hipótesis!$F$16</f>
        <v>38236.5</v>
      </c>
      <c r="BP34" s="109" t="n">
        <f aca="false">BP16*BP21*Hipótesis!$F$16</f>
        <v>38236.5</v>
      </c>
      <c r="BQ34" s="109" t="n">
        <f aca="false">BQ16*BQ21*Hipótesis!$F$16</f>
        <v>38236.5</v>
      </c>
      <c r="BR34" s="109" t="n">
        <f aca="false">BR16*BR21*Hipótesis!$F$16</f>
        <v>38236.5</v>
      </c>
      <c r="BS34" s="109" t="n">
        <f aca="false">BS16*BS21*Hipótesis!$F$16</f>
        <v>38236.5</v>
      </c>
      <c r="BT34" s="109" t="n">
        <f aca="false">BT16*BT21*Hipótesis!$F$16</f>
        <v>38236.5</v>
      </c>
      <c r="BU34" s="109" t="n">
        <f aca="false">BU16*BU21*Hipótesis!$F$16</f>
        <v>38236.5</v>
      </c>
      <c r="BV34" s="109" t="n">
        <f aca="false">BV16*BV21*Hipótesis!$F$16</f>
        <v>38236.5</v>
      </c>
      <c r="BW34" s="109" t="n">
        <f aca="false">BW16*BW21*Hipótesis!$F$16</f>
        <v>38236.5</v>
      </c>
      <c r="BX34" s="109" t="n">
        <f aca="false">BX16*BX21*Hipótesis!$F$16</f>
        <v>38236.5</v>
      </c>
      <c r="BY34" s="109" t="n">
        <f aca="false">BY16*BY21*Hipótesis!$F$16</f>
        <v>38236.5</v>
      </c>
      <c r="BZ34" s="109" t="n">
        <f aca="false">BZ16*BZ21*Hipótesis!$F$16</f>
        <v>38236.5</v>
      </c>
      <c r="CA34" s="109" t="n">
        <f aca="false">CA16*CA21*Hipótesis!$F$16</f>
        <v>38236.5</v>
      </c>
      <c r="CB34" s="109" t="n">
        <f aca="false">CB16*CB21*Hipótesis!$F$16</f>
        <v>38236.5</v>
      </c>
      <c r="CC34" s="109" t="n">
        <f aca="false">CC16*CC21*Hipótesis!$F$16</f>
        <v>38236.5</v>
      </c>
      <c r="CD34" s="109" t="n">
        <f aca="false">CD16*CD21*Hipótesis!$F$16</f>
        <v>38236.5</v>
      </c>
      <c r="CE34" s="109" t="n">
        <f aca="false">CE16*CE21*Hipótesis!$F$16</f>
        <v>38236.5</v>
      </c>
      <c r="CF34" s="109" t="n">
        <f aca="false">CF16*CF21*Hipótesis!$F$16</f>
        <v>38236.5</v>
      </c>
      <c r="CG34" s="109" t="n">
        <f aca="false">CG16*CG21*Hipótesis!$F$16</f>
        <v>38236.5</v>
      </c>
      <c r="CH34" s="109" t="n">
        <f aca="false">CH16*CH21*Hipótesis!$F$16</f>
        <v>38236.5</v>
      </c>
    </row>
    <row r="35" customFormat="false" ht="13.5" hidden="false" customHeight="true" outlineLevel="0" collapsed="false">
      <c r="A35" s="6" t="s">
        <v>540</v>
      </c>
      <c r="C35" s="109" t="n">
        <f aca="false">C23*(Hipótesis!$F$30*Hipótesis!$F$20+(1-Hipótesis!$F$30)*Hipótesis!$F$21)</f>
        <v>0</v>
      </c>
      <c r="D35" s="109" t="n">
        <f aca="false">D23*(Hipótesis!$F$30*Hipótesis!$F$20+(1-Hipótesis!$F$30)*Hipótesis!$F$21)</f>
        <v>0</v>
      </c>
      <c r="E35" s="109" t="n">
        <f aca="false">E23*(Hipótesis!$F$30*Hipótesis!$F$20+(1-Hipótesis!$F$30)*Hipótesis!$F$21)</f>
        <v>0</v>
      </c>
      <c r="F35" s="109" t="n">
        <f aca="false">F23*(Hipótesis!$F$30*Hipótesis!$F$20+(1-Hipótesis!$F$30)*Hipótesis!$F$21)</f>
        <v>0</v>
      </c>
      <c r="G35" s="109" t="n">
        <f aca="false">G23*(Hipótesis!$F$30*Hipótesis!$F$20+(1-Hipótesis!$F$30)*Hipótesis!$F$21)</f>
        <v>0</v>
      </c>
      <c r="H35" s="109" t="n">
        <f aca="false">H23*(Hipótesis!$F$30*Hipótesis!$F$20+(1-Hipótesis!$F$30)*Hipótesis!$F$21)</f>
        <v>0</v>
      </c>
      <c r="I35" s="109" t="n">
        <f aca="false">I23*(Hipótesis!$F$30*Hipótesis!$F$20+(1-Hipótesis!$F$30)*Hipótesis!$F$21)</f>
        <v>2186.39910836757</v>
      </c>
      <c r="J35" s="109" t="n">
        <f aca="false">J23*(Hipótesis!$F$30*Hipótesis!$F$20+(1-Hipótesis!$F$30)*Hipótesis!$F$21)</f>
        <v>4372.79821673514</v>
      </c>
      <c r="K35" s="109" t="n">
        <f aca="false">K23*(Hipótesis!$F$30*Hipótesis!$F$20+(1-Hipótesis!$F$30)*Hipótesis!$F$21)</f>
        <v>6559.1973251027</v>
      </c>
      <c r="L35" s="109" t="n">
        <f aca="false">L23*(Hipótesis!$F$30*Hipótesis!$F$20+(1-Hipótesis!$F$30)*Hipótesis!$F$21)</f>
        <v>8745.59643347027</v>
      </c>
      <c r="M35" s="109" t="n">
        <f aca="false">M23*(Hipótesis!$F$30*Hipótesis!$F$20+(1-Hipótesis!$F$30)*Hipótesis!$F$21)</f>
        <v>10931.9955418378</v>
      </c>
      <c r="N35" s="109" t="n">
        <f aca="false">N23*(Hipótesis!$F$30*Hipótesis!$F$20+(1-Hipótesis!$F$30)*Hipótesis!$F$21)</f>
        <v>13118.3946502054</v>
      </c>
      <c r="O35" s="109" t="n">
        <f aca="false">O23*(Hipótesis!$F$30*Hipótesis!$F$20+(1-Hipótesis!$F$30)*Hipótesis!$F$21)</f>
        <v>15304.793758573</v>
      </c>
      <c r="P35" s="109" t="n">
        <f aca="false">P23*(Hipótesis!$F$30*Hipótesis!$F$20+(1-Hipótesis!$F$30)*Hipótesis!$F$21)</f>
        <v>17491.1928669405</v>
      </c>
      <c r="Q35" s="109" t="n">
        <f aca="false">Q23*(Hipótesis!$F$30*Hipótesis!$F$20+(1-Hipótesis!$F$30)*Hipótesis!$F$21)</f>
        <v>19677.5919753081</v>
      </c>
      <c r="R35" s="109" t="n">
        <f aca="false">R23*(Hipótesis!$F$30*Hipótesis!$F$20+(1-Hipótesis!$F$30)*Hipótesis!$F$21)</f>
        <v>21863.9910836757</v>
      </c>
      <c r="S35" s="109" t="n">
        <f aca="false">S23*(Hipótesis!$F$30*Hipótesis!$F$20+(1-Hipótesis!$F$30)*Hipótesis!$F$21)</f>
        <v>24050.3901920432</v>
      </c>
      <c r="T35" s="109" t="n">
        <f aca="false">T23*(Hipótesis!$F$30*Hipótesis!$F$20+(1-Hipótesis!$F$30)*Hipótesis!$F$21)</f>
        <v>26236.7893004108</v>
      </c>
      <c r="U35" s="109" t="n">
        <f aca="false">U23*(Hipótesis!$F$30*Hipótesis!$F$20+(1-Hipótesis!$F$30)*Hipótesis!$F$21)</f>
        <v>28423.1884087784</v>
      </c>
      <c r="V35" s="109" t="n">
        <f aca="false">V23*(Hipótesis!$F$30*Hipótesis!$F$20+(1-Hipótesis!$F$30)*Hipótesis!$F$21)</f>
        <v>30609.5875171459</v>
      </c>
      <c r="W35" s="109" t="n">
        <f aca="false">W23*(Hipótesis!$F$30*Hipótesis!$F$20+(1-Hipótesis!$F$30)*Hipótesis!$F$21)</f>
        <v>32795.9866255135</v>
      </c>
      <c r="X35" s="109" t="n">
        <f aca="false">X23*(Hipótesis!$F$30*Hipótesis!$F$20+(1-Hipótesis!$F$30)*Hipótesis!$F$21)</f>
        <v>34982.3857338811</v>
      </c>
      <c r="Y35" s="109" t="n">
        <f aca="false">Y23*(Hipótesis!$F$30*Hipótesis!$F$20+(1-Hipótesis!$F$30)*Hipótesis!$F$21)</f>
        <v>37168.7848422487</v>
      </c>
      <c r="Z35" s="109" t="n">
        <f aca="false">Z23*(Hipótesis!$F$30*Hipótesis!$F$20+(1-Hipótesis!$F$30)*Hipótesis!$F$21)</f>
        <v>39355.1839506162</v>
      </c>
      <c r="AA35" s="109" t="n">
        <f aca="false">AA23*(Hipótesis!$F$30*Hipótesis!$F$20+(1-Hipótesis!$F$30)*Hipótesis!$F$21)</f>
        <v>41541.5830589838</v>
      </c>
      <c r="AB35" s="109" t="n">
        <f aca="false">AB23*(Hipótesis!$F$30*Hipótesis!$F$20+(1-Hipótesis!$F$30)*Hipótesis!$F$21)</f>
        <v>43727.9821673514</v>
      </c>
      <c r="AC35" s="109" t="n">
        <f aca="false">AC23*(Hipótesis!$F$30*Hipótesis!$F$20+(1-Hipótesis!$F$30)*Hipótesis!$F$21)</f>
        <v>45914.3812757189</v>
      </c>
      <c r="AD35" s="109" t="n">
        <f aca="false">AD23*(Hipótesis!$F$30*Hipótesis!$F$20+(1-Hipótesis!$F$30)*Hipótesis!$F$21)</f>
        <v>48100.7803840865</v>
      </c>
      <c r="AE35" s="109" t="n">
        <f aca="false">AE23*(Hipótesis!$F$30*Hipótesis!$F$20+(1-Hipótesis!$F$30)*Hipótesis!$F$21)</f>
        <v>50287.1794924541</v>
      </c>
      <c r="AF35" s="109" t="n">
        <f aca="false">AF23*(Hipótesis!$F$30*Hipótesis!$F$20+(1-Hipótesis!$F$30)*Hipótesis!$F$21)</f>
        <v>52473.5786008216</v>
      </c>
      <c r="AG35" s="109" t="n">
        <f aca="false">AG23*(Hipótesis!$F$30*Hipótesis!$F$20+(1-Hipótesis!$F$30)*Hipótesis!$F$21)</f>
        <v>54659.9777091892</v>
      </c>
      <c r="AH35" s="109" t="n">
        <f aca="false">AH23*(Hipótesis!$F$30*Hipótesis!$F$20+(1-Hipótesis!$F$30)*Hipótesis!$F$21)</f>
        <v>56846.3768175568</v>
      </c>
      <c r="AI35" s="109" t="n">
        <f aca="false">AI23*(Hipótesis!$F$30*Hipótesis!$F$20+(1-Hipótesis!$F$30)*Hipótesis!$F$21)</f>
        <v>59032.7759259243</v>
      </c>
      <c r="AJ35" s="109" t="n">
        <f aca="false">AJ23*(Hipótesis!$F$30*Hipótesis!$F$20+(1-Hipótesis!$F$30)*Hipótesis!$F$21)</f>
        <v>61219.1750342919</v>
      </c>
      <c r="AK35" s="109" t="n">
        <f aca="false">AK23*(Hipótesis!$F$30*Hipótesis!$F$20+(1-Hipótesis!$F$30)*Hipótesis!$F$21)</f>
        <v>63405.5741426595</v>
      </c>
      <c r="AL35" s="109" t="n">
        <f aca="false">AL23*(Hipótesis!$F$30*Hipótesis!$F$20+(1-Hipótesis!$F$30)*Hipótesis!$F$21)</f>
        <v>65591.973251027</v>
      </c>
      <c r="AM35" s="109" t="n">
        <f aca="false">AM23*(Hipótesis!$F$30*Hipótesis!$F$20+(1-Hipótesis!$F$30)*Hipótesis!$F$21)</f>
        <v>67778.3723593946</v>
      </c>
      <c r="AN35" s="109" t="n">
        <f aca="false">AN23*(Hipótesis!$F$30*Hipótesis!$F$20+(1-Hipótesis!$F$30)*Hipótesis!$F$21)</f>
        <v>69964.7714677622</v>
      </c>
      <c r="AO35" s="109" t="n">
        <f aca="false">AO23*(Hipótesis!$F$30*Hipótesis!$F$20+(1-Hipótesis!$F$30)*Hipótesis!$F$21)</f>
        <v>72151.1705761297</v>
      </c>
      <c r="AP35" s="109" t="n">
        <f aca="false">AP23*(Hipótesis!$F$30*Hipótesis!$F$20+(1-Hipótesis!$F$30)*Hipótesis!$F$21)</f>
        <v>74337.5696844973</v>
      </c>
      <c r="AQ35" s="109" t="n">
        <f aca="false">AQ23*(Hipótesis!$F$30*Hipótesis!$F$20+(1-Hipótesis!$F$30)*Hipótesis!$F$21)</f>
        <v>76523.9687928649</v>
      </c>
      <c r="AR35" s="109" t="n">
        <f aca="false">AR23*(Hipótesis!$F$30*Hipótesis!$F$20+(1-Hipótesis!$F$30)*Hipótesis!$F$21)</f>
        <v>78710.3679012324</v>
      </c>
      <c r="AS35" s="109" t="n">
        <f aca="false">AS23*(Hipótesis!$F$30*Hipótesis!$F$20+(1-Hipótesis!$F$30)*Hipótesis!$F$21)</f>
        <v>78710.3679012324</v>
      </c>
      <c r="AT35" s="109" t="n">
        <f aca="false">AT23*(Hipótesis!$F$30*Hipótesis!$F$20+(1-Hipótesis!$F$30)*Hipótesis!$F$21)</f>
        <v>78710.3679012324</v>
      </c>
      <c r="AU35" s="109" t="n">
        <f aca="false">AU23*(Hipótesis!$F$30*Hipótesis!$F$20+(1-Hipótesis!$F$30)*Hipótesis!$F$21)</f>
        <v>78710.3679012324</v>
      </c>
      <c r="AV35" s="109" t="n">
        <f aca="false">AV23*(Hipótesis!$F$30*Hipótesis!$F$20+(1-Hipótesis!$F$30)*Hipótesis!$F$21)</f>
        <v>78710.3679012324</v>
      </c>
      <c r="AW35" s="109" t="n">
        <f aca="false">AW23*(Hipótesis!$F$30*Hipótesis!$F$20+(1-Hipótesis!$F$30)*Hipótesis!$F$21)</f>
        <v>78710.3679012324</v>
      </c>
      <c r="AX35" s="109" t="n">
        <f aca="false">AX23*(Hipótesis!$F$30*Hipótesis!$F$20+(1-Hipótesis!$F$30)*Hipótesis!$F$21)</f>
        <v>78710.3679012324</v>
      </c>
      <c r="AY35" s="109" t="n">
        <f aca="false">AY23*(Hipótesis!$F$30*Hipótesis!$F$20+(1-Hipótesis!$F$30)*Hipótesis!$F$21)</f>
        <v>78710.3679012324</v>
      </c>
      <c r="AZ35" s="109" t="n">
        <f aca="false">AZ23*(Hipótesis!$F$30*Hipótesis!$F$20+(1-Hipótesis!$F$30)*Hipótesis!$F$21)</f>
        <v>78710.3679012324</v>
      </c>
      <c r="BA35" s="109" t="n">
        <f aca="false">BA23*(Hipótesis!$F$30*Hipótesis!$F$20+(1-Hipótesis!$F$30)*Hipótesis!$F$21)</f>
        <v>78710.3679012324</v>
      </c>
      <c r="BB35" s="109" t="n">
        <f aca="false">BB23*(Hipótesis!$F$30*Hipótesis!$F$20+(1-Hipótesis!$F$30)*Hipótesis!$F$21)</f>
        <v>78710.3679012324</v>
      </c>
      <c r="BC35" s="109" t="n">
        <f aca="false">BC23*(Hipótesis!$F$30*Hipótesis!$F$20+(1-Hipótesis!$F$30)*Hipótesis!$F$21)</f>
        <v>78710.3679012324</v>
      </c>
      <c r="BD35" s="109" t="n">
        <f aca="false">BD23*(Hipótesis!$F$30*Hipótesis!$F$20+(1-Hipótesis!$F$30)*Hipótesis!$F$21)</f>
        <v>78710.3679012324</v>
      </c>
      <c r="BE35" s="109" t="n">
        <f aca="false">BE23*(Hipótesis!$F$30*Hipótesis!$F$20+(1-Hipótesis!$F$30)*Hipótesis!$F$21)</f>
        <v>78710.3679012324</v>
      </c>
      <c r="BF35" s="109" t="n">
        <f aca="false">BF23*(Hipótesis!$F$30*Hipótesis!$F$20+(1-Hipótesis!$F$30)*Hipótesis!$F$21)</f>
        <v>78710.3679012324</v>
      </c>
      <c r="BG35" s="109" t="n">
        <f aca="false">BG23*(Hipótesis!$F$30*Hipótesis!$F$20+(1-Hipótesis!$F$30)*Hipótesis!$F$21)</f>
        <v>78710.3679012324</v>
      </c>
      <c r="BH35" s="109" t="n">
        <f aca="false">BH23*(Hipótesis!$F$30*Hipótesis!$F$20+(1-Hipótesis!$F$30)*Hipótesis!$F$21)</f>
        <v>78710.3679012324</v>
      </c>
      <c r="BI35" s="109" t="n">
        <f aca="false">BI23*(Hipótesis!$F$30*Hipótesis!$F$20+(1-Hipótesis!$F$30)*Hipótesis!$F$21)</f>
        <v>78710.3679012324</v>
      </c>
      <c r="BJ35" s="109" t="n">
        <f aca="false">BJ23*(Hipótesis!$F$30*Hipótesis!$F$20+(1-Hipótesis!$F$30)*Hipótesis!$F$21)</f>
        <v>78710.3679012324</v>
      </c>
      <c r="BK35" s="109" t="n">
        <f aca="false">BK23*(Hipótesis!$F$30*Hipótesis!$F$20+(1-Hipótesis!$F$30)*Hipótesis!$F$21)</f>
        <v>78710.3679012324</v>
      </c>
      <c r="BL35" s="109" t="n">
        <f aca="false">BL23*(Hipótesis!$F$30*Hipótesis!$F$20+(1-Hipótesis!$F$30)*Hipótesis!$F$21)</f>
        <v>78710.3679012324</v>
      </c>
      <c r="BM35" s="109" t="n">
        <f aca="false">BM23*(Hipótesis!$F$30*Hipótesis!$F$20+(1-Hipótesis!$F$30)*Hipótesis!$F$21)</f>
        <v>78710.3679012324</v>
      </c>
      <c r="BN35" s="109" t="n">
        <f aca="false">BN23*(Hipótesis!$F$30*Hipótesis!$F$20+(1-Hipótesis!$F$30)*Hipótesis!$F$21)</f>
        <v>78710.3679012324</v>
      </c>
      <c r="BO35" s="109" t="n">
        <f aca="false">BO23*(Hipótesis!$F$30*Hipótesis!$F$20+(1-Hipótesis!$F$30)*Hipótesis!$F$21)</f>
        <v>78710.3679012324</v>
      </c>
      <c r="BP35" s="109" t="n">
        <f aca="false">BP23*(Hipótesis!$F$30*Hipótesis!$F$20+(1-Hipótesis!$F$30)*Hipótesis!$F$21)</f>
        <v>78710.3679012324</v>
      </c>
      <c r="BQ35" s="109" t="n">
        <f aca="false">BQ23*(Hipótesis!$F$30*Hipótesis!$F$20+(1-Hipótesis!$F$30)*Hipótesis!$F$21)</f>
        <v>78710.3679012324</v>
      </c>
      <c r="BR35" s="109" t="n">
        <f aca="false">BR23*(Hipótesis!$F$30*Hipótesis!$F$20+(1-Hipótesis!$F$30)*Hipótesis!$F$21)</f>
        <v>78710.3679012324</v>
      </c>
      <c r="BS35" s="109" t="n">
        <f aca="false">BS23*(Hipótesis!$F$30*Hipótesis!$F$20+(1-Hipótesis!$F$30)*Hipótesis!$F$21)</f>
        <v>78710.3679012324</v>
      </c>
      <c r="BT35" s="109" t="n">
        <f aca="false">BT23*(Hipótesis!$F$30*Hipótesis!$F$20+(1-Hipótesis!$F$30)*Hipótesis!$F$21)</f>
        <v>78710.3679012324</v>
      </c>
      <c r="BU35" s="109" t="n">
        <f aca="false">BU23*(Hipótesis!$F$30*Hipótesis!$F$20+(1-Hipótesis!$F$30)*Hipótesis!$F$21)</f>
        <v>78710.3679012324</v>
      </c>
      <c r="BV35" s="109" t="n">
        <f aca="false">BV23*(Hipótesis!$F$30*Hipótesis!$F$20+(1-Hipótesis!$F$30)*Hipótesis!$F$21)</f>
        <v>78710.3679012324</v>
      </c>
      <c r="BW35" s="109" t="n">
        <f aca="false">BW23*(Hipótesis!$F$30*Hipótesis!$F$20+(1-Hipótesis!$F$30)*Hipótesis!$F$21)</f>
        <v>78710.3679012324</v>
      </c>
      <c r="BX35" s="109" t="n">
        <f aca="false">BX23*(Hipótesis!$F$30*Hipótesis!$F$20+(1-Hipótesis!$F$30)*Hipótesis!$F$21)</f>
        <v>78710.3679012324</v>
      </c>
      <c r="BY35" s="109" t="n">
        <f aca="false">BY23*(Hipótesis!$F$30*Hipótesis!$F$20+(1-Hipótesis!$F$30)*Hipótesis!$F$21)</f>
        <v>78710.3679012324</v>
      </c>
      <c r="BZ35" s="109" t="n">
        <f aca="false">BZ23*(Hipótesis!$F$30*Hipótesis!$F$20+(1-Hipótesis!$F$30)*Hipótesis!$F$21)</f>
        <v>78710.3679012324</v>
      </c>
      <c r="CA35" s="109" t="n">
        <f aca="false">CA23*(Hipótesis!$F$30*Hipótesis!$F$20+(1-Hipótesis!$F$30)*Hipótesis!$F$21)</f>
        <v>78710.3679012324</v>
      </c>
      <c r="CB35" s="109" t="n">
        <f aca="false">CB23*(Hipótesis!$F$30*Hipótesis!$F$20+(1-Hipótesis!$F$30)*Hipótesis!$F$21)</f>
        <v>78710.3679012324</v>
      </c>
      <c r="CC35" s="109" t="n">
        <f aca="false">CC23*(Hipótesis!$F$30*Hipótesis!$F$20+(1-Hipótesis!$F$30)*Hipótesis!$F$21)</f>
        <v>78710.3679012324</v>
      </c>
      <c r="CD35" s="109" t="n">
        <f aca="false">CD23*(Hipótesis!$F$30*Hipótesis!$F$20+(1-Hipótesis!$F$30)*Hipótesis!$F$21)</f>
        <v>78710.3679012324</v>
      </c>
      <c r="CE35" s="109" t="n">
        <f aca="false">CE23*(Hipótesis!$F$30*Hipótesis!$F$20+(1-Hipótesis!$F$30)*Hipótesis!$F$21)</f>
        <v>78710.3679012324</v>
      </c>
      <c r="CF35" s="109" t="n">
        <f aca="false">CF23*(Hipótesis!$F$30*Hipótesis!$F$20+(1-Hipótesis!$F$30)*Hipótesis!$F$21)</f>
        <v>78710.3679012324</v>
      </c>
      <c r="CG35" s="109" t="n">
        <f aca="false">CG23*(Hipótesis!$F$30*Hipótesis!$F$20+(1-Hipótesis!$F$30)*Hipótesis!$F$21)</f>
        <v>78710.3679012324</v>
      </c>
      <c r="CH35" s="109" t="n">
        <f aca="false">CH23*(Hipótesis!$F$30*Hipótesis!$F$20+(1-Hipótesis!$F$30)*Hipótesis!$F$21)</f>
        <v>78710.3679012324</v>
      </c>
    </row>
    <row r="36" customFormat="false" ht="13.5" hidden="false" customHeight="true" outlineLevel="0" collapsed="false">
      <c r="A36" s="22" t="s">
        <v>541</v>
      </c>
      <c r="C36" s="109" t="n">
        <f aca="false">C34+C35</f>
        <v>1206.69</v>
      </c>
      <c r="D36" s="109" t="n">
        <f aca="false">D34+D35</f>
        <v>2507.34</v>
      </c>
      <c r="E36" s="109" t="n">
        <f aca="false">E34+E35</f>
        <v>5222.28375</v>
      </c>
      <c r="F36" s="109" t="n">
        <f aca="false">F34+F35</f>
        <v>6730.5375</v>
      </c>
      <c r="G36" s="109" t="n">
        <f aca="false">G34+G35</f>
        <v>8144.83125</v>
      </c>
      <c r="H36" s="109" t="n">
        <f aca="false">H34+H35</f>
        <v>10420.425</v>
      </c>
      <c r="I36" s="109" t="n">
        <f aca="false">I34+I35</f>
        <v>14882.4178583676</v>
      </c>
      <c r="J36" s="109" t="n">
        <f aca="false">J34+J35</f>
        <v>19344.4107167351</v>
      </c>
      <c r="K36" s="109" t="n">
        <f aca="false">K34+K35</f>
        <v>23806.4035751027</v>
      </c>
      <c r="L36" s="109" t="n">
        <f aca="false">L34+L35</f>
        <v>28268.3964334703</v>
      </c>
      <c r="M36" s="109" t="n">
        <f aca="false">M34+M35</f>
        <v>31316.0955418378</v>
      </c>
      <c r="N36" s="109" t="n">
        <f aca="false">N34+N35</f>
        <v>35538.2946502054</v>
      </c>
      <c r="O36" s="109" t="n">
        <f aca="false">O34+O35</f>
        <v>39760.493758573</v>
      </c>
      <c r="P36" s="109" t="n">
        <f aca="false">P34+P35</f>
        <v>43559.8728669405</v>
      </c>
      <c r="Q36" s="109" t="n">
        <f aca="false">Q34+Q35</f>
        <v>47359.2519753081</v>
      </c>
      <c r="R36" s="109" t="n">
        <f aca="false">R34+R35</f>
        <v>51158.6310836757</v>
      </c>
      <c r="S36" s="109" t="n">
        <f aca="false">S34+S35</f>
        <v>54958.0101920432</v>
      </c>
      <c r="T36" s="109" t="n">
        <f aca="false">T34+T35</f>
        <v>58757.3893004108</v>
      </c>
      <c r="U36" s="109" t="n">
        <f aca="false">U34+U35</f>
        <v>62556.7684087784</v>
      </c>
      <c r="V36" s="109" t="n">
        <f aca="false">V34+V35</f>
        <v>66356.147517146</v>
      </c>
      <c r="W36" s="109" t="n">
        <f aca="false">W34+W35</f>
        <v>70155.5266255135</v>
      </c>
      <c r="X36" s="109" t="n">
        <f aca="false">X34+X35</f>
        <v>72780.4057338811</v>
      </c>
      <c r="Y36" s="109" t="n">
        <f aca="false">Y34+Y35</f>
        <v>75405.2848422487</v>
      </c>
      <c r="Z36" s="109" t="n">
        <f aca="false">Z34+Z35</f>
        <v>77591.6839506162</v>
      </c>
      <c r="AA36" s="109" t="n">
        <f aca="false">AA34+AA35</f>
        <v>79778.0830589838</v>
      </c>
      <c r="AB36" s="109" t="n">
        <f aca="false">AB34+AB35</f>
        <v>81964.4821673514</v>
      </c>
      <c r="AC36" s="109" t="n">
        <f aca="false">AC34+AC35</f>
        <v>84150.8812757189</v>
      </c>
      <c r="AD36" s="109" t="n">
        <f aca="false">AD34+AD35</f>
        <v>86337.2803840865</v>
      </c>
      <c r="AE36" s="109" t="n">
        <f aca="false">AE34+AE35</f>
        <v>88523.6794924541</v>
      </c>
      <c r="AF36" s="109" t="n">
        <f aca="false">AF34+AF35</f>
        <v>90710.0786008216</v>
      </c>
      <c r="AG36" s="109" t="n">
        <f aca="false">AG34+AG35</f>
        <v>92896.4777091892</v>
      </c>
      <c r="AH36" s="109" t="n">
        <f aca="false">AH34+AH35</f>
        <v>95082.8768175568</v>
      </c>
      <c r="AI36" s="109" t="n">
        <f aca="false">AI34+AI35</f>
        <v>97269.2759259243</v>
      </c>
      <c r="AJ36" s="109" t="n">
        <f aca="false">AJ34+AJ35</f>
        <v>99455.6750342919</v>
      </c>
      <c r="AK36" s="109" t="n">
        <f aca="false">AK34+AK35</f>
        <v>101642.074142659</v>
      </c>
      <c r="AL36" s="109" t="n">
        <f aca="false">AL34+AL35</f>
        <v>103828.473251027</v>
      </c>
      <c r="AM36" s="109" t="n">
        <f aca="false">AM34+AM35</f>
        <v>106014.872359395</v>
      </c>
      <c r="AN36" s="109" t="n">
        <f aca="false">AN34+AN35</f>
        <v>108201.271467762</v>
      </c>
      <c r="AO36" s="109" t="n">
        <f aca="false">AO34+AO35</f>
        <v>110387.67057613</v>
      </c>
      <c r="AP36" s="109" t="n">
        <f aca="false">AP34+AP35</f>
        <v>112574.069684497</v>
      </c>
      <c r="AQ36" s="109" t="n">
        <f aca="false">AQ34+AQ35</f>
        <v>114760.468792865</v>
      </c>
      <c r="AR36" s="109" t="n">
        <f aca="false">AR34+AR35</f>
        <v>116946.867901232</v>
      </c>
      <c r="AS36" s="109" t="n">
        <f aca="false">AS34+AS35</f>
        <v>116946.867901232</v>
      </c>
      <c r="AT36" s="109" t="n">
        <f aca="false">AT34+AT35</f>
        <v>116946.867901232</v>
      </c>
      <c r="AU36" s="109" t="n">
        <f aca="false">AU34+AU35</f>
        <v>116946.867901232</v>
      </c>
      <c r="AV36" s="109" t="n">
        <f aca="false">AV34+AV35</f>
        <v>116946.867901232</v>
      </c>
      <c r="AW36" s="109" t="n">
        <f aca="false">AW34+AW35</f>
        <v>116946.867901232</v>
      </c>
      <c r="AX36" s="109" t="n">
        <f aca="false">AX34+AX35</f>
        <v>116946.867901232</v>
      </c>
      <c r="AY36" s="109" t="n">
        <f aca="false">AY34+AY35</f>
        <v>116946.867901232</v>
      </c>
      <c r="AZ36" s="109" t="n">
        <f aca="false">AZ34+AZ35</f>
        <v>116946.867901232</v>
      </c>
      <c r="BA36" s="109" t="n">
        <f aca="false">BA34+BA35</f>
        <v>116946.867901232</v>
      </c>
      <c r="BB36" s="109" t="n">
        <f aca="false">BB34+BB35</f>
        <v>116946.867901232</v>
      </c>
      <c r="BC36" s="109" t="n">
        <f aca="false">BC34+BC35</f>
        <v>116946.867901232</v>
      </c>
      <c r="BD36" s="109" t="n">
        <f aca="false">BD34+BD35</f>
        <v>116946.867901232</v>
      </c>
      <c r="BE36" s="109" t="n">
        <f aca="false">BE34+BE35</f>
        <v>116946.867901232</v>
      </c>
      <c r="BF36" s="109" t="n">
        <f aca="false">BF34+BF35</f>
        <v>116946.867901232</v>
      </c>
      <c r="BG36" s="109" t="n">
        <f aca="false">BG34+BG35</f>
        <v>116946.867901232</v>
      </c>
      <c r="BH36" s="109" t="n">
        <f aca="false">BH34+BH35</f>
        <v>116946.867901232</v>
      </c>
      <c r="BI36" s="109" t="n">
        <f aca="false">BI34+BI35</f>
        <v>116946.867901232</v>
      </c>
      <c r="BJ36" s="109" t="n">
        <f aca="false">BJ34+BJ35</f>
        <v>116946.867901232</v>
      </c>
      <c r="BK36" s="109" t="n">
        <f aca="false">BK34+BK35</f>
        <v>116946.867901232</v>
      </c>
      <c r="BL36" s="109" t="n">
        <f aca="false">BL34+BL35</f>
        <v>116946.867901232</v>
      </c>
      <c r="BM36" s="109" t="n">
        <f aca="false">BM34+BM35</f>
        <v>116946.867901232</v>
      </c>
      <c r="BN36" s="109" t="n">
        <f aca="false">BN34+BN35</f>
        <v>116946.867901232</v>
      </c>
      <c r="BO36" s="109" t="n">
        <f aca="false">BO34+BO35</f>
        <v>116946.867901232</v>
      </c>
      <c r="BP36" s="109" t="n">
        <f aca="false">BP34+BP35</f>
        <v>116946.867901232</v>
      </c>
      <c r="BQ36" s="109" t="n">
        <f aca="false">BQ34+BQ35</f>
        <v>116946.867901232</v>
      </c>
      <c r="BR36" s="109" t="n">
        <f aca="false">BR34+BR35</f>
        <v>116946.867901232</v>
      </c>
      <c r="BS36" s="109" t="n">
        <f aca="false">BS34+BS35</f>
        <v>116946.867901232</v>
      </c>
      <c r="BT36" s="109" t="n">
        <f aca="false">BT34+BT35</f>
        <v>116946.867901232</v>
      </c>
      <c r="BU36" s="109" t="n">
        <f aca="false">BU34+BU35</f>
        <v>116946.867901232</v>
      </c>
      <c r="BV36" s="109" t="n">
        <f aca="false">BV34+BV35</f>
        <v>116946.867901232</v>
      </c>
      <c r="BW36" s="109" t="n">
        <f aca="false">BW34+BW35</f>
        <v>116946.867901232</v>
      </c>
      <c r="BX36" s="109" t="n">
        <f aca="false">BX34+BX35</f>
        <v>116946.867901232</v>
      </c>
      <c r="BY36" s="109" t="n">
        <f aca="false">BY34+BY35</f>
        <v>116946.867901232</v>
      </c>
      <c r="BZ36" s="109" t="n">
        <f aca="false">BZ34+BZ35</f>
        <v>116946.867901232</v>
      </c>
      <c r="CA36" s="109" t="n">
        <f aca="false">CA34+CA35</f>
        <v>116946.867901232</v>
      </c>
      <c r="CB36" s="109" t="n">
        <f aca="false">CB34+CB35</f>
        <v>116946.867901232</v>
      </c>
      <c r="CC36" s="109" t="n">
        <f aca="false">CC34+CC35</f>
        <v>116946.867901232</v>
      </c>
      <c r="CD36" s="109" t="n">
        <f aca="false">CD34+CD35</f>
        <v>116946.867901232</v>
      </c>
      <c r="CE36" s="109" t="n">
        <f aca="false">CE34+CE35</f>
        <v>116946.867901232</v>
      </c>
      <c r="CF36" s="109" t="n">
        <f aca="false">CF34+CF35</f>
        <v>116946.867901232</v>
      </c>
      <c r="CG36" s="109" t="n">
        <f aca="false">CG34+CG35</f>
        <v>116946.867901232</v>
      </c>
      <c r="CH36" s="109" t="n">
        <f aca="false">CH34+CH35</f>
        <v>116946.867901232</v>
      </c>
    </row>
    <row r="37" customFormat="false" ht="13.5" hidden="false" customHeight="true" outlineLevel="0" collapsed="false">
      <c r="A37" s="6" t="s">
        <v>542</v>
      </c>
      <c r="C37" s="109" t="n">
        <f aca="false">-C36*Hipótesis!$F$34</f>
        <v>-120.669</v>
      </c>
      <c r="D37" s="109" t="n">
        <f aca="false">-D36*Hipótesis!$F$34</f>
        <v>-250.734</v>
      </c>
      <c r="E37" s="109" t="n">
        <f aca="false">-E36*Hipótesis!$F$34</f>
        <v>-522.228375</v>
      </c>
      <c r="F37" s="109" t="n">
        <f aca="false">-F36*Hipótesis!$F$34</f>
        <v>-673.05375</v>
      </c>
      <c r="G37" s="109" t="n">
        <f aca="false">-G36*Hipótesis!$F$34</f>
        <v>-814.483125</v>
      </c>
      <c r="H37" s="109" t="n">
        <f aca="false">-H36*Hipótesis!$F$34</f>
        <v>-1042.0425</v>
      </c>
      <c r="I37" s="109" t="n">
        <f aca="false">-I36*Hipótesis!$F$34</f>
        <v>-1488.24178583676</v>
      </c>
      <c r="J37" s="109" t="n">
        <f aca="false">-J36*Hipótesis!$F$34</f>
        <v>-1934.44107167351</v>
      </c>
      <c r="K37" s="109" t="n">
        <f aca="false">-K36*Hipótesis!$F$34</f>
        <v>-2380.64035751027</v>
      </c>
      <c r="L37" s="109" t="n">
        <f aca="false">-L36*Hipótesis!$F$34</f>
        <v>-2826.83964334703</v>
      </c>
      <c r="M37" s="109" t="n">
        <f aca="false">-M36*Hipótesis!$F$34</f>
        <v>-3131.60955418378</v>
      </c>
      <c r="N37" s="109" t="n">
        <f aca="false">-N36*Hipótesis!$F$34</f>
        <v>-3553.82946502054</v>
      </c>
      <c r="O37" s="109" t="n">
        <f aca="false">-O36*Hipótesis!$F$34</f>
        <v>-3976.0493758573</v>
      </c>
      <c r="P37" s="109" t="n">
        <f aca="false">-P36*Hipótesis!$F$34</f>
        <v>-4355.98728669405</v>
      </c>
      <c r="Q37" s="109" t="n">
        <f aca="false">-Q36*Hipótesis!$F$34</f>
        <v>-4735.92519753081</v>
      </c>
      <c r="R37" s="109" t="n">
        <f aca="false">-R36*Hipótesis!$F$34</f>
        <v>-5115.86310836757</v>
      </c>
      <c r="S37" s="109" t="n">
        <f aca="false">-S36*Hipótesis!$F$34</f>
        <v>-5495.80101920433</v>
      </c>
      <c r="T37" s="109" t="n">
        <f aca="false">-T36*Hipótesis!$F$34</f>
        <v>-5875.73893004108</v>
      </c>
      <c r="U37" s="109" t="n">
        <f aca="false">-U36*Hipótesis!$F$34</f>
        <v>-6255.67684087784</v>
      </c>
      <c r="V37" s="109" t="n">
        <f aca="false">-V36*Hipótesis!$F$34</f>
        <v>-6635.6147517146</v>
      </c>
      <c r="W37" s="109" t="n">
        <f aca="false">-W36*Hipótesis!$F$34</f>
        <v>-7015.55266255135</v>
      </c>
      <c r="X37" s="109" t="n">
        <f aca="false">-X36*Hipótesis!$F$34</f>
        <v>-7278.04057338811</v>
      </c>
      <c r="Y37" s="109" t="n">
        <f aca="false">-Y36*Hipótesis!$F$34</f>
        <v>-7540.52848422487</v>
      </c>
      <c r="Z37" s="109" t="n">
        <f aca="false">-Z36*Hipótesis!$F$34</f>
        <v>-7759.16839506162</v>
      </c>
      <c r="AA37" s="109" t="n">
        <f aca="false">-AA36*Hipótesis!$F$34</f>
        <v>-7977.80830589838</v>
      </c>
      <c r="AB37" s="109" t="n">
        <f aca="false">-AB36*Hipótesis!$F$34</f>
        <v>-8196.44821673514</v>
      </c>
      <c r="AC37" s="109" t="n">
        <f aca="false">-AC36*Hipótesis!$F$34</f>
        <v>-8415.08812757189</v>
      </c>
      <c r="AD37" s="109" t="n">
        <f aca="false">-AD36*Hipótesis!$F$34</f>
        <v>-8633.72803840865</v>
      </c>
      <c r="AE37" s="109" t="n">
        <f aca="false">-AE36*Hipótesis!$F$34</f>
        <v>-8852.36794924541</v>
      </c>
      <c r="AF37" s="109" t="n">
        <f aca="false">-AF36*Hipótesis!$F$34</f>
        <v>-9071.00786008216</v>
      </c>
      <c r="AG37" s="109" t="n">
        <f aca="false">-AG36*Hipótesis!$F$34</f>
        <v>-9289.64777091892</v>
      </c>
      <c r="AH37" s="109" t="n">
        <f aca="false">-AH36*Hipótesis!$F$34</f>
        <v>-9508.28768175568</v>
      </c>
      <c r="AI37" s="109" t="n">
        <f aca="false">-AI36*Hipótesis!$F$34</f>
        <v>-9726.92759259243</v>
      </c>
      <c r="AJ37" s="109" t="n">
        <f aca="false">-AJ36*Hipótesis!$F$34</f>
        <v>-9945.56750342919</v>
      </c>
      <c r="AK37" s="109" t="n">
        <f aca="false">-AK36*Hipótesis!$F$34</f>
        <v>-10164.2074142659</v>
      </c>
      <c r="AL37" s="109" t="n">
        <f aca="false">-AL36*Hipótesis!$F$34</f>
        <v>-10382.8473251027</v>
      </c>
      <c r="AM37" s="109" t="n">
        <f aca="false">-AM36*Hipótesis!$F$34</f>
        <v>-10601.4872359395</v>
      </c>
      <c r="AN37" s="109" t="n">
        <f aca="false">-AN36*Hipótesis!$F$34</f>
        <v>-10820.1271467762</v>
      </c>
      <c r="AO37" s="109" t="n">
        <f aca="false">-AO36*Hipótesis!$F$34</f>
        <v>-11038.767057613</v>
      </c>
      <c r="AP37" s="109" t="n">
        <f aca="false">-AP36*Hipótesis!$F$34</f>
        <v>-11257.4069684497</v>
      </c>
      <c r="AQ37" s="109" t="n">
        <f aca="false">-AQ36*Hipótesis!$F$34</f>
        <v>-11476.0468792865</v>
      </c>
      <c r="AR37" s="109" t="n">
        <f aca="false">-AR36*Hipótesis!$F$34</f>
        <v>-11694.6867901232</v>
      </c>
      <c r="AS37" s="109" t="n">
        <f aca="false">-AS36*Hipótesis!$F$34</f>
        <v>-11694.6867901232</v>
      </c>
      <c r="AT37" s="109" t="n">
        <f aca="false">-AT36*Hipótesis!$F$34</f>
        <v>-11694.6867901232</v>
      </c>
      <c r="AU37" s="109" t="n">
        <f aca="false">-AU36*Hipótesis!$F$34</f>
        <v>-11694.6867901232</v>
      </c>
      <c r="AV37" s="109" t="n">
        <f aca="false">-AV36*Hipótesis!$F$34</f>
        <v>-11694.6867901232</v>
      </c>
      <c r="AW37" s="109" t="n">
        <f aca="false">-AW36*Hipótesis!$F$34</f>
        <v>-11694.6867901232</v>
      </c>
      <c r="AX37" s="109" t="n">
        <f aca="false">-AX36*Hipótesis!$F$34</f>
        <v>-11694.6867901232</v>
      </c>
      <c r="AY37" s="109" t="n">
        <f aca="false">-AY36*Hipótesis!$F$34</f>
        <v>-11694.6867901232</v>
      </c>
      <c r="AZ37" s="109" t="n">
        <f aca="false">-AZ36*Hipótesis!$F$34</f>
        <v>-11694.6867901232</v>
      </c>
      <c r="BA37" s="109" t="n">
        <f aca="false">-BA36*Hipótesis!$F$34</f>
        <v>-11694.6867901232</v>
      </c>
      <c r="BB37" s="109" t="n">
        <f aca="false">-BB36*Hipótesis!$F$34</f>
        <v>-11694.6867901232</v>
      </c>
      <c r="BC37" s="109" t="n">
        <f aca="false">-BC36*Hipótesis!$F$34</f>
        <v>-11694.6867901232</v>
      </c>
      <c r="BD37" s="109" t="n">
        <f aca="false">-BD36*Hipótesis!$F$34</f>
        <v>-11694.6867901232</v>
      </c>
      <c r="BE37" s="109" t="n">
        <f aca="false">-BE36*Hipótesis!$F$34</f>
        <v>-11694.6867901232</v>
      </c>
      <c r="BF37" s="109" t="n">
        <f aca="false">-BF36*Hipótesis!$F$34</f>
        <v>-11694.6867901232</v>
      </c>
      <c r="BG37" s="109" t="n">
        <f aca="false">-BG36*Hipótesis!$F$34</f>
        <v>-11694.6867901232</v>
      </c>
      <c r="BH37" s="109" t="n">
        <f aca="false">-BH36*Hipótesis!$F$34</f>
        <v>-11694.6867901232</v>
      </c>
      <c r="BI37" s="109" t="n">
        <f aca="false">-BI36*Hipótesis!$F$34</f>
        <v>-11694.6867901232</v>
      </c>
      <c r="BJ37" s="109" t="n">
        <f aca="false">-BJ36*Hipótesis!$F$34</f>
        <v>-11694.6867901232</v>
      </c>
      <c r="BK37" s="109" t="n">
        <f aca="false">-BK36*Hipótesis!$F$34</f>
        <v>-11694.6867901232</v>
      </c>
      <c r="BL37" s="109" t="n">
        <f aca="false">-BL36*Hipótesis!$F$34</f>
        <v>-11694.6867901232</v>
      </c>
      <c r="BM37" s="109" t="n">
        <f aca="false">-BM36*Hipótesis!$F$34</f>
        <v>-11694.6867901232</v>
      </c>
      <c r="BN37" s="109" t="n">
        <f aca="false">-BN36*Hipótesis!$F$34</f>
        <v>-11694.6867901232</v>
      </c>
      <c r="BO37" s="109" t="n">
        <f aca="false">-BO36*Hipótesis!$F$34</f>
        <v>-11694.6867901232</v>
      </c>
      <c r="BP37" s="109" t="n">
        <f aca="false">-BP36*Hipótesis!$F$34</f>
        <v>-11694.6867901232</v>
      </c>
      <c r="BQ37" s="109" t="n">
        <f aca="false">-BQ36*Hipótesis!$F$34</f>
        <v>-11694.6867901232</v>
      </c>
      <c r="BR37" s="109" t="n">
        <f aca="false">-BR36*Hipótesis!$F$34</f>
        <v>-11694.6867901232</v>
      </c>
      <c r="BS37" s="109" t="n">
        <f aca="false">-BS36*Hipótesis!$F$34</f>
        <v>-11694.6867901232</v>
      </c>
      <c r="BT37" s="109" t="n">
        <f aca="false">-BT36*Hipótesis!$F$34</f>
        <v>-11694.6867901232</v>
      </c>
      <c r="BU37" s="109" t="n">
        <f aca="false">-BU36*Hipótesis!$F$34</f>
        <v>-11694.6867901232</v>
      </c>
      <c r="BV37" s="109" t="n">
        <f aca="false">-BV36*Hipótesis!$F$34</f>
        <v>-11694.6867901232</v>
      </c>
      <c r="BW37" s="109" t="n">
        <f aca="false">-BW36*Hipótesis!$F$34</f>
        <v>-11694.6867901232</v>
      </c>
      <c r="BX37" s="109" t="n">
        <f aca="false">-BX36*Hipótesis!$F$34</f>
        <v>-11694.6867901232</v>
      </c>
      <c r="BY37" s="109" t="n">
        <f aca="false">-BY36*Hipótesis!$F$34</f>
        <v>-11694.6867901232</v>
      </c>
      <c r="BZ37" s="109" t="n">
        <f aca="false">-BZ36*Hipótesis!$F$34</f>
        <v>-11694.6867901232</v>
      </c>
      <c r="CA37" s="109" t="n">
        <f aca="false">-CA36*Hipótesis!$F$34</f>
        <v>-11694.6867901232</v>
      </c>
      <c r="CB37" s="109" t="n">
        <f aca="false">-CB36*Hipótesis!$F$34</f>
        <v>-11694.6867901232</v>
      </c>
      <c r="CC37" s="109" t="n">
        <f aca="false">-CC36*Hipótesis!$F$34</f>
        <v>-11694.6867901232</v>
      </c>
      <c r="CD37" s="109" t="n">
        <f aca="false">-CD36*Hipótesis!$F$34</f>
        <v>-11694.6867901232</v>
      </c>
      <c r="CE37" s="109" t="n">
        <f aca="false">-CE36*Hipótesis!$F$34</f>
        <v>-11694.6867901232</v>
      </c>
      <c r="CF37" s="109" t="n">
        <f aca="false">-CF36*Hipótesis!$F$34</f>
        <v>-11694.6867901232</v>
      </c>
      <c r="CG37" s="109" t="n">
        <f aca="false">-CG36*Hipótesis!$F$34</f>
        <v>-11694.6867901232</v>
      </c>
      <c r="CH37" s="109" t="n">
        <f aca="false">-CH36*Hipótesis!$F$34</f>
        <v>-11694.6867901232</v>
      </c>
    </row>
    <row r="38" customFormat="false" ht="13.5" hidden="false" customHeight="true" outlineLevel="0" collapsed="false">
      <c r="A38" s="22" t="s">
        <v>543</v>
      </c>
      <c r="C38" s="109" t="n">
        <f aca="false">C36+C37</f>
        <v>1086.021</v>
      </c>
      <c r="D38" s="109" t="n">
        <f aca="false">D36+D37</f>
        <v>2256.606</v>
      </c>
      <c r="E38" s="109" t="n">
        <f aca="false">E36+E37</f>
        <v>4700.055375</v>
      </c>
      <c r="F38" s="109" t="n">
        <f aca="false">F36+F37</f>
        <v>6057.48375</v>
      </c>
      <c r="G38" s="109" t="n">
        <f aca="false">G36+G37</f>
        <v>7330.348125</v>
      </c>
      <c r="H38" s="109" t="n">
        <f aca="false">H36+H37</f>
        <v>9378.3825</v>
      </c>
      <c r="I38" s="109" t="n">
        <f aca="false">I36+I37</f>
        <v>13394.1760725308</v>
      </c>
      <c r="J38" s="109" t="n">
        <f aca="false">J36+J37</f>
        <v>17409.9696450616</v>
      </c>
      <c r="K38" s="109" t="n">
        <f aca="false">K36+K37</f>
        <v>21425.7632175924</v>
      </c>
      <c r="L38" s="109" t="n">
        <f aca="false">L36+L37</f>
        <v>25441.5567901232</v>
      </c>
      <c r="M38" s="109" t="n">
        <f aca="false">M36+M37</f>
        <v>28184.4859876541</v>
      </c>
      <c r="N38" s="109" t="n">
        <f aca="false">N36+N37</f>
        <v>31984.4651851849</v>
      </c>
      <c r="O38" s="109" t="n">
        <f aca="false">O36+O37</f>
        <v>35784.4443827157</v>
      </c>
      <c r="P38" s="109" t="n">
        <f aca="false">P36+P37</f>
        <v>39203.8855802465</v>
      </c>
      <c r="Q38" s="109" t="n">
        <f aca="false">Q36+Q37</f>
        <v>42623.3267777773</v>
      </c>
      <c r="R38" s="109" t="n">
        <f aca="false">R36+R37</f>
        <v>46042.7679753081</v>
      </c>
      <c r="S38" s="109" t="n">
        <f aca="false">S36+S37</f>
        <v>49462.2091728389</v>
      </c>
      <c r="T38" s="109" t="n">
        <f aca="false">T36+T37</f>
        <v>52881.6503703697</v>
      </c>
      <c r="U38" s="109" t="n">
        <f aca="false">U36+U37</f>
        <v>56301.0915679006</v>
      </c>
      <c r="V38" s="109" t="n">
        <f aca="false">V36+V37</f>
        <v>59720.5327654314</v>
      </c>
      <c r="W38" s="109" t="n">
        <f aca="false">W36+W37</f>
        <v>63139.9739629622</v>
      </c>
      <c r="X38" s="109" t="n">
        <f aca="false">X36+X37</f>
        <v>65502.365160493</v>
      </c>
      <c r="Y38" s="109" t="n">
        <f aca="false">Y36+Y37</f>
        <v>67864.7563580238</v>
      </c>
      <c r="Z38" s="109" t="n">
        <f aca="false">Z36+Z37</f>
        <v>69832.5155555546</v>
      </c>
      <c r="AA38" s="109" t="n">
        <f aca="false">AA36+AA37</f>
        <v>71800.2747530854</v>
      </c>
      <c r="AB38" s="109" t="n">
        <f aca="false">AB36+AB37</f>
        <v>73768.0339506162</v>
      </c>
      <c r="AC38" s="109" t="n">
        <f aca="false">AC36+AC37</f>
        <v>75735.793148147</v>
      </c>
      <c r="AD38" s="109" t="n">
        <f aca="false">AD36+AD37</f>
        <v>77703.5523456779</v>
      </c>
      <c r="AE38" s="109" t="n">
        <f aca="false">AE36+AE37</f>
        <v>79671.3115432087</v>
      </c>
      <c r="AF38" s="109" t="n">
        <f aca="false">AF36+AF37</f>
        <v>81639.0707407395</v>
      </c>
      <c r="AG38" s="109" t="n">
        <f aca="false">AG36+AG37</f>
        <v>83606.8299382703</v>
      </c>
      <c r="AH38" s="109" t="n">
        <f aca="false">AH36+AH37</f>
        <v>85574.5891358011</v>
      </c>
      <c r="AI38" s="109" t="n">
        <f aca="false">AI36+AI37</f>
        <v>87542.3483333319</v>
      </c>
      <c r="AJ38" s="109" t="n">
        <f aca="false">AJ36+AJ37</f>
        <v>89510.1075308627</v>
      </c>
      <c r="AK38" s="109" t="n">
        <f aca="false">AK36+AK37</f>
        <v>91477.8667283935</v>
      </c>
      <c r="AL38" s="109" t="n">
        <f aca="false">AL36+AL37</f>
        <v>93445.6259259243</v>
      </c>
      <c r="AM38" s="109" t="n">
        <f aca="false">AM36+AM37</f>
        <v>95413.3851234551</v>
      </c>
      <c r="AN38" s="109" t="n">
        <f aca="false">AN36+AN37</f>
        <v>97381.1443209859</v>
      </c>
      <c r="AO38" s="109" t="n">
        <f aca="false">AO36+AO37</f>
        <v>99348.9035185168</v>
      </c>
      <c r="AP38" s="109" t="n">
        <f aca="false">AP36+AP37</f>
        <v>101316.662716048</v>
      </c>
      <c r="AQ38" s="109" t="n">
        <f aca="false">AQ36+AQ37</f>
        <v>103284.421913578</v>
      </c>
      <c r="AR38" s="109" t="n">
        <f aca="false">AR36+AR37</f>
        <v>105252.181111109</v>
      </c>
      <c r="AS38" s="109" t="n">
        <f aca="false">AS36+AS37</f>
        <v>105252.181111109</v>
      </c>
      <c r="AT38" s="109" t="n">
        <f aca="false">AT36+AT37</f>
        <v>105252.181111109</v>
      </c>
      <c r="AU38" s="109" t="n">
        <f aca="false">AU36+AU37</f>
        <v>105252.181111109</v>
      </c>
      <c r="AV38" s="109" t="n">
        <f aca="false">AV36+AV37</f>
        <v>105252.181111109</v>
      </c>
      <c r="AW38" s="109" t="n">
        <f aca="false">AW36+AW37</f>
        <v>105252.181111109</v>
      </c>
      <c r="AX38" s="109" t="n">
        <f aca="false">AX36+AX37</f>
        <v>105252.181111109</v>
      </c>
      <c r="AY38" s="109" t="n">
        <f aca="false">AY36+AY37</f>
        <v>105252.181111109</v>
      </c>
      <c r="AZ38" s="109" t="n">
        <f aca="false">AZ36+AZ37</f>
        <v>105252.181111109</v>
      </c>
      <c r="BA38" s="109" t="n">
        <f aca="false">BA36+BA37</f>
        <v>105252.181111109</v>
      </c>
      <c r="BB38" s="109" t="n">
        <f aca="false">BB36+BB37</f>
        <v>105252.181111109</v>
      </c>
      <c r="BC38" s="109" t="n">
        <f aca="false">BC36+BC37</f>
        <v>105252.181111109</v>
      </c>
      <c r="BD38" s="109" t="n">
        <f aca="false">BD36+BD37</f>
        <v>105252.181111109</v>
      </c>
      <c r="BE38" s="109" t="n">
        <f aca="false">BE36+BE37</f>
        <v>105252.181111109</v>
      </c>
      <c r="BF38" s="109" t="n">
        <f aca="false">BF36+BF37</f>
        <v>105252.181111109</v>
      </c>
      <c r="BG38" s="109" t="n">
        <f aca="false">BG36+BG37</f>
        <v>105252.181111109</v>
      </c>
      <c r="BH38" s="109" t="n">
        <f aca="false">BH36+BH37</f>
        <v>105252.181111109</v>
      </c>
      <c r="BI38" s="109" t="n">
        <f aca="false">BI36+BI37</f>
        <v>105252.181111109</v>
      </c>
      <c r="BJ38" s="109" t="n">
        <f aca="false">BJ36+BJ37</f>
        <v>105252.181111109</v>
      </c>
      <c r="BK38" s="109" t="n">
        <f aca="false">BK36+BK37</f>
        <v>105252.181111109</v>
      </c>
      <c r="BL38" s="109" t="n">
        <f aca="false">BL36+BL37</f>
        <v>105252.181111109</v>
      </c>
      <c r="BM38" s="109" t="n">
        <f aca="false">BM36+BM37</f>
        <v>105252.181111109</v>
      </c>
      <c r="BN38" s="109" t="n">
        <f aca="false">BN36+BN37</f>
        <v>105252.181111109</v>
      </c>
      <c r="BO38" s="109" t="n">
        <f aca="false">BO36+BO37</f>
        <v>105252.181111109</v>
      </c>
      <c r="BP38" s="109" t="n">
        <f aca="false">BP36+BP37</f>
        <v>105252.181111109</v>
      </c>
      <c r="BQ38" s="109" t="n">
        <f aca="false">BQ36+BQ37</f>
        <v>105252.181111109</v>
      </c>
      <c r="BR38" s="109" t="n">
        <f aca="false">BR36+BR37</f>
        <v>105252.181111109</v>
      </c>
      <c r="BS38" s="109" t="n">
        <f aca="false">BS36+BS37</f>
        <v>105252.181111109</v>
      </c>
      <c r="BT38" s="109" t="n">
        <f aca="false">BT36+BT37</f>
        <v>105252.181111109</v>
      </c>
      <c r="BU38" s="109" t="n">
        <f aca="false">BU36+BU37</f>
        <v>105252.181111109</v>
      </c>
      <c r="BV38" s="109" t="n">
        <f aca="false">BV36+BV37</f>
        <v>105252.181111109</v>
      </c>
      <c r="BW38" s="109" t="n">
        <f aca="false">BW36+BW37</f>
        <v>105252.181111109</v>
      </c>
      <c r="BX38" s="109" t="n">
        <f aca="false">BX36+BX37</f>
        <v>105252.181111109</v>
      </c>
      <c r="BY38" s="109" t="n">
        <f aca="false">BY36+BY37</f>
        <v>105252.181111109</v>
      </c>
      <c r="BZ38" s="109" t="n">
        <f aca="false">BZ36+BZ37</f>
        <v>105252.181111109</v>
      </c>
      <c r="CA38" s="109" t="n">
        <f aca="false">CA36+CA37</f>
        <v>105252.181111109</v>
      </c>
      <c r="CB38" s="109" t="n">
        <f aca="false">CB36+CB37</f>
        <v>105252.181111109</v>
      </c>
      <c r="CC38" s="109" t="n">
        <f aca="false">CC36+CC37</f>
        <v>105252.181111109</v>
      </c>
      <c r="CD38" s="109" t="n">
        <f aca="false">CD36+CD37</f>
        <v>105252.181111109</v>
      </c>
      <c r="CE38" s="109" t="n">
        <f aca="false">CE36+CE37</f>
        <v>105252.181111109</v>
      </c>
      <c r="CF38" s="109" t="n">
        <f aca="false">CF36+CF37</f>
        <v>105252.181111109</v>
      </c>
      <c r="CG38" s="109" t="n">
        <f aca="false">CG36+CG37</f>
        <v>105252.181111109</v>
      </c>
      <c r="CH38" s="109" t="n">
        <f aca="false">CH36+CH37</f>
        <v>105252.181111109</v>
      </c>
    </row>
    <row r="39" customFormat="false" ht="13.5" hidden="false" customHeight="true" outlineLevel="0" collapsed="false">
      <c r="A39" s="6" t="s">
        <v>544</v>
      </c>
      <c r="C39" s="109" t="n">
        <f aca="false">-(C19*C21*Hipótesis!$F$18+C23*Hipótesis!$F$22)</f>
        <v>-90.1708333333333</v>
      </c>
      <c r="D39" s="109" t="n">
        <f aca="false">-(D19*D21*Hipótesis!$F$18+D23*Hipótesis!$F$22)</f>
        <v>-194.305166666667</v>
      </c>
      <c r="E39" s="109" t="n">
        <f aca="false">-(E19*E21*Hipótesis!$F$18+E23*Hipótesis!$F$22)</f>
        <v>-482.36840880102</v>
      </c>
      <c r="F39" s="109" t="n">
        <f aca="false">-(F19*F21*Hipótesis!$F$18+F23*Hipótesis!$F$22)</f>
        <v>-680.260817602041</v>
      </c>
      <c r="G39" s="109" t="n">
        <f aca="false">-(G19*G21*Hipótesis!$F$18+G23*Hipótesis!$F$22)</f>
        <v>-864.189726403061</v>
      </c>
      <c r="H39" s="109" t="n">
        <f aca="false">-(H19*H21*Hipótesis!$F$18+H23*Hipótesis!$F$22)</f>
        <v>-1208.11707270408</v>
      </c>
      <c r="I39" s="109" t="n">
        <f aca="false">-(I19*I21*Hipótesis!$F$18+I23*Hipótesis!$F$22)</f>
        <v>-1853.30279632672</v>
      </c>
      <c r="J39" s="109" t="n">
        <f aca="false">-(J19*J21*Hipótesis!$F$18+J23*Hipótesis!$F$22)</f>
        <v>-2498.48851994937</v>
      </c>
      <c r="K39" s="109" t="n">
        <f aca="false">-(K19*K21*Hipótesis!$F$18+K23*Hipótesis!$F$22)</f>
        <v>-3143.67424357201</v>
      </c>
      <c r="L39" s="109" t="n">
        <f aca="false">-(L19*L21*Hipótesis!$F$18+L23*Hipótesis!$F$22)</f>
        <v>-3788.85996719465</v>
      </c>
      <c r="M39" s="109" t="n">
        <f aca="false">-(M19*M21*Hipótesis!$F$18+M23*Hipótesis!$F$22)</f>
        <v>-4250.11678201627</v>
      </c>
      <c r="N39" s="109" t="n">
        <f aca="false">-(N19*N21*Hipótesis!$F$18+N23*Hipótesis!$F$22)</f>
        <v>-4944.09859683789</v>
      </c>
      <c r="O39" s="109" t="n">
        <f aca="false">-(O19*O21*Hipótesis!$F$18+O23*Hipótesis!$F$22)</f>
        <v>-5638.08041165951</v>
      </c>
      <c r="P39" s="109" t="n">
        <f aca="false">-(P19*P21*Hipótesis!$F$18+P23*Hipótesis!$F$22)</f>
        <v>-6265.15378898114</v>
      </c>
      <c r="Q39" s="109" t="n">
        <f aca="false">-(Q19*Q21*Hipótesis!$F$18+Q23*Hipótesis!$F$22)</f>
        <v>-6892.22716630276</v>
      </c>
      <c r="R39" s="109" t="n">
        <f aca="false">-(R19*R21*Hipótesis!$F$18+R23*Hipótesis!$F$22)</f>
        <v>-7519.30054362438</v>
      </c>
      <c r="S39" s="109" t="n">
        <f aca="false">-(S19*S21*Hipótesis!$F$18+S23*Hipótesis!$F$22)</f>
        <v>-8146.373920946</v>
      </c>
      <c r="T39" s="109" t="n">
        <f aca="false">-(T19*T21*Hipótesis!$F$18+T23*Hipótesis!$F$22)</f>
        <v>-8773.44729826762</v>
      </c>
      <c r="U39" s="109" t="n">
        <f aca="false">-(U19*U21*Hipótesis!$F$18+U23*Hipótesis!$F$22)</f>
        <v>-9400.52067558925</v>
      </c>
      <c r="V39" s="109" t="n">
        <f aca="false">-(V19*V21*Hipótesis!$F$18+V23*Hipótesis!$F$22)</f>
        <v>-10027.5940529109</v>
      </c>
      <c r="W39" s="109" t="n">
        <f aca="false">-(W19*W21*Hipótesis!$F$18+W23*Hipótesis!$F$22)</f>
        <v>-10654.6674302325</v>
      </c>
      <c r="X39" s="109" t="n">
        <f aca="false">-(X19*X21*Hipótesis!$F$18+X23*Hipótesis!$F$22)</f>
        <v>-11049.0158075541</v>
      </c>
      <c r="Y39" s="109" t="n">
        <f aca="false">-(Y19*Y21*Hipótesis!$F$18+Y23*Hipótesis!$F$22)</f>
        <v>-11443.3641848757</v>
      </c>
      <c r="Z39" s="109" t="n">
        <f aca="false">-(Z19*Z21*Hipótesis!$F$18+Z23*Hipótesis!$F$22)</f>
        <v>-11744.6225621974</v>
      </c>
      <c r="AA39" s="109" t="n">
        <f aca="false">-(AA19*AA21*Hipótesis!$F$18+AA23*Hipótesis!$F$22)</f>
        <v>-12045.880939519</v>
      </c>
      <c r="AB39" s="109" t="n">
        <f aca="false">-(AB19*AB21*Hipótesis!$F$18+AB23*Hipótesis!$F$22)</f>
        <v>-12347.1393168406</v>
      </c>
      <c r="AC39" s="109" t="n">
        <f aca="false">-(AC19*AC21*Hipótesis!$F$18+AC23*Hipótesis!$F$22)</f>
        <v>-12648.3976941622</v>
      </c>
      <c r="AD39" s="109" t="n">
        <f aca="false">-(AD19*AD21*Hipótesis!$F$18+AD23*Hipótesis!$F$22)</f>
        <v>-12949.6560714838</v>
      </c>
      <c r="AE39" s="109" t="n">
        <f aca="false">-(AE19*AE21*Hipótesis!$F$18+AE23*Hipótesis!$F$22)</f>
        <v>-13250.9144488055</v>
      </c>
      <c r="AF39" s="109" t="n">
        <f aca="false">-(AF19*AF21*Hipótesis!$F$18+AF23*Hipótesis!$F$22)</f>
        <v>-13552.1728261271</v>
      </c>
      <c r="AG39" s="109" t="n">
        <f aca="false">-(AG19*AG21*Hipótesis!$F$18+AG23*Hipótesis!$F$22)</f>
        <v>-13853.4312034487</v>
      </c>
      <c r="AH39" s="109" t="n">
        <f aca="false">-(AH19*AH21*Hipótesis!$F$18+AH23*Hipótesis!$F$22)</f>
        <v>-14154.6895807703</v>
      </c>
      <c r="AI39" s="109" t="n">
        <f aca="false">-(AI19*AI21*Hipótesis!$F$18+AI23*Hipótesis!$F$22)</f>
        <v>-14455.9479580919</v>
      </c>
      <c r="AJ39" s="109" t="n">
        <f aca="false">-(AJ19*AJ21*Hipótesis!$F$18+AJ23*Hipótesis!$F$22)</f>
        <v>-14757.2063354136</v>
      </c>
      <c r="AK39" s="109" t="n">
        <f aca="false">-(AK19*AK21*Hipótesis!$F$18+AK23*Hipótesis!$F$22)</f>
        <v>-15058.4647127352</v>
      </c>
      <c r="AL39" s="109" t="n">
        <f aca="false">-(AL19*AL21*Hipótesis!$F$18+AL23*Hipótesis!$F$22)</f>
        <v>-15359.7230900568</v>
      </c>
      <c r="AM39" s="109" t="n">
        <f aca="false">-(AM19*AM21*Hipótesis!$F$18+AM23*Hipótesis!$F$22)</f>
        <v>-15660.9814673784</v>
      </c>
      <c r="AN39" s="109" t="n">
        <f aca="false">-(AN19*AN21*Hipótesis!$F$18+AN23*Hipótesis!$F$22)</f>
        <v>-15962.2398447001</v>
      </c>
      <c r="AO39" s="109" t="n">
        <f aca="false">-(AO19*AO21*Hipótesis!$F$18+AO23*Hipótesis!$F$22)</f>
        <v>-16263.4982220217</v>
      </c>
      <c r="AP39" s="109" t="n">
        <f aca="false">-(AP19*AP21*Hipótesis!$F$18+AP23*Hipótesis!$F$22)</f>
        <v>-16564.7565993433</v>
      </c>
      <c r="AQ39" s="109" t="n">
        <f aca="false">-(AQ19*AQ21*Hipótesis!$F$18+AQ23*Hipótesis!$F$22)</f>
        <v>-16866.0149766649</v>
      </c>
      <c r="AR39" s="109" t="n">
        <f aca="false">-(AR19*AR21*Hipótesis!$F$18+AR23*Hipótesis!$F$22)</f>
        <v>-17167.2733539865</v>
      </c>
      <c r="AS39" s="109" t="n">
        <f aca="false">-(AS19*AS21*Hipótesis!$F$18+AS23*Hipótesis!$F$22)</f>
        <v>-17167.2733539865</v>
      </c>
      <c r="AT39" s="109" t="n">
        <f aca="false">-(AT19*AT21*Hipótesis!$F$18+AT23*Hipótesis!$F$22)</f>
        <v>-17167.2733539865</v>
      </c>
      <c r="AU39" s="109" t="n">
        <f aca="false">-(AU19*AU21*Hipótesis!$F$18+AU23*Hipótesis!$F$22)</f>
        <v>-17167.2733539865</v>
      </c>
      <c r="AV39" s="109" t="n">
        <f aca="false">-(AV19*AV21*Hipótesis!$F$18+AV23*Hipótesis!$F$22)</f>
        <v>-17167.2733539865</v>
      </c>
      <c r="AW39" s="109" t="n">
        <f aca="false">-(AW19*AW21*Hipótesis!$F$18+AW23*Hipótesis!$F$22)</f>
        <v>-17167.2733539865</v>
      </c>
      <c r="AX39" s="109" t="n">
        <f aca="false">-(AX19*AX21*Hipótesis!$F$18+AX23*Hipótesis!$F$22)</f>
        <v>-17167.2733539865</v>
      </c>
      <c r="AY39" s="109" t="n">
        <f aca="false">-(AY19*AY21*Hipótesis!$F$18+AY23*Hipótesis!$F$22)</f>
        <v>-17167.2733539865</v>
      </c>
      <c r="AZ39" s="109" t="n">
        <f aca="false">-(AZ19*AZ21*Hipótesis!$F$18+AZ23*Hipótesis!$F$22)</f>
        <v>-17167.2733539865</v>
      </c>
      <c r="BA39" s="109" t="n">
        <f aca="false">-(BA19*BA21*Hipótesis!$F$18+BA23*Hipótesis!$F$22)</f>
        <v>-17167.2733539865</v>
      </c>
      <c r="BB39" s="109" t="n">
        <f aca="false">-(BB19*BB21*Hipótesis!$F$18+BB23*Hipótesis!$F$22)</f>
        <v>-17167.2733539865</v>
      </c>
      <c r="BC39" s="109" t="n">
        <f aca="false">-(BC19*BC21*Hipótesis!$F$18+BC23*Hipótesis!$F$22)</f>
        <v>-17167.2733539865</v>
      </c>
      <c r="BD39" s="109" t="n">
        <f aca="false">-(BD19*BD21*Hipótesis!$F$18+BD23*Hipótesis!$F$22)</f>
        <v>-17167.2733539865</v>
      </c>
      <c r="BE39" s="109" t="n">
        <f aca="false">-(BE19*BE21*Hipótesis!$F$18+BE23*Hipótesis!$F$22)</f>
        <v>-17167.2733539865</v>
      </c>
      <c r="BF39" s="109" t="n">
        <f aca="false">-(BF19*BF21*Hipótesis!$F$18+BF23*Hipótesis!$F$22)</f>
        <v>-17167.2733539865</v>
      </c>
      <c r="BG39" s="109" t="n">
        <f aca="false">-(BG19*BG21*Hipótesis!$F$18+BG23*Hipótesis!$F$22)</f>
        <v>-17167.2733539865</v>
      </c>
      <c r="BH39" s="109" t="n">
        <f aca="false">-(BH19*BH21*Hipótesis!$F$18+BH23*Hipótesis!$F$22)</f>
        <v>-17167.2733539865</v>
      </c>
      <c r="BI39" s="109" t="n">
        <f aca="false">-(BI19*BI21*Hipótesis!$F$18+BI23*Hipótesis!$F$22)</f>
        <v>-17167.2733539865</v>
      </c>
      <c r="BJ39" s="109" t="n">
        <f aca="false">-(BJ19*BJ21*Hipótesis!$F$18+BJ23*Hipótesis!$F$22)</f>
        <v>-17167.2733539865</v>
      </c>
      <c r="BK39" s="109" t="n">
        <f aca="false">-(BK19*BK21*Hipótesis!$F$18+BK23*Hipótesis!$F$22)</f>
        <v>-17167.2733539865</v>
      </c>
      <c r="BL39" s="109" t="n">
        <f aca="false">-(BL19*BL21*Hipótesis!$F$18+BL23*Hipótesis!$F$22)</f>
        <v>-17167.2733539865</v>
      </c>
      <c r="BM39" s="109" t="n">
        <f aca="false">-(BM19*BM21*Hipótesis!$F$18+BM23*Hipótesis!$F$22)</f>
        <v>-17167.2733539865</v>
      </c>
      <c r="BN39" s="109" t="n">
        <f aca="false">-(BN19*BN21*Hipótesis!$F$18+BN23*Hipótesis!$F$22)</f>
        <v>-17167.2733539865</v>
      </c>
      <c r="BO39" s="109" t="n">
        <f aca="false">-(BO19*BO21*Hipótesis!$F$18+BO23*Hipótesis!$F$22)</f>
        <v>-17167.2733539865</v>
      </c>
      <c r="BP39" s="109" t="n">
        <f aca="false">-(BP19*BP21*Hipótesis!$F$18+BP23*Hipótesis!$F$22)</f>
        <v>-17167.2733539865</v>
      </c>
      <c r="BQ39" s="109" t="n">
        <f aca="false">-(BQ19*BQ21*Hipótesis!$F$18+BQ23*Hipótesis!$F$22)</f>
        <v>-17167.2733539865</v>
      </c>
      <c r="BR39" s="109" t="n">
        <f aca="false">-(BR19*BR21*Hipótesis!$F$18+BR23*Hipótesis!$F$22)</f>
        <v>-17167.2733539865</v>
      </c>
      <c r="BS39" s="109" t="n">
        <f aca="false">-(BS19*BS21*Hipótesis!$F$18+BS23*Hipótesis!$F$22)</f>
        <v>-17167.2733539865</v>
      </c>
      <c r="BT39" s="109" t="n">
        <f aca="false">-(BT19*BT21*Hipótesis!$F$18+BT23*Hipótesis!$F$22)</f>
        <v>-17167.2733539865</v>
      </c>
      <c r="BU39" s="109" t="n">
        <f aca="false">-(BU19*BU21*Hipótesis!$F$18+BU23*Hipótesis!$F$22)</f>
        <v>-17167.2733539865</v>
      </c>
      <c r="BV39" s="109" t="n">
        <f aca="false">-(BV19*BV21*Hipótesis!$F$18+BV23*Hipótesis!$F$22)</f>
        <v>-17167.2733539865</v>
      </c>
      <c r="BW39" s="109" t="n">
        <f aca="false">-(BW19*BW21*Hipótesis!$F$18+BW23*Hipótesis!$F$22)</f>
        <v>-17167.2733539865</v>
      </c>
      <c r="BX39" s="109" t="n">
        <f aca="false">-(BX19*BX21*Hipótesis!$F$18+BX23*Hipótesis!$F$22)</f>
        <v>-17167.2733539865</v>
      </c>
      <c r="BY39" s="109" t="n">
        <f aca="false">-(BY19*BY21*Hipótesis!$F$18+BY23*Hipótesis!$F$22)</f>
        <v>-17167.2733539865</v>
      </c>
      <c r="BZ39" s="109" t="n">
        <f aca="false">-(BZ19*BZ21*Hipótesis!$F$18+BZ23*Hipótesis!$F$22)</f>
        <v>-17167.2733539865</v>
      </c>
      <c r="CA39" s="109" t="n">
        <f aca="false">-(CA19*CA21*Hipótesis!$F$18+CA23*Hipótesis!$F$22)</f>
        <v>-17167.2733539865</v>
      </c>
      <c r="CB39" s="109" t="n">
        <f aca="false">-(CB19*CB21*Hipótesis!$F$18+CB23*Hipótesis!$F$22)</f>
        <v>-17167.2733539865</v>
      </c>
      <c r="CC39" s="109" t="n">
        <f aca="false">-(CC19*CC21*Hipótesis!$F$18+CC23*Hipótesis!$F$22)</f>
        <v>-17167.2733539865</v>
      </c>
      <c r="CD39" s="109" t="n">
        <f aca="false">-(CD19*CD21*Hipótesis!$F$18+CD23*Hipótesis!$F$22)</f>
        <v>-17167.2733539865</v>
      </c>
      <c r="CE39" s="109" t="n">
        <f aca="false">-(CE19*CE21*Hipótesis!$F$18+CE23*Hipótesis!$F$22)</f>
        <v>-17167.2733539865</v>
      </c>
      <c r="CF39" s="109" t="n">
        <f aca="false">-(CF19*CF21*Hipótesis!$F$18+CF23*Hipótesis!$F$22)</f>
        <v>-17167.2733539865</v>
      </c>
      <c r="CG39" s="109" t="n">
        <f aca="false">-(CG19*CG21*Hipótesis!$F$18+CG23*Hipótesis!$F$22)</f>
        <v>-17167.2733539865</v>
      </c>
      <c r="CH39" s="109" t="n">
        <f aca="false">-(CH19*CH21*Hipótesis!$F$18+CH23*Hipótesis!$F$22)</f>
        <v>-17167.2733539865</v>
      </c>
    </row>
    <row r="40" customFormat="false" ht="13.5" hidden="false" customHeight="true" outlineLevel="0" collapsed="false">
      <c r="A40" s="47" t="s">
        <v>545</v>
      </c>
      <c r="C40" s="71" t="n">
        <f aca="false">C38+C39</f>
        <v>995.850166666666</v>
      </c>
      <c r="D40" s="71" t="n">
        <f aca="false">D38+D39</f>
        <v>2062.30083333333</v>
      </c>
      <c r="E40" s="71" t="n">
        <f aca="false">E38+E39</f>
        <v>4217.68696619898</v>
      </c>
      <c r="F40" s="71" t="n">
        <f aca="false">F38+F39</f>
        <v>5377.22293239796</v>
      </c>
      <c r="G40" s="71" t="n">
        <f aca="false">G38+G39</f>
        <v>6466.15839859694</v>
      </c>
      <c r="H40" s="71" t="n">
        <f aca="false">H38+H39</f>
        <v>8170.26542729592</v>
      </c>
      <c r="I40" s="71" t="n">
        <f aca="false">I38+I39</f>
        <v>11540.8732762041</v>
      </c>
      <c r="J40" s="71" t="n">
        <f aca="false">J38+J39</f>
        <v>14911.4811251123</v>
      </c>
      <c r="K40" s="71" t="n">
        <f aca="false">K38+K39</f>
        <v>18282.0889740204</v>
      </c>
      <c r="L40" s="71" t="n">
        <f aca="false">L38+L39</f>
        <v>21652.6968229286</v>
      </c>
      <c r="M40" s="71" t="n">
        <f aca="false">M38+M39</f>
        <v>23934.3692056378</v>
      </c>
      <c r="N40" s="71" t="n">
        <f aca="false">N38+N39</f>
        <v>27040.366588347</v>
      </c>
      <c r="O40" s="71" t="n">
        <f aca="false">O38+O39</f>
        <v>30146.3639710562</v>
      </c>
      <c r="P40" s="71" t="n">
        <f aca="false">P38+P39</f>
        <v>32938.7317912653</v>
      </c>
      <c r="Q40" s="71" t="n">
        <f aca="false">Q38+Q39</f>
        <v>35731.0996114745</v>
      </c>
      <c r="R40" s="71" t="n">
        <f aca="false">R38+R39</f>
        <v>38523.4674316837</v>
      </c>
      <c r="S40" s="71" t="n">
        <f aca="false">S38+S39</f>
        <v>41315.8352518929</v>
      </c>
      <c r="T40" s="71" t="n">
        <f aca="false">T38+T39</f>
        <v>44108.2030721021</v>
      </c>
      <c r="U40" s="71" t="n">
        <f aca="false">U38+U39</f>
        <v>46900.5708923113</v>
      </c>
      <c r="V40" s="71" t="n">
        <f aca="false">V38+V39</f>
        <v>49692.9387125205</v>
      </c>
      <c r="W40" s="71" t="n">
        <f aca="false">W38+W39</f>
        <v>52485.3065327297</v>
      </c>
      <c r="X40" s="71" t="n">
        <f aca="false">X38+X39</f>
        <v>54453.3493529389</v>
      </c>
      <c r="Y40" s="71" t="n">
        <f aca="false">Y38+Y39</f>
        <v>56421.3921731481</v>
      </c>
      <c r="Z40" s="71" t="n">
        <f aca="false">Z38+Z39</f>
        <v>58087.8929933572</v>
      </c>
      <c r="AA40" s="71" t="n">
        <f aca="false">AA38+AA39</f>
        <v>59754.3938135664</v>
      </c>
      <c r="AB40" s="71" t="n">
        <f aca="false">AB38+AB39</f>
        <v>61420.8946337756</v>
      </c>
      <c r="AC40" s="71" t="n">
        <f aca="false">AC38+AC39</f>
        <v>63087.3954539848</v>
      </c>
      <c r="AD40" s="71" t="n">
        <f aca="false">AD38+AD39</f>
        <v>64753.896274194</v>
      </c>
      <c r="AE40" s="71" t="n">
        <f aca="false">AE38+AE39</f>
        <v>66420.3970944032</v>
      </c>
      <c r="AF40" s="71" t="n">
        <f aca="false">AF38+AF39</f>
        <v>68086.8979146124</v>
      </c>
      <c r="AG40" s="71" t="n">
        <f aca="false">AG38+AG39</f>
        <v>69753.3987348216</v>
      </c>
      <c r="AH40" s="71" t="n">
        <f aca="false">AH38+AH39</f>
        <v>71419.8995550308</v>
      </c>
      <c r="AI40" s="71" t="n">
        <f aca="false">AI38+AI39</f>
        <v>73086.40037524</v>
      </c>
      <c r="AJ40" s="71" t="n">
        <f aca="false">AJ38+AJ39</f>
        <v>74752.9011954491</v>
      </c>
      <c r="AK40" s="71" t="n">
        <f aca="false">AK38+AK39</f>
        <v>76419.4020156583</v>
      </c>
      <c r="AL40" s="71" t="n">
        <f aca="false">AL38+AL39</f>
        <v>78085.9028358675</v>
      </c>
      <c r="AM40" s="71" t="n">
        <f aca="false">AM38+AM39</f>
        <v>79752.4036560767</v>
      </c>
      <c r="AN40" s="71" t="n">
        <f aca="false">AN38+AN39</f>
        <v>81418.9044762859</v>
      </c>
      <c r="AO40" s="71" t="n">
        <f aca="false">AO38+AO39</f>
        <v>83085.4052964951</v>
      </c>
      <c r="AP40" s="71" t="n">
        <f aca="false">AP38+AP39</f>
        <v>84751.9061167043</v>
      </c>
      <c r="AQ40" s="71" t="n">
        <f aca="false">AQ38+AQ39</f>
        <v>86418.4069369135</v>
      </c>
      <c r="AR40" s="71" t="n">
        <f aca="false">AR38+AR39</f>
        <v>88084.9077571227</v>
      </c>
      <c r="AS40" s="71" t="n">
        <f aca="false">AS38+AS39</f>
        <v>88084.9077571227</v>
      </c>
      <c r="AT40" s="71" t="n">
        <f aca="false">AT38+AT39</f>
        <v>88084.9077571227</v>
      </c>
      <c r="AU40" s="71" t="n">
        <f aca="false">AU38+AU39</f>
        <v>88084.9077571227</v>
      </c>
      <c r="AV40" s="71" t="n">
        <f aca="false">AV38+AV39</f>
        <v>88084.9077571227</v>
      </c>
      <c r="AW40" s="71" t="n">
        <f aca="false">AW38+AW39</f>
        <v>88084.9077571227</v>
      </c>
      <c r="AX40" s="71" t="n">
        <f aca="false">AX38+AX39</f>
        <v>88084.9077571227</v>
      </c>
      <c r="AY40" s="71" t="n">
        <f aca="false">AY38+AY39</f>
        <v>88084.9077571227</v>
      </c>
      <c r="AZ40" s="71" t="n">
        <f aca="false">AZ38+AZ39</f>
        <v>88084.9077571227</v>
      </c>
      <c r="BA40" s="71" t="n">
        <f aca="false">BA38+BA39</f>
        <v>88084.9077571227</v>
      </c>
      <c r="BB40" s="71" t="n">
        <f aca="false">BB38+BB39</f>
        <v>88084.9077571227</v>
      </c>
      <c r="BC40" s="71" t="n">
        <f aca="false">BC38+BC39</f>
        <v>88084.9077571227</v>
      </c>
      <c r="BD40" s="71" t="n">
        <f aca="false">BD38+BD39</f>
        <v>88084.9077571227</v>
      </c>
      <c r="BE40" s="71" t="n">
        <f aca="false">BE38+BE39</f>
        <v>88084.9077571227</v>
      </c>
      <c r="BF40" s="71" t="n">
        <f aca="false">BF38+BF39</f>
        <v>88084.9077571227</v>
      </c>
      <c r="BG40" s="71" t="n">
        <f aca="false">BG38+BG39</f>
        <v>88084.9077571227</v>
      </c>
      <c r="BH40" s="71" t="n">
        <f aca="false">BH38+BH39</f>
        <v>88084.9077571227</v>
      </c>
      <c r="BI40" s="71" t="n">
        <f aca="false">BI38+BI39</f>
        <v>88084.9077571227</v>
      </c>
      <c r="BJ40" s="71" t="n">
        <f aca="false">BJ38+BJ39</f>
        <v>88084.9077571227</v>
      </c>
      <c r="BK40" s="71" t="n">
        <f aca="false">BK38+BK39</f>
        <v>88084.9077571227</v>
      </c>
      <c r="BL40" s="71" t="n">
        <f aca="false">BL38+BL39</f>
        <v>88084.9077571227</v>
      </c>
      <c r="BM40" s="71" t="n">
        <f aca="false">BM38+BM39</f>
        <v>88084.9077571227</v>
      </c>
      <c r="BN40" s="71" t="n">
        <f aca="false">BN38+BN39</f>
        <v>88084.9077571227</v>
      </c>
      <c r="BO40" s="71" t="n">
        <f aca="false">BO38+BO39</f>
        <v>88084.9077571227</v>
      </c>
      <c r="BP40" s="71" t="n">
        <f aca="false">BP38+BP39</f>
        <v>88084.9077571227</v>
      </c>
      <c r="BQ40" s="71" t="n">
        <f aca="false">BQ38+BQ39</f>
        <v>88084.9077571227</v>
      </c>
      <c r="BR40" s="71" t="n">
        <f aca="false">BR38+BR39</f>
        <v>88084.9077571227</v>
      </c>
      <c r="BS40" s="71" t="n">
        <f aca="false">BS38+BS39</f>
        <v>88084.9077571227</v>
      </c>
      <c r="BT40" s="71" t="n">
        <f aca="false">BT38+BT39</f>
        <v>88084.9077571227</v>
      </c>
      <c r="BU40" s="71" t="n">
        <f aca="false">BU38+BU39</f>
        <v>88084.9077571227</v>
      </c>
      <c r="BV40" s="71" t="n">
        <f aca="false">BV38+BV39</f>
        <v>88084.9077571227</v>
      </c>
      <c r="BW40" s="71" t="n">
        <f aca="false">BW38+BW39</f>
        <v>88084.9077571227</v>
      </c>
      <c r="BX40" s="71" t="n">
        <f aca="false">BX38+BX39</f>
        <v>88084.9077571227</v>
      </c>
      <c r="BY40" s="71" t="n">
        <f aca="false">BY38+BY39</f>
        <v>88084.9077571227</v>
      </c>
      <c r="BZ40" s="71" t="n">
        <f aca="false">BZ38+BZ39</f>
        <v>88084.9077571227</v>
      </c>
      <c r="CA40" s="71" t="n">
        <f aca="false">CA38+CA39</f>
        <v>88084.9077571227</v>
      </c>
      <c r="CB40" s="71" t="n">
        <f aca="false">CB38+CB39</f>
        <v>88084.9077571227</v>
      </c>
      <c r="CC40" s="71" t="n">
        <f aca="false">CC38+CC39</f>
        <v>88084.9077571227</v>
      </c>
      <c r="CD40" s="71" t="n">
        <f aca="false">CD38+CD39</f>
        <v>88084.9077571227</v>
      </c>
      <c r="CE40" s="71" t="n">
        <f aca="false">CE38+CE39</f>
        <v>88084.9077571227</v>
      </c>
      <c r="CF40" s="71" t="n">
        <f aca="false">CF38+CF39</f>
        <v>88084.9077571227</v>
      </c>
      <c r="CG40" s="71" t="n">
        <f aca="false">CG38+CG39</f>
        <v>88084.9077571227</v>
      </c>
      <c r="CH40" s="71" t="n">
        <f aca="false">CH38+CH39</f>
        <v>88084.9077571227</v>
      </c>
    </row>
    <row r="41" customFormat="false" ht="13.5" hidden="false" customHeight="true" outlineLevel="0" collapsed="false">
      <c r="A41" s="6" t="s">
        <v>546</v>
      </c>
      <c r="C41" s="120" t="n">
        <f aca="false">IFERROR(C40/C38,0)</f>
        <v>0.916971372254005</v>
      </c>
      <c r="D41" s="120" t="n">
        <f aca="false">IFERROR(D40/D38,0)</f>
        <v>0.91389495256741</v>
      </c>
      <c r="E41" s="120" t="n">
        <f aca="false">IFERROR(E40/E38,0)</f>
        <v>0.897369632841609</v>
      </c>
      <c r="F41" s="120" t="n">
        <f aca="false">IFERROR(F40/F38,0)</f>
        <v>0.887699109782665</v>
      </c>
      <c r="G41" s="120" t="n">
        <f aca="false">IFERROR(G40/G38,0)</f>
        <v>0.882107955629589</v>
      </c>
      <c r="H41" s="120" t="n">
        <f aca="false">IFERROR(H40/H38,0)</f>
        <v>0.871180656930544</v>
      </c>
      <c r="I41" s="120" t="n">
        <f aca="false">IFERROR(I40/I38,0)</f>
        <v>0.861633684200439</v>
      </c>
      <c r="J41" s="120" t="n">
        <f aca="false">IFERROR(J40/J38,0)</f>
        <v>0.856490931869139</v>
      </c>
      <c r="K41" s="120" t="n">
        <f aca="false">IFERROR(K40/K38,0)</f>
        <v>0.853275973805648</v>
      </c>
      <c r="L41" s="120" t="n">
        <f aca="false">IFERROR(L40/L38,0)</f>
        <v>0.85107593853433</v>
      </c>
      <c r="M41" s="120" t="n">
        <f aca="false">IFERROR(M40/M38,0)</f>
        <v>0.849203679503753</v>
      </c>
      <c r="N41" s="120" t="n">
        <f aca="false">IFERROR(N40/N38,0)</f>
        <v>0.845421876895163</v>
      </c>
      <c r="O41" s="120" t="n">
        <f aca="false">IFERROR(O40/O38,0)</f>
        <v>0.842443259664449</v>
      </c>
      <c r="P41" s="120" t="n">
        <f aca="false">IFERROR(P40/P38,0)</f>
        <v>0.84019048886986</v>
      </c>
      <c r="Q41" s="120" t="n">
        <f aca="false">IFERROR(Q40/Q38,0)</f>
        <v>0.838299173543249</v>
      </c>
      <c r="R41" s="120" t="n">
        <f aca="false">IFERROR(R40/R38,0)</f>
        <v>0.836688781446484</v>
      </c>
      <c r="S41" s="120" t="n">
        <f aca="false">IFERROR(S40/S38,0)</f>
        <v>0.835301049888823</v>
      </c>
      <c r="T41" s="120" t="n">
        <f aca="false">IFERROR(T40/T38,0)</f>
        <v>0.834092785742869</v>
      </c>
      <c r="U41" s="120" t="n">
        <f aca="false">IFERROR(U40/U38,0)</f>
        <v>0.833031289202413</v>
      </c>
      <c r="V41" s="120" t="n">
        <f aca="false">IFERROR(V40/V38,0)</f>
        <v>0.832091349682077</v>
      </c>
      <c r="W41" s="120" t="n">
        <f aca="false">IFERROR(W40/W38,0)</f>
        <v>0.831253217866664</v>
      </c>
      <c r="X41" s="120" t="n">
        <f aca="false">IFERROR(X40/X38,0)</f>
        <v>0.831318826725081</v>
      </c>
      <c r="Y41" s="120" t="n">
        <f aca="false">IFERROR(Y40/Y38,0)</f>
        <v>0.831379867857984</v>
      </c>
      <c r="Z41" s="120" t="n">
        <f aca="false">IFERROR(Z40/Z38,0)</f>
        <v>0.831817277828778</v>
      </c>
      <c r="AA41" s="120" t="n">
        <f aca="false">IFERROR(AA40/AA38,0)</f>
        <v>0.832230712473683</v>
      </c>
      <c r="AB41" s="120" t="n">
        <f aca="false">IFERROR(AB40/AB38,0)</f>
        <v>0.83262209041512</v>
      </c>
      <c r="AC41" s="120" t="n">
        <f aca="false">IFERROR(AC40/AC38,0)</f>
        <v>0.832993130877752</v>
      </c>
      <c r="AD41" s="120" t="n">
        <f aca="false">IFERROR(AD40/AD38,0)</f>
        <v>0.833345378936152</v>
      </c>
      <c r="AE41" s="120" t="n">
        <f aca="false">IFERROR(AE40/AE38,0)</f>
        <v>0.833680227021002</v>
      </c>
      <c r="AF41" s="120" t="n">
        <f aca="false">IFERROR(AF40/AF38,0)</f>
        <v>0.833998933315096</v>
      </c>
      <c r="AG41" s="120" t="n">
        <f aca="false">IFERROR(AG40/AG38,0)</f>
        <v>0.834302637551535</v>
      </c>
      <c r="AH41" s="120" t="n">
        <f aca="false">IFERROR(AH40/AH38,0)</f>
        <v>0.83459237463229</v>
      </c>
      <c r="AI41" s="120" t="n">
        <f aca="false">IFERROR(AI40/AI38,0)</f>
        <v>0.834869086410059</v>
      </c>
      <c r="AJ41" s="120" t="n">
        <f aca="false">IFERROR(AJ40/AJ38,0)</f>
        <v>0.83513363191609</v>
      </c>
      <c r="AK41" s="120" t="n">
        <f aca="false">IFERROR(AK40/AK38,0)</f>
        <v>0.835386796267941</v>
      </c>
      <c r="AL41" s="120" t="n">
        <f aca="false">IFERROR(AL40/AL38,0)</f>
        <v>0.835629298451779</v>
      </c>
      <c r="AM41" s="120" t="n">
        <f aca="false">IFERROR(AM40/AM38,0)</f>
        <v>0.835861798141689</v>
      </c>
      <c r="AN41" s="120" t="n">
        <f aca="false">IFERROR(AN40/AN38,0)</f>
        <v>0.836084901692204</v>
      </c>
      <c r="AO41" s="120" t="n">
        <f aca="false">IFERROR(AO40/AO38,0)</f>
        <v>0.836299167418688</v>
      </c>
      <c r="AP41" s="120" t="n">
        <f aca="false">IFERROR(AP40/AP38,0)</f>
        <v>0.836505110262385</v>
      </c>
      <c r="AQ41" s="120" t="n">
        <f aca="false">IFERROR(AQ40/AQ38,0)</f>
        <v>0.836703205922213</v>
      </c>
      <c r="AR41" s="120" t="n">
        <f aca="false">IFERROR(AR40/AR38,0)</f>
        <v>0.83689389452306</v>
      </c>
      <c r="AS41" s="120" t="n">
        <f aca="false">IFERROR(AS40/AS38,0)</f>
        <v>0.83689389452306</v>
      </c>
      <c r="AT41" s="120" t="n">
        <f aca="false">IFERROR(AT40/AT38,0)</f>
        <v>0.83689389452306</v>
      </c>
      <c r="AU41" s="120" t="n">
        <f aca="false">IFERROR(AU40/AU38,0)</f>
        <v>0.83689389452306</v>
      </c>
      <c r="AV41" s="120" t="n">
        <f aca="false">IFERROR(AV40/AV38,0)</f>
        <v>0.83689389452306</v>
      </c>
      <c r="AW41" s="120" t="n">
        <f aca="false">IFERROR(AW40/AW38,0)</f>
        <v>0.83689389452306</v>
      </c>
      <c r="AX41" s="120" t="n">
        <f aca="false">IFERROR(AX40/AX38,0)</f>
        <v>0.83689389452306</v>
      </c>
      <c r="AY41" s="120" t="n">
        <f aca="false">IFERROR(AY40/AY38,0)</f>
        <v>0.83689389452306</v>
      </c>
      <c r="AZ41" s="120" t="n">
        <f aca="false">IFERROR(AZ40/AZ38,0)</f>
        <v>0.83689389452306</v>
      </c>
      <c r="BA41" s="120" t="n">
        <f aca="false">IFERROR(BA40/BA38,0)</f>
        <v>0.83689389452306</v>
      </c>
      <c r="BB41" s="120" t="n">
        <f aca="false">IFERROR(BB40/BB38,0)</f>
        <v>0.83689389452306</v>
      </c>
      <c r="BC41" s="120" t="n">
        <f aca="false">IFERROR(BC40/BC38,0)</f>
        <v>0.83689389452306</v>
      </c>
      <c r="BD41" s="120" t="n">
        <f aca="false">IFERROR(BD40/BD38,0)</f>
        <v>0.83689389452306</v>
      </c>
      <c r="BE41" s="120" t="n">
        <f aca="false">IFERROR(BE40/BE38,0)</f>
        <v>0.83689389452306</v>
      </c>
      <c r="BF41" s="120" t="n">
        <f aca="false">IFERROR(BF40/BF38,0)</f>
        <v>0.83689389452306</v>
      </c>
      <c r="BG41" s="120" t="n">
        <f aca="false">IFERROR(BG40/BG38,0)</f>
        <v>0.83689389452306</v>
      </c>
      <c r="BH41" s="120" t="n">
        <f aca="false">IFERROR(BH40/BH38,0)</f>
        <v>0.83689389452306</v>
      </c>
      <c r="BI41" s="120" t="n">
        <f aca="false">IFERROR(BI40/BI38,0)</f>
        <v>0.83689389452306</v>
      </c>
      <c r="BJ41" s="120" t="n">
        <f aca="false">IFERROR(BJ40/BJ38,0)</f>
        <v>0.83689389452306</v>
      </c>
      <c r="BK41" s="120" t="n">
        <f aca="false">IFERROR(BK40/BK38,0)</f>
        <v>0.83689389452306</v>
      </c>
      <c r="BL41" s="120" t="n">
        <f aca="false">IFERROR(BL40/BL38,0)</f>
        <v>0.83689389452306</v>
      </c>
      <c r="BM41" s="120" t="n">
        <f aca="false">IFERROR(BM40/BM38,0)</f>
        <v>0.83689389452306</v>
      </c>
      <c r="BN41" s="120" t="n">
        <f aca="false">IFERROR(BN40/BN38,0)</f>
        <v>0.83689389452306</v>
      </c>
      <c r="BO41" s="120" t="n">
        <f aca="false">IFERROR(BO40/BO38,0)</f>
        <v>0.83689389452306</v>
      </c>
      <c r="BP41" s="120" t="n">
        <f aca="false">IFERROR(BP40/BP38,0)</f>
        <v>0.83689389452306</v>
      </c>
      <c r="BQ41" s="120" t="n">
        <f aca="false">IFERROR(BQ40/BQ38,0)</f>
        <v>0.83689389452306</v>
      </c>
      <c r="BR41" s="120" t="n">
        <f aca="false">IFERROR(BR40/BR38,0)</f>
        <v>0.83689389452306</v>
      </c>
      <c r="BS41" s="120" t="n">
        <f aca="false">IFERROR(BS40/BS38,0)</f>
        <v>0.83689389452306</v>
      </c>
      <c r="BT41" s="120" t="n">
        <f aca="false">IFERROR(BT40/BT38,0)</f>
        <v>0.83689389452306</v>
      </c>
      <c r="BU41" s="120" t="n">
        <f aca="false">IFERROR(BU40/BU38,0)</f>
        <v>0.83689389452306</v>
      </c>
      <c r="BV41" s="120" t="n">
        <f aca="false">IFERROR(BV40/BV38,0)</f>
        <v>0.83689389452306</v>
      </c>
      <c r="BW41" s="120" t="n">
        <f aca="false">IFERROR(BW40/BW38,0)</f>
        <v>0.83689389452306</v>
      </c>
      <c r="BX41" s="120" t="n">
        <f aca="false">IFERROR(BX40/BX38,0)</f>
        <v>0.83689389452306</v>
      </c>
      <c r="BY41" s="120" t="n">
        <f aca="false">IFERROR(BY40/BY38,0)</f>
        <v>0.83689389452306</v>
      </c>
      <c r="BZ41" s="120" t="n">
        <f aca="false">IFERROR(BZ40/BZ38,0)</f>
        <v>0.83689389452306</v>
      </c>
      <c r="CA41" s="120" t="n">
        <f aca="false">IFERROR(CA40/CA38,0)</f>
        <v>0.83689389452306</v>
      </c>
      <c r="CB41" s="120" t="n">
        <f aca="false">IFERROR(CB40/CB38,0)</f>
        <v>0.83689389452306</v>
      </c>
      <c r="CC41" s="120" t="n">
        <f aca="false">IFERROR(CC40/CC38,0)</f>
        <v>0.83689389452306</v>
      </c>
      <c r="CD41" s="120" t="n">
        <f aca="false">IFERROR(CD40/CD38,0)</f>
        <v>0.83689389452306</v>
      </c>
      <c r="CE41" s="120" t="n">
        <f aca="false">IFERROR(CE40/CE38,0)</f>
        <v>0.83689389452306</v>
      </c>
      <c r="CF41" s="120" t="n">
        <f aca="false">IFERROR(CF40/CF38,0)</f>
        <v>0.83689389452306</v>
      </c>
      <c r="CG41" s="120" t="n">
        <f aca="false">IFERROR(CG40/CG38,0)</f>
        <v>0.83689389452306</v>
      </c>
      <c r="CH41" s="120" t="n">
        <f aca="false">IFERROR(CH40/CH38,0)</f>
        <v>0.83689389452306</v>
      </c>
    </row>
    <row r="42" customFormat="false" ht="13.5" hidden="false" customHeight="true" outlineLevel="0" collapsed="false">
      <c r="A42" s="6" t="s">
        <v>547</v>
      </c>
      <c r="C42" s="109" t="n">
        <f aca="false">-Hipótesis!$F$36</f>
        <v>-2000</v>
      </c>
      <c r="D42" s="109" t="n">
        <f aca="false">-Hipótesis!$F$36</f>
        <v>-2000</v>
      </c>
      <c r="E42" s="109" t="n">
        <f aca="false">-Hipótesis!$F$36</f>
        <v>-2000</v>
      </c>
      <c r="F42" s="109" t="n">
        <f aca="false">-Hipótesis!$F$36</f>
        <v>-2000</v>
      </c>
      <c r="G42" s="109" t="n">
        <f aca="false">-Hipótesis!$F$36</f>
        <v>-2000</v>
      </c>
      <c r="H42" s="109" t="n">
        <f aca="false">-Hipótesis!$F$36</f>
        <v>-2000</v>
      </c>
      <c r="I42" s="109" t="n">
        <f aca="false">-Hipótesis!$F$36</f>
        <v>-2000</v>
      </c>
      <c r="J42" s="109" t="n">
        <f aca="false">-Hipótesis!$F$36</f>
        <v>-2000</v>
      </c>
      <c r="K42" s="109" t="n">
        <f aca="false">-Hipótesis!$F$36</f>
        <v>-2000</v>
      </c>
      <c r="L42" s="109" t="n">
        <f aca="false">-Hipótesis!$F$36</f>
        <v>-2000</v>
      </c>
      <c r="M42" s="109" t="n">
        <f aca="false">-Hipótesis!$F$36</f>
        <v>-2000</v>
      </c>
      <c r="N42" s="109" t="n">
        <f aca="false">-Hipótesis!$F$36</f>
        <v>-2000</v>
      </c>
      <c r="O42" s="109" t="n">
        <f aca="false">-Hipótesis!$F$36</f>
        <v>-2000</v>
      </c>
      <c r="P42" s="109" t="n">
        <f aca="false">-Hipótesis!$F$36</f>
        <v>-2000</v>
      </c>
      <c r="Q42" s="109" t="n">
        <f aca="false">-Hipótesis!$F$36</f>
        <v>-2000</v>
      </c>
      <c r="R42" s="109" t="n">
        <f aca="false">-Hipótesis!$F$36</f>
        <v>-2000</v>
      </c>
      <c r="S42" s="109" t="n">
        <f aca="false">-Hipótesis!$F$36</f>
        <v>-2000</v>
      </c>
      <c r="T42" s="109" t="n">
        <f aca="false">-Hipótesis!$F$36</f>
        <v>-2000</v>
      </c>
      <c r="U42" s="109" t="n">
        <f aca="false">-Hipótesis!$F$36</f>
        <v>-2000</v>
      </c>
      <c r="V42" s="109" t="n">
        <f aca="false">-Hipótesis!$F$36</f>
        <v>-2000</v>
      </c>
      <c r="W42" s="109" t="n">
        <f aca="false">-Hipótesis!$F$36</f>
        <v>-2000</v>
      </c>
      <c r="X42" s="109" t="n">
        <f aca="false">-Hipótesis!$F$36</f>
        <v>-2000</v>
      </c>
      <c r="Y42" s="109" t="n">
        <f aca="false">-Hipótesis!$F$36</f>
        <v>-2000</v>
      </c>
      <c r="Z42" s="109" t="n">
        <f aca="false">-Hipótesis!$F$36</f>
        <v>-2000</v>
      </c>
      <c r="AA42" s="109" t="n">
        <f aca="false">-Hipótesis!$F$36</f>
        <v>-2000</v>
      </c>
      <c r="AB42" s="109" t="n">
        <f aca="false">-Hipótesis!$F$36</f>
        <v>-2000</v>
      </c>
      <c r="AC42" s="109" t="n">
        <f aca="false">-Hipótesis!$F$36</f>
        <v>-2000</v>
      </c>
      <c r="AD42" s="109" t="n">
        <f aca="false">-Hipótesis!$F$36</f>
        <v>-2000</v>
      </c>
      <c r="AE42" s="109" t="n">
        <f aca="false">-Hipótesis!$F$36</f>
        <v>-2000</v>
      </c>
      <c r="AF42" s="109" t="n">
        <f aca="false">-Hipótesis!$F$36</f>
        <v>-2000</v>
      </c>
      <c r="AG42" s="109" t="n">
        <f aca="false">-Hipótesis!$F$36</f>
        <v>-2000</v>
      </c>
      <c r="AH42" s="109" t="n">
        <f aca="false">-Hipótesis!$F$36</f>
        <v>-2000</v>
      </c>
      <c r="AI42" s="109" t="n">
        <f aca="false">-Hipótesis!$F$36</f>
        <v>-2000</v>
      </c>
      <c r="AJ42" s="109" t="n">
        <f aca="false">-Hipótesis!$F$36</f>
        <v>-2000</v>
      </c>
      <c r="AK42" s="109" t="n">
        <f aca="false">-Hipótesis!$F$36</f>
        <v>-2000</v>
      </c>
      <c r="AL42" s="109" t="n">
        <f aca="false">-Hipótesis!$F$36</f>
        <v>-2000</v>
      </c>
      <c r="AM42" s="109" t="n">
        <f aca="false">-Hipótesis!$F$36</f>
        <v>-2000</v>
      </c>
      <c r="AN42" s="109" t="n">
        <f aca="false">-Hipótesis!$F$36</f>
        <v>-2000</v>
      </c>
      <c r="AO42" s="109" t="n">
        <f aca="false">-Hipótesis!$F$36</f>
        <v>-2000</v>
      </c>
      <c r="AP42" s="109" t="n">
        <f aca="false">-Hipótesis!$F$36</f>
        <v>-2000</v>
      </c>
      <c r="AQ42" s="109" t="n">
        <f aca="false">-Hipótesis!$F$36</f>
        <v>-2000</v>
      </c>
      <c r="AR42" s="109" t="n">
        <f aca="false">-Hipótesis!$F$36</f>
        <v>-2000</v>
      </c>
      <c r="AS42" s="109" t="n">
        <f aca="false">-Hipótesis!$F$36</f>
        <v>-2000</v>
      </c>
      <c r="AT42" s="109" t="n">
        <f aca="false">-Hipótesis!$F$36</f>
        <v>-2000</v>
      </c>
      <c r="AU42" s="109" t="n">
        <f aca="false">-Hipótesis!$F$36</f>
        <v>-2000</v>
      </c>
      <c r="AV42" s="109" t="n">
        <f aca="false">-Hipótesis!$F$36</f>
        <v>-2000</v>
      </c>
      <c r="AW42" s="109" t="n">
        <f aca="false">-Hipótesis!$F$36</f>
        <v>-2000</v>
      </c>
      <c r="AX42" s="109" t="n">
        <f aca="false">-Hipótesis!$F$36</f>
        <v>-2000</v>
      </c>
      <c r="AY42" s="109" t="n">
        <f aca="false">-Hipótesis!$F$36</f>
        <v>-2000</v>
      </c>
      <c r="AZ42" s="109" t="n">
        <f aca="false">-Hipótesis!$F$36</f>
        <v>-2000</v>
      </c>
      <c r="BA42" s="109" t="n">
        <f aca="false">-Hipótesis!$F$36</f>
        <v>-2000</v>
      </c>
      <c r="BB42" s="109" t="n">
        <f aca="false">-Hipótesis!$F$36</f>
        <v>-2000</v>
      </c>
      <c r="BC42" s="109" t="n">
        <f aca="false">-Hipótesis!$F$36</f>
        <v>-2000</v>
      </c>
      <c r="BD42" s="109" t="n">
        <f aca="false">-Hipótesis!$F$36</f>
        <v>-2000</v>
      </c>
      <c r="BE42" s="109" t="n">
        <f aca="false">-Hipótesis!$F$36</f>
        <v>-2000</v>
      </c>
      <c r="BF42" s="109" t="n">
        <f aca="false">-Hipótesis!$F$36</f>
        <v>-2000</v>
      </c>
      <c r="BG42" s="109" t="n">
        <f aca="false">-Hipótesis!$F$36</f>
        <v>-2000</v>
      </c>
      <c r="BH42" s="109" t="n">
        <f aca="false">-Hipótesis!$F$36</f>
        <v>-2000</v>
      </c>
      <c r="BI42" s="109" t="n">
        <f aca="false">-Hipótesis!$F$36</f>
        <v>-2000</v>
      </c>
      <c r="BJ42" s="109" t="n">
        <f aca="false">-Hipótesis!$F$36</f>
        <v>-2000</v>
      </c>
      <c r="BK42" s="109" t="n">
        <f aca="false">-Hipótesis!$F$36</f>
        <v>-2000</v>
      </c>
      <c r="BL42" s="109" t="n">
        <f aca="false">-Hipótesis!$F$36</f>
        <v>-2000</v>
      </c>
      <c r="BM42" s="109" t="n">
        <f aca="false">-Hipótesis!$F$36</f>
        <v>-2000</v>
      </c>
      <c r="BN42" s="109" t="n">
        <f aca="false">-Hipótesis!$F$36</f>
        <v>-2000</v>
      </c>
      <c r="BO42" s="109" t="n">
        <f aca="false">-Hipótesis!$F$36</f>
        <v>-2000</v>
      </c>
      <c r="BP42" s="109" t="n">
        <f aca="false">-Hipótesis!$F$36</f>
        <v>-2000</v>
      </c>
      <c r="BQ42" s="109" t="n">
        <f aca="false">-Hipótesis!$F$36</f>
        <v>-2000</v>
      </c>
      <c r="BR42" s="109" t="n">
        <f aca="false">-Hipótesis!$F$36</f>
        <v>-2000</v>
      </c>
      <c r="BS42" s="109" t="n">
        <f aca="false">-Hipótesis!$F$36</f>
        <v>-2000</v>
      </c>
      <c r="BT42" s="109" t="n">
        <f aca="false">-Hipótesis!$F$36</f>
        <v>-2000</v>
      </c>
      <c r="BU42" s="109" t="n">
        <f aca="false">-Hipótesis!$F$36</f>
        <v>-2000</v>
      </c>
      <c r="BV42" s="109" t="n">
        <f aca="false">-Hipótesis!$F$36</f>
        <v>-2000</v>
      </c>
      <c r="BW42" s="109" t="n">
        <f aca="false">-Hipótesis!$F$36</f>
        <v>-2000</v>
      </c>
      <c r="BX42" s="109" t="n">
        <f aca="false">-Hipótesis!$F$36</f>
        <v>-2000</v>
      </c>
      <c r="BY42" s="109" t="n">
        <f aca="false">-Hipótesis!$F$36</f>
        <v>-2000</v>
      </c>
      <c r="BZ42" s="109" t="n">
        <f aca="false">-Hipótesis!$F$36</f>
        <v>-2000</v>
      </c>
      <c r="CA42" s="109" t="n">
        <f aca="false">-Hipótesis!$F$36</f>
        <v>-2000</v>
      </c>
      <c r="CB42" s="109" t="n">
        <f aca="false">-Hipótesis!$F$36</f>
        <v>-2000</v>
      </c>
      <c r="CC42" s="109" t="n">
        <f aca="false">-Hipótesis!$F$36</f>
        <v>-2000</v>
      </c>
      <c r="CD42" s="109" t="n">
        <f aca="false">-Hipótesis!$F$36</f>
        <v>-2000</v>
      </c>
      <c r="CE42" s="109" t="n">
        <f aca="false">-Hipótesis!$F$36</f>
        <v>-2000</v>
      </c>
      <c r="CF42" s="109" t="n">
        <f aca="false">-Hipótesis!$F$36</f>
        <v>-2000</v>
      </c>
      <c r="CG42" s="109" t="n">
        <f aca="false">-Hipótesis!$F$36</f>
        <v>-2000</v>
      </c>
      <c r="CH42" s="109" t="n">
        <f aca="false">-Hipótesis!$F$36</f>
        <v>-2000</v>
      </c>
    </row>
    <row r="43" customFormat="false" ht="13.5" hidden="false" customHeight="true" outlineLevel="0" collapsed="false">
      <c r="A43" s="6" t="s">
        <v>548</v>
      </c>
      <c r="C43" s="109" t="n">
        <f aca="false">-(Hipótesis!$F$37+C24*Hipótesis!$F$38)</f>
        <v>-1022.12867083059</v>
      </c>
      <c r="D43" s="109" t="n">
        <f aca="false">-(Hipótesis!$F$37+D24*Hipótesis!$F$38)</f>
        <v>-1045.2844039654</v>
      </c>
      <c r="E43" s="109" t="n">
        <f aca="false">-(Hipótesis!$F$37+E24*Hipótesis!$F$38)</f>
        <v>-1085.48955641182</v>
      </c>
      <c r="F43" s="109" t="n">
        <f aca="false">-(Hipótesis!$F$37+F24*Hipótesis!$F$38)</f>
        <v>-1103.56603802764</v>
      </c>
      <c r="G43" s="109" t="n">
        <f aca="false">-(Hipótesis!$F$37+G24*Hipótesis!$F$38)</f>
        <v>-1120.61545733925</v>
      </c>
      <c r="H43" s="109" t="n">
        <f aca="false">-(Hipótesis!$F$37+H24*Hipótesis!$F$38)</f>
        <v>-1149.43329888662</v>
      </c>
      <c r="I43" s="109" t="n">
        <f aca="false">-(Hipótesis!$F$37+I24*Hipótesis!$F$38)</f>
        <v>-1202.45114043398</v>
      </c>
      <c r="J43" s="109" t="n">
        <f aca="false">-(Hipótesis!$F$37+J24*Hipótesis!$F$38)</f>
        <v>-1255.46898198135</v>
      </c>
      <c r="K43" s="109" t="n">
        <f aca="false">-(Hipótesis!$F$37+K24*Hipótesis!$F$38)</f>
        <v>-1308.48682352872</v>
      </c>
      <c r="L43" s="109" t="n">
        <f aca="false">-(Hipótesis!$F$37+L24*Hipótesis!$F$38)</f>
        <v>-1361.50466507609</v>
      </c>
      <c r="M43" s="109" t="n">
        <f aca="false">-(Hipótesis!$F$37+M24*Hipótesis!$F$38)</f>
        <v>-1397.47308731185</v>
      </c>
      <c r="N43" s="109" t="n">
        <f aca="false">-(Hipótesis!$F$37+N24*Hipótesis!$F$38)</f>
        <v>-1450.5592146178</v>
      </c>
      <c r="O43" s="109" t="n">
        <f aca="false">-(Hipótesis!$F$37+O24*Hipótesis!$F$38)</f>
        <v>-1503.64534192375</v>
      </c>
      <c r="P43" s="109" t="n">
        <f aca="false">-(Hipótesis!$F$37+P24*Hipótesis!$F$38)</f>
        <v>-1551.81012902202</v>
      </c>
      <c r="Q43" s="109" t="n">
        <f aca="false">-(Hipótesis!$F$37+Q24*Hipótesis!$F$38)</f>
        <v>-1599.97491612029</v>
      </c>
      <c r="R43" s="109" t="n">
        <f aca="false">-(Hipótesis!$F$37+R24*Hipótesis!$F$38)</f>
        <v>-1648.13970321857</v>
      </c>
      <c r="S43" s="109" t="n">
        <f aca="false">-(Hipótesis!$F$37+S24*Hipótesis!$F$38)</f>
        <v>-1696.30449031684</v>
      </c>
      <c r="T43" s="109" t="n">
        <f aca="false">-(Hipótesis!$F$37+T24*Hipótesis!$F$38)</f>
        <v>-1744.46927741511</v>
      </c>
      <c r="U43" s="109" t="n">
        <f aca="false">-(Hipótesis!$F$37+U24*Hipótesis!$F$38)</f>
        <v>-1792.63406451338</v>
      </c>
      <c r="V43" s="109" t="n">
        <f aca="false">-(Hipótesis!$F$37+V24*Hipótesis!$F$38)</f>
        <v>-1840.79885161165</v>
      </c>
      <c r="W43" s="109" t="n">
        <f aca="false">-(Hipótesis!$F$37+W24*Hipótesis!$F$38)</f>
        <v>-1888.96363870992</v>
      </c>
      <c r="X43" s="109" t="n">
        <f aca="false">-(Hipótesis!$F$37+X24*Hipótesis!$F$38)</f>
        <v>-1920.010720738</v>
      </c>
      <c r="Y43" s="109" t="n">
        <f aca="false">-(Hipótesis!$F$37+Y24*Hipótesis!$F$38)</f>
        <v>-1951.05780276608</v>
      </c>
      <c r="Z43" s="109" t="n">
        <f aca="false">-(Hipótesis!$F$37+Z24*Hipótesis!$F$38)</f>
        <v>-1975.25780276608</v>
      </c>
      <c r="AA43" s="109" t="n">
        <f aca="false">-(Hipótesis!$F$37+AA24*Hipótesis!$F$38)</f>
        <v>-1999.45780276608</v>
      </c>
      <c r="AB43" s="109" t="n">
        <f aca="false">-(Hipótesis!$F$37+AB24*Hipótesis!$F$38)</f>
        <v>-2023.65780276608</v>
      </c>
      <c r="AC43" s="109" t="n">
        <f aca="false">-(Hipótesis!$F$37+AC24*Hipótesis!$F$38)</f>
        <v>-2047.85780276608</v>
      </c>
      <c r="AD43" s="109" t="n">
        <f aca="false">-(Hipótesis!$F$37+AD24*Hipótesis!$F$38)</f>
        <v>-2072.05780276608</v>
      </c>
      <c r="AE43" s="109" t="n">
        <f aca="false">-(Hipótesis!$F$37+AE24*Hipótesis!$F$38)</f>
        <v>-2096.25780276608</v>
      </c>
      <c r="AF43" s="109" t="n">
        <f aca="false">-(Hipótesis!$F$37+AF24*Hipótesis!$F$38)</f>
        <v>-2120.45780276608</v>
      </c>
      <c r="AG43" s="109" t="n">
        <f aca="false">-(Hipótesis!$F$37+AG24*Hipótesis!$F$38)</f>
        <v>-2144.65780276608</v>
      </c>
      <c r="AH43" s="109" t="n">
        <f aca="false">-(Hipótesis!$F$37+AH24*Hipótesis!$F$38)</f>
        <v>-2168.85780276608</v>
      </c>
      <c r="AI43" s="109" t="n">
        <f aca="false">-(Hipótesis!$F$37+AI24*Hipótesis!$F$38)</f>
        <v>-2193.05780276608</v>
      </c>
      <c r="AJ43" s="109" t="n">
        <f aca="false">-(Hipótesis!$F$37+AJ24*Hipótesis!$F$38)</f>
        <v>-2217.25780276608</v>
      </c>
      <c r="AK43" s="109" t="n">
        <f aca="false">-(Hipótesis!$F$37+AK24*Hipótesis!$F$38)</f>
        <v>-2241.45780276608</v>
      </c>
      <c r="AL43" s="109" t="n">
        <f aca="false">-(Hipótesis!$F$37+AL24*Hipótesis!$F$38)</f>
        <v>-2265.65780276608</v>
      </c>
      <c r="AM43" s="109" t="n">
        <f aca="false">-(Hipótesis!$F$37+AM24*Hipótesis!$F$38)</f>
        <v>-2289.85780276608</v>
      </c>
      <c r="AN43" s="109" t="n">
        <f aca="false">-(Hipótesis!$F$37+AN24*Hipótesis!$F$38)</f>
        <v>-2314.05780276608</v>
      </c>
      <c r="AO43" s="109" t="n">
        <f aca="false">-(Hipótesis!$F$37+AO24*Hipótesis!$F$38)</f>
        <v>-2338.25780276608</v>
      </c>
      <c r="AP43" s="109" t="n">
        <f aca="false">-(Hipótesis!$F$37+AP24*Hipótesis!$F$38)</f>
        <v>-2362.45780276608</v>
      </c>
      <c r="AQ43" s="109" t="n">
        <f aca="false">-(Hipótesis!$F$37+AQ24*Hipótesis!$F$38)</f>
        <v>-2386.65780276608</v>
      </c>
      <c r="AR43" s="109" t="n">
        <f aca="false">-(Hipótesis!$F$37+AR24*Hipótesis!$F$38)</f>
        <v>-2410.85780276608</v>
      </c>
      <c r="AS43" s="109" t="n">
        <f aca="false">-(Hipótesis!$F$37+AS24*Hipótesis!$F$38)</f>
        <v>-2410.85780276608</v>
      </c>
      <c r="AT43" s="109" t="n">
        <f aca="false">-(Hipótesis!$F$37+AT24*Hipótesis!$F$38)</f>
        <v>-2410.85780276608</v>
      </c>
      <c r="AU43" s="109" t="n">
        <f aca="false">-(Hipótesis!$F$37+AU24*Hipótesis!$F$38)</f>
        <v>-2410.85780276608</v>
      </c>
      <c r="AV43" s="109" t="n">
        <f aca="false">-(Hipótesis!$F$37+AV24*Hipótesis!$F$38)</f>
        <v>-2410.85780276608</v>
      </c>
      <c r="AW43" s="109" t="n">
        <f aca="false">-(Hipótesis!$F$37+AW24*Hipótesis!$F$38)</f>
        <v>-2410.85780276608</v>
      </c>
      <c r="AX43" s="109" t="n">
        <f aca="false">-(Hipótesis!$F$37+AX24*Hipótesis!$F$38)</f>
        <v>-2410.85780276608</v>
      </c>
      <c r="AY43" s="109" t="n">
        <f aca="false">-(Hipótesis!$F$37+AY24*Hipótesis!$F$38)</f>
        <v>-2410.85780276608</v>
      </c>
      <c r="AZ43" s="109" t="n">
        <f aca="false">-(Hipótesis!$F$37+AZ24*Hipótesis!$F$38)</f>
        <v>-2410.85780276608</v>
      </c>
      <c r="BA43" s="109" t="n">
        <f aca="false">-(Hipótesis!$F$37+BA24*Hipótesis!$F$38)</f>
        <v>-2410.85780276608</v>
      </c>
      <c r="BB43" s="109" t="n">
        <f aca="false">-(Hipótesis!$F$37+BB24*Hipótesis!$F$38)</f>
        <v>-2410.85780276608</v>
      </c>
      <c r="BC43" s="109" t="n">
        <f aca="false">-(Hipótesis!$F$37+BC24*Hipótesis!$F$38)</f>
        <v>-2410.85780276608</v>
      </c>
      <c r="BD43" s="109" t="n">
        <f aca="false">-(Hipótesis!$F$37+BD24*Hipótesis!$F$38)</f>
        <v>-2410.85780276608</v>
      </c>
      <c r="BE43" s="109" t="n">
        <f aca="false">-(Hipótesis!$F$37+BE24*Hipótesis!$F$38)</f>
        <v>-2410.85780276608</v>
      </c>
      <c r="BF43" s="109" t="n">
        <f aca="false">-(Hipótesis!$F$37+BF24*Hipótesis!$F$38)</f>
        <v>-2410.85780276608</v>
      </c>
      <c r="BG43" s="109" t="n">
        <f aca="false">-(Hipótesis!$F$37+BG24*Hipótesis!$F$38)</f>
        <v>-2410.85780276608</v>
      </c>
      <c r="BH43" s="109" t="n">
        <f aca="false">-(Hipótesis!$F$37+BH24*Hipótesis!$F$38)</f>
        <v>-2410.85780276608</v>
      </c>
      <c r="BI43" s="109" t="n">
        <f aca="false">-(Hipótesis!$F$37+BI24*Hipótesis!$F$38)</f>
        <v>-2410.85780276608</v>
      </c>
      <c r="BJ43" s="109" t="n">
        <f aca="false">-(Hipótesis!$F$37+BJ24*Hipótesis!$F$38)</f>
        <v>-2410.85780276608</v>
      </c>
      <c r="BK43" s="109" t="n">
        <f aca="false">-(Hipótesis!$F$37+BK24*Hipótesis!$F$38)</f>
        <v>-2410.85780276608</v>
      </c>
      <c r="BL43" s="109" t="n">
        <f aca="false">-(Hipótesis!$F$37+BL24*Hipótesis!$F$38)</f>
        <v>-2410.85780276608</v>
      </c>
      <c r="BM43" s="109" t="n">
        <f aca="false">-(Hipótesis!$F$37+BM24*Hipótesis!$F$38)</f>
        <v>-2410.85780276608</v>
      </c>
      <c r="BN43" s="109" t="n">
        <f aca="false">-(Hipótesis!$F$37+BN24*Hipótesis!$F$38)</f>
        <v>-2410.85780276608</v>
      </c>
      <c r="BO43" s="109" t="n">
        <f aca="false">-(Hipótesis!$F$37+BO24*Hipótesis!$F$38)</f>
        <v>-2410.85780276608</v>
      </c>
      <c r="BP43" s="109" t="n">
        <f aca="false">-(Hipótesis!$F$37+BP24*Hipótesis!$F$38)</f>
        <v>-2410.85780276608</v>
      </c>
      <c r="BQ43" s="109" t="n">
        <f aca="false">-(Hipótesis!$F$37+BQ24*Hipótesis!$F$38)</f>
        <v>-2410.85780276608</v>
      </c>
      <c r="BR43" s="109" t="n">
        <f aca="false">-(Hipótesis!$F$37+BR24*Hipótesis!$F$38)</f>
        <v>-2410.85780276608</v>
      </c>
      <c r="BS43" s="109" t="n">
        <f aca="false">-(Hipótesis!$F$37+BS24*Hipótesis!$F$38)</f>
        <v>-2410.85780276608</v>
      </c>
      <c r="BT43" s="109" t="n">
        <f aca="false">-(Hipótesis!$F$37+BT24*Hipótesis!$F$38)</f>
        <v>-2410.85780276608</v>
      </c>
      <c r="BU43" s="109" t="n">
        <f aca="false">-(Hipótesis!$F$37+BU24*Hipótesis!$F$38)</f>
        <v>-2410.85780276608</v>
      </c>
      <c r="BV43" s="109" t="n">
        <f aca="false">-(Hipótesis!$F$37+BV24*Hipótesis!$F$38)</f>
        <v>-2410.85780276608</v>
      </c>
      <c r="BW43" s="109" t="n">
        <f aca="false">-(Hipótesis!$F$37+BW24*Hipótesis!$F$38)</f>
        <v>-2410.85780276608</v>
      </c>
      <c r="BX43" s="109" t="n">
        <f aca="false">-(Hipótesis!$F$37+BX24*Hipótesis!$F$38)</f>
        <v>-2410.85780276608</v>
      </c>
      <c r="BY43" s="109" t="n">
        <f aca="false">-(Hipótesis!$F$37+BY24*Hipótesis!$F$38)</f>
        <v>-2410.85780276608</v>
      </c>
      <c r="BZ43" s="109" t="n">
        <f aca="false">-(Hipótesis!$F$37+BZ24*Hipótesis!$F$38)</f>
        <v>-2410.85780276608</v>
      </c>
      <c r="CA43" s="109" t="n">
        <f aca="false">-(Hipótesis!$F$37+CA24*Hipótesis!$F$38)</f>
        <v>-2410.85780276608</v>
      </c>
      <c r="CB43" s="109" t="n">
        <f aca="false">-(Hipótesis!$F$37+CB24*Hipótesis!$F$38)</f>
        <v>-2410.85780276608</v>
      </c>
      <c r="CC43" s="109" t="n">
        <f aca="false">-(Hipótesis!$F$37+CC24*Hipótesis!$F$38)</f>
        <v>-2410.85780276608</v>
      </c>
      <c r="CD43" s="109" t="n">
        <f aca="false">-(Hipótesis!$F$37+CD24*Hipótesis!$F$38)</f>
        <v>-2410.85780276608</v>
      </c>
      <c r="CE43" s="109" t="n">
        <f aca="false">-(Hipótesis!$F$37+CE24*Hipótesis!$F$38)</f>
        <v>-2410.85780276608</v>
      </c>
      <c r="CF43" s="109" t="n">
        <f aca="false">-(Hipótesis!$F$37+CF24*Hipótesis!$F$38)</f>
        <v>-2410.85780276608</v>
      </c>
      <c r="CG43" s="109" t="n">
        <f aca="false">-(Hipótesis!$F$37+CG24*Hipótesis!$F$38)</f>
        <v>-2410.85780276608</v>
      </c>
      <c r="CH43" s="109" t="n">
        <f aca="false">-(Hipótesis!$F$37+CH24*Hipótesis!$F$38)</f>
        <v>-2410.85780276608</v>
      </c>
    </row>
    <row r="44" customFormat="false" ht="13.5" hidden="false" customHeight="true" outlineLevel="0" collapsed="false">
      <c r="A44" s="6" t="s">
        <v>549</v>
      </c>
      <c r="C44" s="109" t="n">
        <f aca="false">-IF(AND(1&gt;=Hipótesis!$D$48,Hipótesis!$B$48=1),IF(Hipótesis!$G$48=1,Hipótesis!$C$44,Hipótesis!$C$48*(1+Hipótesis!$D$45)^0)*(1+Hipótesis!$D$42),0)</f>
        <v>-2904</v>
      </c>
      <c r="D44" s="109" t="n">
        <f aca="false">-IF(AND(2&gt;=Hipótesis!$D$48,Hipótesis!$B$48=1),IF(Hipótesis!$G$48=1,Hipótesis!$C$44,Hipótesis!$C$48*(1+Hipótesis!$D$45)^0)*(1+Hipótesis!$D$42),0)</f>
        <v>-2904</v>
      </c>
      <c r="E44" s="109" t="n">
        <f aca="false">-IF(AND(3&gt;=Hipótesis!$D$48,Hipótesis!$B$48=1),IF(Hipótesis!$G$48=1,Hipótesis!$C$44,Hipótesis!$C$48*(1+Hipótesis!$D$45)^0)*(1+Hipótesis!$D$42),0)</f>
        <v>-2904</v>
      </c>
      <c r="F44" s="109" t="n">
        <f aca="false">-IF(AND(4&gt;=Hipótesis!$D$48,Hipótesis!$B$48=1),IF(Hipótesis!$G$48=1,Hipótesis!$C$44,Hipótesis!$C$48*(1+Hipótesis!$D$45)^0)*(1+Hipótesis!$D$42),0)</f>
        <v>-2904</v>
      </c>
      <c r="G44" s="109" t="n">
        <f aca="false">-IF(AND(5&gt;=Hipótesis!$D$48,Hipótesis!$B$48=1),IF(Hipótesis!$G$48=1,Hipótesis!$C$44,Hipótesis!$C$48*(1+Hipótesis!$D$45)^0)*(1+Hipótesis!$D$42),0)</f>
        <v>-2904</v>
      </c>
      <c r="H44" s="109" t="n">
        <f aca="false">-IF(AND(6&gt;=Hipótesis!$D$48,Hipótesis!$B$48=1),IF(Hipótesis!$G$48=1,Hipótesis!$C$44,Hipótesis!$C$48*(1+Hipótesis!$D$45)^0)*(1+Hipótesis!$D$42),0)</f>
        <v>-2904</v>
      </c>
      <c r="I44" s="109" t="n">
        <f aca="false">-IF(AND(7&gt;=Hipótesis!$D$48,Hipótesis!$B$48=1),IF(Hipótesis!$G$48=1,Hipótesis!$C$44,Hipótesis!$C$48*(1+Hipótesis!$D$45)^0)*(1+Hipótesis!$D$42),0)</f>
        <v>-2904</v>
      </c>
      <c r="J44" s="109" t="n">
        <f aca="false">-IF(AND(8&gt;=Hipótesis!$D$48,Hipótesis!$B$48=1),IF(Hipótesis!$G$48=1,Hipótesis!$C$44,Hipótesis!$C$48*(1+Hipótesis!$D$45)^0)*(1+Hipótesis!$D$42),0)</f>
        <v>-2904</v>
      </c>
      <c r="K44" s="109" t="n">
        <f aca="false">-IF(AND(9&gt;=Hipótesis!$D$48,Hipótesis!$B$48=1),IF(Hipótesis!$G$48=1,Hipótesis!$C$44,Hipótesis!$C$48*(1+Hipótesis!$D$45)^0)*(1+Hipótesis!$D$42),0)</f>
        <v>-2904</v>
      </c>
      <c r="L44" s="109" t="n">
        <f aca="false">-IF(AND(10&gt;=Hipótesis!$D$48,Hipótesis!$B$48=1),IF(Hipótesis!$G$48=1,Hipótesis!$C$44,Hipótesis!$C$48*(1+Hipótesis!$D$45)^0)*(1+Hipótesis!$D$42),0)</f>
        <v>-2904</v>
      </c>
      <c r="M44" s="109" t="n">
        <f aca="false">-IF(AND(11&gt;=Hipótesis!$D$48,Hipótesis!$B$48=1),IF(Hipótesis!$G$48=1,Hipótesis!$C$44,Hipótesis!$C$48*(1+Hipótesis!$D$45)^0)*(1+Hipótesis!$D$42),0)</f>
        <v>-2904</v>
      </c>
      <c r="N44" s="109" t="n">
        <f aca="false">-IF(AND(12&gt;=Hipótesis!$D$48,Hipótesis!$B$48=1),IF(Hipótesis!$G$48=1,Hipótesis!$C$44,Hipótesis!$C$48*(1+Hipótesis!$D$45)^0)*(1+Hipótesis!$D$42),0)</f>
        <v>-2904</v>
      </c>
      <c r="O44" s="109" t="n">
        <f aca="false">-IF(AND(13&gt;=Hipótesis!$D$48,Hipótesis!$B$48=1),IF(Hipótesis!$G$48=1,Hipótesis!$D$44,Hipótesis!$C$48*(1+Hipótesis!$D$45)^1)*(1+Hipótesis!$D$42),0)</f>
        <v>-4620</v>
      </c>
      <c r="P44" s="109" t="n">
        <f aca="false">-IF(AND(14&gt;=Hipótesis!$D$48,Hipótesis!$B$48=1),IF(Hipótesis!$G$48=1,Hipótesis!$D$44,Hipótesis!$C$48*(1+Hipótesis!$D$45)^1)*(1+Hipótesis!$D$42),0)</f>
        <v>-4620</v>
      </c>
      <c r="Q44" s="109" t="n">
        <f aca="false">-IF(AND(15&gt;=Hipótesis!$D$48,Hipótesis!$B$48=1),IF(Hipótesis!$G$48=1,Hipótesis!$D$44,Hipótesis!$C$48*(1+Hipótesis!$D$45)^1)*(1+Hipótesis!$D$42),0)</f>
        <v>-4620</v>
      </c>
      <c r="R44" s="109" t="n">
        <f aca="false">-IF(AND(16&gt;=Hipótesis!$D$48,Hipótesis!$B$48=1),IF(Hipótesis!$G$48=1,Hipótesis!$D$44,Hipótesis!$C$48*(1+Hipótesis!$D$45)^1)*(1+Hipótesis!$D$42),0)</f>
        <v>-4620</v>
      </c>
      <c r="S44" s="109" t="n">
        <f aca="false">-IF(AND(17&gt;=Hipótesis!$D$48,Hipótesis!$B$48=1),IF(Hipótesis!$G$48=1,Hipótesis!$D$44,Hipótesis!$C$48*(1+Hipótesis!$D$45)^1)*(1+Hipótesis!$D$42),0)</f>
        <v>-4620</v>
      </c>
      <c r="T44" s="109" t="n">
        <f aca="false">-IF(AND(18&gt;=Hipótesis!$D$48,Hipótesis!$B$48=1),IF(Hipótesis!$G$48=1,Hipótesis!$D$44,Hipótesis!$C$48*(1+Hipótesis!$D$45)^1)*(1+Hipótesis!$D$42),0)</f>
        <v>-4620</v>
      </c>
      <c r="U44" s="109" t="n">
        <f aca="false">-IF(AND(19&gt;=Hipótesis!$D$48,Hipótesis!$B$48=1),IF(Hipótesis!$G$48=1,Hipótesis!$D$44,Hipótesis!$C$48*(1+Hipótesis!$D$45)^1)*(1+Hipótesis!$D$42),0)</f>
        <v>-4620</v>
      </c>
      <c r="V44" s="109" t="n">
        <f aca="false">-IF(AND(20&gt;=Hipótesis!$D$48,Hipótesis!$B$48=1),IF(Hipótesis!$G$48=1,Hipótesis!$D$44,Hipótesis!$C$48*(1+Hipótesis!$D$45)^1)*(1+Hipótesis!$D$42),0)</f>
        <v>-4620</v>
      </c>
      <c r="W44" s="109" t="n">
        <f aca="false">-IF(AND(21&gt;=Hipótesis!$D$48,Hipótesis!$B$48=1),IF(Hipótesis!$G$48=1,Hipótesis!$D$44,Hipótesis!$C$48*(1+Hipótesis!$D$45)^1)*(1+Hipótesis!$D$42),0)</f>
        <v>-4620</v>
      </c>
      <c r="X44" s="109" t="n">
        <f aca="false">-IF(AND(22&gt;=Hipótesis!$D$48,Hipótesis!$B$48=1),IF(Hipótesis!$G$48=1,Hipótesis!$D$44,Hipótesis!$C$48*(1+Hipótesis!$D$45)^1)*(1+Hipótesis!$D$42),0)</f>
        <v>-4620</v>
      </c>
      <c r="Y44" s="109" t="n">
        <f aca="false">-IF(AND(23&gt;=Hipótesis!$D$48,Hipótesis!$B$48=1),IF(Hipótesis!$G$48=1,Hipótesis!$D$44,Hipótesis!$C$48*(1+Hipótesis!$D$45)^1)*(1+Hipótesis!$D$42),0)</f>
        <v>-4620</v>
      </c>
      <c r="Z44" s="109" t="n">
        <f aca="false">-IF(AND(24&gt;=Hipótesis!$D$48,Hipótesis!$B$48=1),IF(Hipótesis!$G$48=1,Hipótesis!$D$44,Hipótesis!$C$48*(1+Hipótesis!$D$45)^1)*(1+Hipótesis!$D$42),0)</f>
        <v>-4620</v>
      </c>
      <c r="AA44" s="109" t="n">
        <f aca="false">-IF(AND(25&gt;=Hipótesis!$D$48,Hipótesis!$B$48=1),IF(Hipótesis!$G$48=1,Hipótesis!$E$44,Hipótesis!$C$48*(1+Hipótesis!$D$45)^2)*(1+Hipótesis!$D$42),0)</f>
        <v>-5280</v>
      </c>
      <c r="AB44" s="109" t="n">
        <f aca="false">-IF(AND(26&gt;=Hipótesis!$D$48,Hipótesis!$B$48=1),IF(Hipótesis!$G$48=1,Hipótesis!$E$44,Hipótesis!$C$48*(1+Hipótesis!$D$45)^2)*(1+Hipótesis!$D$42),0)</f>
        <v>-5280</v>
      </c>
      <c r="AC44" s="109" t="n">
        <f aca="false">-IF(AND(27&gt;=Hipótesis!$D$48,Hipótesis!$B$48=1),IF(Hipótesis!$G$48=1,Hipótesis!$E$44,Hipótesis!$C$48*(1+Hipótesis!$D$45)^2)*(1+Hipótesis!$D$42),0)</f>
        <v>-5280</v>
      </c>
      <c r="AD44" s="109" t="n">
        <f aca="false">-IF(AND(28&gt;=Hipótesis!$D$48,Hipótesis!$B$48=1),IF(Hipótesis!$G$48=1,Hipótesis!$E$44,Hipótesis!$C$48*(1+Hipótesis!$D$45)^2)*(1+Hipótesis!$D$42),0)</f>
        <v>-5280</v>
      </c>
      <c r="AE44" s="109" t="n">
        <f aca="false">-IF(AND(29&gt;=Hipótesis!$D$48,Hipótesis!$B$48=1),IF(Hipótesis!$G$48=1,Hipótesis!$E$44,Hipótesis!$C$48*(1+Hipótesis!$D$45)^2)*(1+Hipótesis!$D$42),0)</f>
        <v>-5280</v>
      </c>
      <c r="AF44" s="109" t="n">
        <f aca="false">-IF(AND(30&gt;=Hipótesis!$D$48,Hipótesis!$B$48=1),IF(Hipótesis!$G$48=1,Hipótesis!$E$44,Hipótesis!$C$48*(1+Hipótesis!$D$45)^2)*(1+Hipótesis!$D$42),0)</f>
        <v>-5280</v>
      </c>
      <c r="AG44" s="109" t="n">
        <f aca="false">-IF(AND(31&gt;=Hipótesis!$D$48,Hipótesis!$B$48=1),IF(Hipótesis!$G$48=1,Hipótesis!$E$44,Hipótesis!$C$48*(1+Hipótesis!$D$45)^2)*(1+Hipótesis!$D$42),0)</f>
        <v>-5280</v>
      </c>
      <c r="AH44" s="109" t="n">
        <f aca="false">-IF(AND(32&gt;=Hipótesis!$D$48,Hipótesis!$B$48=1),IF(Hipótesis!$G$48=1,Hipótesis!$E$44,Hipótesis!$C$48*(1+Hipótesis!$D$45)^2)*(1+Hipótesis!$D$42),0)</f>
        <v>-5280</v>
      </c>
      <c r="AI44" s="109" t="n">
        <f aca="false">-IF(AND(33&gt;=Hipótesis!$D$48,Hipótesis!$B$48=1),IF(Hipótesis!$G$48=1,Hipótesis!$E$44,Hipótesis!$C$48*(1+Hipótesis!$D$45)^2)*(1+Hipótesis!$D$42),0)</f>
        <v>-5280</v>
      </c>
      <c r="AJ44" s="109" t="n">
        <f aca="false">-IF(AND(34&gt;=Hipótesis!$D$48,Hipótesis!$B$48=1),IF(Hipótesis!$G$48=1,Hipótesis!$E$44,Hipótesis!$C$48*(1+Hipótesis!$D$45)^2)*(1+Hipótesis!$D$42),0)</f>
        <v>-5280</v>
      </c>
      <c r="AK44" s="109" t="n">
        <f aca="false">-IF(AND(35&gt;=Hipótesis!$D$48,Hipótesis!$B$48=1),IF(Hipótesis!$G$48=1,Hipótesis!$E$44,Hipótesis!$C$48*(1+Hipótesis!$D$45)^2)*(1+Hipótesis!$D$42),0)</f>
        <v>-5280</v>
      </c>
      <c r="AL44" s="109" t="n">
        <f aca="false">-IF(AND(36&gt;=Hipótesis!$D$48,Hipótesis!$B$48=1),IF(Hipótesis!$G$48=1,Hipótesis!$E$44,Hipótesis!$C$48*(1+Hipótesis!$D$45)^2)*(1+Hipótesis!$D$42),0)</f>
        <v>-5280</v>
      </c>
      <c r="AM44" s="109" t="n">
        <f aca="false">-IF(AND(37&gt;=Hipótesis!$D$48,Hipótesis!$B$48=1),IF(Hipótesis!$G$48=1,Hipótesis!$F$44,Hipótesis!$C$48*(1+Hipótesis!$D$45)^3)*(1+Hipótesis!$D$42),0)</f>
        <v>-5940</v>
      </c>
      <c r="AN44" s="109" t="n">
        <f aca="false">-IF(AND(38&gt;=Hipótesis!$D$48,Hipótesis!$B$48=1),IF(Hipótesis!$G$48=1,Hipótesis!$F$44,Hipótesis!$C$48*(1+Hipótesis!$D$45)^3)*(1+Hipótesis!$D$42),0)</f>
        <v>-5940</v>
      </c>
      <c r="AO44" s="109" t="n">
        <f aca="false">-IF(AND(39&gt;=Hipótesis!$D$48,Hipótesis!$B$48=1),IF(Hipótesis!$G$48=1,Hipótesis!$F$44,Hipótesis!$C$48*(1+Hipótesis!$D$45)^3)*(1+Hipótesis!$D$42),0)</f>
        <v>-5940</v>
      </c>
      <c r="AP44" s="109" t="n">
        <f aca="false">-IF(AND(40&gt;=Hipótesis!$D$48,Hipótesis!$B$48=1),IF(Hipótesis!$G$48=1,Hipótesis!$F$44,Hipótesis!$C$48*(1+Hipótesis!$D$45)^3)*(1+Hipótesis!$D$42),0)</f>
        <v>-5940</v>
      </c>
      <c r="AQ44" s="109" t="n">
        <f aca="false">-IF(AND(41&gt;=Hipótesis!$D$48,Hipótesis!$B$48=1),IF(Hipótesis!$G$48=1,Hipótesis!$F$44,Hipótesis!$C$48*(1+Hipótesis!$D$45)^3)*(1+Hipótesis!$D$42),0)</f>
        <v>-5940</v>
      </c>
      <c r="AR44" s="109" t="n">
        <f aca="false">-IF(AND(42&gt;=Hipótesis!$D$48,Hipótesis!$B$48=1),IF(Hipótesis!$G$48=1,Hipótesis!$F$44,Hipótesis!$C$48*(1+Hipótesis!$D$45)^3)*(1+Hipótesis!$D$42),0)</f>
        <v>-5940</v>
      </c>
      <c r="AS44" s="109" t="n">
        <f aca="false">-IF(AND(43&gt;=Hipótesis!$D$48,Hipótesis!$B$48=1),IF(Hipótesis!$G$48=1,Hipótesis!$F$44,Hipótesis!$C$48*(1+Hipótesis!$D$45)^3)*(1+Hipótesis!$D$42),0)</f>
        <v>-5940</v>
      </c>
      <c r="AT44" s="109" t="n">
        <f aca="false">-IF(AND(44&gt;=Hipótesis!$D$48,Hipótesis!$B$48=1),IF(Hipótesis!$G$48=1,Hipótesis!$F$44,Hipótesis!$C$48*(1+Hipótesis!$D$45)^3)*(1+Hipótesis!$D$42),0)</f>
        <v>-5940</v>
      </c>
      <c r="AU44" s="109" t="n">
        <f aca="false">-IF(AND(45&gt;=Hipótesis!$D$48,Hipótesis!$B$48=1),IF(Hipótesis!$G$48=1,Hipótesis!$F$44,Hipótesis!$C$48*(1+Hipótesis!$D$45)^3)*(1+Hipótesis!$D$42),0)</f>
        <v>-5940</v>
      </c>
      <c r="AV44" s="109" t="n">
        <f aca="false">-IF(AND(46&gt;=Hipótesis!$D$48,Hipótesis!$B$48=1),IF(Hipótesis!$G$48=1,Hipótesis!$F$44,Hipótesis!$C$48*(1+Hipótesis!$D$45)^3)*(1+Hipótesis!$D$42),0)</f>
        <v>-5940</v>
      </c>
      <c r="AW44" s="109" t="n">
        <f aca="false">-IF(AND(47&gt;=Hipótesis!$D$48,Hipótesis!$B$48=1),IF(Hipótesis!$G$48=1,Hipótesis!$F$44,Hipótesis!$C$48*(1+Hipótesis!$D$45)^3)*(1+Hipótesis!$D$42),0)</f>
        <v>-5940</v>
      </c>
      <c r="AX44" s="109" t="n">
        <f aca="false">-IF(AND(48&gt;=Hipótesis!$D$48,Hipótesis!$B$48=1),IF(Hipótesis!$G$48=1,Hipótesis!$F$44,Hipótesis!$C$48*(1+Hipótesis!$D$45)^3)*(1+Hipótesis!$D$42),0)</f>
        <v>-5940</v>
      </c>
      <c r="AY44" s="109" t="n">
        <f aca="false">-IF(AND(49&gt;=Hipótesis!$D$48,Hipótesis!$B$48=1),IF(Hipótesis!$G$48=1,Hipótesis!$G$44,Hipótesis!$C$48*(1+Hipótesis!$D$45)^4)*(1+Hipótesis!$D$42),0)</f>
        <v>-6600</v>
      </c>
      <c r="AZ44" s="109" t="n">
        <f aca="false">-IF(AND(50&gt;=Hipótesis!$D$48,Hipótesis!$B$48=1),IF(Hipótesis!$G$48=1,Hipótesis!$G$44,Hipótesis!$C$48*(1+Hipótesis!$D$45)^4)*(1+Hipótesis!$D$42),0)</f>
        <v>-6600</v>
      </c>
      <c r="BA44" s="109" t="n">
        <f aca="false">-IF(AND(51&gt;=Hipótesis!$D$48,Hipótesis!$B$48=1),IF(Hipótesis!$G$48=1,Hipótesis!$G$44,Hipótesis!$C$48*(1+Hipótesis!$D$45)^4)*(1+Hipótesis!$D$42),0)</f>
        <v>-6600</v>
      </c>
      <c r="BB44" s="109" t="n">
        <f aca="false">-IF(AND(52&gt;=Hipótesis!$D$48,Hipótesis!$B$48=1),IF(Hipótesis!$G$48=1,Hipótesis!$G$44,Hipótesis!$C$48*(1+Hipótesis!$D$45)^4)*(1+Hipótesis!$D$42),0)</f>
        <v>-6600</v>
      </c>
      <c r="BC44" s="109" t="n">
        <f aca="false">-IF(AND(53&gt;=Hipótesis!$D$48,Hipótesis!$B$48=1),IF(Hipótesis!$G$48=1,Hipótesis!$G$44,Hipótesis!$C$48*(1+Hipótesis!$D$45)^4)*(1+Hipótesis!$D$42),0)</f>
        <v>-6600</v>
      </c>
      <c r="BD44" s="109" t="n">
        <f aca="false">-IF(AND(54&gt;=Hipótesis!$D$48,Hipótesis!$B$48=1),IF(Hipótesis!$G$48=1,Hipótesis!$G$44,Hipótesis!$C$48*(1+Hipótesis!$D$45)^4)*(1+Hipótesis!$D$42),0)</f>
        <v>-6600</v>
      </c>
      <c r="BE44" s="109" t="n">
        <f aca="false">-IF(AND(55&gt;=Hipótesis!$D$48,Hipótesis!$B$48=1),IF(Hipótesis!$G$48=1,Hipótesis!$G$44,Hipótesis!$C$48*(1+Hipótesis!$D$45)^4)*(1+Hipótesis!$D$42),0)</f>
        <v>-6600</v>
      </c>
      <c r="BF44" s="109" t="n">
        <f aca="false">-IF(AND(56&gt;=Hipótesis!$D$48,Hipótesis!$B$48=1),IF(Hipótesis!$G$48=1,Hipótesis!$G$44,Hipótesis!$C$48*(1+Hipótesis!$D$45)^4)*(1+Hipótesis!$D$42),0)</f>
        <v>-6600</v>
      </c>
      <c r="BG44" s="109" t="n">
        <f aca="false">-IF(AND(57&gt;=Hipótesis!$D$48,Hipótesis!$B$48=1),IF(Hipótesis!$G$48=1,Hipótesis!$G$44,Hipótesis!$C$48*(1+Hipótesis!$D$45)^4)*(1+Hipótesis!$D$42),0)</f>
        <v>-6600</v>
      </c>
      <c r="BH44" s="109" t="n">
        <f aca="false">-IF(AND(58&gt;=Hipótesis!$D$48,Hipótesis!$B$48=1),IF(Hipótesis!$G$48=1,Hipótesis!$G$44,Hipótesis!$C$48*(1+Hipótesis!$D$45)^4)*(1+Hipótesis!$D$42),0)</f>
        <v>-6600</v>
      </c>
      <c r="BI44" s="109" t="n">
        <f aca="false">-IF(AND(59&gt;=Hipótesis!$D$48,Hipótesis!$B$48=1),IF(Hipótesis!$G$48=1,Hipótesis!$G$44,Hipótesis!$C$48*(1+Hipótesis!$D$45)^4)*(1+Hipótesis!$D$42),0)</f>
        <v>-6600</v>
      </c>
      <c r="BJ44" s="109" t="n">
        <f aca="false">-IF(AND(60&gt;=Hipótesis!$D$48,Hipótesis!$B$48=1),IF(Hipótesis!$G$48=1,Hipótesis!$G$44,Hipótesis!$C$48*(1+Hipótesis!$D$45)^4)*(1+Hipótesis!$D$42),0)</f>
        <v>-6600</v>
      </c>
      <c r="BK44" s="109" t="n">
        <f aca="false">-IF(AND(61&gt;=Hipótesis!$D$48,Hipótesis!$B$48=1),IF(Hipótesis!$G$48=1,Hipótesis!$H$44,Hipótesis!$C$48*(1+Hipótesis!$D$45)^5)*(1+Hipótesis!$D$42),0)</f>
        <v>-7260</v>
      </c>
      <c r="BL44" s="109" t="n">
        <f aca="false">-IF(AND(62&gt;=Hipótesis!$D$48,Hipótesis!$B$48=1),IF(Hipótesis!$G$48=1,Hipótesis!$H$44,Hipótesis!$C$48*(1+Hipótesis!$D$45)^5)*(1+Hipótesis!$D$42),0)</f>
        <v>-7260</v>
      </c>
      <c r="BM44" s="109" t="n">
        <f aca="false">-IF(AND(63&gt;=Hipótesis!$D$48,Hipótesis!$B$48=1),IF(Hipótesis!$G$48=1,Hipótesis!$H$44,Hipótesis!$C$48*(1+Hipótesis!$D$45)^5)*(1+Hipótesis!$D$42),0)</f>
        <v>-7260</v>
      </c>
      <c r="BN44" s="109" t="n">
        <f aca="false">-IF(AND(64&gt;=Hipótesis!$D$48,Hipótesis!$B$48=1),IF(Hipótesis!$G$48=1,Hipótesis!$H$44,Hipótesis!$C$48*(1+Hipótesis!$D$45)^5)*(1+Hipótesis!$D$42),0)</f>
        <v>-7260</v>
      </c>
      <c r="BO44" s="109" t="n">
        <f aca="false">-IF(AND(65&gt;=Hipótesis!$D$48,Hipótesis!$B$48=1),IF(Hipótesis!$G$48=1,Hipótesis!$H$44,Hipótesis!$C$48*(1+Hipótesis!$D$45)^5)*(1+Hipótesis!$D$42),0)</f>
        <v>-7260</v>
      </c>
      <c r="BP44" s="109" t="n">
        <f aca="false">-IF(AND(66&gt;=Hipótesis!$D$48,Hipótesis!$B$48=1),IF(Hipótesis!$G$48=1,Hipótesis!$H$44,Hipótesis!$C$48*(1+Hipótesis!$D$45)^5)*(1+Hipótesis!$D$42),0)</f>
        <v>-7260</v>
      </c>
      <c r="BQ44" s="109" t="n">
        <f aca="false">-IF(AND(67&gt;=Hipótesis!$D$48,Hipótesis!$B$48=1),IF(Hipótesis!$G$48=1,Hipótesis!$H$44,Hipótesis!$C$48*(1+Hipótesis!$D$45)^5)*(1+Hipótesis!$D$42),0)</f>
        <v>-7260</v>
      </c>
      <c r="BR44" s="109" t="n">
        <f aca="false">-IF(AND(68&gt;=Hipótesis!$D$48,Hipótesis!$B$48=1),IF(Hipótesis!$G$48=1,Hipótesis!$H$44,Hipótesis!$C$48*(1+Hipótesis!$D$45)^5)*(1+Hipótesis!$D$42),0)</f>
        <v>-7260</v>
      </c>
      <c r="BS44" s="109" t="n">
        <f aca="false">-IF(AND(69&gt;=Hipótesis!$D$48,Hipótesis!$B$48=1),IF(Hipótesis!$G$48=1,Hipótesis!$H$44,Hipótesis!$C$48*(1+Hipótesis!$D$45)^5)*(1+Hipótesis!$D$42),0)</f>
        <v>-7260</v>
      </c>
      <c r="BT44" s="109" t="n">
        <f aca="false">-IF(AND(70&gt;=Hipótesis!$D$48,Hipótesis!$B$48=1),IF(Hipótesis!$G$48=1,Hipótesis!$H$44,Hipótesis!$C$48*(1+Hipótesis!$D$45)^5)*(1+Hipótesis!$D$42),0)</f>
        <v>-7260</v>
      </c>
      <c r="BU44" s="109" t="n">
        <f aca="false">-IF(AND(71&gt;=Hipótesis!$D$48,Hipótesis!$B$48=1),IF(Hipótesis!$G$48=1,Hipótesis!$H$44,Hipótesis!$C$48*(1+Hipótesis!$D$45)^5)*(1+Hipótesis!$D$42),0)</f>
        <v>-7260</v>
      </c>
      <c r="BV44" s="109" t="n">
        <f aca="false">-IF(AND(72&gt;=Hipótesis!$D$48,Hipótesis!$B$48=1),IF(Hipótesis!$G$48=1,Hipótesis!$H$44,Hipótesis!$C$48*(1+Hipótesis!$D$45)^5)*(1+Hipótesis!$D$42),0)</f>
        <v>-7260</v>
      </c>
      <c r="BW44" s="109" t="n">
        <f aca="false">-IF(AND(73&gt;=Hipótesis!$D$48,Hipótesis!$B$48=1),IF(Hipótesis!$G$48=1,Hipótesis!$I$44,Hipótesis!$C$48*(1+Hipótesis!$D$45)^6)*(1+Hipótesis!$D$42),0)</f>
        <v>-7920</v>
      </c>
      <c r="BX44" s="109" t="n">
        <f aca="false">-IF(AND(74&gt;=Hipótesis!$D$48,Hipótesis!$B$48=1),IF(Hipótesis!$G$48=1,Hipótesis!$I$44,Hipótesis!$C$48*(1+Hipótesis!$D$45)^6)*(1+Hipótesis!$D$42),0)</f>
        <v>-7920</v>
      </c>
      <c r="BY44" s="109" t="n">
        <f aca="false">-IF(AND(75&gt;=Hipótesis!$D$48,Hipótesis!$B$48=1),IF(Hipótesis!$G$48=1,Hipótesis!$I$44,Hipótesis!$C$48*(1+Hipótesis!$D$45)^6)*(1+Hipótesis!$D$42),0)</f>
        <v>-7920</v>
      </c>
      <c r="BZ44" s="109" t="n">
        <f aca="false">-IF(AND(76&gt;=Hipótesis!$D$48,Hipótesis!$B$48=1),IF(Hipótesis!$G$48=1,Hipótesis!$I$44,Hipótesis!$C$48*(1+Hipótesis!$D$45)^6)*(1+Hipótesis!$D$42),0)</f>
        <v>-7920</v>
      </c>
      <c r="CA44" s="109" t="n">
        <f aca="false">-IF(AND(77&gt;=Hipótesis!$D$48,Hipótesis!$B$48=1),IF(Hipótesis!$G$48=1,Hipótesis!$I$44,Hipótesis!$C$48*(1+Hipótesis!$D$45)^6)*(1+Hipótesis!$D$42),0)</f>
        <v>-7920</v>
      </c>
      <c r="CB44" s="109" t="n">
        <f aca="false">-IF(AND(78&gt;=Hipótesis!$D$48,Hipótesis!$B$48=1),IF(Hipótesis!$G$48=1,Hipótesis!$I$44,Hipótesis!$C$48*(1+Hipótesis!$D$45)^6)*(1+Hipótesis!$D$42),0)</f>
        <v>-7920</v>
      </c>
      <c r="CC44" s="109" t="n">
        <f aca="false">-IF(AND(79&gt;=Hipótesis!$D$48,Hipótesis!$B$48=1),IF(Hipótesis!$G$48=1,Hipótesis!$I$44,Hipótesis!$C$48*(1+Hipótesis!$D$45)^6)*(1+Hipótesis!$D$42),0)</f>
        <v>-7920</v>
      </c>
      <c r="CD44" s="109" t="n">
        <f aca="false">-IF(AND(80&gt;=Hipótesis!$D$48,Hipótesis!$B$48=1),IF(Hipótesis!$G$48=1,Hipótesis!$I$44,Hipótesis!$C$48*(1+Hipótesis!$D$45)^6)*(1+Hipótesis!$D$42),0)</f>
        <v>-7920</v>
      </c>
      <c r="CE44" s="109" t="n">
        <f aca="false">-IF(AND(81&gt;=Hipótesis!$D$48,Hipótesis!$B$48=1),IF(Hipótesis!$G$48=1,Hipótesis!$I$44,Hipótesis!$C$48*(1+Hipótesis!$D$45)^6)*(1+Hipótesis!$D$42),0)</f>
        <v>-7920</v>
      </c>
      <c r="CF44" s="109" t="n">
        <f aca="false">-IF(AND(82&gt;=Hipótesis!$D$48,Hipótesis!$B$48=1),IF(Hipótesis!$G$48=1,Hipótesis!$I$44,Hipótesis!$C$48*(1+Hipótesis!$D$45)^6)*(1+Hipótesis!$D$42),0)</f>
        <v>-7920</v>
      </c>
      <c r="CG44" s="109" t="n">
        <f aca="false">-IF(AND(83&gt;=Hipótesis!$D$48,Hipótesis!$B$48=1),IF(Hipótesis!$G$48=1,Hipótesis!$I$44,Hipótesis!$C$48*(1+Hipótesis!$D$45)^6)*(1+Hipótesis!$D$42),0)</f>
        <v>-7920</v>
      </c>
      <c r="CH44" s="109" t="n">
        <f aca="false">-IF(AND(84&gt;=Hipótesis!$D$48,Hipótesis!$B$48=1),IF(Hipótesis!$G$48=1,Hipótesis!$I$44,Hipótesis!$C$48*(1+Hipótesis!$D$45)^6)*(1+Hipótesis!$D$42),0)</f>
        <v>-7920</v>
      </c>
    </row>
    <row r="45" customFormat="false" ht="13.5" hidden="false" customHeight="true" outlineLevel="0" collapsed="false">
      <c r="A45" s="6" t="s">
        <v>550</v>
      </c>
      <c r="C45" s="109" t="n">
        <f aca="false">-IF(AND(1&gt;=Hipótesis!$D$49,Hipótesis!$B$49=1),IF(Hipótesis!$G$49=1,Hipótesis!$C$44,Hipótesis!$C$49*(1+Hipótesis!$D$45)^0)*(1+Hipótesis!$D$42),0)</f>
        <v>-2904</v>
      </c>
      <c r="D45" s="109" t="n">
        <f aca="false">-IF(AND(2&gt;=Hipótesis!$D$49,Hipótesis!$B$49=1),IF(Hipótesis!$G$49=1,Hipótesis!$C$44,Hipótesis!$C$49*(1+Hipótesis!$D$45)^0)*(1+Hipótesis!$D$42),0)</f>
        <v>-2904</v>
      </c>
      <c r="E45" s="109" t="n">
        <f aca="false">-IF(AND(3&gt;=Hipótesis!$D$49,Hipótesis!$B$49=1),IF(Hipótesis!$G$49=1,Hipótesis!$C$44,Hipótesis!$C$49*(1+Hipótesis!$D$45)^0)*(1+Hipótesis!$D$42),0)</f>
        <v>-2904</v>
      </c>
      <c r="F45" s="109" t="n">
        <f aca="false">-IF(AND(4&gt;=Hipótesis!$D$49,Hipótesis!$B$49=1),IF(Hipótesis!$G$49=1,Hipótesis!$C$44,Hipótesis!$C$49*(1+Hipótesis!$D$45)^0)*(1+Hipótesis!$D$42),0)</f>
        <v>-2904</v>
      </c>
      <c r="G45" s="109" t="n">
        <f aca="false">-IF(AND(5&gt;=Hipótesis!$D$49,Hipótesis!$B$49=1),IF(Hipótesis!$G$49=1,Hipótesis!$C$44,Hipótesis!$C$49*(1+Hipótesis!$D$45)^0)*(1+Hipótesis!$D$42),0)</f>
        <v>-2904</v>
      </c>
      <c r="H45" s="109" t="n">
        <f aca="false">-IF(AND(6&gt;=Hipótesis!$D$49,Hipótesis!$B$49=1),IF(Hipótesis!$G$49=1,Hipótesis!$C$44,Hipótesis!$C$49*(1+Hipótesis!$D$45)^0)*(1+Hipótesis!$D$42),0)</f>
        <v>-2904</v>
      </c>
      <c r="I45" s="109" t="n">
        <f aca="false">-IF(AND(7&gt;=Hipótesis!$D$49,Hipótesis!$B$49=1),IF(Hipótesis!$G$49=1,Hipótesis!$C$44,Hipótesis!$C$49*(1+Hipótesis!$D$45)^0)*(1+Hipótesis!$D$42),0)</f>
        <v>-2904</v>
      </c>
      <c r="J45" s="109" t="n">
        <f aca="false">-IF(AND(8&gt;=Hipótesis!$D$49,Hipótesis!$B$49=1),IF(Hipótesis!$G$49=1,Hipótesis!$C$44,Hipótesis!$C$49*(1+Hipótesis!$D$45)^0)*(1+Hipótesis!$D$42),0)</f>
        <v>-2904</v>
      </c>
      <c r="K45" s="109" t="n">
        <f aca="false">-IF(AND(9&gt;=Hipótesis!$D$49,Hipótesis!$B$49=1),IF(Hipótesis!$G$49=1,Hipótesis!$C$44,Hipótesis!$C$49*(1+Hipótesis!$D$45)^0)*(1+Hipótesis!$D$42),0)</f>
        <v>-2904</v>
      </c>
      <c r="L45" s="109" t="n">
        <f aca="false">-IF(AND(10&gt;=Hipótesis!$D$49,Hipótesis!$B$49=1),IF(Hipótesis!$G$49=1,Hipótesis!$C$44,Hipótesis!$C$49*(1+Hipótesis!$D$45)^0)*(1+Hipótesis!$D$42),0)</f>
        <v>-2904</v>
      </c>
      <c r="M45" s="109" t="n">
        <f aca="false">-IF(AND(11&gt;=Hipótesis!$D$49,Hipótesis!$B$49=1),IF(Hipótesis!$G$49=1,Hipótesis!$C$44,Hipótesis!$C$49*(1+Hipótesis!$D$45)^0)*(1+Hipótesis!$D$42),0)</f>
        <v>-2904</v>
      </c>
      <c r="N45" s="109" t="n">
        <f aca="false">-IF(AND(12&gt;=Hipótesis!$D$49,Hipótesis!$B$49=1),IF(Hipótesis!$G$49=1,Hipótesis!$C$44,Hipótesis!$C$49*(1+Hipótesis!$D$45)^0)*(1+Hipótesis!$D$42),0)</f>
        <v>-2904</v>
      </c>
      <c r="O45" s="109" t="n">
        <f aca="false">-IF(AND(13&gt;=Hipótesis!$D$49,Hipótesis!$B$49=1),IF(Hipótesis!$G$49=1,Hipótesis!$D$44,Hipótesis!$C$49*(1+Hipótesis!$D$45)^1)*(1+Hipótesis!$D$42),0)</f>
        <v>-4620</v>
      </c>
      <c r="P45" s="109" t="n">
        <f aca="false">-IF(AND(14&gt;=Hipótesis!$D$49,Hipótesis!$B$49=1),IF(Hipótesis!$G$49=1,Hipótesis!$D$44,Hipótesis!$C$49*(1+Hipótesis!$D$45)^1)*(1+Hipótesis!$D$42),0)</f>
        <v>-4620</v>
      </c>
      <c r="Q45" s="109" t="n">
        <f aca="false">-IF(AND(15&gt;=Hipótesis!$D$49,Hipótesis!$B$49=1),IF(Hipótesis!$G$49=1,Hipótesis!$D$44,Hipótesis!$C$49*(1+Hipótesis!$D$45)^1)*(1+Hipótesis!$D$42),0)</f>
        <v>-4620</v>
      </c>
      <c r="R45" s="109" t="n">
        <f aca="false">-IF(AND(16&gt;=Hipótesis!$D$49,Hipótesis!$B$49=1),IF(Hipótesis!$G$49=1,Hipótesis!$D$44,Hipótesis!$C$49*(1+Hipótesis!$D$45)^1)*(1+Hipótesis!$D$42),0)</f>
        <v>-4620</v>
      </c>
      <c r="S45" s="109" t="n">
        <f aca="false">-IF(AND(17&gt;=Hipótesis!$D$49,Hipótesis!$B$49=1),IF(Hipótesis!$G$49=1,Hipótesis!$D$44,Hipótesis!$C$49*(1+Hipótesis!$D$45)^1)*(1+Hipótesis!$D$42),0)</f>
        <v>-4620</v>
      </c>
      <c r="T45" s="109" t="n">
        <f aca="false">-IF(AND(18&gt;=Hipótesis!$D$49,Hipótesis!$B$49=1),IF(Hipótesis!$G$49=1,Hipótesis!$D$44,Hipótesis!$C$49*(1+Hipótesis!$D$45)^1)*(1+Hipótesis!$D$42),0)</f>
        <v>-4620</v>
      </c>
      <c r="U45" s="109" t="n">
        <f aca="false">-IF(AND(19&gt;=Hipótesis!$D$49,Hipótesis!$B$49=1),IF(Hipótesis!$G$49=1,Hipótesis!$D$44,Hipótesis!$C$49*(1+Hipótesis!$D$45)^1)*(1+Hipótesis!$D$42),0)</f>
        <v>-4620</v>
      </c>
      <c r="V45" s="109" t="n">
        <f aca="false">-IF(AND(20&gt;=Hipótesis!$D$49,Hipótesis!$B$49=1),IF(Hipótesis!$G$49=1,Hipótesis!$D$44,Hipótesis!$C$49*(1+Hipótesis!$D$45)^1)*(1+Hipótesis!$D$42),0)</f>
        <v>-4620</v>
      </c>
      <c r="W45" s="109" t="n">
        <f aca="false">-IF(AND(21&gt;=Hipótesis!$D$49,Hipótesis!$B$49=1),IF(Hipótesis!$G$49=1,Hipótesis!$D$44,Hipótesis!$C$49*(1+Hipótesis!$D$45)^1)*(1+Hipótesis!$D$42),0)</f>
        <v>-4620</v>
      </c>
      <c r="X45" s="109" t="n">
        <f aca="false">-IF(AND(22&gt;=Hipótesis!$D$49,Hipótesis!$B$49=1),IF(Hipótesis!$G$49=1,Hipótesis!$D$44,Hipótesis!$C$49*(1+Hipótesis!$D$45)^1)*(1+Hipótesis!$D$42),0)</f>
        <v>-4620</v>
      </c>
      <c r="Y45" s="109" t="n">
        <f aca="false">-IF(AND(23&gt;=Hipótesis!$D$49,Hipótesis!$B$49=1),IF(Hipótesis!$G$49=1,Hipótesis!$D$44,Hipótesis!$C$49*(1+Hipótesis!$D$45)^1)*(1+Hipótesis!$D$42),0)</f>
        <v>-4620</v>
      </c>
      <c r="Z45" s="109" t="n">
        <f aca="false">-IF(AND(24&gt;=Hipótesis!$D$49,Hipótesis!$B$49=1),IF(Hipótesis!$G$49=1,Hipótesis!$D$44,Hipótesis!$C$49*(1+Hipótesis!$D$45)^1)*(1+Hipótesis!$D$42),0)</f>
        <v>-4620</v>
      </c>
      <c r="AA45" s="109" t="n">
        <f aca="false">-IF(AND(25&gt;=Hipótesis!$D$49,Hipótesis!$B$49=1),IF(Hipótesis!$G$49=1,Hipótesis!$E$44,Hipótesis!$C$49*(1+Hipótesis!$D$45)^2)*(1+Hipótesis!$D$42),0)</f>
        <v>-5280</v>
      </c>
      <c r="AB45" s="109" t="n">
        <f aca="false">-IF(AND(26&gt;=Hipótesis!$D$49,Hipótesis!$B$49=1),IF(Hipótesis!$G$49=1,Hipótesis!$E$44,Hipótesis!$C$49*(1+Hipótesis!$D$45)^2)*(1+Hipótesis!$D$42),0)</f>
        <v>-5280</v>
      </c>
      <c r="AC45" s="109" t="n">
        <f aca="false">-IF(AND(27&gt;=Hipótesis!$D$49,Hipótesis!$B$49=1),IF(Hipótesis!$G$49=1,Hipótesis!$E$44,Hipótesis!$C$49*(1+Hipótesis!$D$45)^2)*(1+Hipótesis!$D$42),0)</f>
        <v>-5280</v>
      </c>
      <c r="AD45" s="109" t="n">
        <f aca="false">-IF(AND(28&gt;=Hipótesis!$D$49,Hipótesis!$B$49=1),IF(Hipótesis!$G$49=1,Hipótesis!$E$44,Hipótesis!$C$49*(1+Hipótesis!$D$45)^2)*(1+Hipótesis!$D$42),0)</f>
        <v>-5280</v>
      </c>
      <c r="AE45" s="109" t="n">
        <f aca="false">-IF(AND(29&gt;=Hipótesis!$D$49,Hipótesis!$B$49=1),IF(Hipótesis!$G$49=1,Hipótesis!$E$44,Hipótesis!$C$49*(1+Hipótesis!$D$45)^2)*(1+Hipótesis!$D$42),0)</f>
        <v>-5280</v>
      </c>
      <c r="AF45" s="109" t="n">
        <f aca="false">-IF(AND(30&gt;=Hipótesis!$D$49,Hipótesis!$B$49=1),IF(Hipótesis!$G$49=1,Hipótesis!$E$44,Hipótesis!$C$49*(1+Hipótesis!$D$45)^2)*(1+Hipótesis!$D$42),0)</f>
        <v>-5280</v>
      </c>
      <c r="AG45" s="109" t="n">
        <f aca="false">-IF(AND(31&gt;=Hipótesis!$D$49,Hipótesis!$B$49=1),IF(Hipótesis!$G$49=1,Hipótesis!$E$44,Hipótesis!$C$49*(1+Hipótesis!$D$45)^2)*(1+Hipótesis!$D$42),0)</f>
        <v>-5280</v>
      </c>
      <c r="AH45" s="109" t="n">
        <f aca="false">-IF(AND(32&gt;=Hipótesis!$D$49,Hipótesis!$B$49=1),IF(Hipótesis!$G$49=1,Hipótesis!$E$44,Hipótesis!$C$49*(1+Hipótesis!$D$45)^2)*(1+Hipótesis!$D$42),0)</f>
        <v>-5280</v>
      </c>
      <c r="AI45" s="109" t="n">
        <f aca="false">-IF(AND(33&gt;=Hipótesis!$D$49,Hipótesis!$B$49=1),IF(Hipótesis!$G$49=1,Hipótesis!$E$44,Hipótesis!$C$49*(1+Hipótesis!$D$45)^2)*(1+Hipótesis!$D$42),0)</f>
        <v>-5280</v>
      </c>
      <c r="AJ45" s="109" t="n">
        <f aca="false">-IF(AND(34&gt;=Hipótesis!$D$49,Hipótesis!$B$49=1),IF(Hipótesis!$G$49=1,Hipótesis!$E$44,Hipótesis!$C$49*(1+Hipótesis!$D$45)^2)*(1+Hipótesis!$D$42),0)</f>
        <v>-5280</v>
      </c>
      <c r="AK45" s="109" t="n">
        <f aca="false">-IF(AND(35&gt;=Hipótesis!$D$49,Hipótesis!$B$49=1),IF(Hipótesis!$G$49=1,Hipótesis!$E$44,Hipótesis!$C$49*(1+Hipótesis!$D$45)^2)*(1+Hipótesis!$D$42),0)</f>
        <v>-5280</v>
      </c>
      <c r="AL45" s="109" t="n">
        <f aca="false">-IF(AND(36&gt;=Hipótesis!$D$49,Hipótesis!$B$49=1),IF(Hipótesis!$G$49=1,Hipótesis!$E$44,Hipótesis!$C$49*(1+Hipótesis!$D$45)^2)*(1+Hipótesis!$D$42),0)</f>
        <v>-5280</v>
      </c>
      <c r="AM45" s="109" t="n">
        <f aca="false">-IF(AND(37&gt;=Hipótesis!$D$49,Hipótesis!$B$49=1),IF(Hipótesis!$G$49=1,Hipótesis!$F$44,Hipótesis!$C$49*(1+Hipótesis!$D$45)^3)*(1+Hipótesis!$D$42),0)</f>
        <v>-5940</v>
      </c>
      <c r="AN45" s="109" t="n">
        <f aca="false">-IF(AND(38&gt;=Hipótesis!$D$49,Hipótesis!$B$49=1),IF(Hipótesis!$G$49=1,Hipótesis!$F$44,Hipótesis!$C$49*(1+Hipótesis!$D$45)^3)*(1+Hipótesis!$D$42),0)</f>
        <v>-5940</v>
      </c>
      <c r="AO45" s="109" t="n">
        <f aca="false">-IF(AND(39&gt;=Hipótesis!$D$49,Hipótesis!$B$49=1),IF(Hipótesis!$G$49=1,Hipótesis!$F$44,Hipótesis!$C$49*(1+Hipótesis!$D$45)^3)*(1+Hipótesis!$D$42),0)</f>
        <v>-5940</v>
      </c>
      <c r="AP45" s="109" t="n">
        <f aca="false">-IF(AND(40&gt;=Hipótesis!$D$49,Hipótesis!$B$49=1),IF(Hipótesis!$G$49=1,Hipótesis!$F$44,Hipótesis!$C$49*(1+Hipótesis!$D$45)^3)*(1+Hipótesis!$D$42),0)</f>
        <v>-5940</v>
      </c>
      <c r="AQ45" s="109" t="n">
        <f aca="false">-IF(AND(41&gt;=Hipótesis!$D$49,Hipótesis!$B$49=1),IF(Hipótesis!$G$49=1,Hipótesis!$F$44,Hipótesis!$C$49*(1+Hipótesis!$D$45)^3)*(1+Hipótesis!$D$42),0)</f>
        <v>-5940</v>
      </c>
      <c r="AR45" s="109" t="n">
        <f aca="false">-IF(AND(42&gt;=Hipótesis!$D$49,Hipótesis!$B$49=1),IF(Hipótesis!$G$49=1,Hipótesis!$F$44,Hipótesis!$C$49*(1+Hipótesis!$D$45)^3)*(1+Hipótesis!$D$42),0)</f>
        <v>-5940</v>
      </c>
      <c r="AS45" s="109" t="n">
        <f aca="false">-IF(AND(43&gt;=Hipótesis!$D$49,Hipótesis!$B$49=1),IF(Hipótesis!$G$49=1,Hipótesis!$F$44,Hipótesis!$C$49*(1+Hipótesis!$D$45)^3)*(1+Hipótesis!$D$42),0)</f>
        <v>-5940</v>
      </c>
      <c r="AT45" s="109" t="n">
        <f aca="false">-IF(AND(44&gt;=Hipótesis!$D$49,Hipótesis!$B$49=1),IF(Hipótesis!$G$49=1,Hipótesis!$F$44,Hipótesis!$C$49*(1+Hipótesis!$D$45)^3)*(1+Hipótesis!$D$42),0)</f>
        <v>-5940</v>
      </c>
      <c r="AU45" s="109" t="n">
        <f aca="false">-IF(AND(45&gt;=Hipótesis!$D$49,Hipótesis!$B$49=1),IF(Hipótesis!$G$49=1,Hipótesis!$F$44,Hipótesis!$C$49*(1+Hipótesis!$D$45)^3)*(1+Hipótesis!$D$42),0)</f>
        <v>-5940</v>
      </c>
      <c r="AV45" s="109" t="n">
        <f aca="false">-IF(AND(46&gt;=Hipótesis!$D$49,Hipótesis!$B$49=1),IF(Hipótesis!$G$49=1,Hipótesis!$F$44,Hipótesis!$C$49*(1+Hipótesis!$D$45)^3)*(1+Hipótesis!$D$42),0)</f>
        <v>-5940</v>
      </c>
      <c r="AW45" s="109" t="n">
        <f aca="false">-IF(AND(47&gt;=Hipótesis!$D$49,Hipótesis!$B$49=1),IF(Hipótesis!$G$49=1,Hipótesis!$F$44,Hipótesis!$C$49*(1+Hipótesis!$D$45)^3)*(1+Hipótesis!$D$42),0)</f>
        <v>-5940</v>
      </c>
      <c r="AX45" s="109" t="n">
        <f aca="false">-IF(AND(48&gt;=Hipótesis!$D$49,Hipótesis!$B$49=1),IF(Hipótesis!$G$49=1,Hipótesis!$F$44,Hipótesis!$C$49*(1+Hipótesis!$D$45)^3)*(1+Hipótesis!$D$42),0)</f>
        <v>-5940</v>
      </c>
      <c r="AY45" s="109" t="n">
        <f aca="false">-IF(AND(49&gt;=Hipótesis!$D$49,Hipótesis!$B$49=1),IF(Hipótesis!$G$49=1,Hipótesis!$G$44,Hipótesis!$C$49*(1+Hipótesis!$D$45)^4)*(1+Hipótesis!$D$42),0)</f>
        <v>-6600</v>
      </c>
      <c r="AZ45" s="109" t="n">
        <f aca="false">-IF(AND(50&gt;=Hipótesis!$D$49,Hipótesis!$B$49=1),IF(Hipótesis!$G$49=1,Hipótesis!$G$44,Hipótesis!$C$49*(1+Hipótesis!$D$45)^4)*(1+Hipótesis!$D$42),0)</f>
        <v>-6600</v>
      </c>
      <c r="BA45" s="109" t="n">
        <f aca="false">-IF(AND(51&gt;=Hipótesis!$D$49,Hipótesis!$B$49=1),IF(Hipótesis!$G$49=1,Hipótesis!$G$44,Hipótesis!$C$49*(1+Hipótesis!$D$45)^4)*(1+Hipótesis!$D$42),0)</f>
        <v>-6600</v>
      </c>
      <c r="BB45" s="109" t="n">
        <f aca="false">-IF(AND(52&gt;=Hipótesis!$D$49,Hipótesis!$B$49=1),IF(Hipótesis!$G$49=1,Hipótesis!$G$44,Hipótesis!$C$49*(1+Hipótesis!$D$45)^4)*(1+Hipótesis!$D$42),0)</f>
        <v>-6600</v>
      </c>
      <c r="BC45" s="109" t="n">
        <f aca="false">-IF(AND(53&gt;=Hipótesis!$D$49,Hipótesis!$B$49=1),IF(Hipótesis!$G$49=1,Hipótesis!$G$44,Hipótesis!$C$49*(1+Hipótesis!$D$45)^4)*(1+Hipótesis!$D$42),0)</f>
        <v>-6600</v>
      </c>
      <c r="BD45" s="109" t="n">
        <f aca="false">-IF(AND(54&gt;=Hipótesis!$D$49,Hipótesis!$B$49=1),IF(Hipótesis!$G$49=1,Hipótesis!$G$44,Hipótesis!$C$49*(1+Hipótesis!$D$45)^4)*(1+Hipótesis!$D$42),0)</f>
        <v>-6600</v>
      </c>
      <c r="BE45" s="109" t="n">
        <f aca="false">-IF(AND(55&gt;=Hipótesis!$D$49,Hipótesis!$B$49=1),IF(Hipótesis!$G$49=1,Hipótesis!$G$44,Hipótesis!$C$49*(1+Hipótesis!$D$45)^4)*(1+Hipótesis!$D$42),0)</f>
        <v>-6600</v>
      </c>
      <c r="BF45" s="109" t="n">
        <f aca="false">-IF(AND(56&gt;=Hipótesis!$D$49,Hipótesis!$B$49=1),IF(Hipótesis!$G$49=1,Hipótesis!$G$44,Hipótesis!$C$49*(1+Hipótesis!$D$45)^4)*(1+Hipótesis!$D$42),0)</f>
        <v>-6600</v>
      </c>
      <c r="BG45" s="109" t="n">
        <f aca="false">-IF(AND(57&gt;=Hipótesis!$D$49,Hipótesis!$B$49=1),IF(Hipótesis!$G$49=1,Hipótesis!$G$44,Hipótesis!$C$49*(1+Hipótesis!$D$45)^4)*(1+Hipótesis!$D$42),0)</f>
        <v>-6600</v>
      </c>
      <c r="BH45" s="109" t="n">
        <f aca="false">-IF(AND(58&gt;=Hipótesis!$D$49,Hipótesis!$B$49=1),IF(Hipótesis!$G$49=1,Hipótesis!$G$44,Hipótesis!$C$49*(1+Hipótesis!$D$45)^4)*(1+Hipótesis!$D$42),0)</f>
        <v>-6600</v>
      </c>
      <c r="BI45" s="109" t="n">
        <f aca="false">-IF(AND(59&gt;=Hipótesis!$D$49,Hipótesis!$B$49=1),IF(Hipótesis!$G$49=1,Hipótesis!$G$44,Hipótesis!$C$49*(1+Hipótesis!$D$45)^4)*(1+Hipótesis!$D$42),0)</f>
        <v>-6600</v>
      </c>
      <c r="BJ45" s="109" t="n">
        <f aca="false">-IF(AND(60&gt;=Hipótesis!$D$49,Hipótesis!$B$49=1),IF(Hipótesis!$G$49=1,Hipótesis!$G$44,Hipótesis!$C$49*(1+Hipótesis!$D$45)^4)*(1+Hipótesis!$D$42),0)</f>
        <v>-6600</v>
      </c>
      <c r="BK45" s="109" t="n">
        <f aca="false">-IF(AND(61&gt;=Hipótesis!$D$49,Hipótesis!$B$49=1),IF(Hipótesis!$G$49=1,Hipótesis!$H$44,Hipótesis!$C$49*(1+Hipótesis!$D$45)^5)*(1+Hipótesis!$D$42),0)</f>
        <v>-7260</v>
      </c>
      <c r="BL45" s="109" t="n">
        <f aca="false">-IF(AND(62&gt;=Hipótesis!$D$49,Hipótesis!$B$49=1),IF(Hipótesis!$G$49=1,Hipótesis!$H$44,Hipótesis!$C$49*(1+Hipótesis!$D$45)^5)*(1+Hipótesis!$D$42),0)</f>
        <v>-7260</v>
      </c>
      <c r="BM45" s="109" t="n">
        <f aca="false">-IF(AND(63&gt;=Hipótesis!$D$49,Hipótesis!$B$49=1),IF(Hipótesis!$G$49=1,Hipótesis!$H$44,Hipótesis!$C$49*(1+Hipótesis!$D$45)^5)*(1+Hipótesis!$D$42),0)</f>
        <v>-7260</v>
      </c>
      <c r="BN45" s="109" t="n">
        <f aca="false">-IF(AND(64&gt;=Hipótesis!$D$49,Hipótesis!$B$49=1),IF(Hipótesis!$G$49=1,Hipótesis!$H$44,Hipótesis!$C$49*(1+Hipótesis!$D$45)^5)*(1+Hipótesis!$D$42),0)</f>
        <v>-7260</v>
      </c>
      <c r="BO45" s="109" t="n">
        <f aca="false">-IF(AND(65&gt;=Hipótesis!$D$49,Hipótesis!$B$49=1),IF(Hipótesis!$G$49=1,Hipótesis!$H$44,Hipótesis!$C$49*(1+Hipótesis!$D$45)^5)*(1+Hipótesis!$D$42),0)</f>
        <v>-7260</v>
      </c>
      <c r="BP45" s="109" t="n">
        <f aca="false">-IF(AND(66&gt;=Hipótesis!$D$49,Hipótesis!$B$49=1),IF(Hipótesis!$G$49=1,Hipótesis!$H$44,Hipótesis!$C$49*(1+Hipótesis!$D$45)^5)*(1+Hipótesis!$D$42),0)</f>
        <v>-7260</v>
      </c>
      <c r="BQ45" s="109" t="n">
        <f aca="false">-IF(AND(67&gt;=Hipótesis!$D$49,Hipótesis!$B$49=1),IF(Hipótesis!$G$49=1,Hipótesis!$H$44,Hipótesis!$C$49*(1+Hipótesis!$D$45)^5)*(1+Hipótesis!$D$42),0)</f>
        <v>-7260</v>
      </c>
      <c r="BR45" s="109" t="n">
        <f aca="false">-IF(AND(68&gt;=Hipótesis!$D$49,Hipótesis!$B$49=1),IF(Hipótesis!$G$49=1,Hipótesis!$H$44,Hipótesis!$C$49*(1+Hipótesis!$D$45)^5)*(1+Hipótesis!$D$42),0)</f>
        <v>-7260</v>
      </c>
      <c r="BS45" s="109" t="n">
        <f aca="false">-IF(AND(69&gt;=Hipótesis!$D$49,Hipótesis!$B$49=1),IF(Hipótesis!$G$49=1,Hipótesis!$H$44,Hipótesis!$C$49*(1+Hipótesis!$D$45)^5)*(1+Hipótesis!$D$42),0)</f>
        <v>-7260</v>
      </c>
      <c r="BT45" s="109" t="n">
        <f aca="false">-IF(AND(70&gt;=Hipótesis!$D$49,Hipótesis!$B$49=1),IF(Hipótesis!$G$49=1,Hipótesis!$H$44,Hipótesis!$C$49*(1+Hipótesis!$D$45)^5)*(1+Hipótesis!$D$42),0)</f>
        <v>-7260</v>
      </c>
      <c r="BU45" s="109" t="n">
        <f aca="false">-IF(AND(71&gt;=Hipótesis!$D$49,Hipótesis!$B$49=1),IF(Hipótesis!$G$49=1,Hipótesis!$H$44,Hipótesis!$C$49*(1+Hipótesis!$D$45)^5)*(1+Hipótesis!$D$42),0)</f>
        <v>-7260</v>
      </c>
      <c r="BV45" s="109" t="n">
        <f aca="false">-IF(AND(72&gt;=Hipótesis!$D$49,Hipótesis!$B$49=1),IF(Hipótesis!$G$49=1,Hipótesis!$H$44,Hipótesis!$C$49*(1+Hipótesis!$D$45)^5)*(1+Hipótesis!$D$42),0)</f>
        <v>-7260</v>
      </c>
      <c r="BW45" s="109" t="n">
        <f aca="false">-IF(AND(73&gt;=Hipótesis!$D$49,Hipótesis!$B$49=1),IF(Hipótesis!$G$49=1,Hipótesis!$I$44,Hipótesis!$C$49*(1+Hipótesis!$D$45)^6)*(1+Hipótesis!$D$42),0)</f>
        <v>-7920</v>
      </c>
      <c r="BX45" s="109" t="n">
        <f aca="false">-IF(AND(74&gt;=Hipótesis!$D$49,Hipótesis!$B$49=1),IF(Hipótesis!$G$49=1,Hipótesis!$I$44,Hipótesis!$C$49*(1+Hipótesis!$D$45)^6)*(1+Hipótesis!$D$42),0)</f>
        <v>-7920</v>
      </c>
      <c r="BY45" s="109" t="n">
        <f aca="false">-IF(AND(75&gt;=Hipótesis!$D$49,Hipótesis!$B$49=1),IF(Hipótesis!$G$49=1,Hipótesis!$I$44,Hipótesis!$C$49*(1+Hipótesis!$D$45)^6)*(1+Hipótesis!$D$42),0)</f>
        <v>-7920</v>
      </c>
      <c r="BZ45" s="109" t="n">
        <f aca="false">-IF(AND(76&gt;=Hipótesis!$D$49,Hipótesis!$B$49=1),IF(Hipótesis!$G$49=1,Hipótesis!$I$44,Hipótesis!$C$49*(1+Hipótesis!$D$45)^6)*(1+Hipótesis!$D$42),0)</f>
        <v>-7920</v>
      </c>
      <c r="CA45" s="109" t="n">
        <f aca="false">-IF(AND(77&gt;=Hipótesis!$D$49,Hipótesis!$B$49=1),IF(Hipótesis!$G$49=1,Hipótesis!$I$44,Hipótesis!$C$49*(1+Hipótesis!$D$45)^6)*(1+Hipótesis!$D$42),0)</f>
        <v>-7920</v>
      </c>
      <c r="CB45" s="109" t="n">
        <f aca="false">-IF(AND(78&gt;=Hipótesis!$D$49,Hipótesis!$B$49=1),IF(Hipótesis!$G$49=1,Hipótesis!$I$44,Hipótesis!$C$49*(1+Hipótesis!$D$45)^6)*(1+Hipótesis!$D$42),0)</f>
        <v>-7920</v>
      </c>
      <c r="CC45" s="109" t="n">
        <f aca="false">-IF(AND(79&gt;=Hipótesis!$D$49,Hipótesis!$B$49=1),IF(Hipótesis!$G$49=1,Hipótesis!$I$44,Hipótesis!$C$49*(1+Hipótesis!$D$45)^6)*(1+Hipótesis!$D$42),0)</f>
        <v>-7920</v>
      </c>
      <c r="CD45" s="109" t="n">
        <f aca="false">-IF(AND(80&gt;=Hipótesis!$D$49,Hipótesis!$B$49=1),IF(Hipótesis!$G$49=1,Hipótesis!$I$44,Hipótesis!$C$49*(1+Hipótesis!$D$45)^6)*(1+Hipótesis!$D$42),0)</f>
        <v>-7920</v>
      </c>
      <c r="CE45" s="109" t="n">
        <f aca="false">-IF(AND(81&gt;=Hipótesis!$D$49,Hipótesis!$B$49=1),IF(Hipótesis!$G$49=1,Hipótesis!$I$44,Hipótesis!$C$49*(1+Hipótesis!$D$45)^6)*(1+Hipótesis!$D$42),0)</f>
        <v>-7920</v>
      </c>
      <c r="CF45" s="109" t="n">
        <f aca="false">-IF(AND(82&gt;=Hipótesis!$D$49,Hipótesis!$B$49=1),IF(Hipótesis!$G$49=1,Hipótesis!$I$44,Hipótesis!$C$49*(1+Hipótesis!$D$45)^6)*(1+Hipótesis!$D$42),0)</f>
        <v>-7920</v>
      </c>
      <c r="CG45" s="109" t="n">
        <f aca="false">-IF(AND(83&gt;=Hipótesis!$D$49,Hipótesis!$B$49=1),IF(Hipótesis!$G$49=1,Hipótesis!$I$44,Hipótesis!$C$49*(1+Hipótesis!$D$45)^6)*(1+Hipótesis!$D$42),0)</f>
        <v>-7920</v>
      </c>
      <c r="CH45" s="109" t="n">
        <f aca="false">-IF(AND(84&gt;=Hipótesis!$D$49,Hipótesis!$B$49=1),IF(Hipótesis!$G$49=1,Hipótesis!$I$44,Hipótesis!$C$49*(1+Hipótesis!$D$45)^6)*(1+Hipótesis!$D$42),0)</f>
        <v>-7920</v>
      </c>
    </row>
    <row r="46" customFormat="false" ht="13.5" hidden="false" customHeight="true" outlineLevel="0" collapsed="false">
      <c r="A46" s="6" t="s">
        <v>551</v>
      </c>
      <c r="C46" s="109" t="n">
        <f aca="false">-IF(AND(1&gt;=Hipótesis!$D$50,Hipótesis!$B$50=1),IF(Hipótesis!$G$50=1,Hipótesis!$C$44,Hipótesis!$C$50*(1+Hipótesis!$D$45)^0)*(1+Hipótesis!$D$42),0)</f>
        <v>-2904</v>
      </c>
      <c r="D46" s="109" t="n">
        <f aca="false">-IF(AND(2&gt;=Hipótesis!$D$50,Hipótesis!$B$50=1),IF(Hipótesis!$G$50=1,Hipótesis!$C$44,Hipótesis!$C$50*(1+Hipótesis!$D$45)^0)*(1+Hipótesis!$D$42),0)</f>
        <v>-2904</v>
      </c>
      <c r="E46" s="109" t="n">
        <f aca="false">-IF(AND(3&gt;=Hipótesis!$D$50,Hipótesis!$B$50=1),IF(Hipótesis!$G$50=1,Hipótesis!$C$44,Hipótesis!$C$50*(1+Hipótesis!$D$45)^0)*(1+Hipótesis!$D$42),0)</f>
        <v>-2904</v>
      </c>
      <c r="F46" s="109" t="n">
        <f aca="false">-IF(AND(4&gt;=Hipótesis!$D$50,Hipótesis!$B$50=1),IF(Hipótesis!$G$50=1,Hipótesis!$C$44,Hipótesis!$C$50*(1+Hipótesis!$D$45)^0)*(1+Hipótesis!$D$42),0)</f>
        <v>-2904</v>
      </c>
      <c r="G46" s="109" t="n">
        <f aca="false">-IF(AND(5&gt;=Hipótesis!$D$50,Hipótesis!$B$50=1),IF(Hipótesis!$G$50=1,Hipótesis!$C$44,Hipótesis!$C$50*(1+Hipótesis!$D$45)^0)*(1+Hipótesis!$D$42),0)</f>
        <v>-2904</v>
      </c>
      <c r="H46" s="109" t="n">
        <f aca="false">-IF(AND(6&gt;=Hipótesis!$D$50,Hipótesis!$B$50=1),IF(Hipótesis!$G$50=1,Hipótesis!$C$44,Hipótesis!$C$50*(1+Hipótesis!$D$45)^0)*(1+Hipótesis!$D$42),0)</f>
        <v>-2904</v>
      </c>
      <c r="I46" s="109" t="n">
        <f aca="false">-IF(AND(7&gt;=Hipótesis!$D$50,Hipótesis!$B$50=1),IF(Hipótesis!$G$50=1,Hipótesis!$C$44,Hipótesis!$C$50*(1+Hipótesis!$D$45)^0)*(1+Hipótesis!$D$42),0)</f>
        <v>-2904</v>
      </c>
      <c r="J46" s="109" t="n">
        <f aca="false">-IF(AND(8&gt;=Hipótesis!$D$50,Hipótesis!$B$50=1),IF(Hipótesis!$G$50=1,Hipótesis!$C$44,Hipótesis!$C$50*(1+Hipótesis!$D$45)^0)*(1+Hipótesis!$D$42),0)</f>
        <v>-2904</v>
      </c>
      <c r="K46" s="109" t="n">
        <f aca="false">-IF(AND(9&gt;=Hipótesis!$D$50,Hipótesis!$B$50=1),IF(Hipótesis!$G$50=1,Hipótesis!$C$44,Hipótesis!$C$50*(1+Hipótesis!$D$45)^0)*(1+Hipótesis!$D$42),0)</f>
        <v>-2904</v>
      </c>
      <c r="L46" s="109" t="n">
        <f aca="false">-IF(AND(10&gt;=Hipótesis!$D$50,Hipótesis!$B$50=1),IF(Hipótesis!$G$50=1,Hipótesis!$C$44,Hipótesis!$C$50*(1+Hipótesis!$D$45)^0)*(1+Hipótesis!$D$42),0)</f>
        <v>-2904</v>
      </c>
      <c r="M46" s="109" t="n">
        <f aca="false">-IF(AND(11&gt;=Hipótesis!$D$50,Hipótesis!$B$50=1),IF(Hipótesis!$G$50=1,Hipótesis!$C$44,Hipótesis!$C$50*(1+Hipótesis!$D$45)^0)*(1+Hipótesis!$D$42),0)</f>
        <v>-2904</v>
      </c>
      <c r="N46" s="109" t="n">
        <f aca="false">-IF(AND(12&gt;=Hipótesis!$D$50,Hipótesis!$B$50=1),IF(Hipótesis!$G$50=1,Hipótesis!$C$44,Hipótesis!$C$50*(1+Hipótesis!$D$45)^0)*(1+Hipótesis!$D$42),0)</f>
        <v>-2904</v>
      </c>
      <c r="O46" s="109" t="n">
        <f aca="false">-IF(AND(13&gt;=Hipótesis!$D$50,Hipótesis!$B$50=1),IF(Hipótesis!$G$50=1,Hipótesis!$D$44,Hipótesis!$C$50*(1+Hipótesis!$D$45)^1)*(1+Hipótesis!$D$42),0)</f>
        <v>-4620</v>
      </c>
      <c r="P46" s="109" t="n">
        <f aca="false">-IF(AND(14&gt;=Hipótesis!$D$50,Hipótesis!$B$50=1),IF(Hipótesis!$G$50=1,Hipótesis!$D$44,Hipótesis!$C$50*(1+Hipótesis!$D$45)^1)*(1+Hipótesis!$D$42),0)</f>
        <v>-4620</v>
      </c>
      <c r="Q46" s="109" t="n">
        <f aca="false">-IF(AND(15&gt;=Hipótesis!$D$50,Hipótesis!$B$50=1),IF(Hipótesis!$G$50=1,Hipótesis!$D$44,Hipótesis!$C$50*(1+Hipótesis!$D$45)^1)*(1+Hipótesis!$D$42),0)</f>
        <v>-4620</v>
      </c>
      <c r="R46" s="109" t="n">
        <f aca="false">-IF(AND(16&gt;=Hipótesis!$D$50,Hipótesis!$B$50=1),IF(Hipótesis!$G$50=1,Hipótesis!$D$44,Hipótesis!$C$50*(1+Hipótesis!$D$45)^1)*(1+Hipótesis!$D$42),0)</f>
        <v>-4620</v>
      </c>
      <c r="S46" s="109" t="n">
        <f aca="false">-IF(AND(17&gt;=Hipótesis!$D$50,Hipótesis!$B$50=1),IF(Hipótesis!$G$50=1,Hipótesis!$D$44,Hipótesis!$C$50*(1+Hipótesis!$D$45)^1)*(1+Hipótesis!$D$42),0)</f>
        <v>-4620</v>
      </c>
      <c r="T46" s="109" t="n">
        <f aca="false">-IF(AND(18&gt;=Hipótesis!$D$50,Hipótesis!$B$50=1),IF(Hipótesis!$G$50=1,Hipótesis!$D$44,Hipótesis!$C$50*(1+Hipótesis!$D$45)^1)*(1+Hipótesis!$D$42),0)</f>
        <v>-4620</v>
      </c>
      <c r="U46" s="109" t="n">
        <f aca="false">-IF(AND(19&gt;=Hipótesis!$D$50,Hipótesis!$B$50=1),IF(Hipótesis!$G$50=1,Hipótesis!$D$44,Hipótesis!$C$50*(1+Hipótesis!$D$45)^1)*(1+Hipótesis!$D$42),0)</f>
        <v>-4620</v>
      </c>
      <c r="V46" s="109" t="n">
        <f aca="false">-IF(AND(20&gt;=Hipótesis!$D$50,Hipótesis!$B$50=1),IF(Hipótesis!$G$50=1,Hipótesis!$D$44,Hipótesis!$C$50*(1+Hipótesis!$D$45)^1)*(1+Hipótesis!$D$42),0)</f>
        <v>-4620</v>
      </c>
      <c r="W46" s="109" t="n">
        <f aca="false">-IF(AND(21&gt;=Hipótesis!$D$50,Hipótesis!$B$50=1),IF(Hipótesis!$G$50=1,Hipótesis!$D$44,Hipótesis!$C$50*(1+Hipótesis!$D$45)^1)*(1+Hipótesis!$D$42),0)</f>
        <v>-4620</v>
      </c>
      <c r="X46" s="109" t="n">
        <f aca="false">-IF(AND(22&gt;=Hipótesis!$D$50,Hipótesis!$B$50=1),IF(Hipótesis!$G$50=1,Hipótesis!$D$44,Hipótesis!$C$50*(1+Hipótesis!$D$45)^1)*(1+Hipótesis!$D$42),0)</f>
        <v>-4620</v>
      </c>
      <c r="Y46" s="109" t="n">
        <f aca="false">-IF(AND(23&gt;=Hipótesis!$D$50,Hipótesis!$B$50=1),IF(Hipótesis!$G$50=1,Hipótesis!$D$44,Hipótesis!$C$50*(1+Hipótesis!$D$45)^1)*(1+Hipótesis!$D$42),0)</f>
        <v>-4620</v>
      </c>
      <c r="Z46" s="109" t="n">
        <f aca="false">-IF(AND(24&gt;=Hipótesis!$D$50,Hipótesis!$B$50=1),IF(Hipótesis!$G$50=1,Hipótesis!$D$44,Hipótesis!$C$50*(1+Hipótesis!$D$45)^1)*(1+Hipótesis!$D$42),0)</f>
        <v>-4620</v>
      </c>
      <c r="AA46" s="109" t="n">
        <f aca="false">-IF(AND(25&gt;=Hipótesis!$D$50,Hipótesis!$B$50=1),IF(Hipótesis!$G$50=1,Hipótesis!$E$44,Hipótesis!$C$50*(1+Hipótesis!$D$45)^2)*(1+Hipótesis!$D$42),0)</f>
        <v>-5280</v>
      </c>
      <c r="AB46" s="109" t="n">
        <f aca="false">-IF(AND(26&gt;=Hipótesis!$D$50,Hipótesis!$B$50=1),IF(Hipótesis!$G$50=1,Hipótesis!$E$44,Hipótesis!$C$50*(1+Hipótesis!$D$45)^2)*(1+Hipótesis!$D$42),0)</f>
        <v>-5280</v>
      </c>
      <c r="AC46" s="109" t="n">
        <f aca="false">-IF(AND(27&gt;=Hipótesis!$D$50,Hipótesis!$B$50=1),IF(Hipótesis!$G$50=1,Hipótesis!$E$44,Hipótesis!$C$50*(1+Hipótesis!$D$45)^2)*(1+Hipótesis!$D$42),0)</f>
        <v>-5280</v>
      </c>
      <c r="AD46" s="109" t="n">
        <f aca="false">-IF(AND(28&gt;=Hipótesis!$D$50,Hipótesis!$B$50=1),IF(Hipótesis!$G$50=1,Hipótesis!$E$44,Hipótesis!$C$50*(1+Hipótesis!$D$45)^2)*(1+Hipótesis!$D$42),0)</f>
        <v>-5280</v>
      </c>
      <c r="AE46" s="109" t="n">
        <f aca="false">-IF(AND(29&gt;=Hipótesis!$D$50,Hipótesis!$B$50=1),IF(Hipótesis!$G$50=1,Hipótesis!$E$44,Hipótesis!$C$50*(1+Hipótesis!$D$45)^2)*(1+Hipótesis!$D$42),0)</f>
        <v>-5280</v>
      </c>
      <c r="AF46" s="109" t="n">
        <f aca="false">-IF(AND(30&gt;=Hipótesis!$D$50,Hipótesis!$B$50=1),IF(Hipótesis!$G$50=1,Hipótesis!$E$44,Hipótesis!$C$50*(1+Hipótesis!$D$45)^2)*(1+Hipótesis!$D$42),0)</f>
        <v>-5280</v>
      </c>
      <c r="AG46" s="109" t="n">
        <f aca="false">-IF(AND(31&gt;=Hipótesis!$D$50,Hipótesis!$B$50=1),IF(Hipótesis!$G$50=1,Hipótesis!$E$44,Hipótesis!$C$50*(1+Hipótesis!$D$45)^2)*(1+Hipótesis!$D$42),0)</f>
        <v>-5280</v>
      </c>
      <c r="AH46" s="109" t="n">
        <f aca="false">-IF(AND(32&gt;=Hipótesis!$D$50,Hipótesis!$B$50=1),IF(Hipótesis!$G$50=1,Hipótesis!$E$44,Hipótesis!$C$50*(1+Hipótesis!$D$45)^2)*(1+Hipótesis!$D$42),0)</f>
        <v>-5280</v>
      </c>
      <c r="AI46" s="109" t="n">
        <f aca="false">-IF(AND(33&gt;=Hipótesis!$D$50,Hipótesis!$B$50=1),IF(Hipótesis!$G$50=1,Hipótesis!$E$44,Hipótesis!$C$50*(1+Hipótesis!$D$45)^2)*(1+Hipótesis!$D$42),0)</f>
        <v>-5280</v>
      </c>
      <c r="AJ46" s="109" t="n">
        <f aca="false">-IF(AND(34&gt;=Hipótesis!$D$50,Hipótesis!$B$50=1),IF(Hipótesis!$G$50=1,Hipótesis!$E$44,Hipótesis!$C$50*(1+Hipótesis!$D$45)^2)*(1+Hipótesis!$D$42),0)</f>
        <v>-5280</v>
      </c>
      <c r="AK46" s="109" t="n">
        <f aca="false">-IF(AND(35&gt;=Hipótesis!$D$50,Hipótesis!$B$50=1),IF(Hipótesis!$G$50=1,Hipótesis!$E$44,Hipótesis!$C$50*(1+Hipótesis!$D$45)^2)*(1+Hipótesis!$D$42),0)</f>
        <v>-5280</v>
      </c>
      <c r="AL46" s="109" t="n">
        <f aca="false">-IF(AND(36&gt;=Hipótesis!$D$50,Hipótesis!$B$50=1),IF(Hipótesis!$G$50=1,Hipótesis!$E$44,Hipótesis!$C$50*(1+Hipótesis!$D$45)^2)*(1+Hipótesis!$D$42),0)</f>
        <v>-5280</v>
      </c>
      <c r="AM46" s="109" t="n">
        <f aca="false">-IF(AND(37&gt;=Hipótesis!$D$50,Hipótesis!$B$50=1),IF(Hipótesis!$G$50=1,Hipótesis!$F$44,Hipótesis!$C$50*(1+Hipótesis!$D$45)^3)*(1+Hipótesis!$D$42),0)</f>
        <v>-5940</v>
      </c>
      <c r="AN46" s="109" t="n">
        <f aca="false">-IF(AND(38&gt;=Hipótesis!$D$50,Hipótesis!$B$50=1),IF(Hipótesis!$G$50=1,Hipótesis!$F$44,Hipótesis!$C$50*(1+Hipótesis!$D$45)^3)*(1+Hipótesis!$D$42),0)</f>
        <v>-5940</v>
      </c>
      <c r="AO46" s="109" t="n">
        <f aca="false">-IF(AND(39&gt;=Hipótesis!$D$50,Hipótesis!$B$50=1),IF(Hipótesis!$G$50=1,Hipótesis!$F$44,Hipótesis!$C$50*(1+Hipótesis!$D$45)^3)*(1+Hipótesis!$D$42),0)</f>
        <v>-5940</v>
      </c>
      <c r="AP46" s="109" t="n">
        <f aca="false">-IF(AND(40&gt;=Hipótesis!$D$50,Hipótesis!$B$50=1),IF(Hipótesis!$G$50=1,Hipótesis!$F$44,Hipótesis!$C$50*(1+Hipótesis!$D$45)^3)*(1+Hipótesis!$D$42),0)</f>
        <v>-5940</v>
      </c>
      <c r="AQ46" s="109" t="n">
        <f aca="false">-IF(AND(41&gt;=Hipótesis!$D$50,Hipótesis!$B$50=1),IF(Hipótesis!$G$50=1,Hipótesis!$F$44,Hipótesis!$C$50*(1+Hipótesis!$D$45)^3)*(1+Hipótesis!$D$42),0)</f>
        <v>-5940</v>
      </c>
      <c r="AR46" s="109" t="n">
        <f aca="false">-IF(AND(42&gt;=Hipótesis!$D$50,Hipótesis!$B$50=1),IF(Hipótesis!$G$50=1,Hipótesis!$F$44,Hipótesis!$C$50*(1+Hipótesis!$D$45)^3)*(1+Hipótesis!$D$42),0)</f>
        <v>-5940</v>
      </c>
      <c r="AS46" s="109" t="n">
        <f aca="false">-IF(AND(43&gt;=Hipótesis!$D$50,Hipótesis!$B$50=1),IF(Hipótesis!$G$50=1,Hipótesis!$F$44,Hipótesis!$C$50*(1+Hipótesis!$D$45)^3)*(1+Hipótesis!$D$42),0)</f>
        <v>-5940</v>
      </c>
      <c r="AT46" s="109" t="n">
        <f aca="false">-IF(AND(44&gt;=Hipótesis!$D$50,Hipótesis!$B$50=1),IF(Hipótesis!$G$50=1,Hipótesis!$F$44,Hipótesis!$C$50*(1+Hipótesis!$D$45)^3)*(1+Hipótesis!$D$42),0)</f>
        <v>-5940</v>
      </c>
      <c r="AU46" s="109" t="n">
        <f aca="false">-IF(AND(45&gt;=Hipótesis!$D$50,Hipótesis!$B$50=1),IF(Hipótesis!$G$50=1,Hipótesis!$F$44,Hipótesis!$C$50*(1+Hipótesis!$D$45)^3)*(1+Hipótesis!$D$42),0)</f>
        <v>-5940</v>
      </c>
      <c r="AV46" s="109" t="n">
        <f aca="false">-IF(AND(46&gt;=Hipótesis!$D$50,Hipótesis!$B$50=1),IF(Hipótesis!$G$50=1,Hipótesis!$F$44,Hipótesis!$C$50*(1+Hipótesis!$D$45)^3)*(1+Hipótesis!$D$42),0)</f>
        <v>-5940</v>
      </c>
      <c r="AW46" s="109" t="n">
        <f aca="false">-IF(AND(47&gt;=Hipótesis!$D$50,Hipótesis!$B$50=1),IF(Hipótesis!$G$50=1,Hipótesis!$F$44,Hipótesis!$C$50*(1+Hipótesis!$D$45)^3)*(1+Hipótesis!$D$42),0)</f>
        <v>-5940</v>
      </c>
      <c r="AX46" s="109" t="n">
        <f aca="false">-IF(AND(48&gt;=Hipótesis!$D$50,Hipótesis!$B$50=1),IF(Hipótesis!$G$50=1,Hipótesis!$F$44,Hipótesis!$C$50*(1+Hipótesis!$D$45)^3)*(1+Hipótesis!$D$42),0)</f>
        <v>-5940</v>
      </c>
      <c r="AY46" s="109" t="n">
        <f aca="false">-IF(AND(49&gt;=Hipótesis!$D$50,Hipótesis!$B$50=1),IF(Hipótesis!$G$50=1,Hipótesis!$G$44,Hipótesis!$C$50*(1+Hipótesis!$D$45)^4)*(1+Hipótesis!$D$42),0)</f>
        <v>-6600</v>
      </c>
      <c r="AZ46" s="109" t="n">
        <f aca="false">-IF(AND(50&gt;=Hipótesis!$D$50,Hipótesis!$B$50=1),IF(Hipótesis!$G$50=1,Hipótesis!$G$44,Hipótesis!$C$50*(1+Hipótesis!$D$45)^4)*(1+Hipótesis!$D$42),0)</f>
        <v>-6600</v>
      </c>
      <c r="BA46" s="109" t="n">
        <f aca="false">-IF(AND(51&gt;=Hipótesis!$D$50,Hipótesis!$B$50=1),IF(Hipótesis!$G$50=1,Hipótesis!$G$44,Hipótesis!$C$50*(1+Hipótesis!$D$45)^4)*(1+Hipótesis!$D$42),0)</f>
        <v>-6600</v>
      </c>
      <c r="BB46" s="109" t="n">
        <f aca="false">-IF(AND(52&gt;=Hipótesis!$D$50,Hipótesis!$B$50=1),IF(Hipótesis!$G$50=1,Hipótesis!$G$44,Hipótesis!$C$50*(1+Hipótesis!$D$45)^4)*(1+Hipótesis!$D$42),0)</f>
        <v>-6600</v>
      </c>
      <c r="BC46" s="109" t="n">
        <f aca="false">-IF(AND(53&gt;=Hipótesis!$D$50,Hipótesis!$B$50=1),IF(Hipótesis!$G$50=1,Hipótesis!$G$44,Hipótesis!$C$50*(1+Hipótesis!$D$45)^4)*(1+Hipótesis!$D$42),0)</f>
        <v>-6600</v>
      </c>
      <c r="BD46" s="109" t="n">
        <f aca="false">-IF(AND(54&gt;=Hipótesis!$D$50,Hipótesis!$B$50=1),IF(Hipótesis!$G$50=1,Hipótesis!$G$44,Hipótesis!$C$50*(1+Hipótesis!$D$45)^4)*(1+Hipótesis!$D$42),0)</f>
        <v>-6600</v>
      </c>
      <c r="BE46" s="109" t="n">
        <f aca="false">-IF(AND(55&gt;=Hipótesis!$D$50,Hipótesis!$B$50=1),IF(Hipótesis!$G$50=1,Hipótesis!$G$44,Hipótesis!$C$50*(1+Hipótesis!$D$45)^4)*(1+Hipótesis!$D$42),0)</f>
        <v>-6600</v>
      </c>
      <c r="BF46" s="109" t="n">
        <f aca="false">-IF(AND(56&gt;=Hipótesis!$D$50,Hipótesis!$B$50=1),IF(Hipótesis!$G$50=1,Hipótesis!$G$44,Hipótesis!$C$50*(1+Hipótesis!$D$45)^4)*(1+Hipótesis!$D$42),0)</f>
        <v>-6600</v>
      </c>
      <c r="BG46" s="109" t="n">
        <f aca="false">-IF(AND(57&gt;=Hipótesis!$D$50,Hipótesis!$B$50=1),IF(Hipótesis!$G$50=1,Hipótesis!$G$44,Hipótesis!$C$50*(1+Hipótesis!$D$45)^4)*(1+Hipótesis!$D$42),0)</f>
        <v>-6600</v>
      </c>
      <c r="BH46" s="109" t="n">
        <f aca="false">-IF(AND(58&gt;=Hipótesis!$D$50,Hipótesis!$B$50=1),IF(Hipótesis!$G$50=1,Hipótesis!$G$44,Hipótesis!$C$50*(1+Hipótesis!$D$45)^4)*(1+Hipótesis!$D$42),0)</f>
        <v>-6600</v>
      </c>
      <c r="BI46" s="109" t="n">
        <f aca="false">-IF(AND(59&gt;=Hipótesis!$D$50,Hipótesis!$B$50=1),IF(Hipótesis!$G$50=1,Hipótesis!$G$44,Hipótesis!$C$50*(1+Hipótesis!$D$45)^4)*(1+Hipótesis!$D$42),0)</f>
        <v>-6600</v>
      </c>
      <c r="BJ46" s="109" t="n">
        <f aca="false">-IF(AND(60&gt;=Hipótesis!$D$50,Hipótesis!$B$50=1),IF(Hipótesis!$G$50=1,Hipótesis!$G$44,Hipótesis!$C$50*(1+Hipótesis!$D$45)^4)*(1+Hipótesis!$D$42),0)</f>
        <v>-6600</v>
      </c>
      <c r="BK46" s="109" t="n">
        <f aca="false">-IF(AND(61&gt;=Hipótesis!$D$50,Hipótesis!$B$50=1),IF(Hipótesis!$G$50=1,Hipótesis!$H$44,Hipótesis!$C$50*(1+Hipótesis!$D$45)^5)*(1+Hipótesis!$D$42),0)</f>
        <v>-7260</v>
      </c>
      <c r="BL46" s="109" t="n">
        <f aca="false">-IF(AND(62&gt;=Hipótesis!$D$50,Hipótesis!$B$50=1),IF(Hipótesis!$G$50=1,Hipótesis!$H$44,Hipótesis!$C$50*(1+Hipótesis!$D$45)^5)*(1+Hipótesis!$D$42),0)</f>
        <v>-7260</v>
      </c>
      <c r="BM46" s="109" t="n">
        <f aca="false">-IF(AND(63&gt;=Hipótesis!$D$50,Hipótesis!$B$50=1),IF(Hipótesis!$G$50=1,Hipótesis!$H$44,Hipótesis!$C$50*(1+Hipótesis!$D$45)^5)*(1+Hipótesis!$D$42),0)</f>
        <v>-7260</v>
      </c>
      <c r="BN46" s="109" t="n">
        <f aca="false">-IF(AND(64&gt;=Hipótesis!$D$50,Hipótesis!$B$50=1),IF(Hipótesis!$G$50=1,Hipótesis!$H$44,Hipótesis!$C$50*(1+Hipótesis!$D$45)^5)*(1+Hipótesis!$D$42),0)</f>
        <v>-7260</v>
      </c>
      <c r="BO46" s="109" t="n">
        <f aca="false">-IF(AND(65&gt;=Hipótesis!$D$50,Hipótesis!$B$50=1),IF(Hipótesis!$G$50=1,Hipótesis!$H$44,Hipótesis!$C$50*(1+Hipótesis!$D$45)^5)*(1+Hipótesis!$D$42),0)</f>
        <v>-7260</v>
      </c>
      <c r="BP46" s="109" t="n">
        <f aca="false">-IF(AND(66&gt;=Hipótesis!$D$50,Hipótesis!$B$50=1),IF(Hipótesis!$G$50=1,Hipótesis!$H$44,Hipótesis!$C$50*(1+Hipótesis!$D$45)^5)*(1+Hipótesis!$D$42),0)</f>
        <v>-7260</v>
      </c>
      <c r="BQ46" s="109" t="n">
        <f aca="false">-IF(AND(67&gt;=Hipótesis!$D$50,Hipótesis!$B$50=1),IF(Hipótesis!$G$50=1,Hipótesis!$H$44,Hipótesis!$C$50*(1+Hipótesis!$D$45)^5)*(1+Hipótesis!$D$42),0)</f>
        <v>-7260</v>
      </c>
      <c r="BR46" s="109" t="n">
        <f aca="false">-IF(AND(68&gt;=Hipótesis!$D$50,Hipótesis!$B$50=1),IF(Hipótesis!$G$50=1,Hipótesis!$H$44,Hipótesis!$C$50*(1+Hipótesis!$D$45)^5)*(1+Hipótesis!$D$42),0)</f>
        <v>-7260</v>
      </c>
      <c r="BS46" s="109" t="n">
        <f aca="false">-IF(AND(69&gt;=Hipótesis!$D$50,Hipótesis!$B$50=1),IF(Hipótesis!$G$50=1,Hipótesis!$H$44,Hipótesis!$C$50*(1+Hipótesis!$D$45)^5)*(1+Hipótesis!$D$42),0)</f>
        <v>-7260</v>
      </c>
      <c r="BT46" s="109" t="n">
        <f aca="false">-IF(AND(70&gt;=Hipótesis!$D$50,Hipótesis!$B$50=1),IF(Hipótesis!$G$50=1,Hipótesis!$H$44,Hipótesis!$C$50*(1+Hipótesis!$D$45)^5)*(1+Hipótesis!$D$42),0)</f>
        <v>-7260</v>
      </c>
      <c r="BU46" s="109" t="n">
        <f aca="false">-IF(AND(71&gt;=Hipótesis!$D$50,Hipótesis!$B$50=1),IF(Hipótesis!$G$50=1,Hipótesis!$H$44,Hipótesis!$C$50*(1+Hipótesis!$D$45)^5)*(1+Hipótesis!$D$42),0)</f>
        <v>-7260</v>
      </c>
      <c r="BV46" s="109" t="n">
        <f aca="false">-IF(AND(72&gt;=Hipótesis!$D$50,Hipótesis!$B$50=1),IF(Hipótesis!$G$50=1,Hipótesis!$H$44,Hipótesis!$C$50*(1+Hipótesis!$D$45)^5)*(1+Hipótesis!$D$42),0)</f>
        <v>-7260</v>
      </c>
      <c r="BW46" s="109" t="n">
        <f aca="false">-IF(AND(73&gt;=Hipótesis!$D$50,Hipótesis!$B$50=1),IF(Hipótesis!$G$50=1,Hipótesis!$I$44,Hipótesis!$C$50*(1+Hipótesis!$D$45)^6)*(1+Hipótesis!$D$42),0)</f>
        <v>-7920</v>
      </c>
      <c r="BX46" s="109" t="n">
        <f aca="false">-IF(AND(74&gt;=Hipótesis!$D$50,Hipótesis!$B$50=1),IF(Hipótesis!$G$50=1,Hipótesis!$I$44,Hipótesis!$C$50*(1+Hipótesis!$D$45)^6)*(1+Hipótesis!$D$42),0)</f>
        <v>-7920</v>
      </c>
      <c r="BY46" s="109" t="n">
        <f aca="false">-IF(AND(75&gt;=Hipótesis!$D$50,Hipótesis!$B$50=1),IF(Hipótesis!$G$50=1,Hipótesis!$I$44,Hipótesis!$C$50*(1+Hipótesis!$D$45)^6)*(1+Hipótesis!$D$42),0)</f>
        <v>-7920</v>
      </c>
      <c r="BZ46" s="109" t="n">
        <f aca="false">-IF(AND(76&gt;=Hipótesis!$D$50,Hipótesis!$B$50=1),IF(Hipótesis!$G$50=1,Hipótesis!$I$44,Hipótesis!$C$50*(1+Hipótesis!$D$45)^6)*(1+Hipótesis!$D$42),0)</f>
        <v>-7920</v>
      </c>
      <c r="CA46" s="109" t="n">
        <f aca="false">-IF(AND(77&gt;=Hipótesis!$D$50,Hipótesis!$B$50=1),IF(Hipótesis!$G$50=1,Hipótesis!$I$44,Hipótesis!$C$50*(1+Hipótesis!$D$45)^6)*(1+Hipótesis!$D$42),0)</f>
        <v>-7920</v>
      </c>
      <c r="CB46" s="109" t="n">
        <f aca="false">-IF(AND(78&gt;=Hipótesis!$D$50,Hipótesis!$B$50=1),IF(Hipótesis!$G$50=1,Hipótesis!$I$44,Hipótesis!$C$50*(1+Hipótesis!$D$45)^6)*(1+Hipótesis!$D$42),0)</f>
        <v>-7920</v>
      </c>
      <c r="CC46" s="109" t="n">
        <f aca="false">-IF(AND(79&gt;=Hipótesis!$D$50,Hipótesis!$B$50=1),IF(Hipótesis!$G$50=1,Hipótesis!$I$44,Hipótesis!$C$50*(1+Hipótesis!$D$45)^6)*(1+Hipótesis!$D$42),0)</f>
        <v>-7920</v>
      </c>
      <c r="CD46" s="109" t="n">
        <f aca="false">-IF(AND(80&gt;=Hipótesis!$D$50,Hipótesis!$B$50=1),IF(Hipótesis!$G$50=1,Hipótesis!$I$44,Hipótesis!$C$50*(1+Hipótesis!$D$45)^6)*(1+Hipótesis!$D$42),0)</f>
        <v>-7920</v>
      </c>
      <c r="CE46" s="109" t="n">
        <f aca="false">-IF(AND(81&gt;=Hipótesis!$D$50,Hipótesis!$B$50=1),IF(Hipótesis!$G$50=1,Hipótesis!$I$44,Hipótesis!$C$50*(1+Hipótesis!$D$45)^6)*(1+Hipótesis!$D$42),0)</f>
        <v>-7920</v>
      </c>
      <c r="CF46" s="109" t="n">
        <f aca="false">-IF(AND(82&gt;=Hipótesis!$D$50,Hipótesis!$B$50=1),IF(Hipótesis!$G$50=1,Hipótesis!$I$44,Hipótesis!$C$50*(1+Hipótesis!$D$45)^6)*(1+Hipótesis!$D$42),0)</f>
        <v>-7920</v>
      </c>
      <c r="CG46" s="109" t="n">
        <f aca="false">-IF(AND(83&gt;=Hipótesis!$D$50,Hipótesis!$B$50=1),IF(Hipótesis!$G$50=1,Hipótesis!$I$44,Hipótesis!$C$50*(1+Hipótesis!$D$45)^6)*(1+Hipótesis!$D$42),0)</f>
        <v>-7920</v>
      </c>
      <c r="CH46" s="109" t="n">
        <f aca="false">-IF(AND(84&gt;=Hipótesis!$D$50,Hipótesis!$B$50=1),IF(Hipótesis!$G$50=1,Hipótesis!$I$44,Hipótesis!$C$50*(1+Hipótesis!$D$45)^6)*(1+Hipótesis!$D$42),0)</f>
        <v>-7920</v>
      </c>
    </row>
    <row r="47" customFormat="false" ht="13.5" hidden="false" customHeight="true" outlineLevel="0" collapsed="false">
      <c r="A47" s="6" t="s">
        <v>552</v>
      </c>
      <c r="C47" s="109" t="n">
        <f aca="false">-IF(AND(1&gt;=Hipótesis!$D$51,Hipótesis!$B$51=1),IF(Hipótesis!$G$51=1,Hipótesis!$C$44,Hipótesis!$C$51*(1+Hipótesis!$D$45)^0)*(1+Hipótesis!$D$42),0)</f>
        <v>-2640</v>
      </c>
      <c r="D47" s="109" t="n">
        <f aca="false">-IF(AND(2&gt;=Hipótesis!$D$51,Hipótesis!$B$51=1),IF(Hipótesis!$G$51=1,Hipótesis!$C$44,Hipótesis!$C$51*(1+Hipótesis!$D$45)^0)*(1+Hipótesis!$D$42),0)</f>
        <v>-2640</v>
      </c>
      <c r="E47" s="109" t="n">
        <f aca="false">-IF(AND(3&gt;=Hipótesis!$D$51,Hipótesis!$B$51=1),IF(Hipótesis!$G$51=1,Hipótesis!$C$44,Hipótesis!$C$51*(1+Hipótesis!$D$45)^0)*(1+Hipótesis!$D$42),0)</f>
        <v>-2640</v>
      </c>
      <c r="F47" s="109" t="n">
        <f aca="false">-IF(AND(4&gt;=Hipótesis!$D$51,Hipótesis!$B$51=1),IF(Hipótesis!$G$51=1,Hipótesis!$C$44,Hipótesis!$C$51*(1+Hipótesis!$D$45)^0)*(1+Hipótesis!$D$42),0)</f>
        <v>-2640</v>
      </c>
      <c r="G47" s="109" t="n">
        <f aca="false">-IF(AND(5&gt;=Hipótesis!$D$51,Hipótesis!$B$51=1),IF(Hipótesis!$G$51=1,Hipótesis!$C$44,Hipótesis!$C$51*(1+Hipótesis!$D$45)^0)*(1+Hipótesis!$D$42),0)</f>
        <v>-2640</v>
      </c>
      <c r="H47" s="109" t="n">
        <f aca="false">-IF(AND(6&gt;=Hipótesis!$D$51,Hipótesis!$B$51=1),IF(Hipótesis!$G$51=1,Hipótesis!$C$44,Hipótesis!$C$51*(1+Hipótesis!$D$45)^0)*(1+Hipótesis!$D$42),0)</f>
        <v>-2640</v>
      </c>
      <c r="I47" s="109" t="n">
        <f aca="false">-IF(AND(7&gt;=Hipótesis!$D$51,Hipótesis!$B$51=1),IF(Hipótesis!$G$51=1,Hipótesis!$C$44,Hipótesis!$C$51*(1+Hipótesis!$D$45)^0)*(1+Hipótesis!$D$42),0)</f>
        <v>-2640</v>
      </c>
      <c r="J47" s="109" t="n">
        <f aca="false">-IF(AND(8&gt;=Hipótesis!$D$51,Hipótesis!$B$51=1),IF(Hipótesis!$G$51=1,Hipótesis!$C$44,Hipótesis!$C$51*(1+Hipótesis!$D$45)^0)*(1+Hipótesis!$D$42),0)</f>
        <v>-2640</v>
      </c>
      <c r="K47" s="109" t="n">
        <f aca="false">-IF(AND(9&gt;=Hipótesis!$D$51,Hipótesis!$B$51=1),IF(Hipótesis!$G$51=1,Hipótesis!$C$44,Hipótesis!$C$51*(1+Hipótesis!$D$45)^0)*(1+Hipótesis!$D$42),0)</f>
        <v>-2640</v>
      </c>
      <c r="L47" s="109" t="n">
        <f aca="false">-IF(AND(10&gt;=Hipótesis!$D$51,Hipótesis!$B$51=1),IF(Hipótesis!$G$51=1,Hipótesis!$C$44,Hipótesis!$C$51*(1+Hipótesis!$D$45)^0)*(1+Hipótesis!$D$42),0)</f>
        <v>-2640</v>
      </c>
      <c r="M47" s="109" t="n">
        <f aca="false">-IF(AND(11&gt;=Hipótesis!$D$51,Hipótesis!$B$51=1),IF(Hipótesis!$G$51=1,Hipótesis!$C$44,Hipótesis!$C$51*(1+Hipótesis!$D$45)^0)*(1+Hipótesis!$D$42),0)</f>
        <v>-2640</v>
      </c>
      <c r="N47" s="109" t="n">
        <f aca="false">-IF(AND(12&gt;=Hipótesis!$D$51,Hipótesis!$B$51=1),IF(Hipótesis!$G$51=1,Hipótesis!$C$44,Hipótesis!$C$51*(1+Hipótesis!$D$45)^0)*(1+Hipótesis!$D$42),0)</f>
        <v>-2640</v>
      </c>
      <c r="O47" s="109" t="n">
        <f aca="false">-IF(AND(13&gt;=Hipótesis!$D$51,Hipótesis!$B$51=1),IF(Hipótesis!$G$51=1,Hipótesis!$D$44,Hipótesis!$C$51*(1+Hipótesis!$D$45)^1)*(1+Hipótesis!$D$42),0)</f>
        <v>-2719.2</v>
      </c>
      <c r="P47" s="109" t="n">
        <f aca="false">-IF(AND(14&gt;=Hipótesis!$D$51,Hipótesis!$B$51=1),IF(Hipótesis!$G$51=1,Hipótesis!$D$44,Hipótesis!$C$51*(1+Hipótesis!$D$45)^1)*(1+Hipótesis!$D$42),0)</f>
        <v>-2719.2</v>
      </c>
      <c r="Q47" s="109" t="n">
        <f aca="false">-IF(AND(15&gt;=Hipótesis!$D$51,Hipótesis!$B$51=1),IF(Hipótesis!$G$51=1,Hipótesis!$D$44,Hipótesis!$C$51*(1+Hipótesis!$D$45)^1)*(1+Hipótesis!$D$42),0)</f>
        <v>-2719.2</v>
      </c>
      <c r="R47" s="109" t="n">
        <f aca="false">-IF(AND(16&gt;=Hipótesis!$D$51,Hipótesis!$B$51=1),IF(Hipótesis!$G$51=1,Hipótesis!$D$44,Hipótesis!$C$51*(1+Hipótesis!$D$45)^1)*(1+Hipótesis!$D$42),0)</f>
        <v>-2719.2</v>
      </c>
      <c r="S47" s="109" t="n">
        <f aca="false">-IF(AND(17&gt;=Hipótesis!$D$51,Hipótesis!$B$51=1),IF(Hipótesis!$G$51=1,Hipótesis!$D$44,Hipótesis!$C$51*(1+Hipótesis!$D$45)^1)*(1+Hipótesis!$D$42),0)</f>
        <v>-2719.2</v>
      </c>
      <c r="T47" s="109" t="n">
        <f aca="false">-IF(AND(18&gt;=Hipótesis!$D$51,Hipótesis!$B$51=1),IF(Hipótesis!$G$51=1,Hipótesis!$D$44,Hipótesis!$C$51*(1+Hipótesis!$D$45)^1)*(1+Hipótesis!$D$42),0)</f>
        <v>-2719.2</v>
      </c>
      <c r="U47" s="109" t="n">
        <f aca="false">-IF(AND(19&gt;=Hipótesis!$D$51,Hipótesis!$B$51=1),IF(Hipótesis!$G$51=1,Hipótesis!$D$44,Hipótesis!$C$51*(1+Hipótesis!$D$45)^1)*(1+Hipótesis!$D$42),0)</f>
        <v>-2719.2</v>
      </c>
      <c r="V47" s="109" t="n">
        <f aca="false">-IF(AND(20&gt;=Hipótesis!$D$51,Hipótesis!$B$51=1),IF(Hipótesis!$G$51=1,Hipótesis!$D$44,Hipótesis!$C$51*(1+Hipótesis!$D$45)^1)*(1+Hipótesis!$D$42),0)</f>
        <v>-2719.2</v>
      </c>
      <c r="W47" s="109" t="n">
        <f aca="false">-IF(AND(21&gt;=Hipótesis!$D$51,Hipótesis!$B$51=1),IF(Hipótesis!$G$51=1,Hipótesis!$D$44,Hipótesis!$C$51*(1+Hipótesis!$D$45)^1)*(1+Hipótesis!$D$42),0)</f>
        <v>-2719.2</v>
      </c>
      <c r="X47" s="109" t="n">
        <f aca="false">-IF(AND(22&gt;=Hipótesis!$D$51,Hipótesis!$B$51=1),IF(Hipótesis!$G$51=1,Hipótesis!$D$44,Hipótesis!$C$51*(1+Hipótesis!$D$45)^1)*(1+Hipótesis!$D$42),0)</f>
        <v>-2719.2</v>
      </c>
      <c r="Y47" s="109" t="n">
        <f aca="false">-IF(AND(23&gt;=Hipótesis!$D$51,Hipótesis!$B$51=1),IF(Hipótesis!$G$51=1,Hipótesis!$D$44,Hipótesis!$C$51*(1+Hipótesis!$D$45)^1)*(1+Hipótesis!$D$42),0)</f>
        <v>-2719.2</v>
      </c>
      <c r="Z47" s="109" t="n">
        <f aca="false">-IF(AND(24&gt;=Hipótesis!$D$51,Hipótesis!$B$51=1),IF(Hipótesis!$G$51=1,Hipótesis!$D$44,Hipótesis!$C$51*(1+Hipótesis!$D$45)^1)*(1+Hipótesis!$D$42),0)</f>
        <v>-2719.2</v>
      </c>
      <c r="AA47" s="109" t="n">
        <f aca="false">-IF(AND(25&gt;=Hipótesis!$D$51,Hipótesis!$B$51=1),IF(Hipótesis!$G$51=1,Hipótesis!$E$44,Hipótesis!$C$51*(1+Hipótesis!$D$45)^2)*(1+Hipótesis!$D$42),0)</f>
        <v>-2800.776</v>
      </c>
      <c r="AB47" s="109" t="n">
        <f aca="false">-IF(AND(26&gt;=Hipótesis!$D$51,Hipótesis!$B$51=1),IF(Hipótesis!$G$51=1,Hipótesis!$E$44,Hipótesis!$C$51*(1+Hipótesis!$D$45)^2)*(1+Hipótesis!$D$42),0)</f>
        <v>-2800.776</v>
      </c>
      <c r="AC47" s="109" t="n">
        <f aca="false">-IF(AND(27&gt;=Hipótesis!$D$51,Hipótesis!$B$51=1),IF(Hipótesis!$G$51=1,Hipótesis!$E$44,Hipótesis!$C$51*(1+Hipótesis!$D$45)^2)*(1+Hipótesis!$D$42),0)</f>
        <v>-2800.776</v>
      </c>
      <c r="AD47" s="109" t="n">
        <f aca="false">-IF(AND(28&gt;=Hipótesis!$D$51,Hipótesis!$B$51=1),IF(Hipótesis!$G$51=1,Hipótesis!$E$44,Hipótesis!$C$51*(1+Hipótesis!$D$45)^2)*(1+Hipótesis!$D$42),0)</f>
        <v>-2800.776</v>
      </c>
      <c r="AE47" s="109" t="n">
        <f aca="false">-IF(AND(29&gt;=Hipótesis!$D$51,Hipótesis!$B$51=1),IF(Hipótesis!$G$51=1,Hipótesis!$E$44,Hipótesis!$C$51*(1+Hipótesis!$D$45)^2)*(1+Hipótesis!$D$42),0)</f>
        <v>-2800.776</v>
      </c>
      <c r="AF47" s="109" t="n">
        <f aca="false">-IF(AND(30&gt;=Hipótesis!$D$51,Hipótesis!$B$51=1),IF(Hipótesis!$G$51=1,Hipótesis!$E$44,Hipótesis!$C$51*(1+Hipótesis!$D$45)^2)*(1+Hipótesis!$D$42),0)</f>
        <v>-2800.776</v>
      </c>
      <c r="AG47" s="109" t="n">
        <f aca="false">-IF(AND(31&gt;=Hipótesis!$D$51,Hipótesis!$B$51=1),IF(Hipótesis!$G$51=1,Hipótesis!$E$44,Hipótesis!$C$51*(1+Hipótesis!$D$45)^2)*(1+Hipótesis!$D$42),0)</f>
        <v>-2800.776</v>
      </c>
      <c r="AH47" s="109" t="n">
        <f aca="false">-IF(AND(32&gt;=Hipótesis!$D$51,Hipótesis!$B$51=1),IF(Hipótesis!$G$51=1,Hipótesis!$E$44,Hipótesis!$C$51*(1+Hipótesis!$D$45)^2)*(1+Hipótesis!$D$42),0)</f>
        <v>-2800.776</v>
      </c>
      <c r="AI47" s="109" t="n">
        <f aca="false">-IF(AND(33&gt;=Hipótesis!$D$51,Hipótesis!$B$51=1),IF(Hipótesis!$G$51=1,Hipótesis!$E$44,Hipótesis!$C$51*(1+Hipótesis!$D$45)^2)*(1+Hipótesis!$D$42),0)</f>
        <v>-2800.776</v>
      </c>
      <c r="AJ47" s="109" t="n">
        <f aca="false">-IF(AND(34&gt;=Hipótesis!$D$51,Hipótesis!$B$51=1),IF(Hipótesis!$G$51=1,Hipótesis!$E$44,Hipótesis!$C$51*(1+Hipótesis!$D$45)^2)*(1+Hipótesis!$D$42),0)</f>
        <v>-2800.776</v>
      </c>
      <c r="AK47" s="109" t="n">
        <f aca="false">-IF(AND(35&gt;=Hipótesis!$D$51,Hipótesis!$B$51=1),IF(Hipótesis!$G$51=1,Hipótesis!$E$44,Hipótesis!$C$51*(1+Hipótesis!$D$45)^2)*(1+Hipótesis!$D$42),0)</f>
        <v>-2800.776</v>
      </c>
      <c r="AL47" s="109" t="n">
        <f aca="false">-IF(AND(36&gt;=Hipótesis!$D$51,Hipótesis!$B$51=1),IF(Hipótesis!$G$51=1,Hipótesis!$E$44,Hipótesis!$C$51*(1+Hipótesis!$D$45)^2)*(1+Hipótesis!$D$42),0)</f>
        <v>-2800.776</v>
      </c>
      <c r="AM47" s="109" t="n">
        <f aca="false">-IF(AND(37&gt;=Hipótesis!$D$51,Hipótesis!$B$51=1),IF(Hipótesis!$G$51=1,Hipótesis!$F$44,Hipótesis!$C$51*(1+Hipótesis!$D$45)^3)*(1+Hipótesis!$D$42),0)</f>
        <v>-2884.79928</v>
      </c>
      <c r="AN47" s="109" t="n">
        <f aca="false">-IF(AND(38&gt;=Hipótesis!$D$51,Hipótesis!$B$51=1),IF(Hipótesis!$G$51=1,Hipótesis!$F$44,Hipótesis!$C$51*(1+Hipótesis!$D$45)^3)*(1+Hipótesis!$D$42),0)</f>
        <v>-2884.79928</v>
      </c>
      <c r="AO47" s="109" t="n">
        <f aca="false">-IF(AND(39&gt;=Hipótesis!$D$51,Hipótesis!$B$51=1),IF(Hipótesis!$G$51=1,Hipótesis!$F$44,Hipótesis!$C$51*(1+Hipótesis!$D$45)^3)*(1+Hipótesis!$D$42),0)</f>
        <v>-2884.79928</v>
      </c>
      <c r="AP47" s="109" t="n">
        <f aca="false">-IF(AND(40&gt;=Hipótesis!$D$51,Hipótesis!$B$51=1),IF(Hipótesis!$G$51=1,Hipótesis!$F$44,Hipótesis!$C$51*(1+Hipótesis!$D$45)^3)*(1+Hipótesis!$D$42),0)</f>
        <v>-2884.79928</v>
      </c>
      <c r="AQ47" s="109" t="n">
        <f aca="false">-IF(AND(41&gt;=Hipótesis!$D$51,Hipótesis!$B$51=1),IF(Hipótesis!$G$51=1,Hipótesis!$F$44,Hipótesis!$C$51*(1+Hipótesis!$D$45)^3)*(1+Hipótesis!$D$42),0)</f>
        <v>-2884.79928</v>
      </c>
      <c r="AR47" s="109" t="n">
        <f aca="false">-IF(AND(42&gt;=Hipótesis!$D$51,Hipótesis!$B$51=1),IF(Hipótesis!$G$51=1,Hipótesis!$F$44,Hipótesis!$C$51*(1+Hipótesis!$D$45)^3)*(1+Hipótesis!$D$42),0)</f>
        <v>-2884.79928</v>
      </c>
      <c r="AS47" s="109" t="n">
        <f aca="false">-IF(AND(43&gt;=Hipótesis!$D$51,Hipótesis!$B$51=1),IF(Hipótesis!$G$51=1,Hipótesis!$F$44,Hipótesis!$C$51*(1+Hipótesis!$D$45)^3)*(1+Hipótesis!$D$42),0)</f>
        <v>-2884.79928</v>
      </c>
      <c r="AT47" s="109" t="n">
        <f aca="false">-IF(AND(44&gt;=Hipótesis!$D$51,Hipótesis!$B$51=1),IF(Hipótesis!$G$51=1,Hipótesis!$F$44,Hipótesis!$C$51*(1+Hipótesis!$D$45)^3)*(1+Hipótesis!$D$42),0)</f>
        <v>-2884.79928</v>
      </c>
      <c r="AU47" s="109" t="n">
        <f aca="false">-IF(AND(45&gt;=Hipótesis!$D$51,Hipótesis!$B$51=1),IF(Hipótesis!$G$51=1,Hipótesis!$F$44,Hipótesis!$C$51*(1+Hipótesis!$D$45)^3)*(1+Hipótesis!$D$42),0)</f>
        <v>-2884.79928</v>
      </c>
      <c r="AV47" s="109" t="n">
        <f aca="false">-IF(AND(46&gt;=Hipótesis!$D$51,Hipótesis!$B$51=1),IF(Hipótesis!$G$51=1,Hipótesis!$F$44,Hipótesis!$C$51*(1+Hipótesis!$D$45)^3)*(1+Hipótesis!$D$42),0)</f>
        <v>-2884.79928</v>
      </c>
      <c r="AW47" s="109" t="n">
        <f aca="false">-IF(AND(47&gt;=Hipótesis!$D$51,Hipótesis!$B$51=1),IF(Hipótesis!$G$51=1,Hipótesis!$F$44,Hipótesis!$C$51*(1+Hipótesis!$D$45)^3)*(1+Hipótesis!$D$42),0)</f>
        <v>-2884.79928</v>
      </c>
      <c r="AX47" s="109" t="n">
        <f aca="false">-IF(AND(48&gt;=Hipótesis!$D$51,Hipótesis!$B$51=1),IF(Hipótesis!$G$51=1,Hipótesis!$F$44,Hipótesis!$C$51*(1+Hipótesis!$D$45)^3)*(1+Hipótesis!$D$42),0)</f>
        <v>-2884.79928</v>
      </c>
      <c r="AY47" s="109" t="n">
        <f aca="false">-IF(AND(49&gt;=Hipótesis!$D$51,Hipótesis!$B$51=1),IF(Hipótesis!$G$51=1,Hipótesis!$G$44,Hipótesis!$C$51*(1+Hipótesis!$D$45)^4)*(1+Hipótesis!$D$42),0)</f>
        <v>-2971.3432584</v>
      </c>
      <c r="AZ47" s="109" t="n">
        <f aca="false">-IF(AND(50&gt;=Hipótesis!$D$51,Hipótesis!$B$51=1),IF(Hipótesis!$G$51=1,Hipótesis!$G$44,Hipótesis!$C$51*(1+Hipótesis!$D$45)^4)*(1+Hipótesis!$D$42),0)</f>
        <v>-2971.3432584</v>
      </c>
      <c r="BA47" s="109" t="n">
        <f aca="false">-IF(AND(51&gt;=Hipótesis!$D$51,Hipótesis!$B$51=1),IF(Hipótesis!$G$51=1,Hipótesis!$G$44,Hipótesis!$C$51*(1+Hipótesis!$D$45)^4)*(1+Hipótesis!$D$42),0)</f>
        <v>-2971.3432584</v>
      </c>
      <c r="BB47" s="109" t="n">
        <f aca="false">-IF(AND(52&gt;=Hipótesis!$D$51,Hipótesis!$B$51=1),IF(Hipótesis!$G$51=1,Hipótesis!$G$44,Hipótesis!$C$51*(1+Hipótesis!$D$45)^4)*(1+Hipótesis!$D$42),0)</f>
        <v>-2971.3432584</v>
      </c>
      <c r="BC47" s="109" t="n">
        <f aca="false">-IF(AND(53&gt;=Hipótesis!$D$51,Hipótesis!$B$51=1),IF(Hipótesis!$G$51=1,Hipótesis!$G$44,Hipótesis!$C$51*(1+Hipótesis!$D$45)^4)*(1+Hipótesis!$D$42),0)</f>
        <v>-2971.3432584</v>
      </c>
      <c r="BD47" s="109" t="n">
        <f aca="false">-IF(AND(54&gt;=Hipótesis!$D$51,Hipótesis!$B$51=1),IF(Hipótesis!$G$51=1,Hipótesis!$G$44,Hipótesis!$C$51*(1+Hipótesis!$D$45)^4)*(1+Hipótesis!$D$42),0)</f>
        <v>-2971.3432584</v>
      </c>
      <c r="BE47" s="109" t="n">
        <f aca="false">-IF(AND(55&gt;=Hipótesis!$D$51,Hipótesis!$B$51=1),IF(Hipótesis!$G$51=1,Hipótesis!$G$44,Hipótesis!$C$51*(1+Hipótesis!$D$45)^4)*(1+Hipótesis!$D$42),0)</f>
        <v>-2971.3432584</v>
      </c>
      <c r="BF47" s="109" t="n">
        <f aca="false">-IF(AND(56&gt;=Hipótesis!$D$51,Hipótesis!$B$51=1),IF(Hipótesis!$G$51=1,Hipótesis!$G$44,Hipótesis!$C$51*(1+Hipótesis!$D$45)^4)*(1+Hipótesis!$D$42),0)</f>
        <v>-2971.3432584</v>
      </c>
      <c r="BG47" s="109" t="n">
        <f aca="false">-IF(AND(57&gt;=Hipótesis!$D$51,Hipótesis!$B$51=1),IF(Hipótesis!$G$51=1,Hipótesis!$G$44,Hipótesis!$C$51*(1+Hipótesis!$D$45)^4)*(1+Hipótesis!$D$42),0)</f>
        <v>-2971.3432584</v>
      </c>
      <c r="BH47" s="109" t="n">
        <f aca="false">-IF(AND(58&gt;=Hipótesis!$D$51,Hipótesis!$B$51=1),IF(Hipótesis!$G$51=1,Hipótesis!$G$44,Hipótesis!$C$51*(1+Hipótesis!$D$45)^4)*(1+Hipótesis!$D$42),0)</f>
        <v>-2971.3432584</v>
      </c>
      <c r="BI47" s="109" t="n">
        <f aca="false">-IF(AND(59&gt;=Hipótesis!$D$51,Hipótesis!$B$51=1),IF(Hipótesis!$G$51=1,Hipótesis!$G$44,Hipótesis!$C$51*(1+Hipótesis!$D$45)^4)*(1+Hipótesis!$D$42),0)</f>
        <v>-2971.3432584</v>
      </c>
      <c r="BJ47" s="109" t="n">
        <f aca="false">-IF(AND(60&gt;=Hipótesis!$D$51,Hipótesis!$B$51=1),IF(Hipótesis!$G$51=1,Hipótesis!$G$44,Hipótesis!$C$51*(1+Hipótesis!$D$45)^4)*(1+Hipótesis!$D$42),0)</f>
        <v>-2971.3432584</v>
      </c>
      <c r="BK47" s="109" t="n">
        <f aca="false">-IF(AND(61&gt;=Hipótesis!$D$51,Hipótesis!$B$51=1),IF(Hipótesis!$G$51=1,Hipótesis!$H$44,Hipótesis!$C$51*(1+Hipótesis!$D$45)^5)*(1+Hipótesis!$D$42),0)</f>
        <v>-3060.483556152</v>
      </c>
      <c r="BL47" s="109" t="n">
        <f aca="false">-IF(AND(62&gt;=Hipótesis!$D$51,Hipótesis!$B$51=1),IF(Hipótesis!$G$51=1,Hipótesis!$H$44,Hipótesis!$C$51*(1+Hipótesis!$D$45)^5)*(1+Hipótesis!$D$42),0)</f>
        <v>-3060.483556152</v>
      </c>
      <c r="BM47" s="109" t="n">
        <f aca="false">-IF(AND(63&gt;=Hipótesis!$D$51,Hipótesis!$B$51=1),IF(Hipótesis!$G$51=1,Hipótesis!$H$44,Hipótesis!$C$51*(1+Hipótesis!$D$45)^5)*(1+Hipótesis!$D$42),0)</f>
        <v>-3060.483556152</v>
      </c>
      <c r="BN47" s="109" t="n">
        <f aca="false">-IF(AND(64&gt;=Hipótesis!$D$51,Hipótesis!$B$51=1),IF(Hipótesis!$G$51=1,Hipótesis!$H$44,Hipótesis!$C$51*(1+Hipótesis!$D$45)^5)*(1+Hipótesis!$D$42),0)</f>
        <v>-3060.483556152</v>
      </c>
      <c r="BO47" s="109" t="n">
        <f aca="false">-IF(AND(65&gt;=Hipótesis!$D$51,Hipótesis!$B$51=1),IF(Hipótesis!$G$51=1,Hipótesis!$H$44,Hipótesis!$C$51*(1+Hipótesis!$D$45)^5)*(1+Hipótesis!$D$42),0)</f>
        <v>-3060.483556152</v>
      </c>
      <c r="BP47" s="109" t="n">
        <f aca="false">-IF(AND(66&gt;=Hipótesis!$D$51,Hipótesis!$B$51=1),IF(Hipótesis!$G$51=1,Hipótesis!$H$44,Hipótesis!$C$51*(1+Hipótesis!$D$45)^5)*(1+Hipótesis!$D$42),0)</f>
        <v>-3060.483556152</v>
      </c>
      <c r="BQ47" s="109" t="n">
        <f aca="false">-IF(AND(67&gt;=Hipótesis!$D$51,Hipótesis!$B$51=1),IF(Hipótesis!$G$51=1,Hipótesis!$H$44,Hipótesis!$C$51*(1+Hipótesis!$D$45)^5)*(1+Hipótesis!$D$42),0)</f>
        <v>-3060.483556152</v>
      </c>
      <c r="BR47" s="109" t="n">
        <f aca="false">-IF(AND(68&gt;=Hipótesis!$D$51,Hipótesis!$B$51=1),IF(Hipótesis!$G$51=1,Hipótesis!$H$44,Hipótesis!$C$51*(1+Hipótesis!$D$45)^5)*(1+Hipótesis!$D$42),0)</f>
        <v>-3060.483556152</v>
      </c>
      <c r="BS47" s="109" t="n">
        <f aca="false">-IF(AND(69&gt;=Hipótesis!$D$51,Hipótesis!$B$51=1),IF(Hipótesis!$G$51=1,Hipótesis!$H$44,Hipótesis!$C$51*(1+Hipótesis!$D$45)^5)*(1+Hipótesis!$D$42),0)</f>
        <v>-3060.483556152</v>
      </c>
      <c r="BT47" s="109" t="n">
        <f aca="false">-IF(AND(70&gt;=Hipótesis!$D$51,Hipótesis!$B$51=1),IF(Hipótesis!$G$51=1,Hipótesis!$H$44,Hipótesis!$C$51*(1+Hipótesis!$D$45)^5)*(1+Hipótesis!$D$42),0)</f>
        <v>-3060.483556152</v>
      </c>
      <c r="BU47" s="109" t="n">
        <f aca="false">-IF(AND(71&gt;=Hipótesis!$D$51,Hipótesis!$B$51=1),IF(Hipótesis!$G$51=1,Hipótesis!$H$44,Hipótesis!$C$51*(1+Hipótesis!$D$45)^5)*(1+Hipótesis!$D$42),0)</f>
        <v>-3060.483556152</v>
      </c>
      <c r="BV47" s="109" t="n">
        <f aca="false">-IF(AND(72&gt;=Hipótesis!$D$51,Hipótesis!$B$51=1),IF(Hipótesis!$G$51=1,Hipótesis!$H$44,Hipótesis!$C$51*(1+Hipótesis!$D$45)^5)*(1+Hipótesis!$D$42),0)</f>
        <v>-3060.483556152</v>
      </c>
      <c r="BW47" s="109" t="n">
        <f aca="false">-IF(AND(73&gt;=Hipótesis!$D$51,Hipótesis!$B$51=1),IF(Hipótesis!$G$51=1,Hipótesis!$I$44,Hipótesis!$C$51*(1+Hipótesis!$D$45)^6)*(1+Hipótesis!$D$42),0)</f>
        <v>-3152.29806283656</v>
      </c>
      <c r="BX47" s="109" t="n">
        <f aca="false">-IF(AND(74&gt;=Hipótesis!$D$51,Hipótesis!$B$51=1),IF(Hipótesis!$G$51=1,Hipótesis!$I$44,Hipótesis!$C$51*(1+Hipótesis!$D$45)^6)*(1+Hipótesis!$D$42),0)</f>
        <v>-3152.29806283656</v>
      </c>
      <c r="BY47" s="109" t="n">
        <f aca="false">-IF(AND(75&gt;=Hipótesis!$D$51,Hipótesis!$B$51=1),IF(Hipótesis!$G$51=1,Hipótesis!$I$44,Hipótesis!$C$51*(1+Hipótesis!$D$45)^6)*(1+Hipótesis!$D$42),0)</f>
        <v>-3152.29806283656</v>
      </c>
      <c r="BZ47" s="109" t="n">
        <f aca="false">-IF(AND(76&gt;=Hipótesis!$D$51,Hipótesis!$B$51=1),IF(Hipótesis!$G$51=1,Hipótesis!$I$44,Hipótesis!$C$51*(1+Hipótesis!$D$45)^6)*(1+Hipótesis!$D$42),0)</f>
        <v>-3152.29806283656</v>
      </c>
      <c r="CA47" s="109" t="n">
        <f aca="false">-IF(AND(77&gt;=Hipótesis!$D$51,Hipótesis!$B$51=1),IF(Hipótesis!$G$51=1,Hipótesis!$I$44,Hipótesis!$C$51*(1+Hipótesis!$D$45)^6)*(1+Hipótesis!$D$42),0)</f>
        <v>-3152.29806283656</v>
      </c>
      <c r="CB47" s="109" t="n">
        <f aca="false">-IF(AND(78&gt;=Hipótesis!$D$51,Hipótesis!$B$51=1),IF(Hipótesis!$G$51=1,Hipótesis!$I$44,Hipótesis!$C$51*(1+Hipótesis!$D$45)^6)*(1+Hipótesis!$D$42),0)</f>
        <v>-3152.29806283656</v>
      </c>
      <c r="CC47" s="109" t="n">
        <f aca="false">-IF(AND(79&gt;=Hipótesis!$D$51,Hipótesis!$B$51=1),IF(Hipótesis!$G$51=1,Hipótesis!$I$44,Hipótesis!$C$51*(1+Hipótesis!$D$45)^6)*(1+Hipótesis!$D$42),0)</f>
        <v>-3152.29806283656</v>
      </c>
      <c r="CD47" s="109" t="n">
        <f aca="false">-IF(AND(80&gt;=Hipótesis!$D$51,Hipótesis!$B$51=1),IF(Hipótesis!$G$51=1,Hipótesis!$I$44,Hipótesis!$C$51*(1+Hipótesis!$D$45)^6)*(1+Hipótesis!$D$42),0)</f>
        <v>-3152.29806283656</v>
      </c>
      <c r="CE47" s="109" t="n">
        <f aca="false">-IF(AND(81&gt;=Hipótesis!$D$51,Hipótesis!$B$51=1),IF(Hipótesis!$G$51=1,Hipótesis!$I$44,Hipótesis!$C$51*(1+Hipótesis!$D$45)^6)*(1+Hipótesis!$D$42),0)</f>
        <v>-3152.29806283656</v>
      </c>
      <c r="CF47" s="109" t="n">
        <f aca="false">-IF(AND(82&gt;=Hipótesis!$D$51,Hipótesis!$B$51=1),IF(Hipótesis!$G$51=1,Hipótesis!$I$44,Hipótesis!$C$51*(1+Hipótesis!$D$45)^6)*(1+Hipótesis!$D$42),0)</f>
        <v>-3152.29806283656</v>
      </c>
      <c r="CG47" s="109" t="n">
        <f aca="false">-IF(AND(83&gt;=Hipótesis!$D$51,Hipótesis!$B$51=1),IF(Hipótesis!$G$51=1,Hipótesis!$I$44,Hipótesis!$C$51*(1+Hipótesis!$D$45)^6)*(1+Hipótesis!$D$42),0)</f>
        <v>-3152.29806283656</v>
      </c>
      <c r="CH47" s="109" t="n">
        <f aca="false">-IF(AND(84&gt;=Hipótesis!$D$51,Hipótesis!$B$51=1),IF(Hipótesis!$G$51=1,Hipótesis!$I$44,Hipótesis!$C$51*(1+Hipótesis!$D$45)^6)*(1+Hipótesis!$D$42),0)</f>
        <v>-3152.29806283656</v>
      </c>
    </row>
    <row r="48" customFormat="false" ht="13.5" hidden="false" customHeight="true" outlineLevel="0" collapsed="false">
      <c r="A48" s="6" t="s">
        <v>553</v>
      </c>
      <c r="C48" s="109" t="n">
        <f aca="false">-IF(AND(1&gt;=Hipótesis!$D$52,Hipótesis!$B$52=1),IF(Hipótesis!$G$52=1,Hipótesis!$C$44,Hipótesis!$C$52*(1+Hipótesis!$D$45)^0)*(1+Hipótesis!$D$42),0)</f>
        <v>-0</v>
      </c>
      <c r="D48" s="109" t="n">
        <f aca="false">-IF(AND(2&gt;=Hipótesis!$D$52,Hipótesis!$B$52=1),IF(Hipótesis!$G$52=1,Hipótesis!$C$44,Hipótesis!$C$52*(1+Hipótesis!$D$45)^0)*(1+Hipótesis!$D$42),0)</f>
        <v>-0</v>
      </c>
      <c r="E48" s="109" t="n">
        <f aca="false">-IF(AND(3&gt;=Hipótesis!$D$52,Hipótesis!$B$52=1),IF(Hipótesis!$G$52=1,Hipótesis!$C$44,Hipótesis!$C$52*(1+Hipótesis!$D$45)^0)*(1+Hipótesis!$D$42),0)</f>
        <v>-0</v>
      </c>
      <c r="F48" s="109" t="n">
        <f aca="false">-IF(AND(4&gt;=Hipótesis!$D$52,Hipótesis!$B$52=1),IF(Hipótesis!$G$52=1,Hipótesis!$C$44,Hipótesis!$C$52*(1+Hipótesis!$D$45)^0)*(1+Hipótesis!$D$42),0)</f>
        <v>-0</v>
      </c>
      <c r="G48" s="109" t="n">
        <f aca="false">-IF(AND(5&gt;=Hipótesis!$D$52,Hipótesis!$B$52=1),IF(Hipótesis!$G$52=1,Hipótesis!$C$44,Hipótesis!$C$52*(1+Hipótesis!$D$45)^0)*(1+Hipótesis!$D$42),0)</f>
        <v>-0</v>
      </c>
      <c r="H48" s="109" t="n">
        <f aca="false">-IF(AND(6&gt;=Hipótesis!$D$52,Hipótesis!$B$52=1),IF(Hipótesis!$G$52=1,Hipótesis!$C$44,Hipótesis!$C$52*(1+Hipótesis!$D$45)^0)*(1+Hipótesis!$D$42),0)</f>
        <v>-0</v>
      </c>
      <c r="I48" s="109" t="n">
        <f aca="false">-IF(AND(7&gt;=Hipótesis!$D$52,Hipótesis!$B$52=1),IF(Hipótesis!$G$52=1,Hipótesis!$C$44,Hipótesis!$C$52*(1+Hipótesis!$D$45)^0)*(1+Hipótesis!$D$42),0)</f>
        <v>-0</v>
      </c>
      <c r="J48" s="109" t="n">
        <f aca="false">-IF(AND(8&gt;=Hipótesis!$D$52,Hipótesis!$B$52=1),IF(Hipótesis!$G$52=1,Hipótesis!$C$44,Hipótesis!$C$52*(1+Hipótesis!$D$45)^0)*(1+Hipótesis!$D$42),0)</f>
        <v>-0</v>
      </c>
      <c r="K48" s="109" t="n">
        <f aca="false">-IF(AND(9&gt;=Hipótesis!$D$52,Hipótesis!$B$52=1),IF(Hipótesis!$G$52=1,Hipótesis!$C$44,Hipótesis!$C$52*(1+Hipótesis!$D$45)^0)*(1+Hipótesis!$D$42),0)</f>
        <v>-0</v>
      </c>
      <c r="L48" s="109" t="n">
        <f aca="false">-IF(AND(10&gt;=Hipótesis!$D$52,Hipótesis!$B$52=1),IF(Hipótesis!$G$52=1,Hipótesis!$C$44,Hipótesis!$C$52*(1+Hipótesis!$D$45)^0)*(1+Hipótesis!$D$42),0)</f>
        <v>-0</v>
      </c>
      <c r="M48" s="109" t="n">
        <f aca="false">-IF(AND(11&gt;=Hipótesis!$D$52,Hipótesis!$B$52=1),IF(Hipótesis!$G$52=1,Hipótesis!$C$44,Hipótesis!$C$52*(1+Hipótesis!$D$45)^0)*(1+Hipótesis!$D$42),0)</f>
        <v>-0</v>
      </c>
      <c r="N48" s="109" t="n">
        <f aca="false">-IF(AND(12&gt;=Hipótesis!$D$52,Hipótesis!$B$52=1),IF(Hipótesis!$G$52=1,Hipótesis!$C$44,Hipótesis!$C$52*(1+Hipótesis!$D$45)^0)*(1+Hipótesis!$D$42),0)</f>
        <v>-0</v>
      </c>
      <c r="O48" s="109" t="n">
        <f aca="false">-IF(AND(13&gt;=Hipótesis!$D$52,Hipótesis!$B$52=1),IF(Hipótesis!$G$52=1,Hipótesis!$D$44,Hipótesis!$C$52*(1+Hipótesis!$D$45)^1)*(1+Hipótesis!$D$42),0)</f>
        <v>-0</v>
      </c>
      <c r="P48" s="109" t="n">
        <f aca="false">-IF(AND(14&gt;=Hipótesis!$D$52,Hipótesis!$B$52=1),IF(Hipótesis!$G$52=1,Hipótesis!$D$44,Hipótesis!$C$52*(1+Hipótesis!$D$45)^1)*(1+Hipótesis!$D$42),0)</f>
        <v>-0</v>
      </c>
      <c r="Q48" s="109" t="n">
        <f aca="false">-IF(AND(15&gt;=Hipótesis!$D$52,Hipótesis!$B$52=1),IF(Hipótesis!$G$52=1,Hipótesis!$D$44,Hipótesis!$C$52*(1+Hipótesis!$D$45)^1)*(1+Hipótesis!$D$42),0)</f>
        <v>-0</v>
      </c>
      <c r="R48" s="109" t="n">
        <f aca="false">-IF(AND(16&gt;=Hipótesis!$D$52,Hipótesis!$B$52=1),IF(Hipótesis!$G$52=1,Hipótesis!$D$44,Hipótesis!$C$52*(1+Hipótesis!$D$45)^1)*(1+Hipótesis!$D$42),0)</f>
        <v>-0</v>
      </c>
      <c r="S48" s="109" t="n">
        <f aca="false">-IF(AND(17&gt;=Hipótesis!$D$52,Hipótesis!$B$52=1),IF(Hipótesis!$G$52=1,Hipótesis!$D$44,Hipótesis!$C$52*(1+Hipótesis!$D$45)^1)*(1+Hipótesis!$D$42),0)</f>
        <v>-0</v>
      </c>
      <c r="T48" s="109" t="n">
        <f aca="false">-IF(AND(18&gt;=Hipótesis!$D$52,Hipótesis!$B$52=1),IF(Hipótesis!$G$52=1,Hipótesis!$D$44,Hipótesis!$C$52*(1+Hipótesis!$D$45)^1)*(1+Hipótesis!$D$42),0)</f>
        <v>-0</v>
      </c>
      <c r="U48" s="109" t="n">
        <f aca="false">-IF(AND(19&gt;=Hipótesis!$D$52,Hipótesis!$B$52=1),IF(Hipótesis!$G$52=1,Hipótesis!$D$44,Hipótesis!$C$52*(1+Hipótesis!$D$45)^1)*(1+Hipótesis!$D$42),0)</f>
        <v>-0</v>
      </c>
      <c r="V48" s="109" t="n">
        <f aca="false">-IF(AND(20&gt;=Hipótesis!$D$52,Hipótesis!$B$52=1),IF(Hipótesis!$G$52=1,Hipótesis!$D$44,Hipótesis!$C$52*(1+Hipótesis!$D$45)^1)*(1+Hipótesis!$D$42),0)</f>
        <v>-2719.2</v>
      </c>
      <c r="W48" s="109" t="n">
        <f aca="false">-IF(AND(21&gt;=Hipótesis!$D$52,Hipótesis!$B$52=1),IF(Hipótesis!$G$52=1,Hipótesis!$D$44,Hipótesis!$C$52*(1+Hipótesis!$D$45)^1)*(1+Hipótesis!$D$42),0)</f>
        <v>-2719.2</v>
      </c>
      <c r="X48" s="109" t="n">
        <f aca="false">-IF(AND(22&gt;=Hipótesis!$D$52,Hipótesis!$B$52=1),IF(Hipótesis!$G$52=1,Hipótesis!$D$44,Hipótesis!$C$52*(1+Hipótesis!$D$45)^1)*(1+Hipótesis!$D$42),0)</f>
        <v>-2719.2</v>
      </c>
      <c r="Y48" s="109" t="n">
        <f aca="false">-IF(AND(23&gt;=Hipótesis!$D$52,Hipótesis!$B$52=1),IF(Hipótesis!$G$52=1,Hipótesis!$D$44,Hipótesis!$C$52*(1+Hipótesis!$D$45)^1)*(1+Hipótesis!$D$42),0)</f>
        <v>-2719.2</v>
      </c>
      <c r="Z48" s="109" t="n">
        <f aca="false">-IF(AND(24&gt;=Hipótesis!$D$52,Hipótesis!$B$52=1),IF(Hipótesis!$G$52=1,Hipótesis!$D$44,Hipótesis!$C$52*(1+Hipótesis!$D$45)^1)*(1+Hipótesis!$D$42),0)</f>
        <v>-2719.2</v>
      </c>
      <c r="AA48" s="109" t="n">
        <f aca="false">-IF(AND(25&gt;=Hipótesis!$D$52,Hipótesis!$B$52=1),IF(Hipótesis!$G$52=1,Hipótesis!$E$44,Hipótesis!$C$52*(1+Hipótesis!$D$45)^2)*(1+Hipótesis!$D$42),0)</f>
        <v>-2800.776</v>
      </c>
      <c r="AB48" s="109" t="n">
        <f aca="false">-IF(AND(26&gt;=Hipótesis!$D$52,Hipótesis!$B$52=1),IF(Hipótesis!$G$52=1,Hipótesis!$E$44,Hipótesis!$C$52*(1+Hipótesis!$D$45)^2)*(1+Hipótesis!$D$42),0)</f>
        <v>-2800.776</v>
      </c>
      <c r="AC48" s="109" t="n">
        <f aca="false">-IF(AND(27&gt;=Hipótesis!$D$52,Hipótesis!$B$52=1),IF(Hipótesis!$G$52=1,Hipótesis!$E$44,Hipótesis!$C$52*(1+Hipótesis!$D$45)^2)*(1+Hipótesis!$D$42),0)</f>
        <v>-2800.776</v>
      </c>
      <c r="AD48" s="109" t="n">
        <f aca="false">-IF(AND(28&gt;=Hipótesis!$D$52,Hipótesis!$B$52=1),IF(Hipótesis!$G$52=1,Hipótesis!$E$44,Hipótesis!$C$52*(1+Hipótesis!$D$45)^2)*(1+Hipótesis!$D$42),0)</f>
        <v>-2800.776</v>
      </c>
      <c r="AE48" s="109" t="n">
        <f aca="false">-IF(AND(29&gt;=Hipótesis!$D$52,Hipótesis!$B$52=1),IF(Hipótesis!$G$52=1,Hipótesis!$E$44,Hipótesis!$C$52*(1+Hipótesis!$D$45)^2)*(1+Hipótesis!$D$42),0)</f>
        <v>-2800.776</v>
      </c>
      <c r="AF48" s="109" t="n">
        <f aca="false">-IF(AND(30&gt;=Hipótesis!$D$52,Hipótesis!$B$52=1),IF(Hipótesis!$G$52=1,Hipótesis!$E$44,Hipótesis!$C$52*(1+Hipótesis!$D$45)^2)*(1+Hipótesis!$D$42),0)</f>
        <v>-2800.776</v>
      </c>
      <c r="AG48" s="109" t="n">
        <f aca="false">-IF(AND(31&gt;=Hipótesis!$D$52,Hipótesis!$B$52=1),IF(Hipótesis!$G$52=1,Hipótesis!$E$44,Hipótesis!$C$52*(1+Hipótesis!$D$45)^2)*(1+Hipótesis!$D$42),0)</f>
        <v>-2800.776</v>
      </c>
      <c r="AH48" s="109" t="n">
        <f aca="false">-IF(AND(32&gt;=Hipótesis!$D$52,Hipótesis!$B$52=1),IF(Hipótesis!$G$52=1,Hipótesis!$E$44,Hipótesis!$C$52*(1+Hipótesis!$D$45)^2)*(1+Hipótesis!$D$42),0)</f>
        <v>-2800.776</v>
      </c>
      <c r="AI48" s="109" t="n">
        <f aca="false">-IF(AND(33&gt;=Hipótesis!$D$52,Hipótesis!$B$52=1),IF(Hipótesis!$G$52=1,Hipótesis!$E$44,Hipótesis!$C$52*(1+Hipótesis!$D$45)^2)*(1+Hipótesis!$D$42),0)</f>
        <v>-2800.776</v>
      </c>
      <c r="AJ48" s="109" t="n">
        <f aca="false">-IF(AND(34&gt;=Hipótesis!$D$52,Hipótesis!$B$52=1),IF(Hipótesis!$G$52=1,Hipótesis!$E$44,Hipótesis!$C$52*(1+Hipótesis!$D$45)^2)*(1+Hipótesis!$D$42),0)</f>
        <v>-2800.776</v>
      </c>
      <c r="AK48" s="109" t="n">
        <f aca="false">-IF(AND(35&gt;=Hipótesis!$D$52,Hipótesis!$B$52=1),IF(Hipótesis!$G$52=1,Hipótesis!$E$44,Hipótesis!$C$52*(1+Hipótesis!$D$45)^2)*(1+Hipótesis!$D$42),0)</f>
        <v>-2800.776</v>
      </c>
      <c r="AL48" s="109" t="n">
        <f aca="false">-IF(AND(36&gt;=Hipótesis!$D$52,Hipótesis!$B$52=1),IF(Hipótesis!$G$52=1,Hipótesis!$E$44,Hipótesis!$C$52*(1+Hipótesis!$D$45)^2)*(1+Hipótesis!$D$42),0)</f>
        <v>-2800.776</v>
      </c>
      <c r="AM48" s="109" t="n">
        <f aca="false">-IF(AND(37&gt;=Hipótesis!$D$52,Hipótesis!$B$52=1),IF(Hipótesis!$G$52=1,Hipótesis!$F$44,Hipótesis!$C$52*(1+Hipótesis!$D$45)^3)*(1+Hipótesis!$D$42),0)</f>
        <v>-2884.79928</v>
      </c>
      <c r="AN48" s="109" t="n">
        <f aca="false">-IF(AND(38&gt;=Hipótesis!$D$52,Hipótesis!$B$52=1),IF(Hipótesis!$G$52=1,Hipótesis!$F$44,Hipótesis!$C$52*(1+Hipótesis!$D$45)^3)*(1+Hipótesis!$D$42),0)</f>
        <v>-2884.79928</v>
      </c>
      <c r="AO48" s="109" t="n">
        <f aca="false">-IF(AND(39&gt;=Hipótesis!$D$52,Hipótesis!$B$52=1),IF(Hipótesis!$G$52=1,Hipótesis!$F$44,Hipótesis!$C$52*(1+Hipótesis!$D$45)^3)*(1+Hipótesis!$D$42),0)</f>
        <v>-2884.79928</v>
      </c>
      <c r="AP48" s="109" t="n">
        <f aca="false">-IF(AND(40&gt;=Hipótesis!$D$52,Hipótesis!$B$52=1),IF(Hipótesis!$G$52=1,Hipótesis!$F$44,Hipótesis!$C$52*(1+Hipótesis!$D$45)^3)*(1+Hipótesis!$D$42),0)</f>
        <v>-2884.79928</v>
      </c>
      <c r="AQ48" s="109" t="n">
        <f aca="false">-IF(AND(41&gt;=Hipótesis!$D$52,Hipótesis!$B$52=1),IF(Hipótesis!$G$52=1,Hipótesis!$F$44,Hipótesis!$C$52*(1+Hipótesis!$D$45)^3)*(1+Hipótesis!$D$42),0)</f>
        <v>-2884.79928</v>
      </c>
      <c r="AR48" s="109" t="n">
        <f aca="false">-IF(AND(42&gt;=Hipótesis!$D$52,Hipótesis!$B$52=1),IF(Hipótesis!$G$52=1,Hipótesis!$F$44,Hipótesis!$C$52*(1+Hipótesis!$D$45)^3)*(1+Hipótesis!$D$42),0)</f>
        <v>-2884.79928</v>
      </c>
      <c r="AS48" s="109" t="n">
        <f aca="false">-IF(AND(43&gt;=Hipótesis!$D$52,Hipótesis!$B$52=1),IF(Hipótesis!$G$52=1,Hipótesis!$F$44,Hipótesis!$C$52*(1+Hipótesis!$D$45)^3)*(1+Hipótesis!$D$42),0)</f>
        <v>-2884.79928</v>
      </c>
      <c r="AT48" s="109" t="n">
        <f aca="false">-IF(AND(44&gt;=Hipótesis!$D$52,Hipótesis!$B$52=1),IF(Hipótesis!$G$52=1,Hipótesis!$F$44,Hipótesis!$C$52*(1+Hipótesis!$D$45)^3)*(1+Hipótesis!$D$42),0)</f>
        <v>-2884.79928</v>
      </c>
      <c r="AU48" s="109" t="n">
        <f aca="false">-IF(AND(45&gt;=Hipótesis!$D$52,Hipótesis!$B$52=1),IF(Hipótesis!$G$52=1,Hipótesis!$F$44,Hipótesis!$C$52*(1+Hipótesis!$D$45)^3)*(1+Hipótesis!$D$42),0)</f>
        <v>-2884.79928</v>
      </c>
      <c r="AV48" s="109" t="n">
        <f aca="false">-IF(AND(46&gt;=Hipótesis!$D$52,Hipótesis!$B$52=1),IF(Hipótesis!$G$52=1,Hipótesis!$F$44,Hipótesis!$C$52*(1+Hipótesis!$D$45)^3)*(1+Hipótesis!$D$42),0)</f>
        <v>-2884.79928</v>
      </c>
      <c r="AW48" s="109" t="n">
        <f aca="false">-IF(AND(47&gt;=Hipótesis!$D$52,Hipótesis!$B$52=1),IF(Hipótesis!$G$52=1,Hipótesis!$F$44,Hipótesis!$C$52*(1+Hipótesis!$D$45)^3)*(1+Hipótesis!$D$42),0)</f>
        <v>-2884.79928</v>
      </c>
      <c r="AX48" s="109" t="n">
        <f aca="false">-IF(AND(48&gt;=Hipótesis!$D$52,Hipótesis!$B$52=1),IF(Hipótesis!$G$52=1,Hipótesis!$F$44,Hipótesis!$C$52*(1+Hipótesis!$D$45)^3)*(1+Hipótesis!$D$42),0)</f>
        <v>-2884.79928</v>
      </c>
      <c r="AY48" s="109" t="n">
        <f aca="false">-IF(AND(49&gt;=Hipótesis!$D$52,Hipótesis!$B$52=1),IF(Hipótesis!$G$52=1,Hipótesis!$G$44,Hipótesis!$C$52*(1+Hipótesis!$D$45)^4)*(1+Hipótesis!$D$42),0)</f>
        <v>-2971.3432584</v>
      </c>
      <c r="AZ48" s="109" t="n">
        <f aca="false">-IF(AND(50&gt;=Hipótesis!$D$52,Hipótesis!$B$52=1),IF(Hipótesis!$G$52=1,Hipótesis!$G$44,Hipótesis!$C$52*(1+Hipótesis!$D$45)^4)*(1+Hipótesis!$D$42),0)</f>
        <v>-2971.3432584</v>
      </c>
      <c r="BA48" s="109" t="n">
        <f aca="false">-IF(AND(51&gt;=Hipótesis!$D$52,Hipótesis!$B$52=1),IF(Hipótesis!$G$52=1,Hipótesis!$G$44,Hipótesis!$C$52*(1+Hipótesis!$D$45)^4)*(1+Hipótesis!$D$42),0)</f>
        <v>-2971.3432584</v>
      </c>
      <c r="BB48" s="109" t="n">
        <f aca="false">-IF(AND(52&gt;=Hipótesis!$D$52,Hipótesis!$B$52=1),IF(Hipótesis!$G$52=1,Hipótesis!$G$44,Hipótesis!$C$52*(1+Hipótesis!$D$45)^4)*(1+Hipótesis!$D$42),0)</f>
        <v>-2971.3432584</v>
      </c>
      <c r="BC48" s="109" t="n">
        <f aca="false">-IF(AND(53&gt;=Hipótesis!$D$52,Hipótesis!$B$52=1),IF(Hipótesis!$G$52=1,Hipótesis!$G$44,Hipótesis!$C$52*(1+Hipótesis!$D$45)^4)*(1+Hipótesis!$D$42),0)</f>
        <v>-2971.3432584</v>
      </c>
      <c r="BD48" s="109" t="n">
        <f aca="false">-IF(AND(54&gt;=Hipótesis!$D$52,Hipótesis!$B$52=1),IF(Hipótesis!$G$52=1,Hipótesis!$G$44,Hipótesis!$C$52*(1+Hipótesis!$D$45)^4)*(1+Hipótesis!$D$42),0)</f>
        <v>-2971.3432584</v>
      </c>
      <c r="BE48" s="109" t="n">
        <f aca="false">-IF(AND(55&gt;=Hipótesis!$D$52,Hipótesis!$B$52=1),IF(Hipótesis!$G$52=1,Hipótesis!$G$44,Hipótesis!$C$52*(1+Hipótesis!$D$45)^4)*(1+Hipótesis!$D$42),0)</f>
        <v>-2971.3432584</v>
      </c>
      <c r="BF48" s="109" t="n">
        <f aca="false">-IF(AND(56&gt;=Hipótesis!$D$52,Hipótesis!$B$52=1),IF(Hipótesis!$G$52=1,Hipótesis!$G$44,Hipótesis!$C$52*(1+Hipótesis!$D$45)^4)*(1+Hipótesis!$D$42),0)</f>
        <v>-2971.3432584</v>
      </c>
      <c r="BG48" s="109" t="n">
        <f aca="false">-IF(AND(57&gt;=Hipótesis!$D$52,Hipótesis!$B$52=1),IF(Hipótesis!$G$52=1,Hipótesis!$G$44,Hipótesis!$C$52*(1+Hipótesis!$D$45)^4)*(1+Hipótesis!$D$42),0)</f>
        <v>-2971.3432584</v>
      </c>
      <c r="BH48" s="109" t="n">
        <f aca="false">-IF(AND(58&gt;=Hipótesis!$D$52,Hipótesis!$B$52=1),IF(Hipótesis!$G$52=1,Hipótesis!$G$44,Hipótesis!$C$52*(1+Hipótesis!$D$45)^4)*(1+Hipótesis!$D$42),0)</f>
        <v>-2971.3432584</v>
      </c>
      <c r="BI48" s="109" t="n">
        <f aca="false">-IF(AND(59&gt;=Hipótesis!$D$52,Hipótesis!$B$52=1),IF(Hipótesis!$G$52=1,Hipótesis!$G$44,Hipótesis!$C$52*(1+Hipótesis!$D$45)^4)*(1+Hipótesis!$D$42),0)</f>
        <v>-2971.3432584</v>
      </c>
      <c r="BJ48" s="109" t="n">
        <f aca="false">-IF(AND(60&gt;=Hipótesis!$D$52,Hipótesis!$B$52=1),IF(Hipótesis!$G$52=1,Hipótesis!$G$44,Hipótesis!$C$52*(1+Hipótesis!$D$45)^4)*(1+Hipótesis!$D$42),0)</f>
        <v>-2971.3432584</v>
      </c>
      <c r="BK48" s="109" t="n">
        <f aca="false">-IF(AND(61&gt;=Hipótesis!$D$52,Hipótesis!$B$52=1),IF(Hipótesis!$G$52=1,Hipótesis!$H$44,Hipótesis!$C$52*(1+Hipótesis!$D$45)^5)*(1+Hipótesis!$D$42),0)</f>
        <v>-3060.483556152</v>
      </c>
      <c r="BL48" s="109" t="n">
        <f aca="false">-IF(AND(62&gt;=Hipótesis!$D$52,Hipótesis!$B$52=1),IF(Hipótesis!$G$52=1,Hipótesis!$H$44,Hipótesis!$C$52*(1+Hipótesis!$D$45)^5)*(1+Hipótesis!$D$42),0)</f>
        <v>-3060.483556152</v>
      </c>
      <c r="BM48" s="109" t="n">
        <f aca="false">-IF(AND(63&gt;=Hipótesis!$D$52,Hipótesis!$B$52=1),IF(Hipótesis!$G$52=1,Hipótesis!$H$44,Hipótesis!$C$52*(1+Hipótesis!$D$45)^5)*(1+Hipótesis!$D$42),0)</f>
        <v>-3060.483556152</v>
      </c>
      <c r="BN48" s="109" t="n">
        <f aca="false">-IF(AND(64&gt;=Hipótesis!$D$52,Hipótesis!$B$52=1),IF(Hipótesis!$G$52=1,Hipótesis!$H$44,Hipótesis!$C$52*(1+Hipótesis!$D$45)^5)*(1+Hipótesis!$D$42),0)</f>
        <v>-3060.483556152</v>
      </c>
      <c r="BO48" s="109" t="n">
        <f aca="false">-IF(AND(65&gt;=Hipótesis!$D$52,Hipótesis!$B$52=1),IF(Hipótesis!$G$52=1,Hipótesis!$H$44,Hipótesis!$C$52*(1+Hipótesis!$D$45)^5)*(1+Hipótesis!$D$42),0)</f>
        <v>-3060.483556152</v>
      </c>
      <c r="BP48" s="109" t="n">
        <f aca="false">-IF(AND(66&gt;=Hipótesis!$D$52,Hipótesis!$B$52=1),IF(Hipótesis!$G$52=1,Hipótesis!$H$44,Hipótesis!$C$52*(1+Hipótesis!$D$45)^5)*(1+Hipótesis!$D$42),0)</f>
        <v>-3060.483556152</v>
      </c>
      <c r="BQ48" s="109" t="n">
        <f aca="false">-IF(AND(67&gt;=Hipótesis!$D$52,Hipótesis!$B$52=1),IF(Hipótesis!$G$52=1,Hipótesis!$H$44,Hipótesis!$C$52*(1+Hipótesis!$D$45)^5)*(1+Hipótesis!$D$42),0)</f>
        <v>-3060.483556152</v>
      </c>
      <c r="BR48" s="109" t="n">
        <f aca="false">-IF(AND(68&gt;=Hipótesis!$D$52,Hipótesis!$B$52=1),IF(Hipótesis!$G$52=1,Hipótesis!$H$44,Hipótesis!$C$52*(1+Hipótesis!$D$45)^5)*(1+Hipótesis!$D$42),0)</f>
        <v>-3060.483556152</v>
      </c>
      <c r="BS48" s="109" t="n">
        <f aca="false">-IF(AND(69&gt;=Hipótesis!$D$52,Hipótesis!$B$52=1),IF(Hipótesis!$G$52=1,Hipótesis!$H$44,Hipótesis!$C$52*(1+Hipótesis!$D$45)^5)*(1+Hipótesis!$D$42),0)</f>
        <v>-3060.483556152</v>
      </c>
      <c r="BT48" s="109" t="n">
        <f aca="false">-IF(AND(70&gt;=Hipótesis!$D$52,Hipótesis!$B$52=1),IF(Hipótesis!$G$52=1,Hipótesis!$H$44,Hipótesis!$C$52*(1+Hipótesis!$D$45)^5)*(1+Hipótesis!$D$42),0)</f>
        <v>-3060.483556152</v>
      </c>
      <c r="BU48" s="109" t="n">
        <f aca="false">-IF(AND(71&gt;=Hipótesis!$D$52,Hipótesis!$B$52=1),IF(Hipótesis!$G$52=1,Hipótesis!$H$44,Hipótesis!$C$52*(1+Hipótesis!$D$45)^5)*(1+Hipótesis!$D$42),0)</f>
        <v>-3060.483556152</v>
      </c>
      <c r="BV48" s="109" t="n">
        <f aca="false">-IF(AND(72&gt;=Hipótesis!$D$52,Hipótesis!$B$52=1),IF(Hipótesis!$G$52=1,Hipótesis!$H$44,Hipótesis!$C$52*(1+Hipótesis!$D$45)^5)*(1+Hipótesis!$D$42),0)</f>
        <v>-3060.483556152</v>
      </c>
      <c r="BW48" s="109" t="n">
        <f aca="false">-IF(AND(73&gt;=Hipótesis!$D$52,Hipótesis!$B$52=1),IF(Hipótesis!$G$52=1,Hipótesis!$I$44,Hipótesis!$C$52*(1+Hipótesis!$D$45)^6)*(1+Hipótesis!$D$42),0)</f>
        <v>-3152.29806283656</v>
      </c>
      <c r="BX48" s="109" t="n">
        <f aca="false">-IF(AND(74&gt;=Hipótesis!$D$52,Hipótesis!$B$52=1),IF(Hipótesis!$G$52=1,Hipótesis!$I$44,Hipótesis!$C$52*(1+Hipótesis!$D$45)^6)*(1+Hipótesis!$D$42),0)</f>
        <v>-3152.29806283656</v>
      </c>
      <c r="BY48" s="109" t="n">
        <f aca="false">-IF(AND(75&gt;=Hipótesis!$D$52,Hipótesis!$B$52=1),IF(Hipótesis!$G$52=1,Hipótesis!$I$44,Hipótesis!$C$52*(1+Hipótesis!$D$45)^6)*(1+Hipótesis!$D$42),0)</f>
        <v>-3152.29806283656</v>
      </c>
      <c r="BZ48" s="109" t="n">
        <f aca="false">-IF(AND(76&gt;=Hipótesis!$D$52,Hipótesis!$B$52=1),IF(Hipótesis!$G$52=1,Hipótesis!$I$44,Hipótesis!$C$52*(1+Hipótesis!$D$45)^6)*(1+Hipótesis!$D$42),0)</f>
        <v>-3152.29806283656</v>
      </c>
      <c r="CA48" s="109" t="n">
        <f aca="false">-IF(AND(77&gt;=Hipótesis!$D$52,Hipótesis!$B$52=1),IF(Hipótesis!$G$52=1,Hipótesis!$I$44,Hipótesis!$C$52*(1+Hipótesis!$D$45)^6)*(1+Hipótesis!$D$42),0)</f>
        <v>-3152.29806283656</v>
      </c>
      <c r="CB48" s="109" t="n">
        <f aca="false">-IF(AND(78&gt;=Hipótesis!$D$52,Hipótesis!$B$52=1),IF(Hipótesis!$G$52=1,Hipótesis!$I$44,Hipótesis!$C$52*(1+Hipótesis!$D$45)^6)*(1+Hipótesis!$D$42),0)</f>
        <v>-3152.29806283656</v>
      </c>
      <c r="CC48" s="109" t="n">
        <f aca="false">-IF(AND(79&gt;=Hipótesis!$D$52,Hipótesis!$B$52=1),IF(Hipótesis!$G$52=1,Hipótesis!$I$44,Hipótesis!$C$52*(1+Hipótesis!$D$45)^6)*(1+Hipótesis!$D$42),0)</f>
        <v>-3152.29806283656</v>
      </c>
      <c r="CD48" s="109" t="n">
        <f aca="false">-IF(AND(80&gt;=Hipótesis!$D$52,Hipótesis!$B$52=1),IF(Hipótesis!$G$52=1,Hipótesis!$I$44,Hipótesis!$C$52*(1+Hipótesis!$D$45)^6)*(1+Hipótesis!$D$42),0)</f>
        <v>-3152.29806283656</v>
      </c>
      <c r="CE48" s="109" t="n">
        <f aca="false">-IF(AND(81&gt;=Hipótesis!$D$52,Hipótesis!$B$52=1),IF(Hipótesis!$G$52=1,Hipótesis!$I$44,Hipótesis!$C$52*(1+Hipótesis!$D$45)^6)*(1+Hipótesis!$D$42),0)</f>
        <v>-3152.29806283656</v>
      </c>
      <c r="CF48" s="109" t="n">
        <f aca="false">-IF(AND(82&gt;=Hipótesis!$D$52,Hipótesis!$B$52=1),IF(Hipótesis!$G$52=1,Hipótesis!$I$44,Hipótesis!$C$52*(1+Hipótesis!$D$45)^6)*(1+Hipótesis!$D$42),0)</f>
        <v>-3152.29806283656</v>
      </c>
      <c r="CG48" s="109" t="n">
        <f aca="false">-IF(AND(83&gt;=Hipótesis!$D$52,Hipótesis!$B$52=1),IF(Hipótesis!$G$52=1,Hipótesis!$I$44,Hipótesis!$C$52*(1+Hipótesis!$D$45)^6)*(1+Hipótesis!$D$42),0)</f>
        <v>-3152.29806283656</v>
      </c>
      <c r="CH48" s="109" t="n">
        <f aca="false">-IF(AND(84&gt;=Hipótesis!$D$52,Hipótesis!$B$52=1),IF(Hipótesis!$G$52=1,Hipótesis!$I$44,Hipótesis!$C$52*(1+Hipótesis!$D$45)^6)*(1+Hipótesis!$D$42),0)</f>
        <v>-3152.29806283656</v>
      </c>
    </row>
    <row r="49" customFormat="false" ht="13.5" hidden="false" customHeight="true" outlineLevel="0" collapsed="false">
      <c r="A49" s="6" t="s">
        <v>554</v>
      </c>
      <c r="C49" s="109" t="n">
        <f aca="false">-IF(AND(1&gt;=Hipótesis!$D$53,Hipótesis!$B$53=1),IF(Hipótesis!$G$53=1,Hipótesis!$C$44,Hipótesis!$C$53*(1+Hipótesis!$D$45)^0)*(1+Hipótesis!$D$42),0)</f>
        <v>-0</v>
      </c>
      <c r="D49" s="109" t="n">
        <f aca="false">-IF(AND(2&gt;=Hipótesis!$D$53,Hipótesis!$B$53=1),IF(Hipótesis!$G$53=1,Hipótesis!$C$44,Hipótesis!$C$53*(1+Hipótesis!$D$45)^0)*(1+Hipótesis!$D$42),0)</f>
        <v>-0</v>
      </c>
      <c r="E49" s="109" t="n">
        <f aca="false">-IF(AND(3&gt;=Hipótesis!$D$53,Hipótesis!$B$53=1),IF(Hipótesis!$G$53=1,Hipótesis!$C$44,Hipótesis!$C$53*(1+Hipótesis!$D$45)^0)*(1+Hipótesis!$D$42),0)</f>
        <v>-0</v>
      </c>
      <c r="F49" s="109" t="n">
        <f aca="false">-IF(AND(4&gt;=Hipótesis!$D$53,Hipótesis!$B$53=1),IF(Hipótesis!$G$53=1,Hipótesis!$C$44,Hipótesis!$C$53*(1+Hipótesis!$D$45)^0)*(1+Hipótesis!$D$42),0)</f>
        <v>-0</v>
      </c>
      <c r="G49" s="109" t="n">
        <f aca="false">-IF(AND(5&gt;=Hipótesis!$D$53,Hipótesis!$B$53=1),IF(Hipótesis!$G$53=1,Hipótesis!$C$44,Hipótesis!$C$53*(1+Hipótesis!$D$45)^0)*(1+Hipótesis!$D$42),0)</f>
        <v>-0</v>
      </c>
      <c r="H49" s="109" t="n">
        <f aca="false">-IF(AND(6&gt;=Hipótesis!$D$53,Hipótesis!$B$53=1),IF(Hipótesis!$G$53=1,Hipótesis!$C$44,Hipótesis!$C$53*(1+Hipótesis!$D$45)^0)*(1+Hipótesis!$D$42),0)</f>
        <v>-0</v>
      </c>
      <c r="I49" s="109" t="n">
        <f aca="false">-IF(AND(7&gt;=Hipótesis!$D$53,Hipótesis!$B$53=1),IF(Hipótesis!$G$53=1,Hipótesis!$C$44,Hipótesis!$C$53*(1+Hipótesis!$D$45)^0)*(1+Hipótesis!$D$42),0)</f>
        <v>-0</v>
      </c>
      <c r="J49" s="109" t="n">
        <f aca="false">-IF(AND(8&gt;=Hipótesis!$D$53,Hipótesis!$B$53=1),IF(Hipótesis!$G$53=1,Hipótesis!$C$44,Hipótesis!$C$53*(1+Hipótesis!$D$45)^0)*(1+Hipótesis!$D$42),0)</f>
        <v>-0</v>
      </c>
      <c r="K49" s="109" t="n">
        <f aca="false">-IF(AND(9&gt;=Hipótesis!$D$53,Hipótesis!$B$53=1),IF(Hipótesis!$G$53=1,Hipótesis!$C$44,Hipótesis!$C$53*(1+Hipótesis!$D$45)^0)*(1+Hipótesis!$D$42),0)</f>
        <v>-0</v>
      </c>
      <c r="L49" s="109" t="n">
        <f aca="false">-IF(AND(10&gt;=Hipótesis!$D$53,Hipótesis!$B$53=1),IF(Hipótesis!$G$53=1,Hipótesis!$C$44,Hipótesis!$C$53*(1+Hipótesis!$D$45)^0)*(1+Hipótesis!$D$42),0)</f>
        <v>-0</v>
      </c>
      <c r="M49" s="109" t="n">
        <f aca="false">-IF(AND(11&gt;=Hipótesis!$D$53,Hipótesis!$B$53=1),IF(Hipótesis!$G$53=1,Hipótesis!$C$44,Hipótesis!$C$53*(1+Hipótesis!$D$45)^0)*(1+Hipótesis!$D$42),0)</f>
        <v>-0</v>
      </c>
      <c r="N49" s="109" t="n">
        <f aca="false">-IF(AND(12&gt;=Hipótesis!$D$53,Hipótesis!$B$53=1),IF(Hipótesis!$G$53=1,Hipótesis!$C$44,Hipótesis!$C$53*(1+Hipótesis!$D$45)^0)*(1+Hipótesis!$D$42),0)</f>
        <v>-0</v>
      </c>
      <c r="O49" s="109" t="n">
        <f aca="false">-IF(AND(13&gt;=Hipótesis!$D$53,Hipótesis!$B$53=1),IF(Hipótesis!$G$53=1,Hipótesis!$D$44,Hipótesis!$C$53*(1+Hipótesis!$D$45)^1)*(1+Hipótesis!$D$42),0)</f>
        <v>-0</v>
      </c>
      <c r="P49" s="109" t="n">
        <f aca="false">-IF(AND(14&gt;=Hipótesis!$D$53,Hipótesis!$B$53=1),IF(Hipótesis!$G$53=1,Hipótesis!$D$44,Hipótesis!$C$53*(1+Hipótesis!$D$45)^1)*(1+Hipótesis!$D$42),0)</f>
        <v>-0</v>
      </c>
      <c r="Q49" s="109" t="n">
        <f aca="false">-IF(AND(15&gt;=Hipótesis!$D$53,Hipótesis!$B$53=1),IF(Hipótesis!$G$53=1,Hipótesis!$D$44,Hipótesis!$C$53*(1+Hipótesis!$D$45)^1)*(1+Hipótesis!$D$42),0)</f>
        <v>-0</v>
      </c>
      <c r="R49" s="109" t="n">
        <f aca="false">-IF(AND(16&gt;=Hipótesis!$D$53,Hipótesis!$B$53=1),IF(Hipótesis!$G$53=1,Hipótesis!$D$44,Hipótesis!$C$53*(1+Hipótesis!$D$45)^1)*(1+Hipótesis!$D$42),0)</f>
        <v>-0</v>
      </c>
      <c r="S49" s="109" t="n">
        <f aca="false">-IF(AND(17&gt;=Hipótesis!$D$53,Hipótesis!$B$53=1),IF(Hipótesis!$G$53=1,Hipótesis!$D$44,Hipótesis!$C$53*(1+Hipótesis!$D$45)^1)*(1+Hipótesis!$D$42),0)</f>
        <v>-0</v>
      </c>
      <c r="T49" s="109" t="n">
        <f aca="false">-IF(AND(18&gt;=Hipótesis!$D$53,Hipótesis!$B$53=1),IF(Hipótesis!$G$53=1,Hipótesis!$D$44,Hipótesis!$C$53*(1+Hipótesis!$D$45)^1)*(1+Hipótesis!$D$42),0)</f>
        <v>-0</v>
      </c>
      <c r="U49" s="109" t="n">
        <f aca="false">-IF(AND(19&gt;=Hipótesis!$D$53,Hipótesis!$B$53=1),IF(Hipótesis!$G$53=1,Hipótesis!$D$44,Hipótesis!$C$53*(1+Hipótesis!$D$45)^1)*(1+Hipótesis!$D$42),0)</f>
        <v>-0</v>
      </c>
      <c r="V49" s="109" t="n">
        <f aca="false">-IF(AND(20&gt;=Hipótesis!$D$53,Hipótesis!$B$53=1),IF(Hipótesis!$G$53=1,Hipótesis!$D$44,Hipótesis!$C$53*(1+Hipótesis!$D$45)^1)*(1+Hipótesis!$D$42),0)</f>
        <v>-0</v>
      </c>
      <c r="W49" s="109" t="n">
        <f aca="false">-IF(AND(21&gt;=Hipótesis!$D$53,Hipótesis!$B$53=1),IF(Hipótesis!$G$53=1,Hipótesis!$D$44,Hipótesis!$C$53*(1+Hipótesis!$D$45)^1)*(1+Hipótesis!$D$42),0)</f>
        <v>-0</v>
      </c>
      <c r="X49" s="109" t="n">
        <f aca="false">-IF(AND(22&gt;=Hipótesis!$D$53,Hipótesis!$B$53=1),IF(Hipótesis!$G$53=1,Hipótesis!$D$44,Hipótesis!$C$53*(1+Hipótesis!$D$45)^1)*(1+Hipótesis!$D$42),0)</f>
        <v>-0</v>
      </c>
      <c r="Y49" s="109" t="n">
        <f aca="false">-IF(AND(23&gt;=Hipótesis!$D$53,Hipótesis!$B$53=1),IF(Hipótesis!$G$53=1,Hipótesis!$D$44,Hipótesis!$C$53*(1+Hipótesis!$D$45)^1)*(1+Hipótesis!$D$42),0)</f>
        <v>-0</v>
      </c>
      <c r="Z49" s="109" t="n">
        <f aca="false">-IF(AND(24&gt;=Hipótesis!$D$53,Hipótesis!$B$53=1),IF(Hipótesis!$G$53=1,Hipótesis!$D$44,Hipótesis!$C$53*(1+Hipótesis!$D$45)^1)*(1+Hipótesis!$D$42),0)</f>
        <v>-0</v>
      </c>
      <c r="AA49" s="109" t="n">
        <f aca="false">-IF(AND(25&gt;=Hipótesis!$D$53,Hipótesis!$B$53=1),IF(Hipótesis!$G$53=1,Hipótesis!$E$44,Hipótesis!$C$53*(1+Hipótesis!$D$45)^2)*(1+Hipótesis!$D$42),0)</f>
        <v>-0</v>
      </c>
      <c r="AB49" s="109" t="n">
        <f aca="false">-IF(AND(26&gt;=Hipótesis!$D$53,Hipótesis!$B$53=1),IF(Hipótesis!$G$53=1,Hipótesis!$E$44,Hipótesis!$C$53*(1+Hipótesis!$D$45)^2)*(1+Hipótesis!$D$42),0)</f>
        <v>-0</v>
      </c>
      <c r="AC49" s="109" t="n">
        <f aca="false">-IF(AND(27&gt;=Hipótesis!$D$53,Hipótesis!$B$53=1),IF(Hipótesis!$G$53=1,Hipótesis!$E$44,Hipótesis!$C$53*(1+Hipótesis!$D$45)^2)*(1+Hipótesis!$D$42),0)</f>
        <v>-0</v>
      </c>
      <c r="AD49" s="109" t="n">
        <f aca="false">-IF(AND(28&gt;=Hipótesis!$D$53,Hipótesis!$B$53=1),IF(Hipótesis!$G$53=1,Hipótesis!$E$44,Hipótesis!$C$53*(1+Hipótesis!$D$45)^2)*(1+Hipótesis!$D$42),0)</f>
        <v>-0</v>
      </c>
      <c r="AE49" s="109" t="n">
        <f aca="false">-IF(AND(29&gt;=Hipótesis!$D$53,Hipótesis!$B$53=1),IF(Hipótesis!$G$53=1,Hipótesis!$E$44,Hipótesis!$C$53*(1+Hipótesis!$D$45)^2)*(1+Hipótesis!$D$42),0)</f>
        <v>-0</v>
      </c>
      <c r="AF49" s="109" t="n">
        <f aca="false">-IF(AND(30&gt;=Hipótesis!$D$53,Hipótesis!$B$53=1),IF(Hipótesis!$G$53=1,Hipótesis!$E$44,Hipótesis!$C$53*(1+Hipótesis!$D$45)^2)*(1+Hipótesis!$D$42),0)</f>
        <v>-0</v>
      </c>
      <c r="AG49" s="109" t="n">
        <f aca="false">-IF(AND(31&gt;=Hipótesis!$D$53,Hipótesis!$B$53=1),IF(Hipótesis!$G$53=1,Hipótesis!$E$44,Hipótesis!$C$53*(1+Hipótesis!$D$45)^2)*(1+Hipótesis!$D$42),0)</f>
        <v>-0</v>
      </c>
      <c r="AH49" s="109" t="n">
        <f aca="false">-IF(AND(32&gt;=Hipótesis!$D$53,Hipótesis!$B$53=1),IF(Hipótesis!$G$53=1,Hipótesis!$E$44,Hipótesis!$C$53*(1+Hipótesis!$D$45)^2)*(1+Hipótesis!$D$42),0)</f>
        <v>-0</v>
      </c>
      <c r="AI49" s="109" t="n">
        <f aca="false">-IF(AND(33&gt;=Hipótesis!$D$53,Hipótesis!$B$53=1),IF(Hipótesis!$G$53=1,Hipótesis!$E$44,Hipótesis!$C$53*(1+Hipótesis!$D$45)^2)*(1+Hipótesis!$D$42),0)</f>
        <v>-0</v>
      </c>
      <c r="AJ49" s="109" t="n">
        <f aca="false">-IF(AND(34&gt;=Hipótesis!$D$53,Hipótesis!$B$53=1),IF(Hipótesis!$G$53=1,Hipótesis!$E$44,Hipótesis!$C$53*(1+Hipótesis!$D$45)^2)*(1+Hipótesis!$D$42),0)</f>
        <v>-0</v>
      </c>
      <c r="AK49" s="109" t="n">
        <f aca="false">-IF(AND(35&gt;=Hipótesis!$D$53,Hipótesis!$B$53=1),IF(Hipótesis!$G$53=1,Hipótesis!$E$44,Hipótesis!$C$53*(1+Hipótesis!$D$45)^2)*(1+Hipótesis!$D$42),0)</f>
        <v>-0</v>
      </c>
      <c r="AL49" s="109" t="n">
        <f aca="false">-IF(AND(36&gt;=Hipótesis!$D$53,Hipótesis!$B$53=1),IF(Hipótesis!$G$53=1,Hipótesis!$E$44,Hipótesis!$C$53*(1+Hipótesis!$D$45)^2)*(1+Hipótesis!$D$42),0)</f>
        <v>-0</v>
      </c>
      <c r="AM49" s="109" t="n">
        <f aca="false">-IF(AND(37&gt;=Hipótesis!$D$53,Hipótesis!$B$53=1),IF(Hipótesis!$G$53=1,Hipótesis!$F$44,Hipótesis!$C$53*(1+Hipótesis!$D$45)^3)*(1+Hipótesis!$D$42),0)</f>
        <v>-0</v>
      </c>
      <c r="AN49" s="109" t="n">
        <f aca="false">-IF(AND(38&gt;=Hipótesis!$D$53,Hipótesis!$B$53=1),IF(Hipótesis!$G$53=1,Hipótesis!$F$44,Hipótesis!$C$53*(1+Hipótesis!$D$45)^3)*(1+Hipótesis!$D$42),0)</f>
        <v>-0</v>
      </c>
      <c r="AO49" s="109" t="n">
        <f aca="false">-IF(AND(39&gt;=Hipótesis!$D$53,Hipótesis!$B$53=1),IF(Hipótesis!$G$53=1,Hipótesis!$F$44,Hipótesis!$C$53*(1+Hipótesis!$D$45)^3)*(1+Hipótesis!$D$42),0)</f>
        <v>-0</v>
      </c>
      <c r="AP49" s="109" t="n">
        <f aca="false">-IF(AND(40&gt;=Hipótesis!$D$53,Hipótesis!$B$53=1),IF(Hipótesis!$G$53=1,Hipótesis!$F$44,Hipótesis!$C$53*(1+Hipótesis!$D$45)^3)*(1+Hipótesis!$D$42),0)</f>
        <v>-0</v>
      </c>
      <c r="AQ49" s="109" t="n">
        <f aca="false">-IF(AND(41&gt;=Hipótesis!$D$53,Hipótesis!$B$53=1),IF(Hipótesis!$G$53=1,Hipótesis!$F$44,Hipótesis!$C$53*(1+Hipótesis!$D$45)^3)*(1+Hipótesis!$D$42),0)</f>
        <v>-0</v>
      </c>
      <c r="AR49" s="109" t="n">
        <f aca="false">-IF(AND(42&gt;=Hipótesis!$D$53,Hipótesis!$B$53=1),IF(Hipótesis!$G$53=1,Hipótesis!$F$44,Hipótesis!$C$53*(1+Hipótesis!$D$45)^3)*(1+Hipótesis!$D$42),0)</f>
        <v>-0</v>
      </c>
      <c r="AS49" s="109" t="n">
        <f aca="false">-IF(AND(43&gt;=Hipótesis!$D$53,Hipótesis!$B$53=1),IF(Hipótesis!$G$53=1,Hipótesis!$F$44,Hipótesis!$C$53*(1+Hipótesis!$D$45)^3)*(1+Hipótesis!$D$42),0)</f>
        <v>-0</v>
      </c>
      <c r="AT49" s="109" t="n">
        <f aca="false">-IF(AND(44&gt;=Hipótesis!$D$53,Hipótesis!$B$53=1),IF(Hipótesis!$G$53=1,Hipótesis!$F$44,Hipótesis!$C$53*(1+Hipótesis!$D$45)^3)*(1+Hipótesis!$D$42),0)</f>
        <v>-0</v>
      </c>
      <c r="AU49" s="109" t="n">
        <f aca="false">-IF(AND(45&gt;=Hipótesis!$D$53,Hipótesis!$B$53=1),IF(Hipótesis!$G$53=1,Hipótesis!$F$44,Hipótesis!$C$53*(1+Hipótesis!$D$45)^3)*(1+Hipótesis!$D$42),0)</f>
        <v>-0</v>
      </c>
      <c r="AV49" s="109" t="n">
        <f aca="false">-IF(AND(46&gt;=Hipótesis!$D$53,Hipótesis!$B$53=1),IF(Hipótesis!$G$53=1,Hipótesis!$F$44,Hipótesis!$C$53*(1+Hipótesis!$D$45)^3)*(1+Hipótesis!$D$42),0)</f>
        <v>-0</v>
      </c>
      <c r="AW49" s="109" t="n">
        <f aca="false">-IF(AND(47&gt;=Hipótesis!$D$53,Hipótesis!$B$53=1),IF(Hipótesis!$G$53=1,Hipótesis!$F$44,Hipótesis!$C$53*(1+Hipótesis!$D$45)^3)*(1+Hipótesis!$D$42),0)</f>
        <v>-0</v>
      </c>
      <c r="AX49" s="109" t="n">
        <f aca="false">-IF(AND(48&gt;=Hipótesis!$D$53,Hipótesis!$B$53=1),IF(Hipótesis!$G$53=1,Hipótesis!$F$44,Hipótesis!$C$53*(1+Hipótesis!$D$45)^3)*(1+Hipótesis!$D$42),0)</f>
        <v>-0</v>
      </c>
      <c r="AY49" s="109" t="n">
        <f aca="false">-IF(AND(49&gt;=Hipótesis!$D$53,Hipótesis!$B$53=1),IF(Hipótesis!$G$53=1,Hipótesis!$G$44,Hipótesis!$C$53*(1+Hipótesis!$D$45)^4)*(1+Hipótesis!$D$42),0)</f>
        <v>-0</v>
      </c>
      <c r="AZ49" s="109" t="n">
        <f aca="false">-IF(AND(50&gt;=Hipótesis!$D$53,Hipótesis!$B$53=1),IF(Hipótesis!$G$53=1,Hipótesis!$G$44,Hipótesis!$C$53*(1+Hipótesis!$D$45)^4)*(1+Hipótesis!$D$42),0)</f>
        <v>-0</v>
      </c>
      <c r="BA49" s="109" t="n">
        <f aca="false">-IF(AND(51&gt;=Hipótesis!$D$53,Hipótesis!$B$53=1),IF(Hipótesis!$G$53=1,Hipótesis!$G$44,Hipótesis!$C$53*(1+Hipótesis!$D$45)^4)*(1+Hipótesis!$D$42),0)</f>
        <v>-0</v>
      </c>
      <c r="BB49" s="109" t="n">
        <f aca="false">-IF(AND(52&gt;=Hipótesis!$D$53,Hipótesis!$B$53=1),IF(Hipótesis!$G$53=1,Hipótesis!$G$44,Hipótesis!$C$53*(1+Hipótesis!$D$45)^4)*(1+Hipótesis!$D$42),0)</f>
        <v>-0</v>
      </c>
      <c r="BC49" s="109" t="n">
        <f aca="false">-IF(AND(53&gt;=Hipótesis!$D$53,Hipótesis!$B$53=1),IF(Hipótesis!$G$53=1,Hipótesis!$G$44,Hipótesis!$C$53*(1+Hipótesis!$D$45)^4)*(1+Hipótesis!$D$42),0)</f>
        <v>-0</v>
      </c>
      <c r="BD49" s="109" t="n">
        <f aca="false">-IF(AND(54&gt;=Hipótesis!$D$53,Hipótesis!$B$53=1),IF(Hipótesis!$G$53=1,Hipótesis!$G$44,Hipótesis!$C$53*(1+Hipótesis!$D$45)^4)*(1+Hipótesis!$D$42),0)</f>
        <v>-0</v>
      </c>
      <c r="BE49" s="109" t="n">
        <f aca="false">-IF(AND(55&gt;=Hipótesis!$D$53,Hipótesis!$B$53=1),IF(Hipótesis!$G$53=1,Hipótesis!$G$44,Hipótesis!$C$53*(1+Hipótesis!$D$45)^4)*(1+Hipótesis!$D$42),0)</f>
        <v>-0</v>
      </c>
      <c r="BF49" s="109" t="n">
        <f aca="false">-IF(AND(56&gt;=Hipótesis!$D$53,Hipótesis!$B$53=1),IF(Hipótesis!$G$53=1,Hipótesis!$G$44,Hipótesis!$C$53*(1+Hipótesis!$D$45)^4)*(1+Hipótesis!$D$42),0)</f>
        <v>-0</v>
      </c>
      <c r="BG49" s="109" t="n">
        <f aca="false">-IF(AND(57&gt;=Hipótesis!$D$53,Hipótesis!$B$53=1),IF(Hipótesis!$G$53=1,Hipótesis!$G$44,Hipótesis!$C$53*(1+Hipótesis!$D$45)^4)*(1+Hipótesis!$D$42),0)</f>
        <v>-0</v>
      </c>
      <c r="BH49" s="109" t="n">
        <f aca="false">-IF(AND(58&gt;=Hipótesis!$D$53,Hipótesis!$B$53=1),IF(Hipótesis!$G$53=1,Hipótesis!$G$44,Hipótesis!$C$53*(1+Hipótesis!$D$45)^4)*(1+Hipótesis!$D$42),0)</f>
        <v>-0</v>
      </c>
      <c r="BI49" s="109" t="n">
        <f aca="false">-IF(AND(59&gt;=Hipótesis!$D$53,Hipótesis!$B$53=1),IF(Hipótesis!$G$53=1,Hipótesis!$G$44,Hipótesis!$C$53*(1+Hipótesis!$D$45)^4)*(1+Hipótesis!$D$42),0)</f>
        <v>-0</v>
      </c>
      <c r="BJ49" s="109" t="n">
        <f aca="false">-IF(AND(60&gt;=Hipótesis!$D$53,Hipótesis!$B$53=1),IF(Hipótesis!$G$53=1,Hipótesis!$G$44,Hipótesis!$C$53*(1+Hipótesis!$D$45)^4)*(1+Hipótesis!$D$42),0)</f>
        <v>-0</v>
      </c>
      <c r="BK49" s="109" t="n">
        <f aca="false">-IF(AND(61&gt;=Hipótesis!$D$53,Hipótesis!$B$53=1),IF(Hipótesis!$G$53=1,Hipótesis!$H$44,Hipótesis!$C$53*(1+Hipótesis!$D$45)^5)*(1+Hipótesis!$D$42),0)</f>
        <v>-0</v>
      </c>
      <c r="BL49" s="109" t="n">
        <f aca="false">-IF(AND(62&gt;=Hipótesis!$D$53,Hipótesis!$B$53=1),IF(Hipótesis!$G$53=1,Hipótesis!$H$44,Hipótesis!$C$53*(1+Hipótesis!$D$45)^5)*(1+Hipótesis!$D$42),0)</f>
        <v>-0</v>
      </c>
      <c r="BM49" s="109" t="n">
        <f aca="false">-IF(AND(63&gt;=Hipótesis!$D$53,Hipótesis!$B$53=1),IF(Hipótesis!$G$53=1,Hipótesis!$H$44,Hipótesis!$C$53*(1+Hipótesis!$D$45)^5)*(1+Hipótesis!$D$42),0)</f>
        <v>-0</v>
      </c>
      <c r="BN49" s="109" t="n">
        <f aca="false">-IF(AND(64&gt;=Hipótesis!$D$53,Hipótesis!$B$53=1),IF(Hipótesis!$G$53=1,Hipótesis!$H$44,Hipótesis!$C$53*(1+Hipótesis!$D$45)^5)*(1+Hipótesis!$D$42),0)</f>
        <v>-0</v>
      </c>
      <c r="BO49" s="109" t="n">
        <f aca="false">-IF(AND(65&gt;=Hipótesis!$D$53,Hipótesis!$B$53=1),IF(Hipótesis!$G$53=1,Hipótesis!$H$44,Hipótesis!$C$53*(1+Hipótesis!$D$45)^5)*(1+Hipótesis!$D$42),0)</f>
        <v>-0</v>
      </c>
      <c r="BP49" s="109" t="n">
        <f aca="false">-IF(AND(66&gt;=Hipótesis!$D$53,Hipótesis!$B$53=1),IF(Hipótesis!$G$53=1,Hipótesis!$H$44,Hipótesis!$C$53*(1+Hipótesis!$D$45)^5)*(1+Hipótesis!$D$42),0)</f>
        <v>-0</v>
      </c>
      <c r="BQ49" s="109" t="n">
        <f aca="false">-IF(AND(67&gt;=Hipótesis!$D$53,Hipótesis!$B$53=1),IF(Hipótesis!$G$53=1,Hipótesis!$H$44,Hipótesis!$C$53*(1+Hipótesis!$D$45)^5)*(1+Hipótesis!$D$42),0)</f>
        <v>-0</v>
      </c>
      <c r="BR49" s="109" t="n">
        <f aca="false">-IF(AND(68&gt;=Hipótesis!$D$53,Hipótesis!$B$53=1),IF(Hipótesis!$G$53=1,Hipótesis!$H$44,Hipótesis!$C$53*(1+Hipótesis!$D$45)^5)*(1+Hipótesis!$D$42),0)</f>
        <v>-0</v>
      </c>
      <c r="BS49" s="109" t="n">
        <f aca="false">-IF(AND(69&gt;=Hipótesis!$D$53,Hipótesis!$B$53=1),IF(Hipótesis!$G$53=1,Hipótesis!$H$44,Hipótesis!$C$53*(1+Hipótesis!$D$45)^5)*(1+Hipótesis!$D$42),0)</f>
        <v>-0</v>
      </c>
      <c r="BT49" s="109" t="n">
        <f aca="false">-IF(AND(70&gt;=Hipótesis!$D$53,Hipótesis!$B$53=1),IF(Hipótesis!$G$53=1,Hipótesis!$H$44,Hipótesis!$C$53*(1+Hipótesis!$D$45)^5)*(1+Hipótesis!$D$42),0)</f>
        <v>-0</v>
      </c>
      <c r="BU49" s="109" t="n">
        <f aca="false">-IF(AND(71&gt;=Hipótesis!$D$53,Hipótesis!$B$53=1),IF(Hipótesis!$G$53=1,Hipótesis!$H$44,Hipótesis!$C$53*(1+Hipótesis!$D$45)^5)*(1+Hipótesis!$D$42),0)</f>
        <v>-0</v>
      </c>
      <c r="BV49" s="109" t="n">
        <f aca="false">-IF(AND(72&gt;=Hipótesis!$D$53,Hipótesis!$B$53=1),IF(Hipótesis!$G$53=1,Hipótesis!$H$44,Hipótesis!$C$53*(1+Hipótesis!$D$45)^5)*(1+Hipótesis!$D$42),0)</f>
        <v>-0</v>
      </c>
      <c r="BW49" s="109" t="n">
        <f aca="false">-IF(AND(73&gt;=Hipótesis!$D$53,Hipótesis!$B$53=1),IF(Hipótesis!$G$53=1,Hipótesis!$I$44,Hipótesis!$C$53*(1+Hipótesis!$D$45)^6)*(1+Hipótesis!$D$42),0)</f>
        <v>-0</v>
      </c>
      <c r="BX49" s="109" t="n">
        <f aca="false">-IF(AND(74&gt;=Hipótesis!$D$53,Hipótesis!$B$53=1),IF(Hipótesis!$G$53=1,Hipótesis!$I$44,Hipótesis!$C$53*(1+Hipótesis!$D$45)^6)*(1+Hipótesis!$D$42),0)</f>
        <v>-0</v>
      </c>
      <c r="BY49" s="109" t="n">
        <f aca="false">-IF(AND(75&gt;=Hipótesis!$D$53,Hipótesis!$B$53=1),IF(Hipótesis!$G$53=1,Hipótesis!$I$44,Hipótesis!$C$53*(1+Hipótesis!$D$45)^6)*(1+Hipótesis!$D$42),0)</f>
        <v>-0</v>
      </c>
      <c r="BZ49" s="109" t="n">
        <f aca="false">-IF(AND(76&gt;=Hipótesis!$D$53,Hipótesis!$B$53=1),IF(Hipótesis!$G$53=1,Hipótesis!$I$44,Hipótesis!$C$53*(1+Hipótesis!$D$45)^6)*(1+Hipótesis!$D$42),0)</f>
        <v>-0</v>
      </c>
      <c r="CA49" s="109" t="n">
        <f aca="false">-IF(AND(77&gt;=Hipótesis!$D$53,Hipótesis!$B$53=1),IF(Hipótesis!$G$53=1,Hipótesis!$I$44,Hipótesis!$C$53*(1+Hipótesis!$D$45)^6)*(1+Hipótesis!$D$42),0)</f>
        <v>-0</v>
      </c>
      <c r="CB49" s="109" t="n">
        <f aca="false">-IF(AND(78&gt;=Hipótesis!$D$53,Hipótesis!$B$53=1),IF(Hipótesis!$G$53=1,Hipótesis!$I$44,Hipótesis!$C$53*(1+Hipótesis!$D$45)^6)*(1+Hipótesis!$D$42),0)</f>
        <v>-0</v>
      </c>
      <c r="CC49" s="109" t="n">
        <f aca="false">-IF(AND(79&gt;=Hipótesis!$D$53,Hipótesis!$B$53=1),IF(Hipótesis!$G$53=1,Hipótesis!$I$44,Hipótesis!$C$53*(1+Hipótesis!$D$45)^6)*(1+Hipótesis!$D$42),0)</f>
        <v>-0</v>
      </c>
      <c r="CD49" s="109" t="n">
        <f aca="false">-IF(AND(80&gt;=Hipótesis!$D$53,Hipótesis!$B$53=1),IF(Hipótesis!$G$53=1,Hipótesis!$I$44,Hipótesis!$C$53*(1+Hipótesis!$D$45)^6)*(1+Hipótesis!$D$42),0)</f>
        <v>-0</v>
      </c>
      <c r="CE49" s="109" t="n">
        <f aca="false">-IF(AND(81&gt;=Hipótesis!$D$53,Hipótesis!$B$53=1),IF(Hipótesis!$G$53=1,Hipótesis!$I$44,Hipótesis!$C$53*(1+Hipótesis!$D$45)^6)*(1+Hipótesis!$D$42),0)</f>
        <v>-0</v>
      </c>
      <c r="CF49" s="109" t="n">
        <f aca="false">-IF(AND(82&gt;=Hipótesis!$D$53,Hipótesis!$B$53=1),IF(Hipótesis!$G$53=1,Hipótesis!$I$44,Hipótesis!$C$53*(1+Hipótesis!$D$45)^6)*(1+Hipótesis!$D$42),0)</f>
        <v>-0</v>
      </c>
      <c r="CG49" s="109" t="n">
        <f aca="false">-IF(AND(83&gt;=Hipótesis!$D$53,Hipótesis!$B$53=1),IF(Hipótesis!$G$53=1,Hipótesis!$I$44,Hipótesis!$C$53*(1+Hipótesis!$D$45)^6)*(1+Hipótesis!$D$42),0)</f>
        <v>-0</v>
      </c>
      <c r="CH49" s="109" t="n">
        <f aca="false">-IF(AND(84&gt;=Hipótesis!$D$53,Hipótesis!$B$53=1),IF(Hipótesis!$G$53=1,Hipótesis!$I$44,Hipótesis!$C$53*(1+Hipótesis!$D$45)^6)*(1+Hipótesis!$D$42),0)</f>
        <v>-0</v>
      </c>
    </row>
    <row r="50" customFormat="false" ht="13.5" hidden="false" customHeight="true" outlineLevel="0" collapsed="false">
      <c r="A50" s="22" t="s">
        <v>555</v>
      </c>
      <c r="C50" s="109" t="n">
        <f aca="false">-C30*Hipótesis!$D$61*(1+Hipótesis!$D$45)^0*(1+Hipótesis!$D$42)</f>
        <v>-0</v>
      </c>
      <c r="D50" s="109" t="n">
        <f aca="false">-D30*Hipótesis!$D$61*(1+Hipótesis!$D$45)^0*(1+Hipótesis!$D$42)</f>
        <v>-0</v>
      </c>
      <c r="E50" s="109" t="n">
        <f aca="false">-E30*Hipótesis!$D$61*(1+Hipótesis!$D$45)^0*(1+Hipótesis!$D$42)</f>
        <v>-0</v>
      </c>
      <c r="F50" s="109" t="n">
        <f aca="false">-F30*Hipótesis!$D$61*(1+Hipótesis!$D$45)^0*(1+Hipótesis!$D$42)</f>
        <v>-0</v>
      </c>
      <c r="G50" s="109" t="n">
        <f aca="false">-G30*Hipótesis!$D$61*(1+Hipótesis!$D$45)^0*(1+Hipótesis!$D$42)</f>
        <v>-0</v>
      </c>
      <c r="H50" s="109" t="n">
        <f aca="false">-H30*Hipótesis!$D$61*(1+Hipótesis!$D$45)^0*(1+Hipótesis!$D$42)</f>
        <v>-0</v>
      </c>
      <c r="I50" s="109" t="n">
        <f aca="false">-I30*Hipótesis!$D$61*(1+Hipótesis!$D$45)^0*(1+Hipótesis!$D$42)</f>
        <v>-0</v>
      </c>
      <c r="J50" s="109" t="n">
        <f aca="false">-J30*Hipótesis!$D$61*(1+Hipótesis!$D$45)^0*(1+Hipótesis!$D$42)</f>
        <v>-0</v>
      </c>
      <c r="K50" s="109" t="n">
        <f aca="false">-K30*Hipótesis!$D$61*(1+Hipótesis!$D$45)^0*(1+Hipótesis!$D$42)</f>
        <v>-0</v>
      </c>
      <c r="L50" s="109" t="n">
        <f aca="false">-L30*Hipótesis!$D$61*(1+Hipótesis!$D$45)^0*(1+Hipótesis!$D$42)</f>
        <v>-0</v>
      </c>
      <c r="M50" s="109" t="n">
        <f aca="false">-M30*Hipótesis!$D$61*(1+Hipótesis!$D$45)^0*(1+Hipótesis!$D$42)</f>
        <v>-0</v>
      </c>
      <c r="N50" s="109" t="n">
        <f aca="false">-N30*Hipótesis!$D$61*(1+Hipótesis!$D$45)^0*(1+Hipótesis!$D$42)</f>
        <v>-0</v>
      </c>
      <c r="O50" s="109" t="n">
        <f aca="false">-O30*Hipótesis!$D$61*(1+Hipótesis!$D$45)^1*(1+Hipótesis!$D$42)</f>
        <v>-0</v>
      </c>
      <c r="P50" s="109" t="n">
        <f aca="false">-P30*Hipótesis!$D$61*(1+Hipótesis!$D$45)^1*(1+Hipótesis!$D$42)</f>
        <v>-2311.32</v>
      </c>
      <c r="Q50" s="109" t="n">
        <f aca="false">-Q30*Hipótesis!$D$61*(1+Hipótesis!$D$45)^1*(1+Hipótesis!$D$42)</f>
        <v>-2311.32</v>
      </c>
      <c r="R50" s="109" t="n">
        <f aca="false">-R30*Hipótesis!$D$61*(1+Hipótesis!$D$45)^1*(1+Hipótesis!$D$42)</f>
        <v>-2311.32</v>
      </c>
      <c r="S50" s="109" t="n">
        <f aca="false">-S30*Hipótesis!$D$61*(1+Hipótesis!$D$45)^1*(1+Hipótesis!$D$42)</f>
        <v>-2311.32</v>
      </c>
      <c r="T50" s="109" t="n">
        <f aca="false">-T30*Hipótesis!$D$61*(1+Hipótesis!$D$45)^1*(1+Hipótesis!$D$42)</f>
        <v>-2311.32</v>
      </c>
      <c r="U50" s="109" t="n">
        <f aca="false">-U30*Hipótesis!$D$61*(1+Hipótesis!$D$45)^1*(1+Hipótesis!$D$42)</f>
        <v>-4622.64</v>
      </c>
      <c r="V50" s="109" t="n">
        <f aca="false">-V30*Hipótesis!$D$61*(1+Hipótesis!$D$45)^1*(1+Hipótesis!$D$42)</f>
        <v>-4622.64</v>
      </c>
      <c r="W50" s="109" t="n">
        <f aca="false">-W30*Hipótesis!$D$61*(1+Hipótesis!$D$45)^1*(1+Hipótesis!$D$42)</f>
        <v>-4622.64</v>
      </c>
      <c r="X50" s="109" t="n">
        <f aca="false">-X30*Hipótesis!$D$61*(1+Hipótesis!$D$45)^1*(1+Hipótesis!$D$42)</f>
        <v>-4622.64</v>
      </c>
      <c r="Y50" s="109" t="n">
        <f aca="false">-Y30*Hipótesis!$D$61*(1+Hipótesis!$D$45)^1*(1+Hipótesis!$D$42)</f>
        <v>-4622.64</v>
      </c>
      <c r="Z50" s="109" t="n">
        <f aca="false">-Z30*Hipótesis!$D$61*(1+Hipótesis!$D$45)^1*(1+Hipótesis!$D$42)</f>
        <v>-4622.64</v>
      </c>
      <c r="AA50" s="109" t="n">
        <f aca="false">-AA30*Hipótesis!$D$61*(1+Hipótesis!$D$45)^2*(1+Hipótesis!$D$42)</f>
        <v>-4761.3192</v>
      </c>
      <c r="AB50" s="109" t="n">
        <f aca="false">-AB30*Hipótesis!$D$61*(1+Hipótesis!$D$45)^2*(1+Hipótesis!$D$42)</f>
        <v>-7141.9788</v>
      </c>
      <c r="AC50" s="109" t="n">
        <f aca="false">-AC30*Hipótesis!$D$61*(1+Hipótesis!$D$45)^2*(1+Hipótesis!$D$42)</f>
        <v>-7141.9788</v>
      </c>
      <c r="AD50" s="109" t="n">
        <f aca="false">-AD30*Hipótesis!$D$61*(1+Hipótesis!$D$45)^2*(1+Hipótesis!$D$42)</f>
        <v>-7141.9788</v>
      </c>
      <c r="AE50" s="109" t="n">
        <f aca="false">-AE30*Hipótesis!$D$61*(1+Hipótesis!$D$45)^2*(1+Hipótesis!$D$42)</f>
        <v>-7141.9788</v>
      </c>
      <c r="AF50" s="109" t="n">
        <f aca="false">-AF30*Hipótesis!$D$61*(1+Hipótesis!$D$45)^2*(1+Hipótesis!$D$42)</f>
        <v>-7141.9788</v>
      </c>
      <c r="AG50" s="109" t="n">
        <f aca="false">-AG30*Hipótesis!$D$61*(1+Hipótesis!$D$45)^2*(1+Hipótesis!$D$42)</f>
        <v>-7141.9788</v>
      </c>
      <c r="AH50" s="109" t="n">
        <f aca="false">-AH30*Hipótesis!$D$61*(1+Hipótesis!$D$45)^2*(1+Hipótesis!$D$42)</f>
        <v>-7141.9788</v>
      </c>
      <c r="AI50" s="109" t="n">
        <f aca="false">-AI30*Hipótesis!$D$61*(1+Hipótesis!$D$45)^2*(1+Hipótesis!$D$42)</f>
        <v>-7141.9788</v>
      </c>
      <c r="AJ50" s="109" t="n">
        <f aca="false">-AJ30*Hipótesis!$D$61*(1+Hipótesis!$D$45)^2*(1+Hipótesis!$D$42)</f>
        <v>-7141.9788</v>
      </c>
      <c r="AK50" s="109" t="n">
        <f aca="false">-AK30*Hipótesis!$D$61*(1+Hipótesis!$D$45)^2*(1+Hipótesis!$D$42)</f>
        <v>-7141.9788</v>
      </c>
      <c r="AL50" s="109" t="n">
        <f aca="false">-AL30*Hipótesis!$D$61*(1+Hipótesis!$D$45)^2*(1+Hipótesis!$D$42)</f>
        <v>-7141.9788</v>
      </c>
      <c r="AM50" s="109" t="n">
        <f aca="false">-AM30*Hipótesis!$D$61*(1+Hipótesis!$D$45)^3*(1+Hipótesis!$D$42)</f>
        <v>-9808.317552</v>
      </c>
      <c r="AN50" s="109" t="n">
        <f aca="false">-AN30*Hipótesis!$D$61*(1+Hipótesis!$D$45)^3*(1+Hipótesis!$D$42)</f>
        <v>-9808.317552</v>
      </c>
      <c r="AO50" s="109" t="n">
        <f aca="false">-AO30*Hipótesis!$D$61*(1+Hipótesis!$D$45)^3*(1+Hipótesis!$D$42)</f>
        <v>-9808.317552</v>
      </c>
      <c r="AP50" s="109" t="n">
        <f aca="false">-AP30*Hipótesis!$D$61*(1+Hipótesis!$D$45)^3*(1+Hipótesis!$D$42)</f>
        <v>-9808.317552</v>
      </c>
      <c r="AQ50" s="109" t="n">
        <f aca="false">-AQ30*Hipótesis!$D$61*(1+Hipótesis!$D$45)^3*(1+Hipótesis!$D$42)</f>
        <v>-9808.317552</v>
      </c>
      <c r="AR50" s="109" t="n">
        <f aca="false">-AR30*Hipótesis!$D$61*(1+Hipótesis!$D$45)^3*(1+Hipótesis!$D$42)</f>
        <v>-9808.317552</v>
      </c>
      <c r="AS50" s="109" t="n">
        <f aca="false">-AS30*Hipótesis!$D$61*(1+Hipótesis!$D$45)^3*(1+Hipótesis!$D$42)</f>
        <v>-9808.317552</v>
      </c>
      <c r="AT50" s="109" t="n">
        <f aca="false">-AT30*Hipótesis!$D$61*(1+Hipótesis!$D$45)^3*(1+Hipótesis!$D$42)</f>
        <v>-9808.317552</v>
      </c>
      <c r="AU50" s="109" t="n">
        <f aca="false">-AU30*Hipótesis!$D$61*(1+Hipótesis!$D$45)^3*(1+Hipótesis!$D$42)</f>
        <v>-9808.317552</v>
      </c>
      <c r="AV50" s="109" t="n">
        <f aca="false">-AV30*Hipótesis!$D$61*(1+Hipótesis!$D$45)^3*(1+Hipótesis!$D$42)</f>
        <v>-9808.317552</v>
      </c>
      <c r="AW50" s="109" t="n">
        <f aca="false">-AW30*Hipótesis!$D$61*(1+Hipótesis!$D$45)^3*(1+Hipótesis!$D$42)</f>
        <v>-9808.317552</v>
      </c>
      <c r="AX50" s="109" t="n">
        <f aca="false">-AX30*Hipótesis!$D$61*(1+Hipótesis!$D$45)^3*(1+Hipótesis!$D$42)</f>
        <v>-9808.317552</v>
      </c>
      <c r="AY50" s="109" t="n">
        <f aca="false">-AY30*Hipótesis!$D$61*(1+Hipótesis!$D$45)^4*(1+Hipótesis!$D$42)</f>
        <v>-10102.56707856</v>
      </c>
      <c r="AZ50" s="109" t="n">
        <f aca="false">-AZ30*Hipótesis!$D$61*(1+Hipótesis!$D$45)^4*(1+Hipótesis!$D$42)</f>
        <v>-10102.56707856</v>
      </c>
      <c r="BA50" s="109" t="n">
        <f aca="false">-BA30*Hipótesis!$D$61*(1+Hipótesis!$D$45)^4*(1+Hipótesis!$D$42)</f>
        <v>-10102.56707856</v>
      </c>
      <c r="BB50" s="109" t="n">
        <f aca="false">-BB30*Hipótesis!$D$61*(1+Hipótesis!$D$45)^4*(1+Hipótesis!$D$42)</f>
        <v>-10102.56707856</v>
      </c>
      <c r="BC50" s="109" t="n">
        <f aca="false">-BC30*Hipótesis!$D$61*(1+Hipótesis!$D$45)^4*(1+Hipótesis!$D$42)</f>
        <v>-10102.56707856</v>
      </c>
      <c r="BD50" s="109" t="n">
        <f aca="false">-BD30*Hipótesis!$D$61*(1+Hipótesis!$D$45)^4*(1+Hipótesis!$D$42)</f>
        <v>-10102.56707856</v>
      </c>
      <c r="BE50" s="109" t="n">
        <f aca="false">-BE30*Hipótesis!$D$61*(1+Hipótesis!$D$45)^4*(1+Hipótesis!$D$42)</f>
        <v>-10102.56707856</v>
      </c>
      <c r="BF50" s="109" t="n">
        <f aca="false">-BF30*Hipótesis!$D$61*(1+Hipótesis!$D$45)^4*(1+Hipótesis!$D$42)</f>
        <v>-10102.56707856</v>
      </c>
      <c r="BG50" s="109" t="n">
        <f aca="false">-BG30*Hipótesis!$D$61*(1+Hipótesis!$D$45)^4*(1+Hipótesis!$D$42)</f>
        <v>-10102.56707856</v>
      </c>
      <c r="BH50" s="109" t="n">
        <f aca="false">-BH30*Hipótesis!$D$61*(1+Hipótesis!$D$45)^4*(1+Hipótesis!$D$42)</f>
        <v>-10102.56707856</v>
      </c>
      <c r="BI50" s="109" t="n">
        <f aca="false">-BI30*Hipótesis!$D$61*(1+Hipótesis!$D$45)^4*(1+Hipótesis!$D$42)</f>
        <v>-10102.56707856</v>
      </c>
      <c r="BJ50" s="109" t="n">
        <f aca="false">-BJ30*Hipótesis!$D$61*(1+Hipótesis!$D$45)^4*(1+Hipótesis!$D$42)</f>
        <v>-10102.56707856</v>
      </c>
      <c r="BK50" s="109" t="n">
        <f aca="false">-BK30*Hipótesis!$D$61*(1+Hipótesis!$D$45)^5*(1+Hipótesis!$D$42)</f>
        <v>-10405.6440909168</v>
      </c>
      <c r="BL50" s="109" t="n">
        <f aca="false">-BL30*Hipótesis!$D$61*(1+Hipótesis!$D$45)^5*(1+Hipótesis!$D$42)</f>
        <v>-10405.6440909168</v>
      </c>
      <c r="BM50" s="109" t="n">
        <f aca="false">-BM30*Hipótesis!$D$61*(1+Hipótesis!$D$45)^5*(1+Hipótesis!$D$42)</f>
        <v>-10405.6440909168</v>
      </c>
      <c r="BN50" s="109" t="n">
        <f aca="false">-BN30*Hipótesis!$D$61*(1+Hipótesis!$D$45)^5*(1+Hipótesis!$D$42)</f>
        <v>-10405.6440909168</v>
      </c>
      <c r="BO50" s="109" t="n">
        <f aca="false">-BO30*Hipótesis!$D$61*(1+Hipótesis!$D$45)^5*(1+Hipótesis!$D$42)</f>
        <v>-10405.6440909168</v>
      </c>
      <c r="BP50" s="109" t="n">
        <f aca="false">-BP30*Hipótesis!$D$61*(1+Hipótesis!$D$45)^5*(1+Hipótesis!$D$42)</f>
        <v>-10405.6440909168</v>
      </c>
      <c r="BQ50" s="109" t="n">
        <f aca="false">-BQ30*Hipótesis!$D$61*(1+Hipótesis!$D$45)^5*(1+Hipótesis!$D$42)</f>
        <v>-10405.6440909168</v>
      </c>
      <c r="BR50" s="109" t="n">
        <f aca="false">-BR30*Hipótesis!$D$61*(1+Hipótesis!$D$45)^5*(1+Hipótesis!$D$42)</f>
        <v>-10405.6440909168</v>
      </c>
      <c r="BS50" s="109" t="n">
        <f aca="false">-BS30*Hipótesis!$D$61*(1+Hipótesis!$D$45)^5*(1+Hipótesis!$D$42)</f>
        <v>-10405.6440909168</v>
      </c>
      <c r="BT50" s="109" t="n">
        <f aca="false">-BT30*Hipótesis!$D$61*(1+Hipótesis!$D$45)^5*(1+Hipótesis!$D$42)</f>
        <v>-10405.6440909168</v>
      </c>
      <c r="BU50" s="109" t="n">
        <f aca="false">-BU30*Hipótesis!$D$61*(1+Hipótesis!$D$45)^5*(1+Hipótesis!$D$42)</f>
        <v>-10405.6440909168</v>
      </c>
      <c r="BV50" s="109" t="n">
        <f aca="false">-BV30*Hipótesis!$D$61*(1+Hipótesis!$D$45)^5*(1+Hipótesis!$D$42)</f>
        <v>-10405.6440909168</v>
      </c>
      <c r="BW50" s="109" t="n">
        <f aca="false">-BW30*Hipótesis!$D$61*(1+Hipótesis!$D$45)^6*(1+Hipótesis!$D$42)</f>
        <v>-10717.8134136443</v>
      </c>
      <c r="BX50" s="109" t="n">
        <f aca="false">-BX30*Hipótesis!$D$61*(1+Hipótesis!$D$45)^6*(1+Hipótesis!$D$42)</f>
        <v>-10717.8134136443</v>
      </c>
      <c r="BY50" s="109" t="n">
        <f aca="false">-BY30*Hipótesis!$D$61*(1+Hipótesis!$D$45)^6*(1+Hipótesis!$D$42)</f>
        <v>-10717.8134136443</v>
      </c>
      <c r="BZ50" s="109" t="n">
        <f aca="false">-BZ30*Hipótesis!$D$61*(1+Hipótesis!$D$45)^6*(1+Hipótesis!$D$42)</f>
        <v>-10717.8134136443</v>
      </c>
      <c r="CA50" s="109" t="n">
        <f aca="false">-CA30*Hipótesis!$D$61*(1+Hipótesis!$D$45)^6*(1+Hipótesis!$D$42)</f>
        <v>-10717.8134136443</v>
      </c>
      <c r="CB50" s="109" t="n">
        <f aca="false">-CB30*Hipótesis!$D$61*(1+Hipótesis!$D$45)^6*(1+Hipótesis!$D$42)</f>
        <v>-10717.8134136443</v>
      </c>
      <c r="CC50" s="109" t="n">
        <f aca="false">-CC30*Hipótesis!$D$61*(1+Hipótesis!$D$45)^6*(1+Hipótesis!$D$42)</f>
        <v>-10717.8134136443</v>
      </c>
      <c r="CD50" s="109" t="n">
        <f aca="false">-CD30*Hipótesis!$D$61*(1+Hipótesis!$D$45)^6*(1+Hipótesis!$D$42)</f>
        <v>-10717.8134136443</v>
      </c>
      <c r="CE50" s="109" t="n">
        <f aca="false">-CE30*Hipótesis!$D$61*(1+Hipótesis!$D$45)^6*(1+Hipótesis!$D$42)</f>
        <v>-10717.8134136443</v>
      </c>
      <c r="CF50" s="109" t="n">
        <f aca="false">-CF30*Hipótesis!$D$61*(1+Hipótesis!$D$45)^6*(1+Hipótesis!$D$42)</f>
        <v>-10717.8134136443</v>
      </c>
      <c r="CG50" s="109" t="n">
        <f aca="false">-CG30*Hipótesis!$D$61*(1+Hipótesis!$D$45)^6*(1+Hipótesis!$D$42)</f>
        <v>-10717.8134136443</v>
      </c>
      <c r="CH50" s="109" t="n">
        <f aca="false">-CH30*Hipótesis!$D$61*(1+Hipótesis!$D$45)^6*(1+Hipótesis!$D$42)</f>
        <v>-10717.8134136443</v>
      </c>
    </row>
    <row r="51" customFormat="false" ht="13.5" hidden="false" customHeight="true" outlineLevel="0" collapsed="false">
      <c r="A51" s="22" t="s">
        <v>556</v>
      </c>
      <c r="C51" s="109" t="n">
        <f aca="false">SUM(C44:C49)+C50</f>
        <v>-11352</v>
      </c>
      <c r="D51" s="109" t="n">
        <f aca="false">SUM(D44:D49)+D50</f>
        <v>-11352</v>
      </c>
      <c r="E51" s="109" t="n">
        <f aca="false">SUM(E44:E49)+E50</f>
        <v>-11352</v>
      </c>
      <c r="F51" s="109" t="n">
        <f aca="false">SUM(F44:F49)+F50</f>
        <v>-11352</v>
      </c>
      <c r="G51" s="109" t="n">
        <f aca="false">SUM(G44:G49)+G50</f>
        <v>-11352</v>
      </c>
      <c r="H51" s="109" t="n">
        <f aca="false">SUM(H44:H49)+H50</f>
        <v>-11352</v>
      </c>
      <c r="I51" s="109" t="n">
        <f aca="false">SUM(I44:I49)+I50</f>
        <v>-11352</v>
      </c>
      <c r="J51" s="109" t="n">
        <f aca="false">SUM(J44:J49)+J50</f>
        <v>-11352</v>
      </c>
      <c r="K51" s="109" t="n">
        <f aca="false">SUM(K44:K49)+K50</f>
        <v>-11352</v>
      </c>
      <c r="L51" s="109" t="n">
        <f aca="false">SUM(L44:L49)+L50</f>
        <v>-11352</v>
      </c>
      <c r="M51" s="109" t="n">
        <f aca="false">SUM(M44:M49)+M50</f>
        <v>-11352</v>
      </c>
      <c r="N51" s="109" t="n">
        <f aca="false">SUM(N44:N49)+N50</f>
        <v>-11352</v>
      </c>
      <c r="O51" s="109" t="n">
        <f aca="false">SUM(O44:O49)+O50</f>
        <v>-16579.2</v>
      </c>
      <c r="P51" s="109" t="n">
        <f aca="false">SUM(P44:P49)+P50</f>
        <v>-18890.52</v>
      </c>
      <c r="Q51" s="109" t="n">
        <f aca="false">SUM(Q44:Q49)+Q50</f>
        <v>-18890.52</v>
      </c>
      <c r="R51" s="109" t="n">
        <f aca="false">SUM(R44:R49)+R50</f>
        <v>-18890.52</v>
      </c>
      <c r="S51" s="109" t="n">
        <f aca="false">SUM(S44:S49)+S50</f>
        <v>-18890.52</v>
      </c>
      <c r="T51" s="109" t="n">
        <f aca="false">SUM(T44:T49)+T50</f>
        <v>-18890.52</v>
      </c>
      <c r="U51" s="109" t="n">
        <f aca="false">SUM(U44:U49)+U50</f>
        <v>-21201.84</v>
      </c>
      <c r="V51" s="109" t="n">
        <f aca="false">SUM(V44:V49)+V50</f>
        <v>-23921.04</v>
      </c>
      <c r="W51" s="109" t="n">
        <f aca="false">SUM(W44:W49)+W50</f>
        <v>-23921.04</v>
      </c>
      <c r="X51" s="109" t="n">
        <f aca="false">SUM(X44:X49)+X50</f>
        <v>-23921.04</v>
      </c>
      <c r="Y51" s="109" t="n">
        <f aca="false">SUM(Y44:Y49)+Y50</f>
        <v>-23921.04</v>
      </c>
      <c r="Z51" s="109" t="n">
        <f aca="false">SUM(Z44:Z49)+Z50</f>
        <v>-23921.04</v>
      </c>
      <c r="AA51" s="109" t="n">
        <f aca="false">SUM(AA44:AA49)+AA50</f>
        <v>-26202.8712</v>
      </c>
      <c r="AB51" s="109" t="n">
        <f aca="false">SUM(AB44:AB49)+AB50</f>
        <v>-28583.5308</v>
      </c>
      <c r="AC51" s="109" t="n">
        <f aca="false">SUM(AC44:AC49)+AC50</f>
        <v>-28583.5308</v>
      </c>
      <c r="AD51" s="109" t="n">
        <f aca="false">SUM(AD44:AD49)+AD50</f>
        <v>-28583.5308</v>
      </c>
      <c r="AE51" s="109" t="n">
        <f aca="false">SUM(AE44:AE49)+AE50</f>
        <v>-28583.5308</v>
      </c>
      <c r="AF51" s="109" t="n">
        <f aca="false">SUM(AF44:AF49)+AF50</f>
        <v>-28583.5308</v>
      </c>
      <c r="AG51" s="109" t="n">
        <f aca="false">SUM(AG44:AG49)+AG50</f>
        <v>-28583.5308</v>
      </c>
      <c r="AH51" s="109" t="n">
        <f aca="false">SUM(AH44:AH49)+AH50</f>
        <v>-28583.5308</v>
      </c>
      <c r="AI51" s="109" t="n">
        <f aca="false">SUM(AI44:AI49)+AI50</f>
        <v>-28583.5308</v>
      </c>
      <c r="AJ51" s="109" t="n">
        <f aca="false">SUM(AJ44:AJ49)+AJ50</f>
        <v>-28583.5308</v>
      </c>
      <c r="AK51" s="109" t="n">
        <f aca="false">SUM(AK44:AK49)+AK50</f>
        <v>-28583.5308</v>
      </c>
      <c r="AL51" s="109" t="n">
        <f aca="false">SUM(AL44:AL49)+AL50</f>
        <v>-28583.5308</v>
      </c>
      <c r="AM51" s="109" t="n">
        <f aca="false">SUM(AM44:AM49)+AM50</f>
        <v>-33397.916112</v>
      </c>
      <c r="AN51" s="109" t="n">
        <f aca="false">SUM(AN44:AN49)+AN50</f>
        <v>-33397.916112</v>
      </c>
      <c r="AO51" s="109" t="n">
        <f aca="false">SUM(AO44:AO49)+AO50</f>
        <v>-33397.916112</v>
      </c>
      <c r="AP51" s="109" t="n">
        <f aca="false">SUM(AP44:AP49)+AP50</f>
        <v>-33397.916112</v>
      </c>
      <c r="AQ51" s="109" t="n">
        <f aca="false">SUM(AQ44:AQ49)+AQ50</f>
        <v>-33397.916112</v>
      </c>
      <c r="AR51" s="109" t="n">
        <f aca="false">SUM(AR44:AR49)+AR50</f>
        <v>-33397.916112</v>
      </c>
      <c r="AS51" s="109" t="n">
        <f aca="false">SUM(AS44:AS49)+AS50</f>
        <v>-33397.916112</v>
      </c>
      <c r="AT51" s="109" t="n">
        <f aca="false">SUM(AT44:AT49)+AT50</f>
        <v>-33397.916112</v>
      </c>
      <c r="AU51" s="109" t="n">
        <f aca="false">SUM(AU44:AU49)+AU50</f>
        <v>-33397.916112</v>
      </c>
      <c r="AV51" s="109" t="n">
        <f aca="false">SUM(AV44:AV49)+AV50</f>
        <v>-33397.916112</v>
      </c>
      <c r="AW51" s="109" t="n">
        <f aca="false">SUM(AW44:AW49)+AW50</f>
        <v>-33397.916112</v>
      </c>
      <c r="AX51" s="109" t="n">
        <f aca="false">SUM(AX44:AX49)+AX50</f>
        <v>-33397.916112</v>
      </c>
      <c r="AY51" s="109" t="n">
        <f aca="false">SUM(AY44:AY49)+AY50</f>
        <v>-35845.25359536</v>
      </c>
      <c r="AZ51" s="109" t="n">
        <f aca="false">SUM(AZ44:AZ49)+AZ50</f>
        <v>-35845.25359536</v>
      </c>
      <c r="BA51" s="109" t="n">
        <f aca="false">SUM(BA44:BA49)+BA50</f>
        <v>-35845.25359536</v>
      </c>
      <c r="BB51" s="109" t="n">
        <f aca="false">SUM(BB44:BB49)+BB50</f>
        <v>-35845.25359536</v>
      </c>
      <c r="BC51" s="109" t="n">
        <f aca="false">SUM(BC44:BC49)+BC50</f>
        <v>-35845.25359536</v>
      </c>
      <c r="BD51" s="109" t="n">
        <f aca="false">SUM(BD44:BD49)+BD50</f>
        <v>-35845.25359536</v>
      </c>
      <c r="BE51" s="109" t="n">
        <f aca="false">SUM(BE44:BE49)+BE50</f>
        <v>-35845.25359536</v>
      </c>
      <c r="BF51" s="109" t="n">
        <f aca="false">SUM(BF44:BF49)+BF50</f>
        <v>-35845.25359536</v>
      </c>
      <c r="BG51" s="109" t="n">
        <f aca="false">SUM(BG44:BG49)+BG50</f>
        <v>-35845.25359536</v>
      </c>
      <c r="BH51" s="109" t="n">
        <f aca="false">SUM(BH44:BH49)+BH50</f>
        <v>-35845.25359536</v>
      </c>
      <c r="BI51" s="109" t="n">
        <f aca="false">SUM(BI44:BI49)+BI50</f>
        <v>-35845.25359536</v>
      </c>
      <c r="BJ51" s="109" t="n">
        <f aca="false">SUM(BJ44:BJ49)+BJ50</f>
        <v>-35845.25359536</v>
      </c>
      <c r="BK51" s="109" t="n">
        <f aca="false">SUM(BK44:BK49)+BK50</f>
        <v>-38306.6112032208</v>
      </c>
      <c r="BL51" s="109" t="n">
        <f aca="false">SUM(BL44:BL49)+BL50</f>
        <v>-38306.6112032208</v>
      </c>
      <c r="BM51" s="109" t="n">
        <f aca="false">SUM(BM44:BM49)+BM50</f>
        <v>-38306.6112032208</v>
      </c>
      <c r="BN51" s="109" t="n">
        <f aca="false">SUM(BN44:BN49)+BN50</f>
        <v>-38306.6112032208</v>
      </c>
      <c r="BO51" s="109" t="n">
        <f aca="false">SUM(BO44:BO49)+BO50</f>
        <v>-38306.6112032208</v>
      </c>
      <c r="BP51" s="109" t="n">
        <f aca="false">SUM(BP44:BP49)+BP50</f>
        <v>-38306.6112032208</v>
      </c>
      <c r="BQ51" s="109" t="n">
        <f aca="false">SUM(BQ44:BQ49)+BQ50</f>
        <v>-38306.6112032208</v>
      </c>
      <c r="BR51" s="109" t="n">
        <f aca="false">SUM(BR44:BR49)+BR50</f>
        <v>-38306.6112032208</v>
      </c>
      <c r="BS51" s="109" t="n">
        <f aca="false">SUM(BS44:BS49)+BS50</f>
        <v>-38306.6112032208</v>
      </c>
      <c r="BT51" s="109" t="n">
        <f aca="false">SUM(BT44:BT49)+BT50</f>
        <v>-38306.6112032208</v>
      </c>
      <c r="BU51" s="109" t="n">
        <f aca="false">SUM(BU44:BU49)+BU50</f>
        <v>-38306.6112032208</v>
      </c>
      <c r="BV51" s="109" t="n">
        <f aca="false">SUM(BV44:BV49)+BV50</f>
        <v>-38306.6112032208</v>
      </c>
      <c r="BW51" s="109" t="n">
        <f aca="false">SUM(BW44:BW49)+BW50</f>
        <v>-40782.4095393174</v>
      </c>
      <c r="BX51" s="109" t="n">
        <f aca="false">SUM(BX44:BX49)+BX50</f>
        <v>-40782.4095393174</v>
      </c>
      <c r="BY51" s="109" t="n">
        <f aca="false">SUM(BY44:BY49)+BY50</f>
        <v>-40782.4095393174</v>
      </c>
      <c r="BZ51" s="109" t="n">
        <f aca="false">SUM(BZ44:BZ49)+BZ50</f>
        <v>-40782.4095393174</v>
      </c>
      <c r="CA51" s="109" t="n">
        <f aca="false">SUM(CA44:CA49)+CA50</f>
        <v>-40782.4095393174</v>
      </c>
      <c r="CB51" s="109" t="n">
        <f aca="false">SUM(CB44:CB49)+CB50</f>
        <v>-40782.4095393174</v>
      </c>
      <c r="CC51" s="109" t="n">
        <f aca="false">SUM(CC44:CC49)+CC50</f>
        <v>-40782.4095393174</v>
      </c>
      <c r="CD51" s="109" t="n">
        <f aca="false">SUM(CD44:CD49)+CD50</f>
        <v>-40782.4095393174</v>
      </c>
      <c r="CE51" s="109" t="n">
        <f aca="false">SUM(CE44:CE49)+CE50</f>
        <v>-40782.4095393174</v>
      </c>
      <c r="CF51" s="109" t="n">
        <f aca="false">SUM(CF44:CF49)+CF50</f>
        <v>-40782.4095393174</v>
      </c>
      <c r="CG51" s="109" t="n">
        <f aca="false">SUM(CG44:CG49)+CG50</f>
        <v>-40782.4095393174</v>
      </c>
      <c r="CH51" s="109" t="n">
        <f aca="false">SUM(CH44:CH49)+CH50</f>
        <v>-40782.4095393174</v>
      </c>
    </row>
    <row r="52" customFormat="false" ht="13.5" hidden="false" customHeight="true" outlineLevel="0" collapsed="false">
      <c r="A52" s="6" t="s">
        <v>557</v>
      </c>
      <c r="C52" s="109" t="n">
        <f aca="false">-(C26*(1-Logistica!$B$5)*Logistica!$B$7+C26*Logistica!$B$5*Logistica!$B$39)</f>
        <v>-4.78047324930469</v>
      </c>
      <c r="D52" s="109" t="n">
        <f aca="false">-(D26*(1-Logistica!$B$5)*Logistica!$B$7+D26*Logistica!$B$5*Logistica!$B$39)</f>
        <v>-10.5673619195156</v>
      </c>
      <c r="E52" s="109" t="n">
        <f aca="false">-(E26*(1-Logistica!$B$5)*Logistica!$B$7+E26*Logistica!$B$5*Logistica!$B$39)</f>
        <v>-29.1860472062813</v>
      </c>
      <c r="F52" s="109" t="n">
        <f aca="false">-(F26*(1-Logistica!$B$5)*Logistica!$B$7+F26*Logistica!$B$5*Logistica!$B$39)</f>
        <v>-43.0242592437422</v>
      </c>
      <c r="G52" s="109" t="n">
        <f aca="false">-(G26*(1-Logistica!$B$5)*Logistica!$B$7+G26*Logistica!$B$5*Logistica!$B$39)</f>
        <v>-55.8560558602969</v>
      </c>
      <c r="H52" s="109" t="n">
        <f aca="false">-(H26*(1-Logistica!$B$5)*Logistica!$B$7+H26*Logistica!$B$5*Logistica!$B$39)</f>
        <v>-80.2196958414023</v>
      </c>
      <c r="I52" s="109" t="n">
        <f aca="false">-(I26*(1-Logistica!$B$5)*Logistica!$B$7+I26*Logistica!$B$5*Logistica!$B$39)</f>
        <v>-125.571064357234</v>
      </c>
      <c r="J52" s="109" t="n">
        <f aca="false">-(J26*(1-Logistica!$B$5)*Logistica!$B$7+J26*Logistica!$B$5*Logistica!$B$39)</f>
        <v>-170.922432873066</v>
      </c>
      <c r="K52" s="109" t="n">
        <f aca="false">-(K26*(1-Logistica!$B$5)*Logistica!$B$7+K26*Logistica!$B$5*Logistica!$B$39)</f>
        <v>-216.273801388897</v>
      </c>
      <c r="L52" s="109" t="n">
        <f aca="false">-(L26*(1-Logistica!$B$5)*Logistica!$B$7+L26*Logistica!$B$5*Logistica!$B$39)</f>
        <v>-261.625169904729</v>
      </c>
      <c r="M52" s="109" t="n">
        <f aca="false">-(M26*(1-Logistica!$B$5)*Logistica!$B$7+M26*Logistica!$B$5*Logistica!$B$39)</f>
        <v>-294.144741804006</v>
      </c>
      <c r="N52" s="109" t="n">
        <f aca="false">-(N26*(1-Logistica!$B$5)*Logistica!$B$7+N26*Logistica!$B$5*Logistica!$B$39)</f>
        <v>-343.43790405172</v>
      </c>
      <c r="O52" s="109" t="n">
        <f aca="false">-(O26*(1-Logistica!$B$5)*Logistica!$B$7+O26*Logistica!$B$5*Logistica!$B$39)</f>
        <v>-392.731066299435</v>
      </c>
      <c r="P52" s="109" t="n">
        <f aca="false">-(P26*(1-Logistica!$B$5)*Logistica!$B$7+P26*Logistica!$B$5*Logistica!$B$39)</f>
        <v>-437.201821321974</v>
      </c>
      <c r="Q52" s="109" t="n">
        <f aca="false">-(Q26*(1-Logistica!$B$5)*Logistica!$B$7+Q26*Logistica!$B$5*Logistica!$B$39)</f>
        <v>-481.672576344512</v>
      </c>
      <c r="R52" s="109" t="n">
        <f aca="false">-(R26*(1-Logistica!$B$5)*Logistica!$B$7+R26*Logistica!$B$5*Logistica!$B$39)</f>
        <v>-526.143331367051</v>
      </c>
      <c r="S52" s="109" t="n">
        <f aca="false">-(S26*(1-Logistica!$B$5)*Logistica!$B$7+S26*Logistica!$B$5*Logistica!$B$39)</f>
        <v>-570.61408638959</v>
      </c>
      <c r="T52" s="109" t="n">
        <f aca="false">-(T26*(1-Logistica!$B$5)*Logistica!$B$7+T26*Logistica!$B$5*Logistica!$B$39)</f>
        <v>-615.084841412128</v>
      </c>
      <c r="U52" s="109" t="n">
        <f aca="false">-(U26*(1-Logistica!$B$5)*Logistica!$B$7+U26*Logistica!$B$5*Logistica!$B$39)</f>
        <v>-659.555596434667</v>
      </c>
      <c r="V52" s="109" t="n">
        <f aca="false">-(V26*(1-Logistica!$B$5)*Logistica!$B$7+V26*Logistica!$B$5*Logistica!$B$39)</f>
        <v>-704.026351457206</v>
      </c>
      <c r="W52" s="109" t="n">
        <f aca="false">-(W26*(1-Logistica!$B$5)*Logistica!$B$7+W26*Logistica!$B$5*Logistica!$B$39)</f>
        <v>-748.497106479745</v>
      </c>
      <c r="X52" s="109" t="n">
        <f aca="false">-(X26*(1-Logistica!$B$5)*Logistica!$B$7+X26*Logistica!$B$5*Logistica!$B$39)</f>
        <v>-776.194271153846</v>
      </c>
      <c r="Y52" s="109" t="n">
        <f aca="false">-(Y26*(1-Logistica!$B$5)*Logistica!$B$7+Y26*Logistica!$B$5*Logistica!$B$39)</f>
        <v>-803.891435827947</v>
      </c>
      <c r="Z52" s="109" t="n">
        <f aca="false">-(Z26*(1-Logistica!$B$5)*Logistica!$B$7+Z26*Logistica!$B$5*Logistica!$B$39)</f>
        <v>-824.879164362673</v>
      </c>
      <c r="AA52" s="109" t="n">
        <f aca="false">-(AA26*(1-Logistica!$B$5)*Logistica!$B$7+AA26*Logistica!$B$5*Logistica!$B$39)</f>
        <v>-845.8668928974</v>
      </c>
      <c r="AB52" s="109" t="n">
        <f aca="false">-(AB26*(1-Logistica!$B$5)*Logistica!$B$7+AB26*Logistica!$B$5*Logistica!$B$39)</f>
        <v>-866.854621432126</v>
      </c>
      <c r="AC52" s="109" t="n">
        <f aca="false">-(AC26*(1-Logistica!$B$5)*Logistica!$B$7+AC26*Logistica!$B$5*Logistica!$B$39)</f>
        <v>-887.842349966852</v>
      </c>
      <c r="AD52" s="109" t="n">
        <f aca="false">-(AD26*(1-Logistica!$B$5)*Logistica!$B$7+AD26*Logistica!$B$5*Logistica!$B$39)</f>
        <v>-908.830078501578</v>
      </c>
      <c r="AE52" s="109" t="n">
        <f aca="false">-(AE26*(1-Logistica!$B$5)*Logistica!$B$7+AE26*Logistica!$B$5*Logistica!$B$39)</f>
        <v>-929.817807036304</v>
      </c>
      <c r="AF52" s="109" t="n">
        <f aca="false">-(AF26*(1-Logistica!$B$5)*Logistica!$B$7+AF26*Logistica!$B$5*Logistica!$B$39)</f>
        <v>-950.805535571031</v>
      </c>
      <c r="AG52" s="109" t="n">
        <f aca="false">-(AG26*(1-Logistica!$B$5)*Logistica!$B$7+AG26*Logistica!$B$5*Logistica!$B$39)</f>
        <v>-971.793264105757</v>
      </c>
      <c r="AH52" s="109" t="n">
        <f aca="false">-(AH26*(1-Logistica!$B$5)*Logistica!$B$7+AH26*Logistica!$B$5*Logistica!$B$39)</f>
        <v>-992.780992640483</v>
      </c>
      <c r="AI52" s="109" t="n">
        <f aca="false">-(AI26*(1-Logistica!$B$5)*Logistica!$B$7+AI26*Logistica!$B$5*Logistica!$B$39)</f>
        <v>-1013.76872117521</v>
      </c>
      <c r="AJ52" s="109" t="n">
        <f aca="false">-(AJ26*(1-Logistica!$B$5)*Logistica!$B$7+AJ26*Logistica!$B$5*Logistica!$B$39)</f>
        <v>-1034.75644970994</v>
      </c>
      <c r="AK52" s="109" t="n">
        <f aca="false">-(AK26*(1-Logistica!$B$5)*Logistica!$B$7+AK26*Logistica!$B$5*Logistica!$B$39)</f>
        <v>-1055.74417824466</v>
      </c>
      <c r="AL52" s="109" t="n">
        <f aca="false">-(AL26*(1-Logistica!$B$5)*Logistica!$B$7+AL26*Logistica!$B$5*Logistica!$B$39)</f>
        <v>-1076.73190677939</v>
      </c>
      <c r="AM52" s="109" t="n">
        <f aca="false">-(AM26*(1-Logistica!$B$5)*Logistica!$B$7+AM26*Logistica!$B$5*Logistica!$B$39)</f>
        <v>-1097.71963531411</v>
      </c>
      <c r="AN52" s="109" t="n">
        <f aca="false">-(AN26*(1-Logistica!$B$5)*Logistica!$B$7+AN26*Logistica!$B$5*Logistica!$B$39)</f>
        <v>-1118.70736384884</v>
      </c>
      <c r="AO52" s="109" t="n">
        <f aca="false">-(AO26*(1-Logistica!$B$5)*Logistica!$B$7+AO26*Logistica!$B$5*Logistica!$B$39)</f>
        <v>-1139.69509238357</v>
      </c>
      <c r="AP52" s="109" t="n">
        <f aca="false">-(AP26*(1-Logistica!$B$5)*Logistica!$B$7+AP26*Logistica!$B$5*Logistica!$B$39)</f>
        <v>-1160.68282091829</v>
      </c>
      <c r="AQ52" s="109" t="n">
        <f aca="false">-(AQ26*(1-Logistica!$B$5)*Logistica!$B$7+AQ26*Logistica!$B$5*Logistica!$B$39)</f>
        <v>-1181.67054945302</v>
      </c>
      <c r="AR52" s="109" t="n">
        <f aca="false">-(AR26*(1-Logistica!$B$5)*Logistica!$B$7+AR26*Logistica!$B$5*Logistica!$B$39)</f>
        <v>-1202.65827798775</v>
      </c>
      <c r="AS52" s="109" t="n">
        <f aca="false">-(AS26*(1-Logistica!$B$5)*Logistica!$B$7+AS26*Logistica!$B$5*Logistica!$B$39)</f>
        <v>-1202.65827798775</v>
      </c>
      <c r="AT52" s="109" t="n">
        <f aca="false">-(AT26*(1-Logistica!$B$5)*Logistica!$B$7+AT26*Logistica!$B$5*Logistica!$B$39)</f>
        <v>-1202.65827798775</v>
      </c>
      <c r="AU52" s="109" t="n">
        <f aca="false">-(AU26*(1-Logistica!$B$5)*Logistica!$B$7+AU26*Logistica!$B$5*Logistica!$B$39)</f>
        <v>-1202.65827798775</v>
      </c>
      <c r="AV52" s="109" t="n">
        <f aca="false">-(AV26*(1-Logistica!$B$5)*Logistica!$B$7+AV26*Logistica!$B$5*Logistica!$B$39)</f>
        <v>-1202.65827798775</v>
      </c>
      <c r="AW52" s="109" t="n">
        <f aca="false">-(AW26*(1-Logistica!$B$5)*Logistica!$B$7+AW26*Logistica!$B$5*Logistica!$B$39)</f>
        <v>-1202.65827798775</v>
      </c>
      <c r="AX52" s="109" t="n">
        <f aca="false">-(AX26*(1-Logistica!$B$5)*Logistica!$B$7+AX26*Logistica!$B$5*Logistica!$B$39)</f>
        <v>-1202.65827798775</v>
      </c>
      <c r="AY52" s="109" t="n">
        <f aca="false">-(AY26*(1-Logistica!$B$5)*Logistica!$B$7+AY26*Logistica!$B$5*Logistica!$B$39)</f>
        <v>-1202.65827798775</v>
      </c>
      <c r="AZ52" s="109" t="n">
        <f aca="false">-(AZ26*(1-Logistica!$B$5)*Logistica!$B$7+AZ26*Logistica!$B$5*Logistica!$B$39)</f>
        <v>-1202.65827798775</v>
      </c>
      <c r="BA52" s="109" t="n">
        <f aca="false">-(BA26*(1-Logistica!$B$5)*Logistica!$B$7+BA26*Logistica!$B$5*Logistica!$B$39)</f>
        <v>-1202.65827798775</v>
      </c>
      <c r="BB52" s="109" t="n">
        <f aca="false">-(BB26*(1-Logistica!$B$5)*Logistica!$B$7+BB26*Logistica!$B$5*Logistica!$B$39)</f>
        <v>-1202.65827798775</v>
      </c>
      <c r="BC52" s="109" t="n">
        <f aca="false">-(BC26*(1-Logistica!$B$5)*Logistica!$B$7+BC26*Logistica!$B$5*Logistica!$B$39)</f>
        <v>-1202.65827798775</v>
      </c>
      <c r="BD52" s="109" t="n">
        <f aca="false">-(BD26*(1-Logistica!$B$5)*Logistica!$B$7+BD26*Logistica!$B$5*Logistica!$B$39)</f>
        <v>-1202.65827798775</v>
      </c>
      <c r="BE52" s="109" t="n">
        <f aca="false">-(BE26*(1-Logistica!$B$5)*Logistica!$B$7+BE26*Logistica!$B$5*Logistica!$B$39)</f>
        <v>-1202.65827798775</v>
      </c>
      <c r="BF52" s="109" t="n">
        <f aca="false">-(BF26*(1-Logistica!$B$5)*Logistica!$B$7+BF26*Logistica!$B$5*Logistica!$B$39)</f>
        <v>-1202.65827798775</v>
      </c>
      <c r="BG52" s="109" t="n">
        <f aca="false">-(BG26*(1-Logistica!$B$5)*Logistica!$B$7+BG26*Logistica!$B$5*Logistica!$B$39)</f>
        <v>-1202.65827798775</v>
      </c>
      <c r="BH52" s="109" t="n">
        <f aca="false">-(BH26*(1-Logistica!$B$5)*Logistica!$B$7+BH26*Logistica!$B$5*Logistica!$B$39)</f>
        <v>-1202.65827798775</v>
      </c>
      <c r="BI52" s="109" t="n">
        <f aca="false">-(BI26*(1-Logistica!$B$5)*Logistica!$B$7+BI26*Logistica!$B$5*Logistica!$B$39)</f>
        <v>-1202.65827798775</v>
      </c>
      <c r="BJ52" s="109" t="n">
        <f aca="false">-(BJ26*(1-Logistica!$B$5)*Logistica!$B$7+BJ26*Logistica!$B$5*Logistica!$B$39)</f>
        <v>-1202.65827798775</v>
      </c>
      <c r="BK52" s="109" t="n">
        <f aca="false">-(BK26*(1-Logistica!$B$5)*Logistica!$B$7+BK26*Logistica!$B$5*Logistica!$B$39)</f>
        <v>-1202.65827798775</v>
      </c>
      <c r="BL52" s="109" t="n">
        <f aca="false">-(BL26*(1-Logistica!$B$5)*Logistica!$B$7+BL26*Logistica!$B$5*Logistica!$B$39)</f>
        <v>-1202.65827798775</v>
      </c>
      <c r="BM52" s="109" t="n">
        <f aca="false">-(BM26*(1-Logistica!$B$5)*Logistica!$B$7+BM26*Logistica!$B$5*Logistica!$B$39)</f>
        <v>-1202.65827798775</v>
      </c>
      <c r="BN52" s="109" t="n">
        <f aca="false">-(BN26*(1-Logistica!$B$5)*Logistica!$B$7+BN26*Logistica!$B$5*Logistica!$B$39)</f>
        <v>-1202.65827798775</v>
      </c>
      <c r="BO52" s="109" t="n">
        <f aca="false">-(BO26*(1-Logistica!$B$5)*Logistica!$B$7+BO26*Logistica!$B$5*Logistica!$B$39)</f>
        <v>-1202.65827798775</v>
      </c>
      <c r="BP52" s="109" t="n">
        <f aca="false">-(BP26*(1-Logistica!$B$5)*Logistica!$B$7+BP26*Logistica!$B$5*Logistica!$B$39)</f>
        <v>-1202.65827798775</v>
      </c>
      <c r="BQ52" s="109" t="n">
        <f aca="false">-(BQ26*(1-Logistica!$B$5)*Logistica!$B$7+BQ26*Logistica!$B$5*Logistica!$B$39)</f>
        <v>-1202.65827798775</v>
      </c>
      <c r="BR52" s="109" t="n">
        <f aca="false">-(BR26*(1-Logistica!$B$5)*Logistica!$B$7+BR26*Logistica!$B$5*Logistica!$B$39)</f>
        <v>-1202.65827798775</v>
      </c>
      <c r="BS52" s="109" t="n">
        <f aca="false">-(BS26*(1-Logistica!$B$5)*Logistica!$B$7+BS26*Logistica!$B$5*Logistica!$B$39)</f>
        <v>-1202.65827798775</v>
      </c>
      <c r="BT52" s="109" t="n">
        <f aca="false">-(BT26*(1-Logistica!$B$5)*Logistica!$B$7+BT26*Logistica!$B$5*Logistica!$B$39)</f>
        <v>-1202.65827798775</v>
      </c>
      <c r="BU52" s="109" t="n">
        <f aca="false">-(BU26*(1-Logistica!$B$5)*Logistica!$B$7+BU26*Logistica!$B$5*Logistica!$B$39)</f>
        <v>-1202.65827798775</v>
      </c>
      <c r="BV52" s="109" t="n">
        <f aca="false">-(BV26*(1-Logistica!$B$5)*Logistica!$B$7+BV26*Logistica!$B$5*Logistica!$B$39)</f>
        <v>-1202.65827798775</v>
      </c>
      <c r="BW52" s="109" t="n">
        <f aca="false">-(BW26*(1-Logistica!$B$5)*Logistica!$B$7+BW26*Logistica!$B$5*Logistica!$B$39)</f>
        <v>-1202.65827798775</v>
      </c>
      <c r="BX52" s="109" t="n">
        <f aca="false">-(BX26*(1-Logistica!$B$5)*Logistica!$B$7+BX26*Logistica!$B$5*Logistica!$B$39)</f>
        <v>-1202.65827798775</v>
      </c>
      <c r="BY52" s="109" t="n">
        <f aca="false">-(BY26*(1-Logistica!$B$5)*Logistica!$B$7+BY26*Logistica!$B$5*Logistica!$B$39)</f>
        <v>-1202.65827798775</v>
      </c>
      <c r="BZ52" s="109" t="n">
        <f aca="false">-(BZ26*(1-Logistica!$B$5)*Logistica!$B$7+BZ26*Logistica!$B$5*Logistica!$B$39)</f>
        <v>-1202.65827798775</v>
      </c>
      <c r="CA52" s="109" t="n">
        <f aca="false">-(CA26*(1-Logistica!$B$5)*Logistica!$B$7+CA26*Logistica!$B$5*Logistica!$B$39)</f>
        <v>-1202.65827798775</v>
      </c>
      <c r="CB52" s="109" t="n">
        <f aca="false">-(CB26*(1-Logistica!$B$5)*Logistica!$B$7+CB26*Logistica!$B$5*Logistica!$B$39)</f>
        <v>-1202.65827798775</v>
      </c>
      <c r="CC52" s="109" t="n">
        <f aca="false">-(CC26*(1-Logistica!$B$5)*Logistica!$B$7+CC26*Logistica!$B$5*Logistica!$B$39)</f>
        <v>-1202.65827798775</v>
      </c>
      <c r="CD52" s="109" t="n">
        <f aca="false">-(CD26*(1-Logistica!$B$5)*Logistica!$B$7+CD26*Logistica!$B$5*Logistica!$B$39)</f>
        <v>-1202.65827798775</v>
      </c>
      <c r="CE52" s="109" t="n">
        <f aca="false">-(CE26*(1-Logistica!$B$5)*Logistica!$B$7+CE26*Logistica!$B$5*Logistica!$B$39)</f>
        <v>-1202.65827798775</v>
      </c>
      <c r="CF52" s="109" t="n">
        <f aca="false">-(CF26*(1-Logistica!$B$5)*Logistica!$B$7+CF26*Logistica!$B$5*Logistica!$B$39)</f>
        <v>-1202.65827798775</v>
      </c>
      <c r="CG52" s="109" t="n">
        <f aca="false">-(CG26*(1-Logistica!$B$5)*Logistica!$B$7+CG26*Logistica!$B$5*Logistica!$B$39)</f>
        <v>-1202.65827798775</v>
      </c>
      <c r="CH52" s="109" t="n">
        <f aca="false">-(CH26*(1-Logistica!$B$5)*Logistica!$B$7+CH26*Logistica!$B$5*Logistica!$B$39)</f>
        <v>-1202.65827798775</v>
      </c>
    </row>
    <row r="53" customFormat="false" ht="13.5" hidden="false" customHeight="true" outlineLevel="0" collapsed="false">
      <c r="A53" s="6" t="s">
        <v>558</v>
      </c>
      <c r="C53" s="109" t="n">
        <f aca="false">-Hipótesis!$F$39</f>
        <v>-800</v>
      </c>
      <c r="D53" s="109" t="n">
        <f aca="false">-Hipótesis!$F$39</f>
        <v>-800</v>
      </c>
      <c r="E53" s="109" t="n">
        <f aca="false">-Hipótesis!$F$39</f>
        <v>-800</v>
      </c>
      <c r="F53" s="109" t="n">
        <f aca="false">-Hipótesis!$F$39</f>
        <v>-800</v>
      </c>
      <c r="G53" s="109" t="n">
        <f aca="false">-Hipótesis!$F$39</f>
        <v>-800</v>
      </c>
      <c r="H53" s="109" t="n">
        <f aca="false">-Hipótesis!$F$39</f>
        <v>-800</v>
      </c>
      <c r="I53" s="109" t="n">
        <f aca="false">-Hipótesis!$F$39</f>
        <v>-800</v>
      </c>
      <c r="J53" s="109" t="n">
        <f aca="false">-Hipótesis!$F$39</f>
        <v>-800</v>
      </c>
      <c r="K53" s="109" t="n">
        <f aca="false">-Hipótesis!$F$39</f>
        <v>-800</v>
      </c>
      <c r="L53" s="109" t="n">
        <f aca="false">-Hipótesis!$F$39</f>
        <v>-800</v>
      </c>
      <c r="M53" s="109" t="n">
        <f aca="false">-Hipótesis!$F$39</f>
        <v>-800</v>
      </c>
      <c r="N53" s="109" t="n">
        <f aca="false">-Hipótesis!$F$39</f>
        <v>-800</v>
      </c>
      <c r="O53" s="109" t="n">
        <f aca="false">-Hipótesis!$F$39</f>
        <v>-800</v>
      </c>
      <c r="P53" s="109" t="n">
        <f aca="false">-Hipótesis!$F$39</f>
        <v>-800</v>
      </c>
      <c r="Q53" s="109" t="n">
        <f aca="false">-Hipótesis!$F$39</f>
        <v>-800</v>
      </c>
      <c r="R53" s="109" t="n">
        <f aca="false">-Hipótesis!$F$39</f>
        <v>-800</v>
      </c>
      <c r="S53" s="109" t="n">
        <f aca="false">-Hipótesis!$F$39</f>
        <v>-800</v>
      </c>
      <c r="T53" s="109" t="n">
        <f aca="false">-Hipótesis!$F$39</f>
        <v>-800</v>
      </c>
      <c r="U53" s="109" t="n">
        <f aca="false">-Hipótesis!$F$39</f>
        <v>-800</v>
      </c>
      <c r="V53" s="109" t="n">
        <f aca="false">-Hipótesis!$F$39</f>
        <v>-800</v>
      </c>
      <c r="W53" s="109" t="n">
        <f aca="false">-Hipótesis!$F$39</f>
        <v>-800</v>
      </c>
      <c r="X53" s="109" t="n">
        <f aca="false">-Hipótesis!$F$39</f>
        <v>-800</v>
      </c>
      <c r="Y53" s="109" t="n">
        <f aca="false">-Hipótesis!$F$39</f>
        <v>-800</v>
      </c>
      <c r="Z53" s="109" t="n">
        <f aca="false">-Hipótesis!$F$39</f>
        <v>-800</v>
      </c>
      <c r="AA53" s="109" t="n">
        <f aca="false">-Hipótesis!$F$39</f>
        <v>-800</v>
      </c>
      <c r="AB53" s="109" t="n">
        <f aca="false">-Hipótesis!$F$39</f>
        <v>-800</v>
      </c>
      <c r="AC53" s="109" t="n">
        <f aca="false">-Hipótesis!$F$39</f>
        <v>-800</v>
      </c>
      <c r="AD53" s="109" t="n">
        <f aca="false">-Hipótesis!$F$39</f>
        <v>-800</v>
      </c>
      <c r="AE53" s="109" t="n">
        <f aca="false">-Hipótesis!$F$39</f>
        <v>-800</v>
      </c>
      <c r="AF53" s="109" t="n">
        <f aca="false">-Hipótesis!$F$39</f>
        <v>-800</v>
      </c>
      <c r="AG53" s="109" t="n">
        <f aca="false">-Hipótesis!$F$39</f>
        <v>-800</v>
      </c>
      <c r="AH53" s="109" t="n">
        <f aca="false">-Hipótesis!$F$39</f>
        <v>-800</v>
      </c>
      <c r="AI53" s="109" t="n">
        <f aca="false">-Hipótesis!$F$39</f>
        <v>-800</v>
      </c>
      <c r="AJ53" s="109" t="n">
        <f aca="false">-Hipótesis!$F$39</f>
        <v>-800</v>
      </c>
      <c r="AK53" s="109" t="n">
        <f aca="false">-Hipótesis!$F$39</f>
        <v>-800</v>
      </c>
      <c r="AL53" s="109" t="n">
        <f aca="false">-Hipótesis!$F$39</f>
        <v>-800</v>
      </c>
      <c r="AM53" s="109" t="n">
        <f aca="false">-Hipótesis!$F$39</f>
        <v>-800</v>
      </c>
      <c r="AN53" s="109" t="n">
        <f aca="false">-Hipótesis!$F$39</f>
        <v>-800</v>
      </c>
      <c r="AO53" s="109" t="n">
        <f aca="false">-Hipótesis!$F$39</f>
        <v>-800</v>
      </c>
      <c r="AP53" s="109" t="n">
        <f aca="false">-Hipótesis!$F$39</f>
        <v>-800</v>
      </c>
      <c r="AQ53" s="109" t="n">
        <f aca="false">-Hipótesis!$F$39</f>
        <v>-800</v>
      </c>
      <c r="AR53" s="109" t="n">
        <f aca="false">-Hipótesis!$F$39</f>
        <v>-800</v>
      </c>
      <c r="AS53" s="109" t="n">
        <f aca="false">-Hipótesis!$F$39</f>
        <v>-800</v>
      </c>
      <c r="AT53" s="109" t="n">
        <f aca="false">-Hipótesis!$F$39</f>
        <v>-800</v>
      </c>
      <c r="AU53" s="109" t="n">
        <f aca="false">-Hipótesis!$F$39</f>
        <v>-800</v>
      </c>
      <c r="AV53" s="109" t="n">
        <f aca="false">-Hipótesis!$F$39</f>
        <v>-800</v>
      </c>
      <c r="AW53" s="109" t="n">
        <f aca="false">-Hipótesis!$F$39</f>
        <v>-800</v>
      </c>
      <c r="AX53" s="109" t="n">
        <f aca="false">-Hipótesis!$F$39</f>
        <v>-800</v>
      </c>
      <c r="AY53" s="109" t="n">
        <f aca="false">-Hipótesis!$F$39</f>
        <v>-800</v>
      </c>
      <c r="AZ53" s="109" t="n">
        <f aca="false">-Hipótesis!$F$39</f>
        <v>-800</v>
      </c>
      <c r="BA53" s="109" t="n">
        <f aca="false">-Hipótesis!$F$39</f>
        <v>-800</v>
      </c>
      <c r="BB53" s="109" t="n">
        <f aca="false">-Hipótesis!$F$39</f>
        <v>-800</v>
      </c>
      <c r="BC53" s="109" t="n">
        <f aca="false">-Hipótesis!$F$39</f>
        <v>-800</v>
      </c>
      <c r="BD53" s="109" t="n">
        <f aca="false">-Hipótesis!$F$39</f>
        <v>-800</v>
      </c>
      <c r="BE53" s="109" t="n">
        <f aca="false">-Hipótesis!$F$39</f>
        <v>-800</v>
      </c>
      <c r="BF53" s="109" t="n">
        <f aca="false">-Hipótesis!$F$39</f>
        <v>-800</v>
      </c>
      <c r="BG53" s="109" t="n">
        <f aca="false">-Hipótesis!$F$39</f>
        <v>-800</v>
      </c>
      <c r="BH53" s="109" t="n">
        <f aca="false">-Hipótesis!$F$39</f>
        <v>-800</v>
      </c>
      <c r="BI53" s="109" t="n">
        <f aca="false">-Hipótesis!$F$39</f>
        <v>-800</v>
      </c>
      <c r="BJ53" s="109" t="n">
        <f aca="false">-Hipótesis!$F$39</f>
        <v>-800</v>
      </c>
      <c r="BK53" s="109" t="n">
        <f aca="false">-Hipótesis!$F$39</f>
        <v>-800</v>
      </c>
      <c r="BL53" s="109" t="n">
        <f aca="false">-Hipótesis!$F$39</f>
        <v>-800</v>
      </c>
      <c r="BM53" s="109" t="n">
        <f aca="false">-Hipótesis!$F$39</f>
        <v>-800</v>
      </c>
      <c r="BN53" s="109" t="n">
        <f aca="false">-Hipótesis!$F$39</f>
        <v>-800</v>
      </c>
      <c r="BO53" s="109" t="n">
        <f aca="false">-Hipótesis!$F$39</f>
        <v>-800</v>
      </c>
      <c r="BP53" s="109" t="n">
        <f aca="false">-Hipótesis!$F$39</f>
        <v>-800</v>
      </c>
      <c r="BQ53" s="109" t="n">
        <f aca="false">-Hipótesis!$F$39</f>
        <v>-800</v>
      </c>
      <c r="BR53" s="109" t="n">
        <f aca="false">-Hipótesis!$F$39</f>
        <v>-800</v>
      </c>
      <c r="BS53" s="109" t="n">
        <f aca="false">-Hipótesis!$F$39</f>
        <v>-800</v>
      </c>
      <c r="BT53" s="109" t="n">
        <f aca="false">-Hipótesis!$F$39</f>
        <v>-800</v>
      </c>
      <c r="BU53" s="109" t="n">
        <f aca="false">-Hipótesis!$F$39</f>
        <v>-800</v>
      </c>
      <c r="BV53" s="109" t="n">
        <f aca="false">-Hipótesis!$F$39</f>
        <v>-800</v>
      </c>
      <c r="BW53" s="109" t="n">
        <f aca="false">-Hipótesis!$F$39</f>
        <v>-800</v>
      </c>
      <c r="BX53" s="109" t="n">
        <f aca="false">-Hipótesis!$F$39</f>
        <v>-800</v>
      </c>
      <c r="BY53" s="109" t="n">
        <f aca="false">-Hipótesis!$F$39</f>
        <v>-800</v>
      </c>
      <c r="BZ53" s="109" t="n">
        <f aca="false">-Hipótesis!$F$39</f>
        <v>-800</v>
      </c>
      <c r="CA53" s="109" t="n">
        <f aca="false">-Hipótesis!$F$39</f>
        <v>-800</v>
      </c>
      <c r="CB53" s="109" t="n">
        <f aca="false">-Hipótesis!$F$39</f>
        <v>-800</v>
      </c>
      <c r="CC53" s="109" t="n">
        <f aca="false">-Hipótesis!$F$39</f>
        <v>-800</v>
      </c>
      <c r="CD53" s="109" t="n">
        <f aca="false">-Hipótesis!$F$39</f>
        <v>-800</v>
      </c>
      <c r="CE53" s="109" t="n">
        <f aca="false">-Hipótesis!$F$39</f>
        <v>-800</v>
      </c>
      <c r="CF53" s="109" t="n">
        <f aca="false">-Hipótesis!$F$39</f>
        <v>-800</v>
      </c>
      <c r="CG53" s="109" t="n">
        <f aca="false">-Hipótesis!$F$39</f>
        <v>-800</v>
      </c>
      <c r="CH53" s="109" t="n">
        <f aca="false">-Hipótesis!$F$39</f>
        <v>-800</v>
      </c>
    </row>
    <row r="54" customFormat="false" ht="13.5" hidden="false" customHeight="true" outlineLevel="0" collapsed="false">
      <c r="A54" s="6" t="s">
        <v>559</v>
      </c>
      <c r="C54" s="109" t="n">
        <f aca="false">-Hipótesis!$F$40</f>
        <v>-500</v>
      </c>
      <c r="D54" s="109" t="n">
        <f aca="false">-Hipótesis!$F$40</f>
        <v>-500</v>
      </c>
      <c r="E54" s="109" t="n">
        <f aca="false">-Hipótesis!$F$40</f>
        <v>-500</v>
      </c>
      <c r="F54" s="109" t="n">
        <f aca="false">-Hipótesis!$F$40</f>
        <v>-500</v>
      </c>
      <c r="G54" s="109" t="n">
        <f aca="false">-Hipótesis!$F$40</f>
        <v>-500</v>
      </c>
      <c r="H54" s="109" t="n">
        <f aca="false">-Hipótesis!$F$40</f>
        <v>-500</v>
      </c>
      <c r="I54" s="109" t="n">
        <f aca="false">-Hipótesis!$F$40</f>
        <v>-500</v>
      </c>
      <c r="J54" s="109" t="n">
        <f aca="false">-Hipótesis!$F$40</f>
        <v>-500</v>
      </c>
      <c r="K54" s="109" t="n">
        <f aca="false">-Hipótesis!$F$40</f>
        <v>-500</v>
      </c>
      <c r="L54" s="109" t="n">
        <f aca="false">-Hipótesis!$F$40</f>
        <v>-500</v>
      </c>
      <c r="M54" s="109" t="n">
        <f aca="false">-Hipótesis!$F$40</f>
        <v>-500</v>
      </c>
      <c r="N54" s="109" t="n">
        <f aca="false">-Hipótesis!$F$40</f>
        <v>-500</v>
      </c>
      <c r="O54" s="109" t="n">
        <f aca="false">-Hipótesis!$F$40</f>
        <v>-500</v>
      </c>
      <c r="P54" s="109" t="n">
        <f aca="false">-Hipótesis!$F$40</f>
        <v>-500</v>
      </c>
      <c r="Q54" s="109" t="n">
        <f aca="false">-Hipótesis!$F$40</f>
        <v>-500</v>
      </c>
      <c r="R54" s="109" t="n">
        <f aca="false">-Hipótesis!$F$40</f>
        <v>-500</v>
      </c>
      <c r="S54" s="109" t="n">
        <f aca="false">-Hipótesis!$F$40</f>
        <v>-500</v>
      </c>
      <c r="T54" s="109" t="n">
        <f aca="false">-Hipótesis!$F$40</f>
        <v>-500</v>
      </c>
      <c r="U54" s="109" t="n">
        <f aca="false">-Hipótesis!$F$40</f>
        <v>-500</v>
      </c>
      <c r="V54" s="109" t="n">
        <f aca="false">-Hipótesis!$F$40</f>
        <v>-500</v>
      </c>
      <c r="W54" s="109" t="n">
        <f aca="false">-Hipótesis!$F$40</f>
        <v>-500</v>
      </c>
      <c r="X54" s="109" t="n">
        <f aca="false">-Hipótesis!$F$40</f>
        <v>-500</v>
      </c>
      <c r="Y54" s="109" t="n">
        <f aca="false">-Hipótesis!$F$40</f>
        <v>-500</v>
      </c>
      <c r="Z54" s="109" t="n">
        <f aca="false">-Hipótesis!$F$40</f>
        <v>-500</v>
      </c>
      <c r="AA54" s="109" t="n">
        <f aca="false">-Hipótesis!$F$40</f>
        <v>-500</v>
      </c>
      <c r="AB54" s="109" t="n">
        <f aca="false">-Hipótesis!$F$40</f>
        <v>-500</v>
      </c>
      <c r="AC54" s="109" t="n">
        <f aca="false">-Hipótesis!$F$40</f>
        <v>-500</v>
      </c>
      <c r="AD54" s="109" t="n">
        <f aca="false">-Hipótesis!$F$40</f>
        <v>-500</v>
      </c>
      <c r="AE54" s="109" t="n">
        <f aca="false">-Hipótesis!$F$40</f>
        <v>-500</v>
      </c>
      <c r="AF54" s="109" t="n">
        <f aca="false">-Hipótesis!$F$40</f>
        <v>-500</v>
      </c>
      <c r="AG54" s="109" t="n">
        <f aca="false">-Hipótesis!$F$40</f>
        <v>-500</v>
      </c>
      <c r="AH54" s="109" t="n">
        <f aca="false">-Hipótesis!$F$40</f>
        <v>-500</v>
      </c>
      <c r="AI54" s="109" t="n">
        <f aca="false">-Hipótesis!$F$40</f>
        <v>-500</v>
      </c>
      <c r="AJ54" s="109" t="n">
        <f aca="false">-Hipótesis!$F$40</f>
        <v>-500</v>
      </c>
      <c r="AK54" s="109" t="n">
        <f aca="false">-Hipótesis!$F$40</f>
        <v>-500</v>
      </c>
      <c r="AL54" s="109" t="n">
        <f aca="false">-Hipótesis!$F$40</f>
        <v>-500</v>
      </c>
      <c r="AM54" s="109" t="n">
        <f aca="false">-Hipótesis!$F$40</f>
        <v>-500</v>
      </c>
      <c r="AN54" s="109" t="n">
        <f aca="false">-Hipótesis!$F$40</f>
        <v>-500</v>
      </c>
      <c r="AO54" s="109" t="n">
        <f aca="false">-Hipótesis!$F$40</f>
        <v>-500</v>
      </c>
      <c r="AP54" s="109" t="n">
        <f aca="false">-Hipótesis!$F$40</f>
        <v>-500</v>
      </c>
      <c r="AQ54" s="109" t="n">
        <f aca="false">-Hipótesis!$F$40</f>
        <v>-500</v>
      </c>
      <c r="AR54" s="109" t="n">
        <f aca="false">-Hipótesis!$F$40</f>
        <v>-500</v>
      </c>
      <c r="AS54" s="109" t="n">
        <f aca="false">-Hipótesis!$F$40</f>
        <v>-500</v>
      </c>
      <c r="AT54" s="109" t="n">
        <f aca="false">-Hipótesis!$F$40</f>
        <v>-500</v>
      </c>
      <c r="AU54" s="109" t="n">
        <f aca="false">-Hipótesis!$F$40</f>
        <v>-500</v>
      </c>
      <c r="AV54" s="109" t="n">
        <f aca="false">-Hipótesis!$F$40</f>
        <v>-500</v>
      </c>
      <c r="AW54" s="109" t="n">
        <f aca="false">-Hipótesis!$F$40</f>
        <v>-500</v>
      </c>
      <c r="AX54" s="109" t="n">
        <f aca="false">-Hipótesis!$F$40</f>
        <v>-500</v>
      </c>
      <c r="AY54" s="109" t="n">
        <f aca="false">-Hipótesis!$F$40</f>
        <v>-500</v>
      </c>
      <c r="AZ54" s="109" t="n">
        <f aca="false">-Hipótesis!$F$40</f>
        <v>-500</v>
      </c>
      <c r="BA54" s="109" t="n">
        <f aca="false">-Hipótesis!$F$40</f>
        <v>-500</v>
      </c>
      <c r="BB54" s="109" t="n">
        <f aca="false">-Hipótesis!$F$40</f>
        <v>-500</v>
      </c>
      <c r="BC54" s="109" t="n">
        <f aca="false">-Hipótesis!$F$40</f>
        <v>-500</v>
      </c>
      <c r="BD54" s="109" t="n">
        <f aca="false">-Hipótesis!$F$40</f>
        <v>-500</v>
      </c>
      <c r="BE54" s="109" t="n">
        <f aca="false">-Hipótesis!$F$40</f>
        <v>-500</v>
      </c>
      <c r="BF54" s="109" t="n">
        <f aca="false">-Hipótesis!$F$40</f>
        <v>-500</v>
      </c>
      <c r="BG54" s="109" t="n">
        <f aca="false">-Hipótesis!$F$40</f>
        <v>-500</v>
      </c>
      <c r="BH54" s="109" t="n">
        <f aca="false">-Hipótesis!$F$40</f>
        <v>-500</v>
      </c>
      <c r="BI54" s="109" t="n">
        <f aca="false">-Hipótesis!$F$40</f>
        <v>-500</v>
      </c>
      <c r="BJ54" s="109" t="n">
        <f aca="false">-Hipótesis!$F$40</f>
        <v>-500</v>
      </c>
      <c r="BK54" s="109" t="n">
        <f aca="false">-Hipótesis!$F$40</f>
        <v>-500</v>
      </c>
      <c r="BL54" s="109" t="n">
        <f aca="false">-Hipótesis!$F$40</f>
        <v>-500</v>
      </c>
      <c r="BM54" s="109" t="n">
        <f aca="false">-Hipótesis!$F$40</f>
        <v>-500</v>
      </c>
      <c r="BN54" s="109" t="n">
        <f aca="false">-Hipótesis!$F$40</f>
        <v>-500</v>
      </c>
      <c r="BO54" s="109" t="n">
        <f aca="false">-Hipótesis!$F$40</f>
        <v>-500</v>
      </c>
      <c r="BP54" s="109" t="n">
        <f aca="false">-Hipótesis!$F$40</f>
        <v>-500</v>
      </c>
      <c r="BQ54" s="109" t="n">
        <f aca="false">-Hipótesis!$F$40</f>
        <v>-500</v>
      </c>
      <c r="BR54" s="109" t="n">
        <f aca="false">-Hipótesis!$F$40</f>
        <v>-500</v>
      </c>
      <c r="BS54" s="109" t="n">
        <f aca="false">-Hipótesis!$F$40</f>
        <v>-500</v>
      </c>
      <c r="BT54" s="109" t="n">
        <f aca="false">-Hipótesis!$F$40</f>
        <v>-500</v>
      </c>
      <c r="BU54" s="109" t="n">
        <f aca="false">-Hipótesis!$F$40</f>
        <v>-500</v>
      </c>
      <c r="BV54" s="109" t="n">
        <f aca="false">-Hipótesis!$F$40</f>
        <v>-500</v>
      </c>
      <c r="BW54" s="109" t="n">
        <f aca="false">-Hipótesis!$F$40</f>
        <v>-500</v>
      </c>
      <c r="BX54" s="109" t="n">
        <f aca="false">-Hipótesis!$F$40</f>
        <v>-500</v>
      </c>
      <c r="BY54" s="109" t="n">
        <f aca="false">-Hipótesis!$F$40</f>
        <v>-500</v>
      </c>
      <c r="BZ54" s="109" t="n">
        <f aca="false">-Hipótesis!$F$40</f>
        <v>-500</v>
      </c>
      <c r="CA54" s="109" t="n">
        <f aca="false">-Hipótesis!$F$40</f>
        <v>-500</v>
      </c>
      <c r="CB54" s="109" t="n">
        <f aca="false">-Hipótesis!$F$40</f>
        <v>-500</v>
      </c>
      <c r="CC54" s="109" t="n">
        <f aca="false">-Hipótesis!$F$40</f>
        <v>-500</v>
      </c>
      <c r="CD54" s="109" t="n">
        <f aca="false">-Hipótesis!$F$40</f>
        <v>-500</v>
      </c>
      <c r="CE54" s="109" t="n">
        <f aca="false">-Hipótesis!$F$40</f>
        <v>-500</v>
      </c>
      <c r="CF54" s="109" t="n">
        <f aca="false">-Hipótesis!$F$40</f>
        <v>-500</v>
      </c>
      <c r="CG54" s="109" t="n">
        <f aca="false">-Hipótesis!$F$40</f>
        <v>-500</v>
      </c>
      <c r="CH54" s="109" t="n">
        <f aca="false">-Hipótesis!$F$40</f>
        <v>-500</v>
      </c>
    </row>
    <row r="55" customFormat="false" ht="13.5" hidden="false" customHeight="true" outlineLevel="0" collapsed="false">
      <c r="A55" s="22" t="s">
        <v>560</v>
      </c>
      <c r="C55" s="109" t="n">
        <f aca="false">C42+C43+C51+C52+C53+C54</f>
        <v>-15678.9091440799</v>
      </c>
      <c r="D55" s="109" t="n">
        <f aca="false">D42+D43+D51+D52+D53+D54</f>
        <v>-15707.8517658849</v>
      </c>
      <c r="E55" s="109" t="n">
        <f aca="false">E42+E43+E51+E52+E53+E54</f>
        <v>-15766.6756036181</v>
      </c>
      <c r="F55" s="109" t="n">
        <f aca="false">F42+F43+F51+F52+F53+F54</f>
        <v>-15798.5902972714</v>
      </c>
      <c r="G55" s="109" t="n">
        <f aca="false">G42+G43+G51+G52+G53+G54</f>
        <v>-15828.4715131995</v>
      </c>
      <c r="H55" s="109" t="n">
        <f aca="false">H42+H43+H51+H52+H53+H54</f>
        <v>-15881.652994728</v>
      </c>
      <c r="I55" s="109" t="n">
        <f aca="false">I42+I43+I51+I52+I53+I54</f>
        <v>-15980.0222047912</v>
      </c>
      <c r="J55" s="109" t="n">
        <f aca="false">J42+J43+J51+J52+J53+J54</f>
        <v>-16078.3914148544</v>
      </c>
      <c r="K55" s="109" t="n">
        <f aca="false">K42+K43+K51+K52+K53+K54</f>
        <v>-16176.7606249176</v>
      </c>
      <c r="L55" s="109" t="n">
        <f aca="false">L42+L43+L51+L52+L53+L54</f>
        <v>-16275.1298349808</v>
      </c>
      <c r="M55" s="109" t="n">
        <f aca="false">M42+M43+M51+M52+M53+M54</f>
        <v>-16343.6178291159</v>
      </c>
      <c r="N55" s="109" t="n">
        <f aca="false">N42+N43+N51+N52+N53+N54</f>
        <v>-16445.9971186695</v>
      </c>
      <c r="O55" s="109" t="n">
        <f aca="false">O42+O43+O51+O52+O53+O54</f>
        <v>-21775.5764082232</v>
      </c>
      <c r="P55" s="109" t="n">
        <f aca="false">P42+P43+P51+P52+P53+P54</f>
        <v>-24179.531950344</v>
      </c>
      <c r="Q55" s="109" t="n">
        <f aca="false">Q42+Q43+Q51+Q52+Q53+Q54</f>
        <v>-24272.1674924648</v>
      </c>
      <c r="R55" s="109" t="n">
        <f aca="false">R42+R43+R51+R52+R53+R54</f>
        <v>-24364.8030345856</v>
      </c>
      <c r="S55" s="109" t="n">
        <f aca="false">S42+S43+S51+S52+S53+S54</f>
        <v>-24457.4385767064</v>
      </c>
      <c r="T55" s="109" t="n">
        <f aca="false">T42+T43+T51+T52+T53+T54</f>
        <v>-24550.0741188272</v>
      </c>
      <c r="U55" s="109" t="n">
        <f aca="false">U42+U43+U51+U52+U53+U54</f>
        <v>-26954.029660948</v>
      </c>
      <c r="V55" s="109" t="n">
        <f aca="false">V42+V43+V51+V52+V53+V54</f>
        <v>-29765.8652030689</v>
      </c>
      <c r="W55" s="109" t="n">
        <f aca="false">W42+W43+W51+W52+W53+W54</f>
        <v>-29858.5007451897</v>
      </c>
      <c r="X55" s="109" t="n">
        <f aca="false">X42+X43+X51+X52+X53+X54</f>
        <v>-29917.2449918918</v>
      </c>
      <c r="Y55" s="109" t="n">
        <f aca="false">Y42+Y43+Y51+Y52+Y53+Y54</f>
        <v>-29975.989238594</v>
      </c>
      <c r="Z55" s="109" t="n">
        <f aca="false">Z42+Z43+Z51+Z52+Z53+Z54</f>
        <v>-30021.1769671288</v>
      </c>
      <c r="AA55" s="109" t="n">
        <f aca="false">AA42+AA43+AA51+AA52+AA53+AA54</f>
        <v>-32348.1958956635</v>
      </c>
      <c r="AB55" s="109" t="n">
        <f aca="false">AB42+AB43+AB51+AB52+AB53+AB54</f>
        <v>-34774.0432241982</v>
      </c>
      <c r="AC55" s="109" t="n">
        <f aca="false">AC42+AC43+AC51+AC52+AC53+AC54</f>
        <v>-34819.2309527329</v>
      </c>
      <c r="AD55" s="109" t="n">
        <f aca="false">AD42+AD43+AD51+AD52+AD53+AD54</f>
        <v>-34864.4186812677</v>
      </c>
      <c r="AE55" s="109" t="n">
        <f aca="false">AE42+AE43+AE51+AE52+AE53+AE54</f>
        <v>-34909.6064098024</v>
      </c>
      <c r="AF55" s="109" t="n">
        <f aca="false">AF42+AF43+AF51+AF52+AF53+AF54</f>
        <v>-34954.7941383371</v>
      </c>
      <c r="AG55" s="109" t="n">
        <f aca="false">AG42+AG43+AG51+AG52+AG53+AG54</f>
        <v>-34999.9818668718</v>
      </c>
      <c r="AH55" s="109" t="n">
        <f aca="false">AH42+AH43+AH51+AH52+AH53+AH54</f>
        <v>-35045.1695954066</v>
      </c>
      <c r="AI55" s="109" t="n">
        <f aca="false">AI42+AI43+AI51+AI52+AI53+AI54</f>
        <v>-35090.3573239413</v>
      </c>
      <c r="AJ55" s="109" t="n">
        <f aca="false">AJ42+AJ43+AJ51+AJ52+AJ53+AJ54</f>
        <v>-35135.545052476</v>
      </c>
      <c r="AK55" s="109" t="n">
        <f aca="false">AK42+AK43+AK51+AK52+AK53+AK54</f>
        <v>-35180.7327810107</v>
      </c>
      <c r="AL55" s="109" t="n">
        <f aca="false">AL42+AL43+AL51+AL52+AL53+AL54</f>
        <v>-35225.9205095455</v>
      </c>
      <c r="AM55" s="109" t="n">
        <f aca="false">AM42+AM43+AM51+AM52+AM53+AM54</f>
        <v>-40085.4935500802</v>
      </c>
      <c r="AN55" s="109" t="n">
        <f aca="false">AN42+AN43+AN51+AN52+AN53+AN54</f>
        <v>-40130.6812786149</v>
      </c>
      <c r="AO55" s="109" t="n">
        <f aca="false">AO42+AO43+AO51+AO52+AO53+AO54</f>
        <v>-40175.8690071496</v>
      </c>
      <c r="AP55" s="109" t="n">
        <f aca="false">AP42+AP43+AP51+AP52+AP53+AP54</f>
        <v>-40221.0567356844</v>
      </c>
      <c r="AQ55" s="109" t="n">
        <f aca="false">AQ42+AQ43+AQ51+AQ52+AQ53+AQ54</f>
        <v>-40266.2444642191</v>
      </c>
      <c r="AR55" s="109" t="n">
        <f aca="false">AR42+AR43+AR51+AR52+AR53+AR54</f>
        <v>-40311.4321927538</v>
      </c>
      <c r="AS55" s="109" t="n">
        <f aca="false">AS42+AS43+AS51+AS52+AS53+AS54</f>
        <v>-40311.4321927538</v>
      </c>
      <c r="AT55" s="109" t="n">
        <f aca="false">AT42+AT43+AT51+AT52+AT53+AT54</f>
        <v>-40311.4321927538</v>
      </c>
      <c r="AU55" s="109" t="n">
        <f aca="false">AU42+AU43+AU51+AU52+AU53+AU54</f>
        <v>-40311.4321927538</v>
      </c>
      <c r="AV55" s="109" t="n">
        <f aca="false">AV42+AV43+AV51+AV52+AV53+AV54</f>
        <v>-40311.4321927538</v>
      </c>
      <c r="AW55" s="109" t="n">
        <f aca="false">AW42+AW43+AW51+AW52+AW53+AW54</f>
        <v>-40311.4321927538</v>
      </c>
      <c r="AX55" s="109" t="n">
        <f aca="false">AX42+AX43+AX51+AX52+AX53+AX54</f>
        <v>-40311.4321927538</v>
      </c>
      <c r="AY55" s="109" t="n">
        <f aca="false">AY42+AY43+AY51+AY52+AY53+AY54</f>
        <v>-42758.7696761138</v>
      </c>
      <c r="AZ55" s="109" t="n">
        <f aca="false">AZ42+AZ43+AZ51+AZ52+AZ53+AZ54</f>
        <v>-42758.7696761138</v>
      </c>
      <c r="BA55" s="109" t="n">
        <f aca="false">BA42+BA43+BA51+BA52+BA53+BA54</f>
        <v>-42758.7696761138</v>
      </c>
      <c r="BB55" s="109" t="n">
        <f aca="false">BB42+BB43+BB51+BB52+BB53+BB54</f>
        <v>-42758.7696761138</v>
      </c>
      <c r="BC55" s="109" t="n">
        <f aca="false">BC42+BC43+BC51+BC52+BC53+BC54</f>
        <v>-42758.7696761138</v>
      </c>
      <c r="BD55" s="109" t="n">
        <f aca="false">BD42+BD43+BD51+BD52+BD53+BD54</f>
        <v>-42758.7696761138</v>
      </c>
      <c r="BE55" s="109" t="n">
        <f aca="false">BE42+BE43+BE51+BE52+BE53+BE54</f>
        <v>-42758.7696761138</v>
      </c>
      <c r="BF55" s="109" t="n">
        <f aca="false">BF42+BF43+BF51+BF52+BF53+BF54</f>
        <v>-42758.7696761138</v>
      </c>
      <c r="BG55" s="109" t="n">
        <f aca="false">BG42+BG43+BG51+BG52+BG53+BG54</f>
        <v>-42758.7696761138</v>
      </c>
      <c r="BH55" s="109" t="n">
        <f aca="false">BH42+BH43+BH51+BH52+BH53+BH54</f>
        <v>-42758.7696761138</v>
      </c>
      <c r="BI55" s="109" t="n">
        <f aca="false">BI42+BI43+BI51+BI52+BI53+BI54</f>
        <v>-42758.7696761138</v>
      </c>
      <c r="BJ55" s="109" t="n">
        <f aca="false">BJ42+BJ43+BJ51+BJ52+BJ53+BJ54</f>
        <v>-42758.7696761138</v>
      </c>
      <c r="BK55" s="109" t="n">
        <f aca="false">BK42+BK43+BK51+BK52+BK53+BK54</f>
        <v>-45220.1272839746</v>
      </c>
      <c r="BL55" s="109" t="n">
        <f aca="false">BL42+BL43+BL51+BL52+BL53+BL54</f>
        <v>-45220.1272839746</v>
      </c>
      <c r="BM55" s="109" t="n">
        <f aca="false">BM42+BM43+BM51+BM52+BM53+BM54</f>
        <v>-45220.1272839746</v>
      </c>
      <c r="BN55" s="109" t="n">
        <f aca="false">BN42+BN43+BN51+BN52+BN53+BN54</f>
        <v>-45220.1272839746</v>
      </c>
      <c r="BO55" s="109" t="n">
        <f aca="false">BO42+BO43+BO51+BO52+BO53+BO54</f>
        <v>-45220.1272839746</v>
      </c>
      <c r="BP55" s="109" t="n">
        <f aca="false">BP42+BP43+BP51+BP52+BP53+BP54</f>
        <v>-45220.1272839746</v>
      </c>
      <c r="BQ55" s="109" t="n">
        <f aca="false">BQ42+BQ43+BQ51+BQ52+BQ53+BQ54</f>
        <v>-45220.1272839746</v>
      </c>
      <c r="BR55" s="109" t="n">
        <f aca="false">BR42+BR43+BR51+BR52+BR53+BR54</f>
        <v>-45220.1272839746</v>
      </c>
      <c r="BS55" s="109" t="n">
        <f aca="false">BS42+BS43+BS51+BS52+BS53+BS54</f>
        <v>-45220.1272839746</v>
      </c>
      <c r="BT55" s="109" t="n">
        <f aca="false">BT42+BT43+BT51+BT52+BT53+BT54</f>
        <v>-45220.1272839746</v>
      </c>
      <c r="BU55" s="109" t="n">
        <f aca="false">BU42+BU43+BU51+BU52+BU53+BU54</f>
        <v>-45220.1272839746</v>
      </c>
      <c r="BV55" s="109" t="n">
        <f aca="false">BV42+BV43+BV51+BV52+BV53+BV54</f>
        <v>-45220.1272839746</v>
      </c>
      <c r="BW55" s="109" t="n">
        <f aca="false">BW42+BW43+BW51+BW52+BW53+BW54</f>
        <v>-47695.9256200713</v>
      </c>
      <c r="BX55" s="109" t="n">
        <f aca="false">BX42+BX43+BX51+BX52+BX53+BX54</f>
        <v>-47695.9256200713</v>
      </c>
      <c r="BY55" s="109" t="n">
        <f aca="false">BY42+BY43+BY51+BY52+BY53+BY54</f>
        <v>-47695.9256200713</v>
      </c>
      <c r="BZ55" s="109" t="n">
        <f aca="false">BZ42+BZ43+BZ51+BZ52+BZ53+BZ54</f>
        <v>-47695.9256200713</v>
      </c>
      <c r="CA55" s="109" t="n">
        <f aca="false">CA42+CA43+CA51+CA52+CA53+CA54</f>
        <v>-47695.9256200713</v>
      </c>
      <c r="CB55" s="109" t="n">
        <f aca="false">CB42+CB43+CB51+CB52+CB53+CB54</f>
        <v>-47695.9256200713</v>
      </c>
      <c r="CC55" s="109" t="n">
        <f aca="false">CC42+CC43+CC51+CC52+CC53+CC54</f>
        <v>-47695.9256200713</v>
      </c>
      <c r="CD55" s="109" t="n">
        <f aca="false">CD42+CD43+CD51+CD52+CD53+CD54</f>
        <v>-47695.9256200713</v>
      </c>
      <c r="CE55" s="109" t="n">
        <f aca="false">CE42+CE43+CE51+CE52+CE53+CE54</f>
        <v>-47695.9256200713</v>
      </c>
      <c r="CF55" s="109" t="n">
        <f aca="false">CF42+CF43+CF51+CF52+CF53+CF54</f>
        <v>-47695.9256200713</v>
      </c>
      <c r="CG55" s="109" t="n">
        <f aca="false">CG42+CG43+CG51+CG52+CG53+CG54</f>
        <v>-47695.9256200713</v>
      </c>
      <c r="CH55" s="109" t="n">
        <f aca="false">CH42+CH43+CH51+CH52+CH53+CH54</f>
        <v>-47695.9256200713</v>
      </c>
    </row>
    <row r="56" customFormat="false" ht="13.5" hidden="false" customHeight="true" outlineLevel="0" collapsed="false">
      <c r="A56" s="47" t="s">
        <v>561</v>
      </c>
      <c r="C56" s="71" t="n">
        <f aca="false">C40+C55</f>
        <v>-14683.0589774132</v>
      </c>
      <c r="D56" s="71" t="n">
        <f aca="false">D40+D55</f>
        <v>-13645.5509325516</v>
      </c>
      <c r="E56" s="71" t="n">
        <f aca="false">E40+E55</f>
        <v>-11548.9886374191</v>
      </c>
      <c r="F56" s="71" t="n">
        <f aca="false">F40+F55</f>
        <v>-10421.3673648734</v>
      </c>
      <c r="G56" s="71" t="n">
        <f aca="false">G40+G55</f>
        <v>-9362.31311460261</v>
      </c>
      <c r="H56" s="71" t="n">
        <f aca="false">H40+H55</f>
        <v>-7711.3875674321</v>
      </c>
      <c r="I56" s="71" t="n">
        <f aca="false">I40+I55</f>
        <v>-4439.14892858713</v>
      </c>
      <c r="J56" s="71" t="n">
        <f aca="false">J40+J55</f>
        <v>-1166.91028974217</v>
      </c>
      <c r="K56" s="71" t="n">
        <f aca="false">K40+K55</f>
        <v>2105.32834910281</v>
      </c>
      <c r="L56" s="71" t="n">
        <f aca="false">L40+L55</f>
        <v>5377.56698794777</v>
      </c>
      <c r="M56" s="71" t="n">
        <f aca="false">M40+M55</f>
        <v>7590.75137652192</v>
      </c>
      <c r="N56" s="71" t="n">
        <f aca="false">N40+N55</f>
        <v>10594.3694696774</v>
      </c>
      <c r="O56" s="71" t="n">
        <f aca="false">O40+O55</f>
        <v>8370.78756283297</v>
      </c>
      <c r="P56" s="71" t="n">
        <f aca="false">P40+P55</f>
        <v>8759.19984092135</v>
      </c>
      <c r="Q56" s="71" t="n">
        <f aca="false">Q40+Q55</f>
        <v>11458.9321190097</v>
      </c>
      <c r="R56" s="71" t="n">
        <f aca="false">R40+R55</f>
        <v>14158.6643970981</v>
      </c>
      <c r="S56" s="71" t="n">
        <f aca="false">S40+S55</f>
        <v>16858.3966751865</v>
      </c>
      <c r="T56" s="71" t="n">
        <f aca="false">T40+T55</f>
        <v>19558.1289532749</v>
      </c>
      <c r="U56" s="71" t="n">
        <f aca="false">U40+U55</f>
        <v>19946.5412313633</v>
      </c>
      <c r="V56" s="71" t="n">
        <f aca="false">V40+V55</f>
        <v>19927.0735094516</v>
      </c>
      <c r="W56" s="71" t="n">
        <f aca="false">W40+W55</f>
        <v>22626.80578754</v>
      </c>
      <c r="X56" s="71" t="n">
        <f aca="false">X40+X55</f>
        <v>24536.104361047</v>
      </c>
      <c r="Y56" s="71" t="n">
        <f aca="false">Y40+Y55</f>
        <v>26445.402934554</v>
      </c>
      <c r="Z56" s="71" t="n">
        <f aca="false">Z40+Z55</f>
        <v>28066.7160262285</v>
      </c>
      <c r="AA56" s="71" t="n">
        <f aca="false">AA40+AA55</f>
        <v>27406.197917903</v>
      </c>
      <c r="AB56" s="71" t="n">
        <f aca="false">AB40+AB55</f>
        <v>26646.8514095774</v>
      </c>
      <c r="AC56" s="71" t="n">
        <f aca="false">AC40+AC55</f>
        <v>28268.1645012519</v>
      </c>
      <c r="AD56" s="71" t="n">
        <f aca="false">AD40+AD55</f>
        <v>29889.4775929264</v>
      </c>
      <c r="AE56" s="71" t="n">
        <f aca="false">AE40+AE55</f>
        <v>31510.7906846008</v>
      </c>
      <c r="AF56" s="71" t="n">
        <f aca="false">AF40+AF55</f>
        <v>33132.1037762753</v>
      </c>
      <c r="AG56" s="71" t="n">
        <f aca="false">AG40+AG55</f>
        <v>34753.4168679497</v>
      </c>
      <c r="AH56" s="71" t="n">
        <f aca="false">AH40+AH55</f>
        <v>36374.7299596242</v>
      </c>
      <c r="AI56" s="71" t="n">
        <f aca="false">AI40+AI55</f>
        <v>37996.0430512987</v>
      </c>
      <c r="AJ56" s="71" t="n">
        <f aca="false">AJ40+AJ55</f>
        <v>39617.3561429731</v>
      </c>
      <c r="AK56" s="71" t="n">
        <f aca="false">AK40+AK55</f>
        <v>41238.6692346476</v>
      </c>
      <c r="AL56" s="71" t="n">
        <f aca="false">AL40+AL55</f>
        <v>42859.9823263221</v>
      </c>
      <c r="AM56" s="71" t="n">
        <f aca="false">AM40+AM55</f>
        <v>39666.9101059965</v>
      </c>
      <c r="AN56" s="71" t="n">
        <f aca="false">AN40+AN55</f>
        <v>41288.223197671</v>
      </c>
      <c r="AO56" s="71" t="n">
        <f aca="false">AO40+AO55</f>
        <v>42909.5362893454</v>
      </c>
      <c r="AP56" s="71" t="n">
        <f aca="false">AP40+AP55</f>
        <v>44530.8493810199</v>
      </c>
      <c r="AQ56" s="71" t="n">
        <f aca="false">AQ40+AQ55</f>
        <v>46152.1624726944</v>
      </c>
      <c r="AR56" s="71" t="n">
        <f aca="false">AR40+AR55</f>
        <v>47773.4755643688</v>
      </c>
      <c r="AS56" s="71" t="n">
        <f aca="false">AS40+AS55</f>
        <v>47773.4755643688</v>
      </c>
      <c r="AT56" s="71" t="n">
        <f aca="false">AT40+AT55</f>
        <v>47773.4755643688</v>
      </c>
      <c r="AU56" s="71" t="n">
        <f aca="false">AU40+AU55</f>
        <v>47773.4755643688</v>
      </c>
      <c r="AV56" s="71" t="n">
        <f aca="false">AV40+AV55</f>
        <v>47773.4755643688</v>
      </c>
      <c r="AW56" s="71" t="n">
        <f aca="false">AW40+AW55</f>
        <v>47773.4755643688</v>
      </c>
      <c r="AX56" s="71" t="n">
        <f aca="false">AX40+AX55</f>
        <v>47773.4755643688</v>
      </c>
      <c r="AY56" s="71" t="n">
        <f aca="false">AY40+AY55</f>
        <v>45326.1380810088</v>
      </c>
      <c r="AZ56" s="71" t="n">
        <f aca="false">AZ40+AZ55</f>
        <v>45326.1380810088</v>
      </c>
      <c r="BA56" s="71" t="n">
        <f aca="false">BA40+BA55</f>
        <v>45326.1380810088</v>
      </c>
      <c r="BB56" s="71" t="n">
        <f aca="false">BB40+BB55</f>
        <v>45326.1380810088</v>
      </c>
      <c r="BC56" s="71" t="n">
        <f aca="false">BC40+BC55</f>
        <v>45326.1380810088</v>
      </c>
      <c r="BD56" s="71" t="n">
        <f aca="false">BD40+BD55</f>
        <v>45326.1380810088</v>
      </c>
      <c r="BE56" s="71" t="n">
        <f aca="false">BE40+BE55</f>
        <v>45326.1380810088</v>
      </c>
      <c r="BF56" s="71" t="n">
        <f aca="false">BF40+BF55</f>
        <v>45326.1380810088</v>
      </c>
      <c r="BG56" s="71" t="n">
        <f aca="false">BG40+BG55</f>
        <v>45326.1380810088</v>
      </c>
      <c r="BH56" s="71" t="n">
        <f aca="false">BH40+BH55</f>
        <v>45326.1380810088</v>
      </c>
      <c r="BI56" s="71" t="n">
        <f aca="false">BI40+BI55</f>
        <v>45326.1380810088</v>
      </c>
      <c r="BJ56" s="71" t="n">
        <f aca="false">BJ40+BJ55</f>
        <v>45326.1380810088</v>
      </c>
      <c r="BK56" s="71" t="n">
        <f aca="false">BK40+BK55</f>
        <v>42864.780473148</v>
      </c>
      <c r="BL56" s="71" t="n">
        <f aca="false">BL40+BL55</f>
        <v>42864.780473148</v>
      </c>
      <c r="BM56" s="71" t="n">
        <f aca="false">BM40+BM55</f>
        <v>42864.780473148</v>
      </c>
      <c r="BN56" s="71" t="n">
        <f aca="false">BN40+BN55</f>
        <v>42864.780473148</v>
      </c>
      <c r="BO56" s="71" t="n">
        <f aca="false">BO40+BO55</f>
        <v>42864.780473148</v>
      </c>
      <c r="BP56" s="71" t="n">
        <f aca="false">BP40+BP55</f>
        <v>42864.780473148</v>
      </c>
      <c r="BQ56" s="71" t="n">
        <f aca="false">BQ40+BQ55</f>
        <v>42864.780473148</v>
      </c>
      <c r="BR56" s="71" t="n">
        <f aca="false">BR40+BR55</f>
        <v>42864.780473148</v>
      </c>
      <c r="BS56" s="71" t="n">
        <f aca="false">BS40+BS55</f>
        <v>42864.780473148</v>
      </c>
      <c r="BT56" s="71" t="n">
        <f aca="false">BT40+BT55</f>
        <v>42864.780473148</v>
      </c>
      <c r="BU56" s="71" t="n">
        <f aca="false">BU40+BU55</f>
        <v>42864.780473148</v>
      </c>
      <c r="BV56" s="71" t="n">
        <f aca="false">BV40+BV55</f>
        <v>42864.780473148</v>
      </c>
      <c r="BW56" s="71" t="n">
        <f aca="false">BW40+BW55</f>
        <v>40388.9821370514</v>
      </c>
      <c r="BX56" s="71" t="n">
        <f aca="false">BX40+BX55</f>
        <v>40388.9821370514</v>
      </c>
      <c r="BY56" s="71" t="n">
        <f aca="false">BY40+BY55</f>
        <v>40388.9821370514</v>
      </c>
      <c r="BZ56" s="71" t="n">
        <f aca="false">BZ40+BZ55</f>
        <v>40388.9821370514</v>
      </c>
      <c r="CA56" s="71" t="n">
        <f aca="false">CA40+CA55</f>
        <v>40388.9821370514</v>
      </c>
      <c r="CB56" s="71" t="n">
        <f aca="false">CB40+CB55</f>
        <v>40388.9821370514</v>
      </c>
      <c r="CC56" s="71" t="n">
        <f aca="false">CC40+CC55</f>
        <v>40388.9821370514</v>
      </c>
      <c r="CD56" s="71" t="n">
        <f aca="false">CD40+CD55</f>
        <v>40388.9821370514</v>
      </c>
      <c r="CE56" s="71" t="n">
        <f aca="false">CE40+CE55</f>
        <v>40388.9821370514</v>
      </c>
      <c r="CF56" s="71" t="n">
        <f aca="false">CF40+CF55</f>
        <v>40388.9821370514</v>
      </c>
      <c r="CG56" s="71" t="n">
        <f aca="false">CG40+CG55</f>
        <v>40388.9821370514</v>
      </c>
      <c r="CH56" s="71" t="n">
        <f aca="false">CH40+CH55</f>
        <v>40388.9821370514</v>
      </c>
    </row>
    <row r="57" customFormat="false" ht="13.5" hidden="false" customHeight="true" outlineLevel="0" collapsed="false">
      <c r="A57" s="6" t="s">
        <v>49</v>
      </c>
      <c r="C57" s="120" t="n">
        <f aca="false">IFERROR(C56/C38,0)</f>
        <v>-13.5200506964536</v>
      </c>
      <c r="D57" s="120" t="n">
        <f aca="false">IFERROR(D56/D38,0)</f>
        <v>-6.04693550072613</v>
      </c>
      <c r="E57" s="120" t="n">
        <f aca="false">IFERROR(E56/E38,0)</f>
        <v>-2.45720267443001</v>
      </c>
      <c r="F57" s="120" t="n">
        <f aca="false">IFERROR(F56/F38,0)</f>
        <v>-1.72041193917745</v>
      </c>
      <c r="G57" s="120" t="n">
        <f aca="false">IFERROR(G56/G38,0)</f>
        <v>-1.27719897540372</v>
      </c>
      <c r="H57" s="120" t="n">
        <f aca="false">IFERROR(H56/H38,0)</f>
        <v>-0.822251338909679</v>
      </c>
      <c r="I57" s="120" t="n">
        <f aca="false">IFERROR(I56/I38,0)</f>
        <v>-0.331423814689959</v>
      </c>
      <c r="J57" s="120" t="n">
        <f aca="false">IFERROR(J56/J38,0)</f>
        <v>-0.0670254063351089</v>
      </c>
      <c r="K57" s="120" t="n">
        <f aca="false">IFERROR(K56/K38,0)</f>
        <v>0.0982615334502599</v>
      </c>
      <c r="L57" s="120" t="n">
        <f aca="false">IFERROR(L56/L38,0)</f>
        <v>0.211369415492507</v>
      </c>
      <c r="M57" s="120" t="n">
        <f aca="false">IFERROR(M56/M38,0)</f>
        <v>0.269323747108497</v>
      </c>
      <c r="N57" s="120" t="n">
        <f aca="false">IFERROR(N56/N38,0)</f>
        <v>0.331234848178257</v>
      </c>
      <c r="O57" s="120" t="n">
        <f aca="false">IFERROR(O56/O38,0)</f>
        <v>0.233922524360226</v>
      </c>
      <c r="P57" s="120" t="n">
        <f aca="false">IFERROR(P56/P38,0)</f>
        <v>0.223426829031835</v>
      </c>
      <c r="Q57" s="120" t="n">
        <f aca="false">IFERROR(Q56/Q38,0)</f>
        <v>0.268841805304229</v>
      </c>
      <c r="R57" s="120" t="n">
        <f aca="false">IFERROR(R56/R38,0)</f>
        <v>0.307511147129363</v>
      </c>
      <c r="S57" s="120" t="n">
        <f aca="false">IFERROR(S56/S38,0)</f>
        <v>0.340833880190776</v>
      </c>
      <c r="T57" s="120" t="n">
        <f aca="false">IFERROR(T56/T38,0)</f>
        <v>0.369847174138755</v>
      </c>
      <c r="U57" s="120" t="n">
        <f aca="false">IFERROR(U56/U38,0)</f>
        <v>0.354283383783194</v>
      </c>
      <c r="V57" s="120" t="n">
        <f aca="false">IFERROR(V56/V38,0)</f>
        <v>0.333672065313292</v>
      </c>
      <c r="W57" s="120" t="n">
        <f aca="false">IFERROR(W56/W38,0)</f>
        <v>0.358359441212517</v>
      </c>
      <c r="X57" s="120" t="n">
        <f aca="false">IFERROR(X56/X38,0)</f>
        <v>0.374583487190562</v>
      </c>
      <c r="Y57" s="120" t="n">
        <f aca="false">IFERROR(Y56/Y38,0)</f>
        <v>0.389678005989442</v>
      </c>
      <c r="Z57" s="120" t="n">
        <f aca="false">IFERROR(Z56/Z38,0)</f>
        <v>0.401914721286251</v>
      </c>
      <c r="AA57" s="120" t="n">
        <f aca="false">IFERROR(AA56/AA38,0)</f>
        <v>0.381700460230137</v>
      </c>
      <c r="AB57" s="120" t="n">
        <f aca="false">IFERROR(AB56/AB38,0)</f>
        <v>0.361224909795157</v>
      </c>
      <c r="AC57" s="120" t="n">
        <f aca="false">IFERROR(AC56/AC38,0)</f>
        <v>0.373247091318585</v>
      </c>
      <c r="AD57" s="120" t="n">
        <f aca="false">IFERROR(AD56/AD38,0)</f>
        <v>0.384660375113325</v>
      </c>
      <c r="AE57" s="120" t="n">
        <f aca="false">IFERROR(AE56/AE38,0)</f>
        <v>0.395509877699344</v>
      </c>
      <c r="AF57" s="120" t="n">
        <f aca="false">IFERROR(AF56/AF38,0)</f>
        <v>0.405836365794665</v>
      </c>
      <c r="AG57" s="120" t="n">
        <f aca="false">IFERROR(AG56/AG38,0)</f>
        <v>0.41567676819716</v>
      </c>
      <c r="AH57" s="120" t="n">
        <f aca="false">IFERROR(AH56/AH38,0)</f>
        <v>0.425064617043033</v>
      </c>
      <c r="AI57" s="120" t="n">
        <f aca="false">IFERROR(AI56/AI38,0)</f>
        <v>0.434030429554191</v>
      </c>
      <c r="AJ57" s="120" t="n">
        <f aca="false">IFERROR(AJ56/AJ38,0)</f>
        <v>0.442602039432399</v>
      </c>
      <c r="AK57" s="120" t="n">
        <f aca="false">IFERROR(AK56/AK38,0)</f>
        <v>0.45080488548218</v>
      </c>
      <c r="AL57" s="120" t="n">
        <f aca="false">IFERROR(AL56/AL38,0)</f>
        <v>0.458662263767143</v>
      </c>
      <c r="AM57" s="120" t="n">
        <f aca="false">IFERROR(AM56/AM38,0)</f>
        <v>0.415737373269711</v>
      </c>
      <c r="AN57" s="120" t="n">
        <f aca="false">IFERROR(AN56/AN38,0)</f>
        <v>0.423985808398159</v>
      </c>
      <c r="AO57" s="120" t="n">
        <f aca="false">IFERROR(AO56/AO38,0)</f>
        <v>0.431907497412369</v>
      </c>
      <c r="AP57" s="120" t="n">
        <f aca="false">IFERROR(AP56/AP38,0)</f>
        <v>0.439521478375409</v>
      </c>
      <c r="AQ57" s="120" t="n">
        <f aca="false">IFERROR(AQ56/AQ38,0)</f>
        <v>0.446845338509146</v>
      </c>
      <c r="AR57" s="120" t="n">
        <f aca="false">IFERROR(AR56/AR38,0)</f>
        <v>0.453895349816427</v>
      </c>
      <c r="AS57" s="120" t="n">
        <f aca="false">IFERROR(AS56/AS38,0)</f>
        <v>0.453895349816427</v>
      </c>
      <c r="AT57" s="120" t="n">
        <f aca="false">IFERROR(AT56/AT38,0)</f>
        <v>0.453895349816427</v>
      </c>
      <c r="AU57" s="120" t="n">
        <f aca="false">IFERROR(AU56/AU38,0)</f>
        <v>0.453895349816427</v>
      </c>
      <c r="AV57" s="120" t="n">
        <f aca="false">IFERROR(AV56/AV38,0)</f>
        <v>0.453895349816427</v>
      </c>
      <c r="AW57" s="120" t="n">
        <f aca="false">IFERROR(AW56/AW38,0)</f>
        <v>0.453895349816427</v>
      </c>
      <c r="AX57" s="120" t="n">
        <f aca="false">IFERROR(AX56/AX38,0)</f>
        <v>0.453895349816427</v>
      </c>
      <c r="AY57" s="120" t="n">
        <f aca="false">IFERROR(AY56/AY38,0)</f>
        <v>0.430643219005223</v>
      </c>
      <c r="AZ57" s="120" t="n">
        <f aca="false">IFERROR(AZ56/AZ38,0)</f>
        <v>0.430643219005223</v>
      </c>
      <c r="BA57" s="120" t="n">
        <f aca="false">IFERROR(BA56/BA38,0)</f>
        <v>0.430643219005223</v>
      </c>
      <c r="BB57" s="120" t="n">
        <f aca="false">IFERROR(BB56/BB38,0)</f>
        <v>0.430643219005223</v>
      </c>
      <c r="BC57" s="120" t="n">
        <f aca="false">IFERROR(BC56/BC38,0)</f>
        <v>0.430643219005223</v>
      </c>
      <c r="BD57" s="120" t="n">
        <f aca="false">IFERROR(BD56/BD38,0)</f>
        <v>0.430643219005223</v>
      </c>
      <c r="BE57" s="120" t="n">
        <f aca="false">IFERROR(BE56/BE38,0)</f>
        <v>0.430643219005223</v>
      </c>
      <c r="BF57" s="120" t="n">
        <f aca="false">IFERROR(BF56/BF38,0)</f>
        <v>0.430643219005223</v>
      </c>
      <c r="BG57" s="120" t="n">
        <f aca="false">IFERROR(BG56/BG38,0)</f>
        <v>0.430643219005223</v>
      </c>
      <c r="BH57" s="120" t="n">
        <f aca="false">IFERROR(BH56/BH38,0)</f>
        <v>0.430643219005223</v>
      </c>
      <c r="BI57" s="120" t="n">
        <f aca="false">IFERROR(BI56/BI38,0)</f>
        <v>0.430643219005223</v>
      </c>
      <c r="BJ57" s="120" t="n">
        <f aca="false">IFERROR(BJ56/BJ38,0)</f>
        <v>0.430643219005223</v>
      </c>
      <c r="BK57" s="120" t="n">
        <f aca="false">IFERROR(BK56/BK38,0)</f>
        <v>0.407257883120711</v>
      </c>
      <c r="BL57" s="120" t="n">
        <f aca="false">IFERROR(BL56/BL38,0)</f>
        <v>0.407257883120711</v>
      </c>
      <c r="BM57" s="120" t="n">
        <f aca="false">IFERROR(BM56/BM38,0)</f>
        <v>0.407257883120711</v>
      </c>
      <c r="BN57" s="120" t="n">
        <f aca="false">IFERROR(BN56/BN38,0)</f>
        <v>0.407257883120711</v>
      </c>
      <c r="BO57" s="120" t="n">
        <f aca="false">IFERROR(BO56/BO38,0)</f>
        <v>0.407257883120711</v>
      </c>
      <c r="BP57" s="120" t="n">
        <f aca="false">IFERROR(BP56/BP38,0)</f>
        <v>0.407257883120711</v>
      </c>
      <c r="BQ57" s="120" t="n">
        <f aca="false">IFERROR(BQ56/BQ38,0)</f>
        <v>0.407257883120711</v>
      </c>
      <c r="BR57" s="120" t="n">
        <f aca="false">IFERROR(BR56/BR38,0)</f>
        <v>0.407257883120711</v>
      </c>
      <c r="BS57" s="120" t="n">
        <f aca="false">IFERROR(BS56/BS38,0)</f>
        <v>0.407257883120711</v>
      </c>
      <c r="BT57" s="120" t="n">
        <f aca="false">IFERROR(BT56/BT38,0)</f>
        <v>0.407257883120711</v>
      </c>
      <c r="BU57" s="120" t="n">
        <f aca="false">IFERROR(BU56/BU38,0)</f>
        <v>0.407257883120711</v>
      </c>
      <c r="BV57" s="120" t="n">
        <f aca="false">IFERROR(BV56/BV38,0)</f>
        <v>0.407257883120711</v>
      </c>
      <c r="BW57" s="120" t="n">
        <f aca="false">IFERROR(BW56/BW38,0)</f>
        <v>0.383735346010691</v>
      </c>
      <c r="BX57" s="120" t="n">
        <f aca="false">IFERROR(BX56/BX38,0)</f>
        <v>0.383735346010691</v>
      </c>
      <c r="BY57" s="120" t="n">
        <f aca="false">IFERROR(BY56/BY38,0)</f>
        <v>0.383735346010691</v>
      </c>
      <c r="BZ57" s="120" t="n">
        <f aca="false">IFERROR(BZ56/BZ38,0)</f>
        <v>0.383735346010691</v>
      </c>
      <c r="CA57" s="120" t="n">
        <f aca="false">IFERROR(CA56/CA38,0)</f>
        <v>0.383735346010691</v>
      </c>
      <c r="CB57" s="120" t="n">
        <f aca="false">IFERROR(CB56/CB38,0)</f>
        <v>0.383735346010691</v>
      </c>
      <c r="CC57" s="120" t="n">
        <f aca="false">IFERROR(CC56/CC38,0)</f>
        <v>0.383735346010691</v>
      </c>
      <c r="CD57" s="120" t="n">
        <f aca="false">IFERROR(CD56/CD38,0)</f>
        <v>0.383735346010691</v>
      </c>
      <c r="CE57" s="120" t="n">
        <f aca="false">IFERROR(CE56/CE38,0)</f>
        <v>0.383735346010691</v>
      </c>
      <c r="CF57" s="120" t="n">
        <f aca="false">IFERROR(CF56/CF38,0)</f>
        <v>0.383735346010691</v>
      </c>
      <c r="CG57" s="120" t="n">
        <f aca="false">IFERROR(CG56/CG38,0)</f>
        <v>0.383735346010691</v>
      </c>
      <c r="CH57" s="120" t="n">
        <f aca="false">IFERROR(CH56/CH38,0)</f>
        <v>0.383735346010691</v>
      </c>
    </row>
    <row r="58" customFormat="false" ht="13.5" hidden="false" customHeight="true" outlineLevel="0" collapsed="false">
      <c r="A58" s="6" t="s">
        <v>562</v>
      </c>
      <c r="C58" s="109" t="n">
        <f aca="false">-(CAPEX!$C$22)/(Hipótesis!$F$86*12)</f>
        <v>-1174.64285714286</v>
      </c>
      <c r="D58" s="109" t="n">
        <f aca="false">-(CAPEX!$C$22)/(Hipótesis!$F$86*12)</f>
        <v>-1174.64285714286</v>
      </c>
      <c r="E58" s="109" t="n">
        <f aca="false">-(CAPEX!$C$22)/(Hipótesis!$F$86*12)</f>
        <v>-1174.64285714286</v>
      </c>
      <c r="F58" s="109" t="n">
        <f aca="false">-(CAPEX!$C$22)/(Hipótesis!$F$86*12)</f>
        <v>-1174.64285714286</v>
      </c>
      <c r="G58" s="109" t="n">
        <f aca="false">-(CAPEX!$C$22)/(Hipótesis!$F$86*12)</f>
        <v>-1174.64285714286</v>
      </c>
      <c r="H58" s="109" t="n">
        <f aca="false">-(CAPEX!$C$22)/(Hipótesis!$F$86*12)</f>
        <v>-1174.64285714286</v>
      </c>
      <c r="I58" s="109" t="n">
        <f aca="false">-(CAPEX!$C$22)/(Hipótesis!$F$86*12)</f>
        <v>-1174.64285714286</v>
      </c>
      <c r="J58" s="109" t="n">
        <f aca="false">-(CAPEX!$C$22)/(Hipótesis!$F$86*12)</f>
        <v>-1174.64285714286</v>
      </c>
      <c r="K58" s="109" t="n">
        <f aca="false">-(CAPEX!$C$22)/(Hipótesis!$F$86*12)</f>
        <v>-1174.64285714286</v>
      </c>
      <c r="L58" s="109" t="n">
        <f aca="false">-(CAPEX!$C$22)/(Hipótesis!$F$86*12)</f>
        <v>-1174.64285714286</v>
      </c>
      <c r="M58" s="109" t="n">
        <f aca="false">-(CAPEX!$C$22)/(Hipótesis!$F$86*12)</f>
        <v>-1174.64285714286</v>
      </c>
      <c r="N58" s="109" t="n">
        <f aca="false">-(CAPEX!$C$22)/(Hipótesis!$F$86*12)</f>
        <v>-1174.64285714286</v>
      </c>
      <c r="O58" s="109" t="n">
        <f aca="false">-(CAPEX!$C$22)/(Hipótesis!$F$86*12)</f>
        <v>-1174.64285714286</v>
      </c>
      <c r="P58" s="109" t="n">
        <f aca="false">-(CAPEX!$C$22)/(Hipótesis!$F$86*12)</f>
        <v>-1174.64285714286</v>
      </c>
      <c r="Q58" s="109" t="n">
        <f aca="false">-(CAPEX!$C$22)/(Hipótesis!$F$86*12)</f>
        <v>-1174.64285714286</v>
      </c>
      <c r="R58" s="109" t="n">
        <f aca="false">-(CAPEX!$C$22)/(Hipótesis!$F$86*12)</f>
        <v>-1174.64285714286</v>
      </c>
      <c r="S58" s="109" t="n">
        <f aca="false">-(CAPEX!$C$22)/(Hipótesis!$F$86*12)</f>
        <v>-1174.64285714286</v>
      </c>
      <c r="T58" s="109" t="n">
        <f aca="false">-(CAPEX!$C$22)/(Hipótesis!$F$86*12)</f>
        <v>-1174.64285714286</v>
      </c>
      <c r="U58" s="109" t="n">
        <f aca="false">-(CAPEX!$C$22)/(Hipótesis!$F$86*12)</f>
        <v>-1174.64285714286</v>
      </c>
      <c r="V58" s="109" t="n">
        <f aca="false">-(CAPEX!$C$22)/(Hipótesis!$F$86*12)</f>
        <v>-1174.64285714286</v>
      </c>
      <c r="W58" s="109" t="n">
        <f aca="false">-(CAPEX!$C$22)/(Hipótesis!$F$86*12)</f>
        <v>-1174.64285714286</v>
      </c>
      <c r="X58" s="109" t="n">
        <f aca="false">-(CAPEX!$C$22)/(Hipótesis!$F$86*12)</f>
        <v>-1174.64285714286</v>
      </c>
      <c r="Y58" s="109" t="n">
        <f aca="false">-(CAPEX!$C$22)/(Hipótesis!$F$86*12)</f>
        <v>-1174.64285714286</v>
      </c>
      <c r="Z58" s="109" t="n">
        <f aca="false">-(CAPEX!$C$22)/(Hipótesis!$F$86*12)</f>
        <v>-1174.64285714286</v>
      </c>
      <c r="AA58" s="109" t="n">
        <f aca="false">-(CAPEX!$C$22)/(Hipótesis!$F$86*12)</f>
        <v>-1174.64285714286</v>
      </c>
      <c r="AB58" s="109" t="n">
        <f aca="false">-(CAPEX!$C$22)/(Hipótesis!$F$86*12)</f>
        <v>-1174.64285714286</v>
      </c>
      <c r="AC58" s="109" t="n">
        <f aca="false">-(CAPEX!$C$22)/(Hipótesis!$F$86*12)</f>
        <v>-1174.64285714286</v>
      </c>
      <c r="AD58" s="109" t="n">
        <f aca="false">-(CAPEX!$C$22)/(Hipótesis!$F$86*12)</f>
        <v>-1174.64285714286</v>
      </c>
      <c r="AE58" s="109" t="n">
        <f aca="false">-(CAPEX!$C$22)/(Hipótesis!$F$86*12)</f>
        <v>-1174.64285714286</v>
      </c>
      <c r="AF58" s="109" t="n">
        <f aca="false">-(CAPEX!$C$22)/(Hipótesis!$F$86*12)</f>
        <v>-1174.64285714286</v>
      </c>
      <c r="AG58" s="109" t="n">
        <f aca="false">-(CAPEX!$C$22)/(Hipótesis!$F$86*12)</f>
        <v>-1174.64285714286</v>
      </c>
      <c r="AH58" s="109" t="n">
        <f aca="false">-(CAPEX!$C$22)/(Hipótesis!$F$86*12)</f>
        <v>-1174.64285714286</v>
      </c>
      <c r="AI58" s="109" t="n">
        <f aca="false">-(CAPEX!$C$22)/(Hipótesis!$F$86*12)</f>
        <v>-1174.64285714286</v>
      </c>
      <c r="AJ58" s="109" t="n">
        <f aca="false">-(CAPEX!$C$22)/(Hipótesis!$F$86*12)</f>
        <v>-1174.64285714286</v>
      </c>
      <c r="AK58" s="109" t="n">
        <f aca="false">-(CAPEX!$C$22)/(Hipótesis!$F$86*12)</f>
        <v>-1174.64285714286</v>
      </c>
      <c r="AL58" s="109" t="n">
        <f aca="false">-(CAPEX!$C$22)/(Hipótesis!$F$86*12)</f>
        <v>-1174.64285714286</v>
      </c>
      <c r="AM58" s="109" t="n">
        <f aca="false">-(CAPEX!$C$22)/(Hipótesis!$F$86*12)</f>
        <v>-1174.64285714286</v>
      </c>
      <c r="AN58" s="109" t="n">
        <f aca="false">-(CAPEX!$C$22)/(Hipótesis!$F$86*12)</f>
        <v>-1174.64285714286</v>
      </c>
      <c r="AO58" s="109" t="n">
        <f aca="false">-(CAPEX!$C$22)/(Hipótesis!$F$86*12)</f>
        <v>-1174.64285714286</v>
      </c>
      <c r="AP58" s="109" t="n">
        <f aca="false">-(CAPEX!$C$22)/(Hipótesis!$F$86*12)</f>
        <v>-1174.64285714286</v>
      </c>
      <c r="AQ58" s="109" t="n">
        <f aca="false">-(CAPEX!$C$22)/(Hipótesis!$F$86*12)</f>
        <v>-1174.64285714286</v>
      </c>
      <c r="AR58" s="109" t="n">
        <f aca="false">-(CAPEX!$C$22)/(Hipótesis!$F$86*12)</f>
        <v>-1174.64285714286</v>
      </c>
      <c r="AS58" s="109" t="n">
        <f aca="false">-(CAPEX!$C$22)/(Hipótesis!$F$86*12)</f>
        <v>-1174.64285714286</v>
      </c>
      <c r="AT58" s="109" t="n">
        <f aca="false">-(CAPEX!$C$22)/(Hipótesis!$F$86*12)</f>
        <v>-1174.64285714286</v>
      </c>
      <c r="AU58" s="109" t="n">
        <f aca="false">-(CAPEX!$C$22)/(Hipótesis!$F$86*12)</f>
        <v>-1174.64285714286</v>
      </c>
      <c r="AV58" s="109" t="n">
        <f aca="false">-(CAPEX!$C$22)/(Hipótesis!$F$86*12)</f>
        <v>-1174.64285714286</v>
      </c>
      <c r="AW58" s="109" t="n">
        <f aca="false">-(CAPEX!$C$22)/(Hipótesis!$F$86*12)</f>
        <v>-1174.64285714286</v>
      </c>
      <c r="AX58" s="109" t="n">
        <f aca="false">-(CAPEX!$C$22)/(Hipótesis!$F$86*12)</f>
        <v>-1174.64285714286</v>
      </c>
      <c r="AY58" s="109" t="n">
        <f aca="false">-(CAPEX!$C$22)/(Hipótesis!$F$86*12)</f>
        <v>-1174.64285714286</v>
      </c>
      <c r="AZ58" s="109" t="n">
        <f aca="false">-(CAPEX!$C$22)/(Hipótesis!$F$86*12)</f>
        <v>-1174.64285714286</v>
      </c>
      <c r="BA58" s="109" t="n">
        <f aca="false">-(CAPEX!$C$22)/(Hipótesis!$F$86*12)</f>
        <v>-1174.64285714286</v>
      </c>
      <c r="BB58" s="109" t="n">
        <f aca="false">-(CAPEX!$C$22)/(Hipótesis!$F$86*12)</f>
        <v>-1174.64285714286</v>
      </c>
      <c r="BC58" s="109" t="n">
        <f aca="false">-(CAPEX!$C$22)/(Hipótesis!$F$86*12)</f>
        <v>-1174.64285714286</v>
      </c>
      <c r="BD58" s="109" t="n">
        <f aca="false">-(CAPEX!$C$22)/(Hipótesis!$F$86*12)</f>
        <v>-1174.64285714286</v>
      </c>
      <c r="BE58" s="109" t="n">
        <f aca="false">-(CAPEX!$C$22)/(Hipótesis!$F$86*12)</f>
        <v>-1174.64285714286</v>
      </c>
      <c r="BF58" s="109" t="n">
        <f aca="false">-(CAPEX!$C$22)/(Hipótesis!$F$86*12)</f>
        <v>-1174.64285714286</v>
      </c>
      <c r="BG58" s="109" t="n">
        <f aca="false">-(CAPEX!$C$22)/(Hipótesis!$F$86*12)</f>
        <v>-1174.64285714286</v>
      </c>
      <c r="BH58" s="109" t="n">
        <f aca="false">-(CAPEX!$C$22)/(Hipótesis!$F$86*12)</f>
        <v>-1174.64285714286</v>
      </c>
      <c r="BI58" s="109" t="n">
        <f aca="false">-(CAPEX!$C$22)/(Hipótesis!$F$86*12)</f>
        <v>-1174.64285714286</v>
      </c>
      <c r="BJ58" s="109" t="n">
        <f aca="false">-(CAPEX!$C$22)/(Hipótesis!$F$86*12)</f>
        <v>-1174.64285714286</v>
      </c>
      <c r="BK58" s="109" t="n">
        <f aca="false">-(CAPEX!$C$22)/(Hipótesis!$F$86*12)</f>
        <v>-1174.64285714286</v>
      </c>
      <c r="BL58" s="109" t="n">
        <f aca="false">-(CAPEX!$C$22)/(Hipótesis!$F$86*12)</f>
        <v>-1174.64285714286</v>
      </c>
      <c r="BM58" s="109" t="n">
        <f aca="false">-(CAPEX!$C$22)/(Hipótesis!$F$86*12)</f>
        <v>-1174.64285714286</v>
      </c>
      <c r="BN58" s="109" t="n">
        <f aca="false">-(CAPEX!$C$22)/(Hipótesis!$F$86*12)</f>
        <v>-1174.64285714286</v>
      </c>
      <c r="BO58" s="109" t="n">
        <f aca="false">-(CAPEX!$C$22)/(Hipótesis!$F$86*12)</f>
        <v>-1174.64285714286</v>
      </c>
      <c r="BP58" s="109" t="n">
        <f aca="false">-(CAPEX!$C$22)/(Hipótesis!$F$86*12)</f>
        <v>-1174.64285714286</v>
      </c>
      <c r="BQ58" s="109" t="n">
        <f aca="false">-(CAPEX!$C$22)/(Hipótesis!$F$86*12)</f>
        <v>-1174.64285714286</v>
      </c>
      <c r="BR58" s="109" t="n">
        <f aca="false">-(CAPEX!$C$22)/(Hipótesis!$F$86*12)</f>
        <v>-1174.64285714286</v>
      </c>
      <c r="BS58" s="109" t="n">
        <f aca="false">-(CAPEX!$C$22)/(Hipótesis!$F$86*12)</f>
        <v>-1174.64285714286</v>
      </c>
      <c r="BT58" s="109" t="n">
        <f aca="false">-(CAPEX!$C$22)/(Hipótesis!$F$86*12)</f>
        <v>-1174.64285714286</v>
      </c>
      <c r="BU58" s="109" t="n">
        <f aca="false">-(CAPEX!$C$22)/(Hipótesis!$F$86*12)</f>
        <v>-1174.64285714286</v>
      </c>
      <c r="BV58" s="109" t="n">
        <f aca="false">-(CAPEX!$C$22)/(Hipótesis!$F$86*12)</f>
        <v>-1174.64285714286</v>
      </c>
      <c r="BW58" s="109" t="n">
        <f aca="false">-(CAPEX!$C$22)/(Hipótesis!$F$86*12)</f>
        <v>-1174.64285714286</v>
      </c>
      <c r="BX58" s="109" t="n">
        <f aca="false">-(CAPEX!$C$22)/(Hipótesis!$F$86*12)</f>
        <v>-1174.64285714286</v>
      </c>
      <c r="BY58" s="109" t="n">
        <f aca="false">-(CAPEX!$C$22)/(Hipótesis!$F$86*12)</f>
        <v>-1174.64285714286</v>
      </c>
      <c r="BZ58" s="109" t="n">
        <f aca="false">-(CAPEX!$C$22)/(Hipótesis!$F$86*12)</f>
        <v>-1174.64285714286</v>
      </c>
      <c r="CA58" s="109" t="n">
        <f aca="false">-(CAPEX!$C$22)/(Hipótesis!$F$86*12)</f>
        <v>-1174.64285714286</v>
      </c>
      <c r="CB58" s="109" t="n">
        <f aca="false">-(CAPEX!$C$22)/(Hipótesis!$F$86*12)</f>
        <v>-1174.64285714286</v>
      </c>
      <c r="CC58" s="109" t="n">
        <f aca="false">-(CAPEX!$C$22)/(Hipótesis!$F$86*12)</f>
        <v>-1174.64285714286</v>
      </c>
      <c r="CD58" s="109" t="n">
        <f aca="false">-(CAPEX!$C$22)/(Hipótesis!$F$86*12)</f>
        <v>-1174.64285714286</v>
      </c>
      <c r="CE58" s="109" t="n">
        <f aca="false">-(CAPEX!$C$22)/(Hipótesis!$F$86*12)</f>
        <v>-1174.64285714286</v>
      </c>
      <c r="CF58" s="109" t="n">
        <f aca="false">-(CAPEX!$C$22)/(Hipótesis!$F$86*12)</f>
        <v>-1174.64285714286</v>
      </c>
      <c r="CG58" s="109" t="n">
        <f aca="false">-(CAPEX!$C$22)/(Hipótesis!$F$86*12)</f>
        <v>-1174.64285714286</v>
      </c>
      <c r="CH58" s="109" t="n">
        <f aca="false">-(CAPEX!$C$22)/(Hipótesis!$F$86*12)</f>
        <v>-1174.64285714286</v>
      </c>
    </row>
    <row r="59" customFormat="false" ht="13.5" hidden="false" customHeight="true" outlineLevel="0" collapsed="false">
      <c r="A59" s="22" t="s">
        <v>563</v>
      </c>
      <c r="C59" s="109" t="n">
        <f aca="false">C56+C58</f>
        <v>-15857.7018345561</v>
      </c>
      <c r="D59" s="109" t="n">
        <f aca="false">D56+D58</f>
        <v>-14820.1937896944</v>
      </c>
      <c r="E59" s="109" t="n">
        <f aca="false">E56+E58</f>
        <v>-12723.631494562</v>
      </c>
      <c r="F59" s="109" t="n">
        <f aca="false">F56+F58</f>
        <v>-11596.0102220163</v>
      </c>
      <c r="G59" s="109" t="n">
        <f aca="false">G56+G58</f>
        <v>-10536.9559717455</v>
      </c>
      <c r="H59" s="109" t="n">
        <f aca="false">H56+H58</f>
        <v>-8886.03042457496</v>
      </c>
      <c r="I59" s="109" t="n">
        <f aca="false">I56+I58</f>
        <v>-5613.79178572999</v>
      </c>
      <c r="J59" s="109" t="n">
        <f aca="false">J56+J58</f>
        <v>-2341.55314688502</v>
      </c>
      <c r="K59" s="109" t="n">
        <f aca="false">K56+K58</f>
        <v>930.68549195995</v>
      </c>
      <c r="L59" s="109" t="n">
        <f aca="false">L56+L58</f>
        <v>4202.92413080492</v>
      </c>
      <c r="M59" s="109" t="n">
        <f aca="false">M56+M58</f>
        <v>6416.10851937907</v>
      </c>
      <c r="N59" s="109" t="n">
        <f aca="false">N56+N58</f>
        <v>9419.72661253459</v>
      </c>
      <c r="O59" s="109" t="n">
        <f aca="false">O56+O58</f>
        <v>7196.14470569011</v>
      </c>
      <c r="P59" s="109" t="n">
        <f aca="false">P56+P58</f>
        <v>7584.55698377849</v>
      </c>
      <c r="Q59" s="109" t="n">
        <f aca="false">Q56+Q58</f>
        <v>10284.2892618669</v>
      </c>
      <c r="R59" s="109" t="n">
        <f aca="false">R56+R58</f>
        <v>12984.0215399552</v>
      </c>
      <c r="S59" s="109" t="n">
        <f aca="false">S56+S58</f>
        <v>15683.7538180436</v>
      </c>
      <c r="T59" s="109" t="n">
        <f aca="false">T56+T58</f>
        <v>18383.486096132</v>
      </c>
      <c r="U59" s="109" t="n">
        <f aca="false">U56+U58</f>
        <v>18771.8983742204</v>
      </c>
      <c r="V59" s="109" t="n">
        <f aca="false">V56+V58</f>
        <v>18752.4306523088</v>
      </c>
      <c r="W59" s="109" t="n">
        <f aca="false">W56+W58</f>
        <v>21452.1629303971</v>
      </c>
      <c r="X59" s="109" t="n">
        <f aca="false">X56+X58</f>
        <v>23361.4615039042</v>
      </c>
      <c r="Y59" s="109" t="n">
        <f aca="false">Y56+Y58</f>
        <v>25270.7600774112</v>
      </c>
      <c r="Z59" s="109" t="n">
        <f aca="false">Z56+Z58</f>
        <v>26892.0731690856</v>
      </c>
      <c r="AA59" s="109" t="n">
        <f aca="false">AA56+AA58</f>
        <v>26231.5550607601</v>
      </c>
      <c r="AB59" s="109" t="n">
        <f aca="false">AB56+AB58</f>
        <v>25472.2085524346</v>
      </c>
      <c r="AC59" s="109" t="n">
        <f aca="false">AC56+AC58</f>
        <v>27093.521644109</v>
      </c>
      <c r="AD59" s="109" t="n">
        <f aca="false">AD56+AD58</f>
        <v>28714.8347357835</v>
      </c>
      <c r="AE59" s="109" t="n">
        <f aca="false">AE56+AE58</f>
        <v>30336.147827458</v>
      </c>
      <c r="AF59" s="109" t="n">
        <f aca="false">AF56+AF58</f>
        <v>31957.4609191324</v>
      </c>
      <c r="AG59" s="109" t="n">
        <f aca="false">AG56+AG58</f>
        <v>33578.7740108069</v>
      </c>
      <c r="AH59" s="109" t="n">
        <f aca="false">AH56+AH58</f>
        <v>35200.0871024813</v>
      </c>
      <c r="AI59" s="109" t="n">
        <f aca="false">AI56+AI58</f>
        <v>36821.4001941558</v>
      </c>
      <c r="AJ59" s="109" t="n">
        <f aca="false">AJ56+AJ58</f>
        <v>38442.7132858303</v>
      </c>
      <c r="AK59" s="109" t="n">
        <f aca="false">AK56+AK58</f>
        <v>40064.0263775047</v>
      </c>
      <c r="AL59" s="109" t="n">
        <f aca="false">AL56+AL58</f>
        <v>41685.3394691792</v>
      </c>
      <c r="AM59" s="109" t="n">
        <f aca="false">AM56+AM58</f>
        <v>38492.2672488537</v>
      </c>
      <c r="AN59" s="109" t="n">
        <f aca="false">AN56+AN58</f>
        <v>40113.5803405281</v>
      </c>
      <c r="AO59" s="109" t="n">
        <f aca="false">AO56+AO58</f>
        <v>41734.8934322026</v>
      </c>
      <c r="AP59" s="109" t="n">
        <f aca="false">AP56+AP58</f>
        <v>43356.2065238771</v>
      </c>
      <c r="AQ59" s="109" t="n">
        <f aca="false">AQ56+AQ58</f>
        <v>44977.5196155515</v>
      </c>
      <c r="AR59" s="109" t="n">
        <f aca="false">AR56+AR58</f>
        <v>46598.832707226</v>
      </c>
      <c r="AS59" s="109" t="n">
        <f aca="false">AS56+AS58</f>
        <v>46598.832707226</v>
      </c>
      <c r="AT59" s="109" t="n">
        <f aca="false">AT56+AT58</f>
        <v>46598.832707226</v>
      </c>
      <c r="AU59" s="109" t="n">
        <f aca="false">AU56+AU58</f>
        <v>46598.832707226</v>
      </c>
      <c r="AV59" s="109" t="n">
        <f aca="false">AV56+AV58</f>
        <v>46598.832707226</v>
      </c>
      <c r="AW59" s="109" t="n">
        <f aca="false">AW56+AW58</f>
        <v>46598.832707226</v>
      </c>
      <c r="AX59" s="109" t="n">
        <f aca="false">AX56+AX58</f>
        <v>46598.832707226</v>
      </c>
      <c r="AY59" s="109" t="n">
        <f aca="false">AY56+AY58</f>
        <v>44151.495223866</v>
      </c>
      <c r="AZ59" s="109" t="n">
        <f aca="false">AZ56+AZ58</f>
        <v>44151.495223866</v>
      </c>
      <c r="BA59" s="109" t="n">
        <f aca="false">BA56+BA58</f>
        <v>44151.495223866</v>
      </c>
      <c r="BB59" s="109" t="n">
        <f aca="false">BB56+BB58</f>
        <v>44151.495223866</v>
      </c>
      <c r="BC59" s="109" t="n">
        <f aca="false">BC56+BC58</f>
        <v>44151.495223866</v>
      </c>
      <c r="BD59" s="109" t="n">
        <f aca="false">BD56+BD58</f>
        <v>44151.495223866</v>
      </c>
      <c r="BE59" s="109" t="n">
        <f aca="false">BE56+BE58</f>
        <v>44151.495223866</v>
      </c>
      <c r="BF59" s="109" t="n">
        <f aca="false">BF56+BF58</f>
        <v>44151.495223866</v>
      </c>
      <c r="BG59" s="109" t="n">
        <f aca="false">BG56+BG58</f>
        <v>44151.495223866</v>
      </c>
      <c r="BH59" s="109" t="n">
        <f aca="false">BH56+BH58</f>
        <v>44151.495223866</v>
      </c>
      <c r="BI59" s="109" t="n">
        <f aca="false">BI56+BI58</f>
        <v>44151.495223866</v>
      </c>
      <c r="BJ59" s="109" t="n">
        <f aca="false">BJ56+BJ58</f>
        <v>44151.495223866</v>
      </c>
      <c r="BK59" s="109" t="n">
        <f aca="false">BK56+BK58</f>
        <v>41690.1376160052</v>
      </c>
      <c r="BL59" s="109" t="n">
        <f aca="false">BL56+BL58</f>
        <v>41690.1376160052</v>
      </c>
      <c r="BM59" s="109" t="n">
        <f aca="false">BM56+BM58</f>
        <v>41690.1376160052</v>
      </c>
      <c r="BN59" s="109" t="n">
        <f aca="false">BN56+BN58</f>
        <v>41690.1376160052</v>
      </c>
      <c r="BO59" s="109" t="n">
        <f aca="false">BO56+BO58</f>
        <v>41690.1376160052</v>
      </c>
      <c r="BP59" s="109" t="n">
        <f aca="false">BP56+BP58</f>
        <v>41690.1376160052</v>
      </c>
      <c r="BQ59" s="109" t="n">
        <f aca="false">BQ56+BQ58</f>
        <v>41690.1376160052</v>
      </c>
      <c r="BR59" s="109" t="n">
        <f aca="false">BR56+BR58</f>
        <v>41690.1376160052</v>
      </c>
      <c r="BS59" s="109" t="n">
        <f aca="false">BS56+BS58</f>
        <v>41690.1376160052</v>
      </c>
      <c r="BT59" s="109" t="n">
        <f aca="false">BT56+BT58</f>
        <v>41690.1376160052</v>
      </c>
      <c r="BU59" s="109" t="n">
        <f aca="false">BU56+BU58</f>
        <v>41690.1376160052</v>
      </c>
      <c r="BV59" s="109" t="n">
        <f aca="false">BV56+BV58</f>
        <v>41690.1376160052</v>
      </c>
      <c r="BW59" s="109" t="n">
        <f aca="false">BW56+BW58</f>
        <v>39214.3392799086</v>
      </c>
      <c r="BX59" s="109" t="n">
        <f aca="false">BX56+BX58</f>
        <v>39214.3392799086</v>
      </c>
      <c r="BY59" s="109" t="n">
        <f aca="false">BY56+BY58</f>
        <v>39214.3392799086</v>
      </c>
      <c r="BZ59" s="109" t="n">
        <f aca="false">BZ56+BZ58</f>
        <v>39214.3392799086</v>
      </c>
      <c r="CA59" s="109" t="n">
        <f aca="false">CA56+CA58</f>
        <v>39214.3392799086</v>
      </c>
      <c r="CB59" s="109" t="n">
        <f aca="false">CB56+CB58</f>
        <v>39214.3392799086</v>
      </c>
      <c r="CC59" s="109" t="n">
        <f aca="false">CC56+CC58</f>
        <v>39214.3392799086</v>
      </c>
      <c r="CD59" s="109" t="n">
        <f aca="false">CD56+CD58</f>
        <v>39214.3392799086</v>
      </c>
      <c r="CE59" s="109" t="n">
        <f aca="false">CE56+CE58</f>
        <v>39214.3392799086</v>
      </c>
      <c r="CF59" s="109" t="n">
        <f aca="false">CF56+CF58</f>
        <v>39214.3392799086</v>
      </c>
      <c r="CG59" s="109" t="n">
        <f aca="false">CG56+CG58</f>
        <v>39214.3392799086</v>
      </c>
      <c r="CH59" s="109" t="n">
        <f aca="false">CH56+CH58</f>
        <v>39214.3392799086</v>
      </c>
    </row>
    <row r="60" customFormat="false" ht="13.5" hidden="false" customHeight="true" outlineLevel="0" collapsed="false">
      <c r="A60" s="6" t="s">
        <v>564</v>
      </c>
      <c r="C60" s="109" t="n">
        <f aca="false">-(C91+C98+C103+C77+C68*Hipótesis!$D$73*Hipótesis!$D$74/12)</f>
        <v>-337.405912083333</v>
      </c>
      <c r="D60" s="109" t="n">
        <f aca="false">-(D91+D98+D103+D77+D68*Hipótesis!$D$73*Hipótesis!$D$74/12)</f>
        <v>-341.795605833333</v>
      </c>
      <c r="E60" s="109" t="n">
        <f aca="false">-(E91+E98+E103+E77+E68*Hipótesis!$D$73*Hipótesis!$D$74/12)</f>
        <v>-350.958540989583</v>
      </c>
      <c r="F60" s="109" t="n">
        <f aca="false">-(F91+F98+F103+F77+F68*Hipótesis!$D$73*Hipótesis!$D$74/12)</f>
        <v>-356.048897395833</v>
      </c>
      <c r="G60" s="109" t="n">
        <f aca="false">-(G91+G98+G103+G77+G68*Hipótesis!$D$73*Hipótesis!$D$74/12)</f>
        <v>-360.822138802083</v>
      </c>
      <c r="H60" s="109" t="n">
        <f aca="false">-(H91+H98+H103+H77+H68*Hipótesis!$D$73*Hipótesis!$D$74/12)</f>
        <v>-368.502267708333</v>
      </c>
      <c r="I60" s="109" t="n">
        <f aca="false">-(I91+I98+I103+I77+I68*Hipótesis!$D$73*Hipótesis!$D$74/12)</f>
        <v>-383.561493605324</v>
      </c>
      <c r="J60" s="109" t="n">
        <f aca="false">-(J91+J98+J103+J77+J68*Hipótesis!$D$73*Hipótesis!$D$74/12)</f>
        <v>-398.620719502314</v>
      </c>
      <c r="K60" s="109" t="n">
        <f aca="false">-(K91+K98+K103+K77+K68*Hipótesis!$D$73*Hipótesis!$D$74/12)</f>
        <v>-455.786512381361</v>
      </c>
      <c r="L60" s="109" t="n">
        <f aca="false">-(L91+L98+L103+L77+L68*Hipótesis!$D$73*Hipótesis!$D$74/12)</f>
        <v>-550.140320993989</v>
      </c>
      <c r="M60" s="109" t="n">
        <f aca="false">-(M91+M98+M103+M77+M68*Hipótesis!$D$73*Hipótesis!$D$74/12)</f>
        <v>-605.20188146736</v>
      </c>
      <c r="N60" s="109" t="n">
        <f aca="false">-(N91+N98+N103+N77+N68*Hipótesis!$D$73*Hipótesis!$D$74/12)</f>
        <v>-665.847642815072</v>
      </c>
      <c r="O60" s="109" t="n">
        <f aca="false">-(O91+O98+O103+O77+O68*Hipótesis!$D$73*Hipótesis!$D$74/12)</f>
        <v>-634.940751025177</v>
      </c>
      <c r="P60" s="109" t="n">
        <f aca="false">-(P91+P98+P103+P77+P68*Hipótesis!$D$73*Hipótesis!$D$74/12)</f>
        <v>-655.531901077685</v>
      </c>
      <c r="Q60" s="109" t="n">
        <f aca="false">-(Q91+Q98+Q103+Q77+Q68*Hipótesis!$D$73*Hipótesis!$D$74/12)</f>
        <v>-722.349451130193</v>
      </c>
      <c r="R60" s="109" t="n">
        <f aca="false">-(R91+R98+R103+R77+R68*Hipótesis!$D$73*Hipótesis!$D$74/12)</f>
        <v>-789.167001182701</v>
      </c>
      <c r="S60" s="109" t="n">
        <f aca="false">-(S91+S98+S103+S77+S68*Hipótesis!$D$73*Hipótesis!$D$74/12)</f>
        <v>-855.984551235209</v>
      </c>
      <c r="T60" s="109" t="n">
        <f aca="false">-(T91+T98+T103+T77+T68*Hipótesis!$D$73*Hipótesis!$D$74/12)</f>
        <v>-922.802101287717</v>
      </c>
      <c r="U60" s="109" t="n">
        <f aca="false">-(U91+U98+U103+U77+U68*Hipótesis!$D$73*Hipótesis!$D$74/12)</f>
        <v>-943.393251340226</v>
      </c>
      <c r="V60" s="109" t="n">
        <f aca="false">-(V91+V98+V103+V77+V68*Hipótesis!$D$73*Hipótesis!$D$74/12)</f>
        <v>-955.826801392733</v>
      </c>
      <c r="W60" s="109" t="n">
        <f aca="false">-(W91+W98+W103+W77+W68*Hipótesis!$D$73*Hipótesis!$D$74/12)</f>
        <v>-1022.64435144524</v>
      </c>
      <c r="X60" s="109" t="n">
        <f aca="false">-(X91+X98+X103+X77+X68*Hipótesis!$D$73*Hipótesis!$D$74/12)</f>
        <v>-1069.68928990612</v>
      </c>
      <c r="Y60" s="109" t="n">
        <f aca="false">-(Y91+Y98+Y103+Y77+Y68*Hipótesis!$D$73*Hipótesis!$D$74/12)</f>
        <v>-1116.734228367</v>
      </c>
      <c r="Z60" s="109" t="n">
        <f aca="false">-(Z91+Z98+Z103+Z77+Z68*Hipótesis!$D$73*Hipótesis!$D$74/12)</f>
        <v>-1156.53958719123</v>
      </c>
      <c r="AA60" s="109" t="n">
        <f aca="false">-(AA91+AA98+AA103+AA77+AA68*Hipótesis!$D$73*Hipótesis!$D$74/12)</f>
        <v>-1150.70832201546</v>
      </c>
      <c r="AB60" s="109" t="n">
        <f aca="false">-(AB91+AB98+AB103+AB77+AB68*Hipótesis!$D$73*Hipótesis!$D$74/12)</f>
        <v>-1137.34493328414</v>
      </c>
      <c r="AC60" s="109" t="n">
        <f aca="false">-(AC91+AC98+AC103+AC77+AC68*Hipótesis!$D$73*Hipótesis!$D$74/12)</f>
        <v>-1171.59473655281</v>
      </c>
      <c r="AD60" s="109" t="n">
        <f aca="false">-(AD91+AD98+AD103+AD77+AD68*Hipótesis!$D$73*Hipótesis!$D$74/12)</f>
        <v>-1205.84453982149</v>
      </c>
      <c r="AE60" s="109" t="n">
        <f aca="false">-(AE91+AE98+AE103+AE77+AE68*Hipótesis!$D$73*Hipótesis!$D$74/12)</f>
        <v>-1240.09434309016</v>
      </c>
      <c r="AF60" s="109" t="n">
        <f aca="false">-(AF91+AF98+AF103+AF77+AF68*Hipótesis!$D$73*Hipótesis!$D$74/12)</f>
        <v>-1274.34414635883</v>
      </c>
      <c r="AG60" s="109" t="n">
        <f aca="false">-(AG91+AG98+AG103+AG77+AG68*Hipótesis!$D$73*Hipótesis!$D$74/12)</f>
        <v>-1308.59394962751</v>
      </c>
      <c r="AH60" s="109" t="n">
        <f aca="false">-(AH91+AH98+AH103+AH77+AH68*Hipótesis!$D$73*Hipótesis!$D$74/12)</f>
        <v>-1342.84375289618</v>
      </c>
      <c r="AI60" s="109" t="n">
        <f aca="false">-(AI91+AI98+AI103+AI77+AI68*Hipótesis!$D$73*Hipótesis!$D$74/12)</f>
        <v>-1377.09355616486</v>
      </c>
      <c r="AJ60" s="109" t="n">
        <f aca="false">-(AJ91+AJ98+AJ103+AJ77+AJ68*Hipótesis!$D$73*Hipótesis!$D$74/12)</f>
        <v>-1411.34335943353</v>
      </c>
      <c r="AK60" s="109" t="n">
        <f aca="false">-(AK91+AK98+AK103+AK77+AK68*Hipótesis!$D$73*Hipótesis!$D$74/12)</f>
        <v>-1445.5931627022</v>
      </c>
      <c r="AL60" s="109" t="n">
        <f aca="false">-(AL91+AL98+AL103+AL77+AL68*Hipótesis!$D$73*Hipótesis!$D$74/12)</f>
        <v>-1479.84296597088</v>
      </c>
      <c r="AM60" s="109" t="n">
        <f aca="false">-(AM91+AM98+AM103+AM77+AM68*Hipótesis!$D$73*Hipótesis!$D$74/12)</f>
        <v>-1417.80506299955</v>
      </c>
      <c r="AN60" s="109" t="n">
        <f aca="false">-(AN91+AN98+AN103+AN77+AN68*Hipótesis!$D$73*Hipótesis!$D$74/12)</f>
        <v>-1452.05486626823</v>
      </c>
      <c r="AO60" s="109" t="n">
        <f aca="false">-(AO91+AO98+AO103+AO77+AO68*Hipótesis!$D$73*Hipótesis!$D$74/12)</f>
        <v>-1486.3046695369</v>
      </c>
      <c r="AP60" s="109" t="n">
        <f aca="false">-(AP91+AP98+AP103+AP77+AP68*Hipótesis!$D$73*Hipótesis!$D$74/12)</f>
        <v>-1520.55447280558</v>
      </c>
      <c r="AQ60" s="109" t="n">
        <f aca="false">-(AQ91+AQ98+AQ103+AQ77+AQ68*Hipótesis!$D$73*Hipótesis!$D$74/12)</f>
        <v>-1554.80427607425</v>
      </c>
      <c r="AR60" s="109" t="n">
        <f aca="false">-(AR91+AR98+AR103+AR77+AR68*Hipótesis!$D$73*Hipótesis!$D$74/12)</f>
        <v>-1589.05407934292</v>
      </c>
      <c r="AS60" s="109" t="n">
        <f aca="false">-(AS91+AS98+AS103+AS77+AS68*Hipótesis!$D$73*Hipótesis!$D$74/12)</f>
        <v>-1583.49852378737</v>
      </c>
      <c r="AT60" s="109" t="n">
        <f aca="false">-(AT91+AT98+AT103+AT77+AT68*Hipótesis!$D$73*Hipótesis!$D$74/12)</f>
        <v>-1577.94296823181</v>
      </c>
      <c r="AU60" s="109" t="n">
        <f aca="false">-(AU91+AU98+AU103+AU77+AU68*Hipótesis!$D$73*Hipótesis!$D$74/12)</f>
        <v>-1572.38741267626</v>
      </c>
      <c r="AV60" s="109" t="n">
        <f aca="false">-(AV91+AV98+AV103+AV77+AV68*Hipótesis!$D$73*Hipótesis!$D$74/12)</f>
        <v>-1566.8318571207</v>
      </c>
      <c r="AW60" s="109" t="n">
        <f aca="false">-(AW91+AW98+AW103+AW77+AW68*Hipótesis!$D$73*Hipótesis!$D$74/12)</f>
        <v>-1561.27630156515</v>
      </c>
      <c r="AX60" s="109" t="n">
        <f aca="false">-(AX91+AX98+AX103+AX77+AX68*Hipótesis!$D$73*Hipótesis!$D$74/12)</f>
        <v>-1555.72074600959</v>
      </c>
      <c r="AY60" s="109" t="n">
        <f aca="false">-(AY91+AY98+AY103+AY77+AY68*Hipótesis!$D$73*Hipótesis!$D$74/12)</f>
        <v>-1501.21844078684</v>
      </c>
      <c r="AZ60" s="109" t="n">
        <f aca="false">-(AZ91+AZ98+AZ103+AZ77+AZ68*Hipótesis!$D$73*Hipótesis!$D$74/12)</f>
        <v>-1495.66288523128</v>
      </c>
      <c r="BA60" s="109" t="n">
        <f aca="false">-(BA91+BA98+BA103+BA77+BA68*Hipótesis!$D$73*Hipótesis!$D$74/12)</f>
        <v>-1490.10732967572</v>
      </c>
      <c r="BB60" s="109" t="n">
        <f aca="false">-(BB91+BB98+BB103+BB77+BB68*Hipótesis!$D$73*Hipótesis!$D$74/12)</f>
        <v>-1484.55177412017</v>
      </c>
      <c r="BC60" s="109" t="n">
        <f aca="false">-(BC91+BC98+BC103+BC77+BC68*Hipótesis!$D$73*Hipótesis!$D$74/12)</f>
        <v>-1478.99621856461</v>
      </c>
      <c r="BD60" s="109" t="n">
        <f aca="false">-(BD91+BD98+BD103+BD77+BD68*Hipótesis!$D$73*Hipótesis!$D$74/12)</f>
        <v>-1473.44066300906</v>
      </c>
      <c r="BE60" s="109" t="n">
        <f aca="false">-(BE91+BE98+BE103+BE77+BE68*Hipótesis!$D$73*Hipótesis!$D$74/12)</f>
        <v>-1467.8851074535</v>
      </c>
      <c r="BF60" s="109" t="n">
        <f aca="false">-(BF91+BF98+BF103+BF77+BF68*Hipótesis!$D$73*Hipótesis!$D$74/12)</f>
        <v>-1462.32955189795</v>
      </c>
      <c r="BG60" s="109" t="n">
        <f aca="false">-(BG91+BG98+BG103+BG77+BG68*Hipótesis!$D$73*Hipótesis!$D$74/12)</f>
        <v>-1456.77399634239</v>
      </c>
      <c r="BH60" s="109" t="n">
        <f aca="false">-(BH91+BH98+BH103+BH77+BH68*Hipótesis!$D$73*Hipótesis!$D$74/12)</f>
        <v>-1451.21844078684</v>
      </c>
      <c r="BI60" s="109" t="n">
        <f aca="false">-(BI91+BI98+BI103+BI77+BI68*Hipótesis!$D$73*Hipótesis!$D$74/12)</f>
        <v>-1445.66288523128</v>
      </c>
      <c r="BJ60" s="109" t="n">
        <f aca="false">-(BJ91+BJ98+BJ103+BJ77+BJ68*Hipótesis!$D$73*Hipótesis!$D$74/12)</f>
        <v>-1440.10732967572</v>
      </c>
      <c r="BK60" s="109" t="n">
        <f aca="false">-(BK91+BK98+BK103+BK77+BK68*Hipótesis!$D$73*Hipótesis!$D$74/12)</f>
        <v>-1385.32462196295</v>
      </c>
      <c r="BL60" s="109" t="n">
        <f aca="false">-(BL91+BL98+BL103+BL77+BL68*Hipótesis!$D$73*Hipótesis!$D$74/12)</f>
        <v>-1379.7690664074</v>
      </c>
      <c r="BM60" s="109" t="n">
        <f aca="false">-(BM91+BM98+BM103+BM77+BM68*Hipótesis!$D$73*Hipótesis!$D$74/12)</f>
        <v>-1374.21351085184</v>
      </c>
      <c r="BN60" s="109" t="n">
        <f aca="false">-(BN91+BN98+BN103+BN77+BN68*Hipótesis!$D$73*Hipótesis!$D$74/12)</f>
        <v>-1368.65795529629</v>
      </c>
      <c r="BO60" s="109" t="n">
        <f aca="false">-(BO91+BO98+BO103+BO77+BO68*Hipótesis!$D$73*Hipótesis!$D$74/12)</f>
        <v>-1363.10239974073</v>
      </c>
      <c r="BP60" s="109" t="n">
        <f aca="false">-(BP91+BP98+BP103+BP77+BP68*Hipótesis!$D$73*Hipótesis!$D$74/12)</f>
        <v>-1357.54684418518</v>
      </c>
      <c r="BQ60" s="109" t="n">
        <f aca="false">-(BQ91+BQ98+BQ103+BQ77+BQ68*Hipótesis!$D$73*Hipótesis!$D$74/12)</f>
        <v>-1351.99128862962</v>
      </c>
      <c r="BR60" s="109" t="n">
        <f aca="false">-(BR91+BR98+BR103+BR77+BR68*Hipótesis!$D$73*Hipótesis!$D$74/12)</f>
        <v>-1346.43573307406</v>
      </c>
      <c r="BS60" s="109" t="n">
        <f aca="false">-(BS91+BS98+BS103+BS77+BS68*Hipótesis!$D$73*Hipótesis!$D$74/12)</f>
        <v>-1340.88017751851</v>
      </c>
      <c r="BT60" s="109" t="n">
        <f aca="false">-(BT91+BT98+BT103+BT77+BT68*Hipótesis!$D$73*Hipótesis!$D$74/12)</f>
        <v>-1335.32462196295</v>
      </c>
      <c r="BU60" s="109" t="n">
        <f aca="false">-(BU91+BU98+BU103+BU77+BU68*Hipótesis!$D$73*Hipótesis!$D$74/12)</f>
        <v>-1329.7690664074</v>
      </c>
      <c r="BV60" s="109" t="n">
        <f aca="false">-(BV91+BV98+BV103+BV77+BV68*Hipótesis!$D$73*Hipótesis!$D$74/12)</f>
        <v>-1324.21351085184</v>
      </c>
      <c r="BW60" s="109" t="n">
        <f aca="false">-(BW91+BW98+BW103+BW77+BW68*Hipótesis!$D$73*Hipótesis!$D$74/12)</f>
        <v>-1269.14198857435</v>
      </c>
      <c r="BX60" s="109" t="n">
        <f aca="false">-(BX91+BX98+BX103+BX77+BX68*Hipótesis!$D$73*Hipótesis!$D$74/12)</f>
        <v>-1263.5864330188</v>
      </c>
      <c r="BY60" s="109" t="n">
        <f aca="false">-(BY91+BY98+BY103+BY77+BY68*Hipótesis!$D$73*Hipótesis!$D$74/12)</f>
        <v>-1258.03087746324</v>
      </c>
      <c r="BZ60" s="109" t="n">
        <f aca="false">-(BZ91+BZ98+BZ103+BZ77+BZ68*Hipótesis!$D$73*Hipótesis!$D$74/12)</f>
        <v>-1252.47532190769</v>
      </c>
      <c r="CA60" s="109" t="n">
        <f aca="false">-(CA91+CA98+CA103+CA77+CA68*Hipótesis!$D$73*Hipótesis!$D$74/12)</f>
        <v>-1246.91976635213</v>
      </c>
      <c r="CB60" s="109" t="n">
        <f aca="false">-(CB91+CB98+CB103+CB77+CB68*Hipótesis!$D$73*Hipótesis!$D$74/12)</f>
        <v>-1241.36421079658</v>
      </c>
      <c r="CC60" s="109" t="n">
        <f aca="false">-(CC91+CC98+CC103+CC77+CC68*Hipótesis!$D$73*Hipótesis!$D$74/12)</f>
        <v>-1235.80865524102</v>
      </c>
      <c r="CD60" s="109" t="n">
        <f aca="false">-(CD91+CD98+CD103+CD77+CD68*Hipótesis!$D$73*Hipótesis!$D$74/12)</f>
        <v>-1230.25309968547</v>
      </c>
      <c r="CE60" s="109" t="n">
        <f aca="false">-(CE91+CE98+CE103+CE77+CE68*Hipótesis!$D$73*Hipótesis!$D$74/12)</f>
        <v>-1224.69754412991</v>
      </c>
      <c r="CF60" s="109" t="n">
        <f aca="false">-(CF91+CF98+CF103+CF77+CF68*Hipótesis!$D$73*Hipótesis!$D$74/12)</f>
        <v>-1219.14198857435</v>
      </c>
      <c r="CG60" s="109" t="n">
        <f aca="false">-(CG91+CG98+CG103+CG77+CG68*Hipótesis!$D$73*Hipótesis!$D$74/12)</f>
        <v>-1213.5864330188</v>
      </c>
      <c r="CH60" s="109" t="n">
        <f aca="false">-(CH91+CH98+CH103+CH77+CH68*Hipótesis!$D$73*Hipótesis!$D$74/12)</f>
        <v>-1208.03087746324</v>
      </c>
    </row>
    <row r="61" customFormat="false" ht="13.5" hidden="false" customHeight="true" outlineLevel="0" collapsed="false">
      <c r="A61" s="22" t="s">
        <v>565</v>
      </c>
      <c r="C61" s="109" t="n">
        <f aca="false">C59+C60</f>
        <v>-16195.1077466394</v>
      </c>
      <c r="D61" s="109" t="n">
        <f aca="false">D59+D60</f>
        <v>-15161.9893955278</v>
      </c>
      <c r="E61" s="109" t="n">
        <f aca="false">E59+E60</f>
        <v>-13074.5900355516</v>
      </c>
      <c r="F61" s="109" t="n">
        <f aca="false">F59+F60</f>
        <v>-11952.0591194121</v>
      </c>
      <c r="G61" s="109" t="n">
        <f aca="false">G59+G60</f>
        <v>-10897.7781105475</v>
      </c>
      <c r="H61" s="109" t="n">
        <f aca="false">H59+H60</f>
        <v>-9254.53269228329</v>
      </c>
      <c r="I61" s="109" t="n">
        <f aca="false">I59+I60</f>
        <v>-5997.35327933531</v>
      </c>
      <c r="J61" s="109" t="n">
        <f aca="false">J59+J60</f>
        <v>-2740.17386638734</v>
      </c>
      <c r="K61" s="109" t="n">
        <f aca="false">K59+K60</f>
        <v>474.898979578589</v>
      </c>
      <c r="L61" s="109" t="n">
        <f aca="false">L59+L60</f>
        <v>3652.78380981093</v>
      </c>
      <c r="M61" s="109" t="n">
        <f aca="false">M59+M60</f>
        <v>5810.90663791171</v>
      </c>
      <c r="N61" s="109" t="n">
        <f aca="false">N59+N60</f>
        <v>8753.87896971952</v>
      </c>
      <c r="O61" s="109" t="n">
        <f aca="false">O59+O60</f>
        <v>6561.20395466494</v>
      </c>
      <c r="P61" s="109" t="n">
        <f aca="false">P59+P60</f>
        <v>6929.02508270081</v>
      </c>
      <c r="Q61" s="109" t="n">
        <f aca="false">Q59+Q60</f>
        <v>9561.93981073668</v>
      </c>
      <c r="R61" s="109" t="n">
        <f aca="false">R59+R60</f>
        <v>12194.8545387725</v>
      </c>
      <c r="S61" s="109" t="n">
        <f aca="false">S59+S60</f>
        <v>14827.7692668084</v>
      </c>
      <c r="T61" s="109" t="n">
        <f aca="false">T59+T60</f>
        <v>17460.6839948443</v>
      </c>
      <c r="U61" s="109" t="n">
        <f aca="false">U59+U60</f>
        <v>17828.5051228802</v>
      </c>
      <c r="V61" s="109" t="n">
        <f aca="false">V59+V60</f>
        <v>17796.603850916</v>
      </c>
      <c r="W61" s="109" t="n">
        <f aca="false">W59+W60</f>
        <v>20429.5185789519</v>
      </c>
      <c r="X61" s="109" t="n">
        <f aca="false">X59+X60</f>
        <v>22291.772213998</v>
      </c>
      <c r="Y61" s="109" t="n">
        <f aca="false">Y59+Y60</f>
        <v>24154.0258490442</v>
      </c>
      <c r="Z61" s="109" t="n">
        <f aca="false">Z59+Z60</f>
        <v>25735.5335818944</v>
      </c>
      <c r="AA61" s="109" t="n">
        <f aca="false">AA59+AA60</f>
        <v>25080.8467387446</v>
      </c>
      <c r="AB61" s="109" t="n">
        <f aca="false">AB59+AB60</f>
        <v>24334.8636191504</v>
      </c>
      <c r="AC61" s="109" t="n">
        <f aca="false">AC59+AC60</f>
        <v>25921.9269075562</v>
      </c>
      <c r="AD61" s="109" t="n">
        <f aca="false">AD59+AD60</f>
        <v>27508.990195962</v>
      </c>
      <c r="AE61" s="109" t="n">
        <f aca="false">AE59+AE60</f>
        <v>29096.0534843678</v>
      </c>
      <c r="AF61" s="109" t="n">
        <f aca="false">AF59+AF60</f>
        <v>30683.1167727736</v>
      </c>
      <c r="AG61" s="109" t="n">
        <f aca="false">AG59+AG60</f>
        <v>32270.1800611794</v>
      </c>
      <c r="AH61" s="109" t="n">
        <f aca="false">AH59+AH60</f>
        <v>33857.2433495852</v>
      </c>
      <c r="AI61" s="109" t="n">
        <f aca="false">AI59+AI60</f>
        <v>35444.306637991</v>
      </c>
      <c r="AJ61" s="109" t="n">
        <f aca="false">AJ59+AJ60</f>
        <v>37031.3699263968</v>
      </c>
      <c r="AK61" s="109" t="n">
        <f aca="false">AK59+AK60</f>
        <v>38618.4332148025</v>
      </c>
      <c r="AL61" s="109" t="n">
        <f aca="false">AL59+AL60</f>
        <v>40205.4965032083</v>
      </c>
      <c r="AM61" s="109" t="n">
        <f aca="false">AM59+AM60</f>
        <v>37074.4621858541</v>
      </c>
      <c r="AN61" s="109" t="n">
        <f aca="false">AN59+AN60</f>
        <v>38661.5254742599</v>
      </c>
      <c r="AO61" s="109" t="n">
        <f aca="false">AO59+AO60</f>
        <v>40248.5887626657</v>
      </c>
      <c r="AP61" s="109" t="n">
        <f aca="false">AP59+AP60</f>
        <v>41835.6520510715</v>
      </c>
      <c r="AQ61" s="109" t="n">
        <f aca="false">AQ59+AQ60</f>
        <v>43422.7153394773</v>
      </c>
      <c r="AR61" s="109" t="n">
        <f aca="false">AR59+AR60</f>
        <v>45009.7786278831</v>
      </c>
      <c r="AS61" s="109" t="n">
        <f aca="false">AS59+AS60</f>
        <v>45015.3341834386</v>
      </c>
      <c r="AT61" s="109" t="n">
        <f aca="false">AT59+AT60</f>
        <v>45020.8897389942</v>
      </c>
      <c r="AU61" s="109" t="n">
        <f aca="false">AU59+AU60</f>
        <v>45026.4452945497</v>
      </c>
      <c r="AV61" s="109" t="n">
        <f aca="false">AV59+AV60</f>
        <v>45032.0008501053</v>
      </c>
      <c r="AW61" s="109" t="n">
        <f aca="false">AW59+AW60</f>
        <v>45037.5564056608</v>
      </c>
      <c r="AX61" s="109" t="n">
        <f aca="false">AX59+AX60</f>
        <v>45043.1119612164</v>
      </c>
      <c r="AY61" s="109" t="n">
        <f aca="false">AY59+AY60</f>
        <v>42650.2767830791</v>
      </c>
      <c r="AZ61" s="109" t="n">
        <f aca="false">AZ59+AZ60</f>
        <v>42655.8323386347</v>
      </c>
      <c r="BA61" s="109" t="n">
        <f aca="false">BA59+BA60</f>
        <v>42661.3878941903</v>
      </c>
      <c r="BB61" s="109" t="n">
        <f aca="false">BB59+BB60</f>
        <v>42666.9434497458</v>
      </c>
      <c r="BC61" s="109" t="n">
        <f aca="false">BC59+BC60</f>
        <v>42672.4990053014</v>
      </c>
      <c r="BD61" s="109" t="n">
        <f aca="false">BD59+BD60</f>
        <v>42678.0545608569</v>
      </c>
      <c r="BE61" s="109" t="n">
        <f aca="false">BE59+BE60</f>
        <v>42683.6101164125</v>
      </c>
      <c r="BF61" s="109" t="n">
        <f aca="false">BF59+BF60</f>
        <v>42689.165671968</v>
      </c>
      <c r="BG61" s="109" t="n">
        <f aca="false">BG59+BG60</f>
        <v>42694.7212275236</v>
      </c>
      <c r="BH61" s="109" t="n">
        <f aca="false">BH59+BH60</f>
        <v>42700.2767830791</v>
      </c>
      <c r="BI61" s="109" t="n">
        <f aca="false">BI59+BI60</f>
        <v>42705.8323386347</v>
      </c>
      <c r="BJ61" s="109" t="n">
        <f aca="false">BJ59+BJ60</f>
        <v>42711.3878941903</v>
      </c>
      <c r="BK61" s="109" t="n">
        <f aca="false">BK59+BK60</f>
        <v>40304.8129940422</v>
      </c>
      <c r="BL61" s="109" t="n">
        <f aca="false">BL59+BL60</f>
        <v>40310.3685495978</v>
      </c>
      <c r="BM61" s="109" t="n">
        <f aca="false">BM59+BM60</f>
        <v>40315.9241051533</v>
      </c>
      <c r="BN61" s="109" t="n">
        <f aca="false">BN59+BN60</f>
        <v>40321.4796607089</v>
      </c>
      <c r="BO61" s="109" t="n">
        <f aca="false">BO59+BO60</f>
        <v>40327.0352162644</v>
      </c>
      <c r="BP61" s="109" t="n">
        <f aca="false">BP59+BP60</f>
        <v>40332.59077182</v>
      </c>
      <c r="BQ61" s="109" t="n">
        <f aca="false">BQ59+BQ60</f>
        <v>40338.1463273756</v>
      </c>
      <c r="BR61" s="109" t="n">
        <f aca="false">BR59+BR60</f>
        <v>40343.7018829311</v>
      </c>
      <c r="BS61" s="109" t="n">
        <f aca="false">BS59+BS60</f>
        <v>40349.2574384867</v>
      </c>
      <c r="BT61" s="109" t="n">
        <f aca="false">BT59+BT60</f>
        <v>40354.8129940422</v>
      </c>
      <c r="BU61" s="109" t="n">
        <f aca="false">BU59+BU60</f>
        <v>40360.3685495978</v>
      </c>
      <c r="BV61" s="109" t="n">
        <f aca="false">BV59+BV60</f>
        <v>40365.9241051533</v>
      </c>
      <c r="BW61" s="109" t="n">
        <f aca="false">BW59+BW60</f>
        <v>37945.1972913342</v>
      </c>
      <c r="BX61" s="109" t="n">
        <f aca="false">BX59+BX60</f>
        <v>37950.7528468898</v>
      </c>
      <c r="BY61" s="109" t="n">
        <f aca="false">BY59+BY60</f>
        <v>37956.3084024453</v>
      </c>
      <c r="BZ61" s="109" t="n">
        <f aca="false">BZ59+BZ60</f>
        <v>37961.8639580009</v>
      </c>
      <c r="CA61" s="109" t="n">
        <f aca="false">CA59+CA60</f>
        <v>37967.4195135564</v>
      </c>
      <c r="CB61" s="109" t="n">
        <f aca="false">CB59+CB60</f>
        <v>37972.975069112</v>
      </c>
      <c r="CC61" s="109" t="n">
        <f aca="false">CC59+CC60</f>
        <v>37978.5306246675</v>
      </c>
      <c r="CD61" s="109" t="n">
        <f aca="false">CD59+CD60</f>
        <v>37984.0861802231</v>
      </c>
      <c r="CE61" s="109" t="n">
        <f aca="false">CE59+CE60</f>
        <v>37989.6417357786</v>
      </c>
      <c r="CF61" s="109" t="n">
        <f aca="false">CF59+CF60</f>
        <v>37995.1972913342</v>
      </c>
      <c r="CG61" s="109" t="n">
        <f aca="false">CG59+CG60</f>
        <v>38000.7528468898</v>
      </c>
      <c r="CH61" s="109" t="n">
        <f aca="false">CH59+CH60</f>
        <v>38006.3084024453</v>
      </c>
    </row>
    <row r="62" customFormat="false" ht="13.5" hidden="false" customHeight="true" outlineLevel="0" collapsed="false">
      <c r="A62" s="6" t="s">
        <v>566</v>
      </c>
      <c r="C62" s="109" t="n">
        <f aca="false">-IF(1&lt;Hipótesis!$D$89,Hipótesis!$F$87,Hipótesis!$F$88)*MAX(0,C61)</f>
        <v>-0</v>
      </c>
      <c r="D62" s="109" t="n">
        <f aca="false">-IF(1&lt;Hipótesis!$D$89,Hipótesis!$F$87,Hipótesis!$F$88)*MAX(0,D61)</f>
        <v>-0</v>
      </c>
      <c r="E62" s="109" t="n">
        <f aca="false">-IF(1&lt;Hipótesis!$D$89,Hipótesis!$F$87,Hipótesis!$F$88)*MAX(0,E61)</f>
        <v>-0</v>
      </c>
      <c r="F62" s="109" t="n">
        <f aca="false">-IF(1&lt;Hipótesis!$D$89,Hipótesis!$F$87,Hipótesis!$F$88)*MAX(0,F61)</f>
        <v>-0</v>
      </c>
      <c r="G62" s="109" t="n">
        <f aca="false">-IF(1&lt;Hipótesis!$D$89,Hipótesis!$F$87,Hipótesis!$F$88)*MAX(0,G61)</f>
        <v>-0</v>
      </c>
      <c r="H62" s="109" t="n">
        <f aca="false">-IF(1&lt;Hipótesis!$D$89,Hipótesis!$F$87,Hipótesis!$F$88)*MAX(0,H61)</f>
        <v>-0</v>
      </c>
      <c r="I62" s="109" t="n">
        <f aca="false">-IF(1&lt;Hipótesis!$D$89,Hipótesis!$F$87,Hipótesis!$F$88)*MAX(0,I61)</f>
        <v>-0</v>
      </c>
      <c r="J62" s="109" t="n">
        <f aca="false">-IF(1&lt;Hipótesis!$D$89,Hipótesis!$F$87,Hipótesis!$F$88)*MAX(0,J61)</f>
        <v>-0</v>
      </c>
      <c r="K62" s="109" t="n">
        <f aca="false">-IF(1&lt;Hipótesis!$D$89,Hipótesis!$F$87,Hipótesis!$F$88)*MAX(0,K61)</f>
        <v>-71.2348469367883</v>
      </c>
      <c r="L62" s="109" t="n">
        <f aca="false">-IF(1&lt;Hipótesis!$D$89,Hipótesis!$F$87,Hipótesis!$F$88)*MAX(0,L61)</f>
        <v>-547.917571471639</v>
      </c>
      <c r="M62" s="109" t="n">
        <f aca="false">-IF(1&lt;Hipótesis!$D$89,Hipótesis!$F$87,Hipótesis!$F$88)*MAX(0,M61)</f>
        <v>-871.635995686756</v>
      </c>
      <c r="N62" s="109" t="n">
        <f aca="false">-IF(1&lt;Hipótesis!$D$89,Hipótesis!$F$87,Hipótesis!$F$88)*MAX(0,N61)</f>
        <v>-1313.08184545793</v>
      </c>
      <c r="O62" s="109" t="n">
        <f aca="false">-IF(2&lt;Hipótesis!$D$89,Hipótesis!$F$87,Hipótesis!$F$88)*MAX(0,O61)</f>
        <v>-984.180593199741</v>
      </c>
      <c r="P62" s="109" t="n">
        <f aca="false">-IF(2&lt;Hipótesis!$D$89,Hipótesis!$F$87,Hipótesis!$F$88)*MAX(0,P61)</f>
        <v>-1039.35376240512</v>
      </c>
      <c r="Q62" s="109" t="n">
        <f aca="false">-IF(2&lt;Hipótesis!$D$89,Hipótesis!$F$87,Hipótesis!$F$88)*MAX(0,Q61)</f>
        <v>-1434.2909716105</v>
      </c>
      <c r="R62" s="109" t="n">
        <f aca="false">-IF(2&lt;Hipótesis!$D$89,Hipótesis!$F$87,Hipótesis!$F$88)*MAX(0,R61)</f>
        <v>-1829.22818081588</v>
      </c>
      <c r="S62" s="109" t="n">
        <f aca="false">-IF(2&lt;Hipótesis!$D$89,Hipótesis!$F$87,Hipótesis!$F$88)*MAX(0,S61)</f>
        <v>-2224.16539002126</v>
      </c>
      <c r="T62" s="109" t="n">
        <f aca="false">-IF(2&lt;Hipótesis!$D$89,Hipótesis!$F$87,Hipótesis!$F$88)*MAX(0,T61)</f>
        <v>-2619.10259922664</v>
      </c>
      <c r="U62" s="109" t="n">
        <f aca="false">-IF(2&lt;Hipótesis!$D$89,Hipótesis!$F$87,Hipótesis!$F$88)*MAX(0,U61)</f>
        <v>-2674.27576843203</v>
      </c>
      <c r="V62" s="109" t="n">
        <f aca="false">-IF(2&lt;Hipótesis!$D$89,Hipótesis!$F$87,Hipótesis!$F$88)*MAX(0,V61)</f>
        <v>-2669.49057763741</v>
      </c>
      <c r="W62" s="109" t="n">
        <f aca="false">-IF(2&lt;Hipótesis!$D$89,Hipótesis!$F$87,Hipótesis!$F$88)*MAX(0,W61)</f>
        <v>-3064.42778684279</v>
      </c>
      <c r="X62" s="109" t="n">
        <f aca="false">-IF(2&lt;Hipótesis!$D$89,Hipótesis!$F$87,Hipótesis!$F$88)*MAX(0,X61)</f>
        <v>-3343.76583209971</v>
      </c>
      <c r="Y62" s="109" t="n">
        <f aca="false">-IF(2&lt;Hipótesis!$D$89,Hipótesis!$F$87,Hipótesis!$F$88)*MAX(0,Y61)</f>
        <v>-3623.10387735663</v>
      </c>
      <c r="Z62" s="109" t="n">
        <f aca="false">-IF(2&lt;Hipótesis!$D$89,Hipótesis!$F$87,Hipótesis!$F$88)*MAX(0,Z61)</f>
        <v>-3860.33003728416</v>
      </c>
      <c r="AA62" s="109" t="n">
        <f aca="false">-IF(3&lt;Hipótesis!$D$89,Hipótesis!$F$87,Hipótesis!$F$88)*MAX(0,AA61)</f>
        <v>-3762.1270108117</v>
      </c>
      <c r="AB62" s="109" t="n">
        <f aca="false">-IF(3&lt;Hipótesis!$D$89,Hipótesis!$F$87,Hipótesis!$F$88)*MAX(0,AB61)</f>
        <v>-3650.22954287256</v>
      </c>
      <c r="AC62" s="109" t="n">
        <f aca="false">-IF(3&lt;Hipótesis!$D$89,Hipótesis!$F$87,Hipótesis!$F$88)*MAX(0,AC61)</f>
        <v>-3888.28903613343</v>
      </c>
      <c r="AD62" s="109" t="n">
        <f aca="false">-IF(3&lt;Hipótesis!$D$89,Hipótesis!$F$87,Hipótesis!$F$88)*MAX(0,AD61)</f>
        <v>-4126.3485293943</v>
      </c>
      <c r="AE62" s="109" t="n">
        <f aca="false">-IF(3&lt;Hipótesis!$D$89,Hipótesis!$F$87,Hipótesis!$F$88)*MAX(0,AE61)</f>
        <v>-4364.40802265517</v>
      </c>
      <c r="AF62" s="109" t="n">
        <f aca="false">-IF(3&lt;Hipótesis!$D$89,Hipótesis!$F$87,Hipótesis!$F$88)*MAX(0,AF61)</f>
        <v>-4602.46751591604</v>
      </c>
      <c r="AG62" s="109" t="n">
        <f aca="false">-IF(3&lt;Hipótesis!$D$89,Hipótesis!$F$87,Hipótesis!$F$88)*MAX(0,AG61)</f>
        <v>-4840.5270091769</v>
      </c>
      <c r="AH62" s="109" t="n">
        <f aca="false">-IF(3&lt;Hipótesis!$D$89,Hipótesis!$F$87,Hipótesis!$F$88)*MAX(0,AH61)</f>
        <v>-5078.58650243777</v>
      </c>
      <c r="AI62" s="109" t="n">
        <f aca="false">-IF(3&lt;Hipótesis!$D$89,Hipótesis!$F$87,Hipótesis!$F$88)*MAX(0,AI61)</f>
        <v>-5316.64599569865</v>
      </c>
      <c r="AJ62" s="109" t="n">
        <f aca="false">-IF(3&lt;Hipótesis!$D$89,Hipótesis!$F$87,Hipótesis!$F$88)*MAX(0,AJ61)</f>
        <v>-5554.70548895951</v>
      </c>
      <c r="AK62" s="109" t="n">
        <f aca="false">-IF(3&lt;Hipótesis!$D$89,Hipótesis!$F$87,Hipótesis!$F$88)*MAX(0,AK61)</f>
        <v>-5792.76498222038</v>
      </c>
      <c r="AL62" s="109" t="n">
        <f aca="false">-IF(3&lt;Hipótesis!$D$89,Hipótesis!$F$87,Hipótesis!$F$88)*MAX(0,AL61)</f>
        <v>-6030.82447548125</v>
      </c>
      <c r="AM62" s="109" t="n">
        <f aca="false">-IF(4&lt;Hipótesis!$D$89,Hipótesis!$F$87,Hipótesis!$F$88)*MAX(0,AM61)</f>
        <v>-9268.61554646353</v>
      </c>
      <c r="AN62" s="109" t="n">
        <f aca="false">-IF(4&lt;Hipótesis!$D$89,Hipótesis!$F$87,Hipótesis!$F$88)*MAX(0,AN61)</f>
        <v>-9665.38136856497</v>
      </c>
      <c r="AO62" s="109" t="n">
        <f aca="false">-IF(4&lt;Hipótesis!$D$89,Hipótesis!$F$87,Hipótesis!$F$88)*MAX(0,AO61)</f>
        <v>-10062.1471906664</v>
      </c>
      <c r="AP62" s="109" t="n">
        <f aca="false">-IF(4&lt;Hipótesis!$D$89,Hipótesis!$F$87,Hipótesis!$F$88)*MAX(0,AP61)</f>
        <v>-10458.9130127679</v>
      </c>
      <c r="AQ62" s="109" t="n">
        <f aca="false">-IF(4&lt;Hipótesis!$D$89,Hipótesis!$F$87,Hipótesis!$F$88)*MAX(0,AQ61)</f>
        <v>-10855.6788348693</v>
      </c>
      <c r="AR62" s="109" t="n">
        <f aca="false">-IF(4&lt;Hipótesis!$D$89,Hipótesis!$F$87,Hipótesis!$F$88)*MAX(0,AR61)</f>
        <v>-11252.4446569708</v>
      </c>
      <c r="AS62" s="109" t="n">
        <f aca="false">-IF(4&lt;Hipótesis!$D$89,Hipótesis!$F$87,Hipótesis!$F$88)*MAX(0,AS61)</f>
        <v>-11253.8335458597</v>
      </c>
      <c r="AT62" s="109" t="n">
        <f aca="false">-IF(4&lt;Hipótesis!$D$89,Hipótesis!$F$87,Hipótesis!$F$88)*MAX(0,AT61)</f>
        <v>-11255.2224347485</v>
      </c>
      <c r="AU62" s="109" t="n">
        <f aca="false">-IF(4&lt;Hipótesis!$D$89,Hipótesis!$F$87,Hipótesis!$F$88)*MAX(0,AU61)</f>
        <v>-11256.6113236374</v>
      </c>
      <c r="AV62" s="109" t="n">
        <f aca="false">-IF(4&lt;Hipótesis!$D$89,Hipótesis!$F$87,Hipótesis!$F$88)*MAX(0,AV61)</f>
        <v>-11258.0002125263</v>
      </c>
      <c r="AW62" s="109" t="n">
        <f aca="false">-IF(4&lt;Hipótesis!$D$89,Hipótesis!$F$87,Hipótesis!$F$88)*MAX(0,AW61)</f>
        <v>-11259.3891014152</v>
      </c>
      <c r="AX62" s="109" t="n">
        <f aca="false">-IF(4&lt;Hipótesis!$D$89,Hipótesis!$F$87,Hipótesis!$F$88)*MAX(0,AX61)</f>
        <v>-11260.7779903041</v>
      </c>
      <c r="AY62" s="109" t="n">
        <f aca="false">-IF(5&lt;Hipótesis!$D$89,Hipótesis!$F$87,Hipótesis!$F$88)*MAX(0,AY61)</f>
        <v>-10662.5691957698</v>
      </c>
      <c r="AZ62" s="109" t="n">
        <f aca="false">-IF(5&lt;Hipótesis!$D$89,Hipótesis!$F$87,Hipótesis!$F$88)*MAX(0,AZ61)</f>
        <v>-10663.9580846587</v>
      </c>
      <c r="BA62" s="109" t="n">
        <f aca="false">-IF(5&lt;Hipótesis!$D$89,Hipótesis!$F$87,Hipótesis!$F$88)*MAX(0,BA61)</f>
        <v>-10665.3469735476</v>
      </c>
      <c r="BB62" s="109" t="n">
        <f aca="false">-IF(5&lt;Hipótesis!$D$89,Hipótesis!$F$87,Hipótesis!$F$88)*MAX(0,BB61)</f>
        <v>-10666.7358624365</v>
      </c>
      <c r="BC62" s="109" t="n">
        <f aca="false">-IF(5&lt;Hipótesis!$D$89,Hipótesis!$F$87,Hipótesis!$F$88)*MAX(0,BC61)</f>
        <v>-10668.1247513253</v>
      </c>
      <c r="BD62" s="109" t="n">
        <f aca="false">-IF(5&lt;Hipótesis!$D$89,Hipótesis!$F$87,Hipótesis!$F$88)*MAX(0,BD61)</f>
        <v>-10669.5136402142</v>
      </c>
      <c r="BE62" s="109" t="n">
        <f aca="false">-IF(5&lt;Hipótesis!$D$89,Hipótesis!$F$87,Hipótesis!$F$88)*MAX(0,BE61)</f>
        <v>-10670.9025291031</v>
      </c>
      <c r="BF62" s="109" t="n">
        <f aca="false">-IF(5&lt;Hipótesis!$D$89,Hipótesis!$F$87,Hipótesis!$F$88)*MAX(0,BF61)</f>
        <v>-10672.291417992</v>
      </c>
      <c r="BG62" s="109" t="n">
        <f aca="false">-IF(5&lt;Hipótesis!$D$89,Hipótesis!$F$87,Hipótesis!$F$88)*MAX(0,BG61)</f>
        <v>-10673.6803068809</v>
      </c>
      <c r="BH62" s="109" t="n">
        <f aca="false">-IF(5&lt;Hipótesis!$D$89,Hipótesis!$F$87,Hipótesis!$F$88)*MAX(0,BH61)</f>
        <v>-10675.0691957698</v>
      </c>
      <c r="BI62" s="109" t="n">
        <f aca="false">-IF(5&lt;Hipótesis!$D$89,Hipótesis!$F$87,Hipótesis!$F$88)*MAX(0,BI61)</f>
        <v>-10676.4580846587</v>
      </c>
      <c r="BJ62" s="109" t="n">
        <f aca="false">-IF(5&lt;Hipótesis!$D$89,Hipótesis!$F$87,Hipótesis!$F$88)*MAX(0,BJ61)</f>
        <v>-10677.8469735476</v>
      </c>
      <c r="BK62" s="109" t="n">
        <f aca="false">-IF(6&lt;Hipótesis!$D$89,Hipótesis!$F$87,Hipótesis!$F$88)*MAX(0,BK61)</f>
        <v>-10076.2032485106</v>
      </c>
      <c r="BL62" s="109" t="n">
        <f aca="false">-IF(6&lt;Hipótesis!$D$89,Hipótesis!$F$87,Hipótesis!$F$88)*MAX(0,BL61)</f>
        <v>-10077.5921373994</v>
      </c>
      <c r="BM62" s="109" t="n">
        <f aca="false">-IF(6&lt;Hipótesis!$D$89,Hipótesis!$F$87,Hipótesis!$F$88)*MAX(0,BM61)</f>
        <v>-10078.9810262883</v>
      </c>
      <c r="BN62" s="109" t="n">
        <f aca="false">-IF(6&lt;Hipótesis!$D$89,Hipótesis!$F$87,Hipótesis!$F$88)*MAX(0,BN61)</f>
        <v>-10080.3699151772</v>
      </c>
      <c r="BO62" s="109" t="n">
        <f aca="false">-IF(6&lt;Hipótesis!$D$89,Hipótesis!$F$87,Hipótesis!$F$88)*MAX(0,BO61)</f>
        <v>-10081.7588040661</v>
      </c>
      <c r="BP62" s="109" t="n">
        <f aca="false">-IF(6&lt;Hipótesis!$D$89,Hipótesis!$F$87,Hipótesis!$F$88)*MAX(0,BP61)</f>
        <v>-10083.147692955</v>
      </c>
      <c r="BQ62" s="109" t="n">
        <f aca="false">-IF(6&lt;Hipótesis!$D$89,Hipótesis!$F$87,Hipótesis!$F$88)*MAX(0,BQ61)</f>
        <v>-10084.5365818439</v>
      </c>
      <c r="BR62" s="109" t="n">
        <f aca="false">-IF(6&lt;Hipótesis!$D$89,Hipótesis!$F$87,Hipótesis!$F$88)*MAX(0,BR61)</f>
        <v>-10085.9254707328</v>
      </c>
      <c r="BS62" s="109" t="n">
        <f aca="false">-IF(6&lt;Hipótesis!$D$89,Hipótesis!$F$87,Hipótesis!$F$88)*MAX(0,BS61)</f>
        <v>-10087.3143596217</v>
      </c>
      <c r="BT62" s="109" t="n">
        <f aca="false">-IF(6&lt;Hipótesis!$D$89,Hipótesis!$F$87,Hipótesis!$F$88)*MAX(0,BT61)</f>
        <v>-10088.7032485106</v>
      </c>
      <c r="BU62" s="109" t="n">
        <f aca="false">-IF(6&lt;Hipótesis!$D$89,Hipótesis!$F$87,Hipótesis!$F$88)*MAX(0,BU61)</f>
        <v>-10090.0921373994</v>
      </c>
      <c r="BV62" s="109" t="n">
        <f aca="false">-IF(6&lt;Hipótesis!$D$89,Hipótesis!$F$87,Hipótesis!$F$88)*MAX(0,BV61)</f>
        <v>-10091.4810262883</v>
      </c>
      <c r="BW62" s="109" t="n">
        <f aca="false">-IF(7&lt;Hipótesis!$D$89,Hipótesis!$F$87,Hipótesis!$F$88)*MAX(0,BW61)</f>
        <v>-9486.29932283355</v>
      </c>
      <c r="BX62" s="109" t="n">
        <f aca="false">-IF(7&lt;Hipótesis!$D$89,Hipótesis!$F$87,Hipótesis!$F$88)*MAX(0,BX61)</f>
        <v>-9487.68821172244</v>
      </c>
      <c r="BY62" s="109" t="n">
        <f aca="false">-IF(7&lt;Hipótesis!$D$89,Hipótesis!$F$87,Hipótesis!$F$88)*MAX(0,BY61)</f>
        <v>-9489.07710061133</v>
      </c>
      <c r="BZ62" s="109" t="n">
        <f aca="false">-IF(7&lt;Hipótesis!$D$89,Hipótesis!$F$87,Hipótesis!$F$88)*MAX(0,BZ61)</f>
        <v>-9490.46598950022</v>
      </c>
      <c r="CA62" s="109" t="n">
        <f aca="false">-IF(7&lt;Hipótesis!$D$89,Hipótesis!$F$87,Hipótesis!$F$88)*MAX(0,CA61)</f>
        <v>-9491.8548783891</v>
      </c>
      <c r="CB62" s="109" t="n">
        <f aca="false">-IF(7&lt;Hipótesis!$D$89,Hipótesis!$F$87,Hipótesis!$F$88)*MAX(0,CB61)</f>
        <v>-9493.24376727799</v>
      </c>
      <c r="CC62" s="109" t="n">
        <f aca="false">-IF(7&lt;Hipótesis!$D$89,Hipótesis!$F$87,Hipótesis!$F$88)*MAX(0,CC61)</f>
        <v>-9494.63265616688</v>
      </c>
      <c r="CD62" s="109" t="n">
        <f aca="false">-IF(7&lt;Hipótesis!$D$89,Hipótesis!$F$87,Hipótesis!$F$88)*MAX(0,CD61)</f>
        <v>-9496.02154505577</v>
      </c>
      <c r="CE62" s="109" t="n">
        <f aca="false">-IF(7&lt;Hipótesis!$D$89,Hipótesis!$F$87,Hipótesis!$F$88)*MAX(0,CE61)</f>
        <v>-9497.41043394466</v>
      </c>
      <c r="CF62" s="109" t="n">
        <f aca="false">-IF(7&lt;Hipótesis!$D$89,Hipótesis!$F$87,Hipótesis!$F$88)*MAX(0,CF61)</f>
        <v>-9498.79932283355</v>
      </c>
      <c r="CG62" s="109" t="n">
        <f aca="false">-IF(7&lt;Hipótesis!$D$89,Hipótesis!$F$87,Hipótesis!$F$88)*MAX(0,CG61)</f>
        <v>-9500.18821172244</v>
      </c>
      <c r="CH62" s="109" t="n">
        <f aca="false">-IF(7&lt;Hipótesis!$D$89,Hipótesis!$F$87,Hipótesis!$F$88)*MAX(0,CH61)</f>
        <v>-9501.57710061133</v>
      </c>
    </row>
    <row r="63" customFormat="false" ht="13.5" hidden="false" customHeight="true" outlineLevel="0" collapsed="false">
      <c r="A63" s="22" t="s">
        <v>567</v>
      </c>
      <c r="C63" s="109" t="n">
        <f aca="false">C61+C62</f>
        <v>-16195.1077466394</v>
      </c>
      <c r="D63" s="109" t="n">
        <f aca="false">D61+D62</f>
        <v>-15161.9893955278</v>
      </c>
      <c r="E63" s="109" t="n">
        <f aca="false">E61+E62</f>
        <v>-13074.5900355516</v>
      </c>
      <c r="F63" s="109" t="n">
        <f aca="false">F61+F62</f>
        <v>-11952.0591194121</v>
      </c>
      <c r="G63" s="109" t="n">
        <f aca="false">G61+G62</f>
        <v>-10897.7781105475</v>
      </c>
      <c r="H63" s="109" t="n">
        <f aca="false">H61+H62</f>
        <v>-9254.53269228329</v>
      </c>
      <c r="I63" s="109" t="n">
        <f aca="false">I61+I62</f>
        <v>-5997.35327933531</v>
      </c>
      <c r="J63" s="109" t="n">
        <f aca="false">J61+J62</f>
        <v>-2740.17386638734</v>
      </c>
      <c r="K63" s="109" t="n">
        <f aca="false">K61+K62</f>
        <v>403.6641326418</v>
      </c>
      <c r="L63" s="109" t="n">
        <f aca="false">L61+L62</f>
        <v>3104.86623833929</v>
      </c>
      <c r="M63" s="109" t="n">
        <f aca="false">M61+M62</f>
        <v>4939.27064222495</v>
      </c>
      <c r="N63" s="109" t="n">
        <f aca="false">N61+N62</f>
        <v>7440.79712426159</v>
      </c>
      <c r="O63" s="109" t="n">
        <f aca="false">O61+O62</f>
        <v>5577.0233614652</v>
      </c>
      <c r="P63" s="109" t="n">
        <f aca="false">P61+P62</f>
        <v>5889.67132029569</v>
      </c>
      <c r="Q63" s="109" t="n">
        <f aca="false">Q61+Q62</f>
        <v>8127.64883912618</v>
      </c>
      <c r="R63" s="109" t="n">
        <f aca="false">R61+R62</f>
        <v>10365.6263579567</v>
      </c>
      <c r="S63" s="109" t="n">
        <f aca="false">S61+S62</f>
        <v>12603.6038767872</v>
      </c>
      <c r="T63" s="109" t="n">
        <f aca="false">T61+T62</f>
        <v>14841.5813956177</v>
      </c>
      <c r="U63" s="109" t="n">
        <f aca="false">U61+U62</f>
        <v>15154.2293544481</v>
      </c>
      <c r="V63" s="109" t="n">
        <f aca="false">V61+V62</f>
        <v>15127.1132732786</v>
      </c>
      <c r="W63" s="109" t="n">
        <f aca="false">W61+W62</f>
        <v>17365.0907921091</v>
      </c>
      <c r="X63" s="109" t="n">
        <f aca="false">X61+X62</f>
        <v>18948.0063818983</v>
      </c>
      <c r="Y63" s="109" t="n">
        <f aca="false">Y61+Y62</f>
        <v>20530.9219716875</v>
      </c>
      <c r="Z63" s="109" t="n">
        <f aca="false">Z61+Z62</f>
        <v>21875.2035446102</v>
      </c>
      <c r="AA63" s="109" t="n">
        <f aca="false">AA61+AA62</f>
        <v>21318.719727933</v>
      </c>
      <c r="AB63" s="109" t="n">
        <f aca="false">AB61+AB62</f>
        <v>20684.6340762779</v>
      </c>
      <c r="AC63" s="109" t="n">
        <f aca="false">AC61+AC62</f>
        <v>22033.6378714228</v>
      </c>
      <c r="AD63" s="109" t="n">
        <f aca="false">AD61+AD62</f>
        <v>23382.6416665677</v>
      </c>
      <c r="AE63" s="109" t="n">
        <f aca="false">AE61+AE62</f>
        <v>24731.6454617126</v>
      </c>
      <c r="AF63" s="109" t="n">
        <f aca="false">AF61+AF62</f>
        <v>26080.6492568576</v>
      </c>
      <c r="AG63" s="109" t="n">
        <f aca="false">AG61+AG62</f>
        <v>27429.6530520025</v>
      </c>
      <c r="AH63" s="109" t="n">
        <f aca="false">AH61+AH62</f>
        <v>28778.6568471474</v>
      </c>
      <c r="AI63" s="109" t="n">
        <f aca="false">AI61+AI62</f>
        <v>30127.6606422923</v>
      </c>
      <c r="AJ63" s="109" t="n">
        <f aca="false">AJ61+AJ62</f>
        <v>31476.6644374372</v>
      </c>
      <c r="AK63" s="109" t="n">
        <f aca="false">AK61+AK62</f>
        <v>32825.6682325821</v>
      </c>
      <c r="AL63" s="109" t="n">
        <f aca="false">AL61+AL62</f>
        <v>34174.6720277271</v>
      </c>
      <c r="AM63" s="109" t="n">
        <f aca="false">AM61+AM62</f>
        <v>27805.8466393906</v>
      </c>
      <c r="AN63" s="109" t="n">
        <f aca="false">AN61+AN62</f>
        <v>28996.1441056949</v>
      </c>
      <c r="AO63" s="109" t="n">
        <f aca="false">AO61+AO62</f>
        <v>30186.4415719993</v>
      </c>
      <c r="AP63" s="109" t="n">
        <f aca="false">AP61+AP62</f>
        <v>31376.7390383036</v>
      </c>
      <c r="AQ63" s="109" t="n">
        <f aca="false">AQ61+AQ62</f>
        <v>32567.0365046079</v>
      </c>
      <c r="AR63" s="109" t="n">
        <f aca="false">AR61+AR62</f>
        <v>33757.3339709123</v>
      </c>
      <c r="AS63" s="109" t="n">
        <f aca="false">AS61+AS62</f>
        <v>33761.500637579</v>
      </c>
      <c r="AT63" s="109" t="n">
        <f aca="false">AT61+AT62</f>
        <v>33765.6673042456</v>
      </c>
      <c r="AU63" s="109" t="n">
        <f aca="false">AU61+AU62</f>
        <v>33769.8339709123</v>
      </c>
      <c r="AV63" s="109" t="n">
        <f aca="false">AV61+AV62</f>
        <v>33774.000637579</v>
      </c>
      <c r="AW63" s="109" t="n">
        <f aca="false">AW61+AW62</f>
        <v>33778.1673042456</v>
      </c>
      <c r="AX63" s="109" t="n">
        <f aca="false">AX61+AX62</f>
        <v>33782.3339709123</v>
      </c>
      <c r="AY63" s="109" t="n">
        <f aca="false">AY61+AY62</f>
        <v>31987.7075873094</v>
      </c>
      <c r="AZ63" s="109" t="n">
        <f aca="false">AZ61+AZ62</f>
        <v>31991.874253976</v>
      </c>
      <c r="BA63" s="109" t="n">
        <f aca="false">BA61+BA62</f>
        <v>31996.0409206427</v>
      </c>
      <c r="BB63" s="109" t="n">
        <f aca="false">BB61+BB62</f>
        <v>32000.2075873094</v>
      </c>
      <c r="BC63" s="109" t="n">
        <f aca="false">BC61+BC62</f>
        <v>32004.374253976</v>
      </c>
      <c r="BD63" s="109" t="n">
        <f aca="false">BD61+BD62</f>
        <v>32008.5409206427</v>
      </c>
      <c r="BE63" s="109" t="n">
        <f aca="false">BE61+BE62</f>
        <v>32012.7075873094</v>
      </c>
      <c r="BF63" s="109" t="n">
        <f aca="false">BF61+BF62</f>
        <v>32016.874253976</v>
      </c>
      <c r="BG63" s="109" t="n">
        <f aca="false">BG61+BG62</f>
        <v>32021.0409206427</v>
      </c>
      <c r="BH63" s="109" t="n">
        <f aca="false">BH61+BH62</f>
        <v>32025.2075873094</v>
      </c>
      <c r="BI63" s="109" t="n">
        <f aca="false">BI61+BI62</f>
        <v>32029.374253976</v>
      </c>
      <c r="BJ63" s="109" t="n">
        <f aca="false">BJ61+BJ62</f>
        <v>32033.5409206427</v>
      </c>
      <c r="BK63" s="109" t="n">
        <f aca="false">BK61+BK62</f>
        <v>30228.6097455317</v>
      </c>
      <c r="BL63" s="109" t="n">
        <f aca="false">BL61+BL62</f>
        <v>30232.7764121983</v>
      </c>
      <c r="BM63" s="109" t="n">
        <f aca="false">BM61+BM62</f>
        <v>30236.943078865</v>
      </c>
      <c r="BN63" s="109" t="n">
        <f aca="false">BN61+BN62</f>
        <v>30241.1097455317</v>
      </c>
      <c r="BO63" s="109" t="n">
        <f aca="false">BO61+BO62</f>
        <v>30245.2764121983</v>
      </c>
      <c r="BP63" s="109" t="n">
        <f aca="false">BP61+BP62</f>
        <v>30249.443078865</v>
      </c>
      <c r="BQ63" s="109" t="n">
        <f aca="false">BQ61+BQ62</f>
        <v>30253.6097455317</v>
      </c>
      <c r="BR63" s="109" t="n">
        <f aca="false">BR61+BR62</f>
        <v>30257.7764121983</v>
      </c>
      <c r="BS63" s="109" t="n">
        <f aca="false">BS61+BS62</f>
        <v>30261.943078865</v>
      </c>
      <c r="BT63" s="109" t="n">
        <f aca="false">BT61+BT62</f>
        <v>30266.1097455317</v>
      </c>
      <c r="BU63" s="109" t="n">
        <f aca="false">BU61+BU62</f>
        <v>30270.2764121983</v>
      </c>
      <c r="BV63" s="109" t="n">
        <f aca="false">BV61+BV62</f>
        <v>30274.443078865</v>
      </c>
      <c r="BW63" s="109" t="n">
        <f aca="false">BW61+BW62</f>
        <v>28458.8979685007</v>
      </c>
      <c r="BX63" s="109" t="n">
        <f aca="false">BX61+BX62</f>
        <v>28463.0646351673</v>
      </c>
      <c r="BY63" s="109" t="n">
        <f aca="false">BY61+BY62</f>
        <v>28467.231301834</v>
      </c>
      <c r="BZ63" s="109" t="n">
        <f aca="false">BZ61+BZ62</f>
        <v>28471.3979685006</v>
      </c>
      <c r="CA63" s="109" t="n">
        <f aca="false">CA61+CA62</f>
        <v>28475.5646351673</v>
      </c>
      <c r="CB63" s="109" t="n">
        <f aca="false">CB61+CB62</f>
        <v>28479.731301834</v>
      </c>
      <c r="CC63" s="109" t="n">
        <f aca="false">CC61+CC62</f>
        <v>28483.8979685006</v>
      </c>
      <c r="CD63" s="109" t="n">
        <f aca="false">CD61+CD62</f>
        <v>28488.0646351673</v>
      </c>
      <c r="CE63" s="109" t="n">
        <f aca="false">CE61+CE62</f>
        <v>28492.231301834</v>
      </c>
      <c r="CF63" s="109" t="n">
        <f aca="false">CF61+CF62</f>
        <v>28496.3979685007</v>
      </c>
      <c r="CG63" s="109" t="n">
        <f aca="false">CG61+CG62</f>
        <v>28500.5646351673</v>
      </c>
      <c r="CH63" s="109" t="n">
        <f aca="false">CH61+CH62</f>
        <v>28504.731301834</v>
      </c>
    </row>
    <row r="64" customFormat="false" ht="13.5" hidden="false" customHeight="true" outlineLevel="0" collapsed="false"/>
    <row r="65" customFormat="false" ht="12.75" hidden="false" customHeight="true" outlineLevel="0" collapsed="false">
      <c r="A65" s="9" t="s">
        <v>568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  <c r="CD65" s="9"/>
      <c r="CE65" s="9"/>
      <c r="CF65" s="9"/>
      <c r="CG65" s="9"/>
      <c r="CH65" s="9"/>
    </row>
    <row r="66" customFormat="false" ht="13.5" hidden="false" customHeight="true" outlineLevel="0" collapsed="false">
      <c r="A66" s="6" t="s">
        <v>561</v>
      </c>
      <c r="C66" s="109" t="n">
        <f aca="false">C56</f>
        <v>-14683.0589774132</v>
      </c>
      <c r="D66" s="109" t="n">
        <f aca="false">D56</f>
        <v>-13645.5509325516</v>
      </c>
      <c r="E66" s="109" t="n">
        <f aca="false">E56</f>
        <v>-11548.9886374191</v>
      </c>
      <c r="F66" s="109" t="n">
        <f aca="false">F56</f>
        <v>-10421.3673648734</v>
      </c>
      <c r="G66" s="109" t="n">
        <f aca="false">G56</f>
        <v>-9362.31311460261</v>
      </c>
      <c r="H66" s="109" t="n">
        <f aca="false">H56</f>
        <v>-7711.3875674321</v>
      </c>
      <c r="I66" s="109" t="n">
        <f aca="false">I56</f>
        <v>-4439.14892858713</v>
      </c>
      <c r="J66" s="109" t="n">
        <f aca="false">J56</f>
        <v>-1166.91028974217</v>
      </c>
      <c r="K66" s="109" t="n">
        <f aca="false">K56</f>
        <v>2105.32834910281</v>
      </c>
      <c r="L66" s="109" t="n">
        <f aca="false">L56</f>
        <v>5377.56698794777</v>
      </c>
      <c r="M66" s="109" t="n">
        <f aca="false">M56</f>
        <v>7590.75137652192</v>
      </c>
      <c r="N66" s="109" t="n">
        <f aca="false">N56</f>
        <v>10594.3694696774</v>
      </c>
      <c r="O66" s="109" t="n">
        <f aca="false">O56</f>
        <v>8370.78756283297</v>
      </c>
      <c r="P66" s="109" t="n">
        <f aca="false">P56</f>
        <v>8759.19984092135</v>
      </c>
      <c r="Q66" s="109" t="n">
        <f aca="false">Q56</f>
        <v>11458.9321190097</v>
      </c>
      <c r="R66" s="109" t="n">
        <f aca="false">R56</f>
        <v>14158.6643970981</v>
      </c>
      <c r="S66" s="109" t="n">
        <f aca="false">S56</f>
        <v>16858.3966751865</v>
      </c>
      <c r="T66" s="109" t="n">
        <f aca="false">T56</f>
        <v>19558.1289532749</v>
      </c>
      <c r="U66" s="109" t="n">
        <f aca="false">U56</f>
        <v>19946.5412313633</v>
      </c>
      <c r="V66" s="109" t="n">
        <f aca="false">V56</f>
        <v>19927.0735094516</v>
      </c>
      <c r="W66" s="109" t="n">
        <f aca="false">W56</f>
        <v>22626.80578754</v>
      </c>
      <c r="X66" s="109" t="n">
        <f aca="false">X56</f>
        <v>24536.104361047</v>
      </c>
      <c r="Y66" s="109" t="n">
        <f aca="false">Y56</f>
        <v>26445.402934554</v>
      </c>
      <c r="Z66" s="109" t="n">
        <f aca="false">Z56</f>
        <v>28066.7160262285</v>
      </c>
      <c r="AA66" s="109" t="n">
        <f aca="false">AA56</f>
        <v>27406.197917903</v>
      </c>
      <c r="AB66" s="109" t="n">
        <f aca="false">AB56</f>
        <v>26646.8514095774</v>
      </c>
      <c r="AC66" s="109" t="n">
        <f aca="false">AC56</f>
        <v>28268.1645012519</v>
      </c>
      <c r="AD66" s="109" t="n">
        <f aca="false">AD56</f>
        <v>29889.4775929264</v>
      </c>
      <c r="AE66" s="109" t="n">
        <f aca="false">AE56</f>
        <v>31510.7906846008</v>
      </c>
      <c r="AF66" s="109" t="n">
        <f aca="false">AF56</f>
        <v>33132.1037762753</v>
      </c>
      <c r="AG66" s="109" t="n">
        <f aca="false">AG56</f>
        <v>34753.4168679497</v>
      </c>
      <c r="AH66" s="109" t="n">
        <f aca="false">AH56</f>
        <v>36374.7299596242</v>
      </c>
      <c r="AI66" s="109" t="n">
        <f aca="false">AI56</f>
        <v>37996.0430512987</v>
      </c>
      <c r="AJ66" s="109" t="n">
        <f aca="false">AJ56</f>
        <v>39617.3561429731</v>
      </c>
      <c r="AK66" s="109" t="n">
        <f aca="false">AK56</f>
        <v>41238.6692346476</v>
      </c>
      <c r="AL66" s="109" t="n">
        <f aca="false">AL56</f>
        <v>42859.9823263221</v>
      </c>
      <c r="AM66" s="109" t="n">
        <f aca="false">AM56</f>
        <v>39666.9101059965</v>
      </c>
      <c r="AN66" s="109" t="n">
        <f aca="false">AN56</f>
        <v>41288.223197671</v>
      </c>
      <c r="AO66" s="109" t="n">
        <f aca="false">AO56</f>
        <v>42909.5362893454</v>
      </c>
      <c r="AP66" s="109" t="n">
        <f aca="false">AP56</f>
        <v>44530.8493810199</v>
      </c>
      <c r="AQ66" s="109" t="n">
        <f aca="false">AQ56</f>
        <v>46152.1624726944</v>
      </c>
      <c r="AR66" s="109" t="n">
        <f aca="false">AR56</f>
        <v>47773.4755643688</v>
      </c>
      <c r="AS66" s="109" t="n">
        <f aca="false">AS56</f>
        <v>47773.4755643688</v>
      </c>
      <c r="AT66" s="109" t="n">
        <f aca="false">AT56</f>
        <v>47773.4755643688</v>
      </c>
      <c r="AU66" s="109" t="n">
        <f aca="false">AU56</f>
        <v>47773.4755643688</v>
      </c>
      <c r="AV66" s="109" t="n">
        <f aca="false">AV56</f>
        <v>47773.4755643688</v>
      </c>
      <c r="AW66" s="109" t="n">
        <f aca="false">AW56</f>
        <v>47773.4755643688</v>
      </c>
      <c r="AX66" s="109" t="n">
        <f aca="false">AX56</f>
        <v>47773.4755643688</v>
      </c>
      <c r="AY66" s="109" t="n">
        <f aca="false">AY56</f>
        <v>45326.1380810088</v>
      </c>
      <c r="AZ66" s="109" t="n">
        <f aca="false">AZ56</f>
        <v>45326.1380810088</v>
      </c>
      <c r="BA66" s="109" t="n">
        <f aca="false">BA56</f>
        <v>45326.1380810088</v>
      </c>
      <c r="BB66" s="109" t="n">
        <f aca="false">BB56</f>
        <v>45326.1380810088</v>
      </c>
      <c r="BC66" s="109" t="n">
        <f aca="false">BC56</f>
        <v>45326.1380810088</v>
      </c>
      <c r="BD66" s="109" t="n">
        <f aca="false">BD56</f>
        <v>45326.1380810088</v>
      </c>
      <c r="BE66" s="109" t="n">
        <f aca="false">BE56</f>
        <v>45326.1380810088</v>
      </c>
      <c r="BF66" s="109" t="n">
        <f aca="false">BF56</f>
        <v>45326.1380810088</v>
      </c>
      <c r="BG66" s="109" t="n">
        <f aca="false">BG56</f>
        <v>45326.1380810088</v>
      </c>
      <c r="BH66" s="109" t="n">
        <f aca="false">BH56</f>
        <v>45326.1380810088</v>
      </c>
      <c r="BI66" s="109" t="n">
        <f aca="false">BI56</f>
        <v>45326.1380810088</v>
      </c>
      <c r="BJ66" s="109" t="n">
        <f aca="false">BJ56</f>
        <v>45326.1380810088</v>
      </c>
      <c r="BK66" s="109" t="n">
        <f aca="false">BK56</f>
        <v>42864.780473148</v>
      </c>
      <c r="BL66" s="109" t="n">
        <f aca="false">BL56</f>
        <v>42864.780473148</v>
      </c>
      <c r="BM66" s="109" t="n">
        <f aca="false">BM56</f>
        <v>42864.780473148</v>
      </c>
      <c r="BN66" s="109" t="n">
        <f aca="false">BN56</f>
        <v>42864.780473148</v>
      </c>
      <c r="BO66" s="109" t="n">
        <f aca="false">BO56</f>
        <v>42864.780473148</v>
      </c>
      <c r="BP66" s="109" t="n">
        <f aca="false">BP56</f>
        <v>42864.780473148</v>
      </c>
      <c r="BQ66" s="109" t="n">
        <f aca="false">BQ56</f>
        <v>42864.780473148</v>
      </c>
      <c r="BR66" s="109" t="n">
        <f aca="false">BR56</f>
        <v>42864.780473148</v>
      </c>
      <c r="BS66" s="109" t="n">
        <f aca="false">BS56</f>
        <v>42864.780473148</v>
      </c>
      <c r="BT66" s="109" t="n">
        <f aca="false">BT56</f>
        <v>42864.780473148</v>
      </c>
      <c r="BU66" s="109" t="n">
        <f aca="false">BU56</f>
        <v>42864.780473148</v>
      </c>
      <c r="BV66" s="109" t="n">
        <f aca="false">BV56</f>
        <v>42864.780473148</v>
      </c>
      <c r="BW66" s="109" t="n">
        <f aca="false">BW56</f>
        <v>40388.9821370514</v>
      </c>
      <c r="BX66" s="109" t="n">
        <f aca="false">BX56</f>
        <v>40388.9821370514</v>
      </c>
      <c r="BY66" s="109" t="n">
        <f aca="false">BY56</f>
        <v>40388.9821370514</v>
      </c>
      <c r="BZ66" s="109" t="n">
        <f aca="false">BZ56</f>
        <v>40388.9821370514</v>
      </c>
      <c r="CA66" s="109" t="n">
        <f aca="false">CA56</f>
        <v>40388.9821370514</v>
      </c>
      <c r="CB66" s="109" t="n">
        <f aca="false">CB56</f>
        <v>40388.9821370514</v>
      </c>
      <c r="CC66" s="109" t="n">
        <f aca="false">CC56</f>
        <v>40388.9821370514</v>
      </c>
      <c r="CD66" s="109" t="n">
        <f aca="false">CD56</f>
        <v>40388.9821370514</v>
      </c>
      <c r="CE66" s="109" t="n">
        <f aca="false">CE56</f>
        <v>40388.9821370514</v>
      </c>
      <c r="CF66" s="109" t="n">
        <f aca="false">CF56</f>
        <v>40388.9821370514</v>
      </c>
      <c r="CG66" s="109" t="n">
        <f aca="false">CG56</f>
        <v>40388.9821370514</v>
      </c>
      <c r="CH66" s="109" t="n">
        <f aca="false">CH56</f>
        <v>40388.9821370514</v>
      </c>
    </row>
    <row r="67" customFormat="false" ht="13.5" hidden="false" customHeight="true" outlineLevel="0" collapsed="false">
      <c r="A67" s="6" t="s">
        <v>569</v>
      </c>
      <c r="C67" s="109" t="n">
        <f aca="false">C62</f>
        <v>-0</v>
      </c>
      <c r="D67" s="109" t="n">
        <f aca="false">D62</f>
        <v>-0</v>
      </c>
      <c r="E67" s="109" t="n">
        <f aca="false">E62</f>
        <v>-0</v>
      </c>
      <c r="F67" s="109" t="n">
        <f aca="false">F62</f>
        <v>-0</v>
      </c>
      <c r="G67" s="109" t="n">
        <f aca="false">G62</f>
        <v>-0</v>
      </c>
      <c r="H67" s="109" t="n">
        <f aca="false">H62</f>
        <v>-0</v>
      </c>
      <c r="I67" s="109" t="n">
        <f aca="false">I62</f>
        <v>-0</v>
      </c>
      <c r="J67" s="109" t="n">
        <f aca="false">J62</f>
        <v>-0</v>
      </c>
      <c r="K67" s="109" t="n">
        <f aca="false">K62</f>
        <v>-71.2348469367883</v>
      </c>
      <c r="L67" s="109" t="n">
        <f aca="false">L62</f>
        <v>-547.917571471639</v>
      </c>
      <c r="M67" s="109" t="n">
        <f aca="false">M62</f>
        <v>-871.635995686756</v>
      </c>
      <c r="N67" s="109" t="n">
        <f aca="false">N62</f>
        <v>-1313.08184545793</v>
      </c>
      <c r="O67" s="109" t="n">
        <f aca="false">O62</f>
        <v>-984.180593199741</v>
      </c>
      <c r="P67" s="109" t="n">
        <f aca="false">P62</f>
        <v>-1039.35376240512</v>
      </c>
      <c r="Q67" s="109" t="n">
        <f aca="false">Q62</f>
        <v>-1434.2909716105</v>
      </c>
      <c r="R67" s="109" t="n">
        <f aca="false">R62</f>
        <v>-1829.22818081588</v>
      </c>
      <c r="S67" s="109" t="n">
        <f aca="false">S62</f>
        <v>-2224.16539002126</v>
      </c>
      <c r="T67" s="109" t="n">
        <f aca="false">T62</f>
        <v>-2619.10259922664</v>
      </c>
      <c r="U67" s="109" t="n">
        <f aca="false">U62</f>
        <v>-2674.27576843203</v>
      </c>
      <c r="V67" s="109" t="n">
        <f aca="false">V62</f>
        <v>-2669.49057763741</v>
      </c>
      <c r="W67" s="109" t="n">
        <f aca="false">W62</f>
        <v>-3064.42778684279</v>
      </c>
      <c r="X67" s="109" t="n">
        <f aca="false">X62</f>
        <v>-3343.76583209971</v>
      </c>
      <c r="Y67" s="109" t="n">
        <f aca="false">Y62</f>
        <v>-3623.10387735663</v>
      </c>
      <c r="Z67" s="109" t="n">
        <f aca="false">Z62</f>
        <v>-3860.33003728416</v>
      </c>
      <c r="AA67" s="109" t="n">
        <f aca="false">AA62</f>
        <v>-3762.1270108117</v>
      </c>
      <c r="AB67" s="109" t="n">
        <f aca="false">AB62</f>
        <v>-3650.22954287256</v>
      </c>
      <c r="AC67" s="109" t="n">
        <f aca="false">AC62</f>
        <v>-3888.28903613343</v>
      </c>
      <c r="AD67" s="109" t="n">
        <f aca="false">AD62</f>
        <v>-4126.3485293943</v>
      </c>
      <c r="AE67" s="109" t="n">
        <f aca="false">AE62</f>
        <v>-4364.40802265517</v>
      </c>
      <c r="AF67" s="109" t="n">
        <f aca="false">AF62</f>
        <v>-4602.46751591604</v>
      </c>
      <c r="AG67" s="109" t="n">
        <f aca="false">AG62</f>
        <v>-4840.5270091769</v>
      </c>
      <c r="AH67" s="109" t="n">
        <f aca="false">AH62</f>
        <v>-5078.58650243777</v>
      </c>
      <c r="AI67" s="109" t="n">
        <f aca="false">AI62</f>
        <v>-5316.64599569865</v>
      </c>
      <c r="AJ67" s="109" t="n">
        <f aca="false">AJ62</f>
        <v>-5554.70548895951</v>
      </c>
      <c r="AK67" s="109" t="n">
        <f aca="false">AK62</f>
        <v>-5792.76498222038</v>
      </c>
      <c r="AL67" s="109" t="n">
        <f aca="false">AL62</f>
        <v>-6030.82447548125</v>
      </c>
      <c r="AM67" s="109" t="n">
        <f aca="false">AM62</f>
        <v>-9268.61554646353</v>
      </c>
      <c r="AN67" s="109" t="n">
        <f aca="false">AN62</f>
        <v>-9665.38136856497</v>
      </c>
      <c r="AO67" s="109" t="n">
        <f aca="false">AO62</f>
        <v>-10062.1471906664</v>
      </c>
      <c r="AP67" s="109" t="n">
        <f aca="false">AP62</f>
        <v>-10458.9130127679</v>
      </c>
      <c r="AQ67" s="109" t="n">
        <f aca="false">AQ62</f>
        <v>-10855.6788348693</v>
      </c>
      <c r="AR67" s="109" t="n">
        <f aca="false">AR62</f>
        <v>-11252.4446569708</v>
      </c>
      <c r="AS67" s="109" t="n">
        <f aca="false">AS62</f>
        <v>-11253.8335458597</v>
      </c>
      <c r="AT67" s="109" t="n">
        <f aca="false">AT62</f>
        <v>-11255.2224347485</v>
      </c>
      <c r="AU67" s="109" t="n">
        <f aca="false">AU62</f>
        <v>-11256.6113236374</v>
      </c>
      <c r="AV67" s="109" t="n">
        <f aca="false">AV62</f>
        <v>-11258.0002125263</v>
      </c>
      <c r="AW67" s="109" t="n">
        <f aca="false">AW62</f>
        <v>-11259.3891014152</v>
      </c>
      <c r="AX67" s="109" t="n">
        <f aca="false">AX62</f>
        <v>-11260.7779903041</v>
      </c>
      <c r="AY67" s="109" t="n">
        <f aca="false">AY62</f>
        <v>-10662.5691957698</v>
      </c>
      <c r="AZ67" s="109" t="n">
        <f aca="false">AZ62</f>
        <v>-10663.9580846587</v>
      </c>
      <c r="BA67" s="109" t="n">
        <f aca="false">BA62</f>
        <v>-10665.3469735476</v>
      </c>
      <c r="BB67" s="109" t="n">
        <f aca="false">BB62</f>
        <v>-10666.7358624365</v>
      </c>
      <c r="BC67" s="109" t="n">
        <f aca="false">BC62</f>
        <v>-10668.1247513253</v>
      </c>
      <c r="BD67" s="109" t="n">
        <f aca="false">BD62</f>
        <v>-10669.5136402142</v>
      </c>
      <c r="BE67" s="109" t="n">
        <f aca="false">BE62</f>
        <v>-10670.9025291031</v>
      </c>
      <c r="BF67" s="109" t="n">
        <f aca="false">BF62</f>
        <v>-10672.291417992</v>
      </c>
      <c r="BG67" s="109" t="n">
        <f aca="false">BG62</f>
        <v>-10673.6803068809</v>
      </c>
      <c r="BH67" s="109" t="n">
        <f aca="false">BH62</f>
        <v>-10675.0691957698</v>
      </c>
      <c r="BI67" s="109" t="n">
        <f aca="false">BI62</f>
        <v>-10676.4580846587</v>
      </c>
      <c r="BJ67" s="109" t="n">
        <f aca="false">BJ62</f>
        <v>-10677.8469735476</v>
      </c>
      <c r="BK67" s="109" t="n">
        <f aca="false">BK62</f>
        <v>-10076.2032485106</v>
      </c>
      <c r="BL67" s="109" t="n">
        <f aca="false">BL62</f>
        <v>-10077.5921373994</v>
      </c>
      <c r="BM67" s="109" t="n">
        <f aca="false">BM62</f>
        <v>-10078.9810262883</v>
      </c>
      <c r="BN67" s="109" t="n">
        <f aca="false">BN62</f>
        <v>-10080.3699151772</v>
      </c>
      <c r="BO67" s="109" t="n">
        <f aca="false">BO62</f>
        <v>-10081.7588040661</v>
      </c>
      <c r="BP67" s="109" t="n">
        <f aca="false">BP62</f>
        <v>-10083.147692955</v>
      </c>
      <c r="BQ67" s="109" t="n">
        <f aca="false">BQ62</f>
        <v>-10084.5365818439</v>
      </c>
      <c r="BR67" s="109" t="n">
        <f aca="false">BR62</f>
        <v>-10085.9254707328</v>
      </c>
      <c r="BS67" s="109" t="n">
        <f aca="false">BS62</f>
        <v>-10087.3143596217</v>
      </c>
      <c r="BT67" s="109" t="n">
        <f aca="false">BT62</f>
        <v>-10088.7032485106</v>
      </c>
      <c r="BU67" s="109" t="n">
        <f aca="false">BU62</f>
        <v>-10090.0921373994</v>
      </c>
      <c r="BV67" s="109" t="n">
        <f aca="false">BV62</f>
        <v>-10091.4810262883</v>
      </c>
      <c r="BW67" s="109" t="n">
        <f aca="false">BW62</f>
        <v>-9486.29932283355</v>
      </c>
      <c r="BX67" s="109" t="n">
        <f aca="false">BX62</f>
        <v>-9487.68821172244</v>
      </c>
      <c r="BY67" s="109" t="n">
        <f aca="false">BY62</f>
        <v>-9489.07710061133</v>
      </c>
      <c r="BZ67" s="109" t="n">
        <f aca="false">BZ62</f>
        <v>-9490.46598950022</v>
      </c>
      <c r="CA67" s="109" t="n">
        <f aca="false">CA62</f>
        <v>-9491.8548783891</v>
      </c>
      <c r="CB67" s="109" t="n">
        <f aca="false">CB62</f>
        <v>-9493.24376727799</v>
      </c>
      <c r="CC67" s="109" t="n">
        <f aca="false">CC62</f>
        <v>-9494.63265616688</v>
      </c>
      <c r="CD67" s="109" t="n">
        <f aca="false">CD62</f>
        <v>-9496.02154505577</v>
      </c>
      <c r="CE67" s="109" t="n">
        <f aca="false">CE62</f>
        <v>-9497.41043394466</v>
      </c>
      <c r="CF67" s="109" t="n">
        <f aca="false">CF62</f>
        <v>-9498.79932283355</v>
      </c>
      <c r="CG67" s="109" t="n">
        <f aca="false">CG62</f>
        <v>-9500.18821172244</v>
      </c>
      <c r="CH67" s="109" t="n">
        <f aca="false">CH62</f>
        <v>-9501.57710061133</v>
      </c>
    </row>
    <row r="68" customFormat="false" ht="13.5" hidden="false" customHeight="true" outlineLevel="0" collapsed="false">
      <c r="A68" s="6" t="s">
        <v>570</v>
      </c>
      <c r="C68" s="110" t="n">
        <f aca="false">C38*Hipótesis!$F$66/30</f>
        <v>1086.021</v>
      </c>
      <c r="D68" s="110" t="n">
        <f aca="false">D38*Hipótesis!$F$66/30</f>
        <v>2256.606</v>
      </c>
      <c r="E68" s="110" t="n">
        <f aca="false">E38*Hipótesis!$F$66/30</f>
        <v>4700.055375</v>
      </c>
      <c r="F68" s="110" t="n">
        <f aca="false">F38*Hipótesis!$F$66/30</f>
        <v>6057.48375</v>
      </c>
      <c r="G68" s="110" t="n">
        <f aca="false">G38*Hipótesis!$F$66/30</f>
        <v>7330.348125</v>
      </c>
      <c r="H68" s="110" t="n">
        <f aca="false">H38*Hipótesis!$F$66/30</f>
        <v>9378.3825</v>
      </c>
      <c r="I68" s="110" t="n">
        <f aca="false">I38*Hipótesis!$F$66/30</f>
        <v>13394.1760725308</v>
      </c>
      <c r="J68" s="110" t="n">
        <f aca="false">J38*Hipótesis!$F$66/30</f>
        <v>17409.9696450616</v>
      </c>
      <c r="K68" s="110" t="n">
        <f aca="false">K38*Hipótesis!$F$66/30</f>
        <v>21425.7632175924</v>
      </c>
      <c r="L68" s="110" t="n">
        <f aca="false">L38*Hipótesis!$F$66/30</f>
        <v>25441.5567901232</v>
      </c>
      <c r="M68" s="110" t="n">
        <f aca="false">M38*Hipótesis!$F$66/30</f>
        <v>28184.4859876541</v>
      </c>
      <c r="N68" s="110" t="n">
        <f aca="false">N38*Hipótesis!$F$66/30</f>
        <v>31984.4651851849</v>
      </c>
      <c r="O68" s="110" t="n">
        <f aca="false">O38*Hipótesis!$F$66/30</f>
        <v>35784.4443827157</v>
      </c>
      <c r="P68" s="110" t="n">
        <f aca="false">P38*Hipótesis!$F$66/30</f>
        <v>39203.8855802465</v>
      </c>
      <c r="Q68" s="110" t="n">
        <f aca="false">Q38*Hipótesis!$F$66/30</f>
        <v>42623.3267777773</v>
      </c>
      <c r="R68" s="110" t="n">
        <f aca="false">R38*Hipótesis!$F$66/30</f>
        <v>46042.7679753081</v>
      </c>
      <c r="S68" s="110" t="n">
        <f aca="false">S38*Hipótesis!$F$66/30</f>
        <v>49462.2091728389</v>
      </c>
      <c r="T68" s="110" t="n">
        <f aca="false">T38*Hipótesis!$F$66/30</f>
        <v>52881.6503703697</v>
      </c>
      <c r="U68" s="110" t="n">
        <f aca="false">U38*Hipótesis!$F$66/30</f>
        <v>56301.0915679006</v>
      </c>
      <c r="V68" s="110" t="n">
        <f aca="false">V38*Hipótesis!$F$66/30</f>
        <v>59720.5327654314</v>
      </c>
      <c r="W68" s="110" t="n">
        <f aca="false">W38*Hipótesis!$F$66/30</f>
        <v>63139.9739629622</v>
      </c>
      <c r="X68" s="110" t="n">
        <f aca="false">X38*Hipótesis!$F$66/30</f>
        <v>65502.365160493</v>
      </c>
      <c r="Y68" s="110" t="n">
        <f aca="false">Y38*Hipótesis!$F$66/30</f>
        <v>67864.7563580238</v>
      </c>
      <c r="Z68" s="110" t="n">
        <f aca="false">Z38*Hipótesis!$F$66/30</f>
        <v>69832.5155555546</v>
      </c>
      <c r="AA68" s="110" t="n">
        <f aca="false">AA38*Hipótesis!$F$66/30</f>
        <v>71800.2747530854</v>
      </c>
      <c r="AB68" s="110" t="n">
        <f aca="false">AB38*Hipótesis!$F$66/30</f>
        <v>73768.0339506162</v>
      </c>
      <c r="AC68" s="110" t="n">
        <f aca="false">AC38*Hipótesis!$F$66/30</f>
        <v>75735.793148147</v>
      </c>
      <c r="AD68" s="110" t="n">
        <f aca="false">AD38*Hipótesis!$F$66/30</f>
        <v>77703.5523456779</v>
      </c>
      <c r="AE68" s="110" t="n">
        <f aca="false">AE38*Hipótesis!$F$66/30</f>
        <v>79671.3115432087</v>
      </c>
      <c r="AF68" s="110" t="n">
        <f aca="false">AF38*Hipótesis!$F$66/30</f>
        <v>81639.0707407395</v>
      </c>
      <c r="AG68" s="110" t="n">
        <f aca="false">AG38*Hipótesis!$F$66/30</f>
        <v>83606.8299382703</v>
      </c>
      <c r="AH68" s="110" t="n">
        <f aca="false">AH38*Hipótesis!$F$66/30</f>
        <v>85574.5891358011</v>
      </c>
      <c r="AI68" s="110" t="n">
        <f aca="false">AI38*Hipótesis!$F$66/30</f>
        <v>87542.3483333319</v>
      </c>
      <c r="AJ68" s="110" t="n">
        <f aca="false">AJ38*Hipótesis!$F$66/30</f>
        <v>89510.1075308627</v>
      </c>
      <c r="AK68" s="110" t="n">
        <f aca="false">AK38*Hipótesis!$F$66/30</f>
        <v>91477.8667283935</v>
      </c>
      <c r="AL68" s="110" t="n">
        <f aca="false">AL38*Hipótesis!$F$66/30</f>
        <v>93445.6259259243</v>
      </c>
      <c r="AM68" s="110" t="n">
        <f aca="false">AM38*Hipótesis!$F$66/30</f>
        <v>95413.3851234551</v>
      </c>
      <c r="AN68" s="110" t="n">
        <f aca="false">AN38*Hipótesis!$F$66/30</f>
        <v>97381.1443209859</v>
      </c>
      <c r="AO68" s="110" t="n">
        <f aca="false">AO38*Hipótesis!$F$66/30</f>
        <v>99348.9035185168</v>
      </c>
      <c r="AP68" s="110" t="n">
        <f aca="false">AP38*Hipótesis!$F$66/30</f>
        <v>101316.662716048</v>
      </c>
      <c r="AQ68" s="110" t="n">
        <f aca="false">AQ38*Hipótesis!$F$66/30</f>
        <v>103284.421913578</v>
      </c>
      <c r="AR68" s="110" t="n">
        <f aca="false">AR38*Hipótesis!$F$66/30</f>
        <v>105252.181111109</v>
      </c>
      <c r="AS68" s="110" t="n">
        <f aca="false">AS38*Hipótesis!$F$66/30</f>
        <v>105252.181111109</v>
      </c>
      <c r="AT68" s="110" t="n">
        <f aca="false">AT38*Hipótesis!$F$66/30</f>
        <v>105252.181111109</v>
      </c>
      <c r="AU68" s="110" t="n">
        <f aca="false">AU38*Hipótesis!$F$66/30</f>
        <v>105252.181111109</v>
      </c>
      <c r="AV68" s="110" t="n">
        <f aca="false">AV38*Hipótesis!$F$66/30</f>
        <v>105252.181111109</v>
      </c>
      <c r="AW68" s="110" t="n">
        <f aca="false">AW38*Hipótesis!$F$66/30</f>
        <v>105252.181111109</v>
      </c>
      <c r="AX68" s="110" t="n">
        <f aca="false">AX38*Hipótesis!$F$66/30</f>
        <v>105252.181111109</v>
      </c>
      <c r="AY68" s="110" t="n">
        <f aca="false">AY38*Hipótesis!$F$66/30</f>
        <v>105252.181111109</v>
      </c>
      <c r="AZ68" s="110" t="n">
        <f aca="false">AZ38*Hipótesis!$F$66/30</f>
        <v>105252.181111109</v>
      </c>
      <c r="BA68" s="110" t="n">
        <f aca="false">BA38*Hipótesis!$F$66/30</f>
        <v>105252.181111109</v>
      </c>
      <c r="BB68" s="110" t="n">
        <f aca="false">BB38*Hipótesis!$F$66/30</f>
        <v>105252.181111109</v>
      </c>
      <c r="BC68" s="110" t="n">
        <f aca="false">BC38*Hipótesis!$F$66/30</f>
        <v>105252.181111109</v>
      </c>
      <c r="BD68" s="110" t="n">
        <f aca="false">BD38*Hipótesis!$F$66/30</f>
        <v>105252.181111109</v>
      </c>
      <c r="BE68" s="110" t="n">
        <f aca="false">BE38*Hipótesis!$F$66/30</f>
        <v>105252.181111109</v>
      </c>
      <c r="BF68" s="110" t="n">
        <f aca="false">BF38*Hipótesis!$F$66/30</f>
        <v>105252.181111109</v>
      </c>
      <c r="BG68" s="110" t="n">
        <f aca="false">BG38*Hipótesis!$F$66/30</f>
        <v>105252.181111109</v>
      </c>
      <c r="BH68" s="110" t="n">
        <f aca="false">BH38*Hipótesis!$F$66/30</f>
        <v>105252.181111109</v>
      </c>
      <c r="BI68" s="110" t="n">
        <f aca="false">BI38*Hipótesis!$F$66/30</f>
        <v>105252.181111109</v>
      </c>
      <c r="BJ68" s="110" t="n">
        <f aca="false">BJ38*Hipótesis!$F$66/30</f>
        <v>105252.181111109</v>
      </c>
      <c r="BK68" s="110" t="n">
        <f aca="false">BK38*Hipótesis!$F$66/30</f>
        <v>105252.181111109</v>
      </c>
      <c r="BL68" s="110" t="n">
        <f aca="false">BL38*Hipótesis!$F$66/30</f>
        <v>105252.181111109</v>
      </c>
      <c r="BM68" s="110" t="n">
        <f aca="false">BM38*Hipótesis!$F$66/30</f>
        <v>105252.181111109</v>
      </c>
      <c r="BN68" s="110" t="n">
        <f aca="false">BN38*Hipótesis!$F$66/30</f>
        <v>105252.181111109</v>
      </c>
      <c r="BO68" s="110" t="n">
        <f aca="false">BO38*Hipótesis!$F$66/30</f>
        <v>105252.181111109</v>
      </c>
      <c r="BP68" s="110" t="n">
        <f aca="false">BP38*Hipótesis!$F$66/30</f>
        <v>105252.181111109</v>
      </c>
      <c r="BQ68" s="110" t="n">
        <f aca="false">BQ38*Hipótesis!$F$66/30</f>
        <v>105252.181111109</v>
      </c>
      <c r="BR68" s="110" t="n">
        <f aca="false">BR38*Hipótesis!$F$66/30</f>
        <v>105252.181111109</v>
      </c>
      <c r="BS68" s="110" t="n">
        <f aca="false">BS38*Hipótesis!$F$66/30</f>
        <v>105252.181111109</v>
      </c>
      <c r="BT68" s="110" t="n">
        <f aca="false">BT38*Hipótesis!$F$66/30</f>
        <v>105252.181111109</v>
      </c>
      <c r="BU68" s="110" t="n">
        <f aca="false">BU38*Hipótesis!$F$66/30</f>
        <v>105252.181111109</v>
      </c>
      <c r="BV68" s="110" t="n">
        <f aca="false">BV38*Hipótesis!$F$66/30</f>
        <v>105252.181111109</v>
      </c>
      <c r="BW68" s="110" t="n">
        <f aca="false">BW38*Hipótesis!$F$66/30</f>
        <v>105252.181111109</v>
      </c>
      <c r="BX68" s="110" t="n">
        <f aca="false">BX38*Hipótesis!$F$66/30</f>
        <v>105252.181111109</v>
      </c>
      <c r="BY68" s="110" t="n">
        <f aca="false">BY38*Hipótesis!$F$66/30</f>
        <v>105252.181111109</v>
      </c>
      <c r="BZ68" s="110" t="n">
        <f aca="false">BZ38*Hipótesis!$F$66/30</f>
        <v>105252.181111109</v>
      </c>
      <c r="CA68" s="110" t="n">
        <f aca="false">CA38*Hipótesis!$F$66/30</f>
        <v>105252.181111109</v>
      </c>
      <c r="CB68" s="110" t="n">
        <f aca="false">CB38*Hipótesis!$F$66/30</f>
        <v>105252.181111109</v>
      </c>
      <c r="CC68" s="110" t="n">
        <f aca="false">CC38*Hipótesis!$F$66/30</f>
        <v>105252.181111109</v>
      </c>
      <c r="CD68" s="110" t="n">
        <f aca="false">CD38*Hipótesis!$F$66/30</f>
        <v>105252.181111109</v>
      </c>
      <c r="CE68" s="110" t="n">
        <f aca="false">CE38*Hipótesis!$F$66/30</f>
        <v>105252.181111109</v>
      </c>
      <c r="CF68" s="110" t="n">
        <f aca="false">CF38*Hipótesis!$F$66/30</f>
        <v>105252.181111109</v>
      </c>
      <c r="CG68" s="110" t="n">
        <f aca="false">CG38*Hipótesis!$F$66/30</f>
        <v>105252.181111109</v>
      </c>
      <c r="CH68" s="110" t="n">
        <f aca="false">CH38*Hipótesis!$F$66/30</f>
        <v>105252.181111109</v>
      </c>
    </row>
    <row r="69" customFormat="false" ht="13.5" hidden="false" customHeight="true" outlineLevel="0" collapsed="false">
      <c r="A69" s="6" t="s">
        <v>571</v>
      </c>
      <c r="C69" s="110" t="n">
        <f aca="false">-C39*Hipótesis!$F$67/30</f>
        <v>90.1708333333333</v>
      </c>
      <c r="D69" s="110" t="n">
        <f aca="false">-D39*Hipótesis!$F$67/30</f>
        <v>194.305166666667</v>
      </c>
      <c r="E69" s="110" t="n">
        <f aca="false">-E39*Hipótesis!$F$67/30</f>
        <v>482.36840880102</v>
      </c>
      <c r="F69" s="110" t="n">
        <f aca="false">-F39*Hipótesis!$F$67/30</f>
        <v>680.260817602041</v>
      </c>
      <c r="G69" s="110" t="n">
        <f aca="false">-G39*Hipótesis!$F$67/30</f>
        <v>864.189726403061</v>
      </c>
      <c r="H69" s="110" t="n">
        <f aca="false">-H39*Hipótesis!$F$67/30</f>
        <v>1208.11707270408</v>
      </c>
      <c r="I69" s="110" t="n">
        <f aca="false">-I39*Hipótesis!$F$67/30</f>
        <v>1853.30279632672</v>
      </c>
      <c r="J69" s="110" t="n">
        <f aca="false">-J39*Hipótesis!$F$67/30</f>
        <v>2498.48851994937</v>
      </c>
      <c r="K69" s="110" t="n">
        <f aca="false">-K39*Hipótesis!$F$67/30</f>
        <v>3143.67424357201</v>
      </c>
      <c r="L69" s="110" t="n">
        <f aca="false">-L39*Hipótesis!$F$67/30</f>
        <v>3788.85996719465</v>
      </c>
      <c r="M69" s="110" t="n">
        <f aca="false">-M39*Hipótesis!$F$67/30</f>
        <v>4250.11678201627</v>
      </c>
      <c r="N69" s="110" t="n">
        <f aca="false">-N39*Hipótesis!$F$67/30</f>
        <v>4944.09859683789</v>
      </c>
      <c r="O69" s="110" t="n">
        <f aca="false">-O39*Hipótesis!$F$67/30</f>
        <v>5638.08041165951</v>
      </c>
      <c r="P69" s="110" t="n">
        <f aca="false">-P39*Hipótesis!$F$67/30</f>
        <v>6265.15378898114</v>
      </c>
      <c r="Q69" s="110" t="n">
        <f aca="false">-Q39*Hipótesis!$F$67/30</f>
        <v>6892.22716630276</v>
      </c>
      <c r="R69" s="110" t="n">
        <f aca="false">-R39*Hipótesis!$F$67/30</f>
        <v>7519.30054362438</v>
      </c>
      <c r="S69" s="110" t="n">
        <f aca="false">-S39*Hipótesis!$F$67/30</f>
        <v>8146.373920946</v>
      </c>
      <c r="T69" s="110" t="n">
        <f aca="false">-T39*Hipótesis!$F$67/30</f>
        <v>8773.44729826762</v>
      </c>
      <c r="U69" s="110" t="n">
        <f aca="false">-U39*Hipótesis!$F$67/30</f>
        <v>9400.52067558925</v>
      </c>
      <c r="V69" s="110" t="n">
        <f aca="false">-V39*Hipótesis!$F$67/30</f>
        <v>10027.5940529109</v>
      </c>
      <c r="W69" s="110" t="n">
        <f aca="false">-W39*Hipótesis!$F$67/30</f>
        <v>10654.6674302325</v>
      </c>
      <c r="X69" s="110" t="n">
        <f aca="false">-X39*Hipótesis!$F$67/30</f>
        <v>11049.0158075541</v>
      </c>
      <c r="Y69" s="110" t="n">
        <f aca="false">-Y39*Hipótesis!$F$67/30</f>
        <v>11443.3641848757</v>
      </c>
      <c r="Z69" s="110" t="n">
        <f aca="false">-Z39*Hipótesis!$F$67/30</f>
        <v>11744.6225621974</v>
      </c>
      <c r="AA69" s="110" t="n">
        <f aca="false">-AA39*Hipótesis!$F$67/30</f>
        <v>12045.880939519</v>
      </c>
      <c r="AB69" s="110" t="n">
        <f aca="false">-AB39*Hipótesis!$F$67/30</f>
        <v>12347.1393168406</v>
      </c>
      <c r="AC69" s="110" t="n">
        <f aca="false">-AC39*Hipótesis!$F$67/30</f>
        <v>12648.3976941622</v>
      </c>
      <c r="AD69" s="110" t="n">
        <f aca="false">-AD39*Hipótesis!$F$67/30</f>
        <v>12949.6560714838</v>
      </c>
      <c r="AE69" s="110" t="n">
        <f aca="false">-AE39*Hipótesis!$F$67/30</f>
        <v>13250.9144488055</v>
      </c>
      <c r="AF69" s="110" t="n">
        <f aca="false">-AF39*Hipótesis!$F$67/30</f>
        <v>13552.1728261271</v>
      </c>
      <c r="AG69" s="110" t="n">
        <f aca="false">-AG39*Hipótesis!$F$67/30</f>
        <v>13853.4312034487</v>
      </c>
      <c r="AH69" s="110" t="n">
        <f aca="false">-AH39*Hipótesis!$F$67/30</f>
        <v>14154.6895807703</v>
      </c>
      <c r="AI69" s="110" t="n">
        <f aca="false">-AI39*Hipótesis!$F$67/30</f>
        <v>14455.9479580919</v>
      </c>
      <c r="AJ69" s="110" t="n">
        <f aca="false">-AJ39*Hipótesis!$F$67/30</f>
        <v>14757.2063354136</v>
      </c>
      <c r="AK69" s="110" t="n">
        <f aca="false">-AK39*Hipótesis!$F$67/30</f>
        <v>15058.4647127352</v>
      </c>
      <c r="AL69" s="110" t="n">
        <f aca="false">-AL39*Hipótesis!$F$67/30</f>
        <v>15359.7230900568</v>
      </c>
      <c r="AM69" s="110" t="n">
        <f aca="false">-AM39*Hipótesis!$F$67/30</f>
        <v>15660.9814673784</v>
      </c>
      <c r="AN69" s="110" t="n">
        <f aca="false">-AN39*Hipótesis!$F$67/30</f>
        <v>15962.2398447001</v>
      </c>
      <c r="AO69" s="110" t="n">
        <f aca="false">-AO39*Hipótesis!$F$67/30</f>
        <v>16263.4982220217</v>
      </c>
      <c r="AP69" s="110" t="n">
        <f aca="false">-AP39*Hipótesis!$F$67/30</f>
        <v>16564.7565993433</v>
      </c>
      <c r="AQ69" s="110" t="n">
        <f aca="false">-AQ39*Hipótesis!$F$67/30</f>
        <v>16866.0149766649</v>
      </c>
      <c r="AR69" s="110" t="n">
        <f aca="false">-AR39*Hipótesis!$F$67/30</f>
        <v>17167.2733539865</v>
      </c>
      <c r="AS69" s="110" t="n">
        <f aca="false">-AS39*Hipótesis!$F$67/30</f>
        <v>17167.2733539865</v>
      </c>
      <c r="AT69" s="110" t="n">
        <f aca="false">-AT39*Hipótesis!$F$67/30</f>
        <v>17167.2733539865</v>
      </c>
      <c r="AU69" s="110" t="n">
        <f aca="false">-AU39*Hipótesis!$F$67/30</f>
        <v>17167.2733539865</v>
      </c>
      <c r="AV69" s="110" t="n">
        <f aca="false">-AV39*Hipótesis!$F$67/30</f>
        <v>17167.2733539865</v>
      </c>
      <c r="AW69" s="110" t="n">
        <f aca="false">-AW39*Hipótesis!$F$67/30</f>
        <v>17167.2733539865</v>
      </c>
      <c r="AX69" s="110" t="n">
        <f aca="false">-AX39*Hipótesis!$F$67/30</f>
        <v>17167.2733539865</v>
      </c>
      <c r="AY69" s="110" t="n">
        <f aca="false">-AY39*Hipótesis!$F$67/30</f>
        <v>17167.2733539865</v>
      </c>
      <c r="AZ69" s="110" t="n">
        <f aca="false">-AZ39*Hipótesis!$F$67/30</f>
        <v>17167.2733539865</v>
      </c>
      <c r="BA69" s="110" t="n">
        <f aca="false">-BA39*Hipótesis!$F$67/30</f>
        <v>17167.2733539865</v>
      </c>
      <c r="BB69" s="110" t="n">
        <f aca="false">-BB39*Hipótesis!$F$67/30</f>
        <v>17167.2733539865</v>
      </c>
      <c r="BC69" s="110" t="n">
        <f aca="false">-BC39*Hipótesis!$F$67/30</f>
        <v>17167.2733539865</v>
      </c>
      <c r="BD69" s="110" t="n">
        <f aca="false">-BD39*Hipótesis!$F$67/30</f>
        <v>17167.2733539865</v>
      </c>
      <c r="BE69" s="110" t="n">
        <f aca="false">-BE39*Hipótesis!$F$67/30</f>
        <v>17167.2733539865</v>
      </c>
      <c r="BF69" s="110" t="n">
        <f aca="false">-BF39*Hipótesis!$F$67/30</f>
        <v>17167.2733539865</v>
      </c>
      <c r="BG69" s="110" t="n">
        <f aca="false">-BG39*Hipótesis!$F$67/30</f>
        <v>17167.2733539865</v>
      </c>
      <c r="BH69" s="110" t="n">
        <f aca="false">-BH39*Hipótesis!$F$67/30</f>
        <v>17167.2733539865</v>
      </c>
      <c r="BI69" s="110" t="n">
        <f aca="false">-BI39*Hipótesis!$F$67/30</f>
        <v>17167.2733539865</v>
      </c>
      <c r="BJ69" s="110" t="n">
        <f aca="false">-BJ39*Hipótesis!$F$67/30</f>
        <v>17167.2733539865</v>
      </c>
      <c r="BK69" s="110" t="n">
        <f aca="false">-BK39*Hipótesis!$F$67/30</f>
        <v>17167.2733539865</v>
      </c>
      <c r="BL69" s="110" t="n">
        <f aca="false">-BL39*Hipótesis!$F$67/30</f>
        <v>17167.2733539865</v>
      </c>
      <c r="BM69" s="110" t="n">
        <f aca="false">-BM39*Hipótesis!$F$67/30</f>
        <v>17167.2733539865</v>
      </c>
      <c r="BN69" s="110" t="n">
        <f aca="false">-BN39*Hipótesis!$F$67/30</f>
        <v>17167.2733539865</v>
      </c>
      <c r="BO69" s="110" t="n">
        <f aca="false">-BO39*Hipótesis!$F$67/30</f>
        <v>17167.2733539865</v>
      </c>
      <c r="BP69" s="110" t="n">
        <f aca="false">-BP39*Hipótesis!$F$67/30</f>
        <v>17167.2733539865</v>
      </c>
      <c r="BQ69" s="110" t="n">
        <f aca="false">-BQ39*Hipótesis!$F$67/30</f>
        <v>17167.2733539865</v>
      </c>
      <c r="BR69" s="110" t="n">
        <f aca="false">-BR39*Hipótesis!$F$67/30</f>
        <v>17167.2733539865</v>
      </c>
      <c r="BS69" s="110" t="n">
        <f aca="false">-BS39*Hipótesis!$F$67/30</f>
        <v>17167.2733539865</v>
      </c>
      <c r="BT69" s="110" t="n">
        <f aca="false">-BT39*Hipótesis!$F$67/30</f>
        <v>17167.2733539865</v>
      </c>
      <c r="BU69" s="110" t="n">
        <f aca="false">-BU39*Hipótesis!$F$67/30</f>
        <v>17167.2733539865</v>
      </c>
      <c r="BV69" s="110" t="n">
        <f aca="false">-BV39*Hipótesis!$F$67/30</f>
        <v>17167.2733539865</v>
      </c>
      <c r="BW69" s="110" t="n">
        <f aca="false">-BW39*Hipótesis!$F$67/30</f>
        <v>17167.2733539865</v>
      </c>
      <c r="BX69" s="110" t="n">
        <f aca="false">-BX39*Hipótesis!$F$67/30</f>
        <v>17167.2733539865</v>
      </c>
      <c r="BY69" s="110" t="n">
        <f aca="false">-BY39*Hipótesis!$F$67/30</f>
        <v>17167.2733539865</v>
      </c>
      <c r="BZ69" s="110" t="n">
        <f aca="false">-BZ39*Hipótesis!$F$67/30</f>
        <v>17167.2733539865</v>
      </c>
      <c r="CA69" s="110" t="n">
        <f aca="false">-CA39*Hipótesis!$F$67/30</f>
        <v>17167.2733539865</v>
      </c>
      <c r="CB69" s="110" t="n">
        <f aca="false">-CB39*Hipótesis!$F$67/30</f>
        <v>17167.2733539865</v>
      </c>
      <c r="CC69" s="110" t="n">
        <f aca="false">-CC39*Hipótesis!$F$67/30</f>
        <v>17167.2733539865</v>
      </c>
      <c r="CD69" s="110" t="n">
        <f aca="false">-CD39*Hipótesis!$F$67/30</f>
        <v>17167.2733539865</v>
      </c>
      <c r="CE69" s="110" t="n">
        <f aca="false">-CE39*Hipótesis!$F$67/30</f>
        <v>17167.2733539865</v>
      </c>
      <c r="CF69" s="110" t="n">
        <f aca="false">-CF39*Hipótesis!$F$67/30</f>
        <v>17167.2733539865</v>
      </c>
      <c r="CG69" s="110" t="n">
        <f aca="false">-CG39*Hipótesis!$F$67/30</f>
        <v>17167.2733539865</v>
      </c>
      <c r="CH69" s="110" t="n">
        <f aca="false">-CH39*Hipótesis!$F$67/30</f>
        <v>17167.2733539865</v>
      </c>
    </row>
    <row r="70" customFormat="false" ht="13.5" hidden="false" customHeight="true" outlineLevel="0" collapsed="false">
      <c r="A70" s="22" t="s">
        <v>572</v>
      </c>
      <c r="C70" s="110" t="n">
        <f aca="false">C68*(1-Hipótesis!$D$73)-C69</f>
        <v>344.237566666667</v>
      </c>
      <c r="D70" s="110" t="n">
        <f aca="false">D68*(1-Hipótesis!$D$73)-D69</f>
        <v>708.337233333333</v>
      </c>
      <c r="E70" s="110" t="n">
        <f aca="false">E68*(1-Hipótesis!$D$73)-E69</f>
        <v>1397.65374119898</v>
      </c>
      <c r="F70" s="110" t="n">
        <f aca="false">F68*(1-Hipótesis!$D$73)-F69</f>
        <v>1742.73268239796</v>
      </c>
      <c r="G70" s="110" t="n">
        <f aca="false">G68*(1-Hipótesis!$D$73)-G69</f>
        <v>2067.94952359694</v>
      </c>
      <c r="H70" s="110" t="n">
        <f aca="false">H68*(1-Hipótesis!$D$73)-H69</f>
        <v>2543.23592729592</v>
      </c>
      <c r="I70" s="110" t="n">
        <f aca="false">I68*(1-Hipótesis!$D$73)-I69</f>
        <v>3504.3676326856</v>
      </c>
      <c r="J70" s="110" t="n">
        <f aca="false">J68*(1-Hipótesis!$D$73)-J69</f>
        <v>4465.49933807528</v>
      </c>
      <c r="K70" s="110" t="n">
        <f aca="false">K68*(1-Hipótesis!$D$73)-K69</f>
        <v>5426.63104346497</v>
      </c>
      <c r="L70" s="110" t="n">
        <f aca="false">L68*(1-Hipótesis!$D$73)-L69</f>
        <v>6387.76274885465</v>
      </c>
      <c r="M70" s="110" t="n">
        <f aca="false">M68*(1-Hipótesis!$D$73)-M69</f>
        <v>7023.67761304535</v>
      </c>
      <c r="N70" s="110" t="n">
        <f aca="false">N68*(1-Hipótesis!$D$73)-N69</f>
        <v>7849.68747723605</v>
      </c>
      <c r="O70" s="110" t="n">
        <f aca="false">O68*(1-Hipótesis!$D$73)-O69</f>
        <v>8675.69734142676</v>
      </c>
      <c r="P70" s="110" t="n">
        <f aca="false">P68*(1-Hipótesis!$D$73)-P69</f>
        <v>9416.40044311746</v>
      </c>
      <c r="Q70" s="110" t="n">
        <f aca="false">Q68*(1-Hipótesis!$D$73)-Q69</f>
        <v>10157.1035448082</v>
      </c>
      <c r="R70" s="110" t="n">
        <f aca="false">R68*(1-Hipótesis!$D$73)-R69</f>
        <v>10897.8066464989</v>
      </c>
      <c r="S70" s="110" t="n">
        <f aca="false">S68*(1-Hipótesis!$D$73)-S69</f>
        <v>11638.5097481896</v>
      </c>
      <c r="T70" s="110" t="n">
        <f aca="false">T68*(1-Hipótesis!$D$73)-T69</f>
        <v>12379.2128498803</v>
      </c>
      <c r="U70" s="110" t="n">
        <f aca="false">U68*(1-Hipótesis!$D$73)-U69</f>
        <v>13119.915951571</v>
      </c>
      <c r="V70" s="110" t="n">
        <f aca="false">V68*(1-Hipótesis!$D$73)-V69</f>
        <v>13860.6190532617</v>
      </c>
      <c r="W70" s="110" t="n">
        <f aca="false">W68*(1-Hipótesis!$D$73)-W69</f>
        <v>14601.3221549524</v>
      </c>
      <c r="X70" s="110" t="n">
        <f aca="false">X68*(1-Hipótesis!$D$73)-X69</f>
        <v>15151.9302566431</v>
      </c>
      <c r="Y70" s="110" t="n">
        <f aca="false">Y68*(1-Hipótesis!$D$73)-Y69</f>
        <v>15702.5383583338</v>
      </c>
      <c r="Z70" s="110" t="n">
        <f aca="false">Z68*(1-Hipótesis!$D$73)-Z69</f>
        <v>16188.3836600245</v>
      </c>
      <c r="AA70" s="110" t="n">
        <f aca="false">AA68*(1-Hipótesis!$D$73)-AA69</f>
        <v>16674.2289617152</v>
      </c>
      <c r="AB70" s="110" t="n">
        <f aca="false">AB68*(1-Hipótesis!$D$73)-AB69</f>
        <v>17160.0742634059</v>
      </c>
      <c r="AC70" s="110" t="n">
        <f aca="false">AC68*(1-Hipótesis!$D$73)-AC69</f>
        <v>17645.9195650966</v>
      </c>
      <c r="AD70" s="110" t="n">
        <f aca="false">AD68*(1-Hipótesis!$D$73)-AD69</f>
        <v>18131.7648667873</v>
      </c>
      <c r="AE70" s="110" t="n">
        <f aca="false">AE68*(1-Hipótesis!$D$73)-AE69</f>
        <v>18617.610168478</v>
      </c>
      <c r="AF70" s="110" t="n">
        <f aca="false">AF68*(1-Hipótesis!$D$73)-AF69</f>
        <v>19103.4554701687</v>
      </c>
      <c r="AG70" s="110" t="n">
        <f aca="false">AG68*(1-Hipótesis!$D$73)-AG69</f>
        <v>19589.3007718594</v>
      </c>
      <c r="AH70" s="110" t="n">
        <f aca="false">AH68*(1-Hipótesis!$D$73)-AH69</f>
        <v>20075.1460735501</v>
      </c>
      <c r="AI70" s="110" t="n">
        <f aca="false">AI68*(1-Hipótesis!$D$73)-AI69</f>
        <v>20560.9913752408</v>
      </c>
      <c r="AJ70" s="110" t="n">
        <f aca="false">AJ68*(1-Hipótesis!$D$73)-AJ69</f>
        <v>21046.8366769315</v>
      </c>
      <c r="AK70" s="110" t="n">
        <f aca="false">AK68*(1-Hipótesis!$D$73)-AK69</f>
        <v>21532.6819786222</v>
      </c>
      <c r="AL70" s="110" t="n">
        <f aca="false">AL68*(1-Hipótesis!$D$73)-AL69</f>
        <v>22018.5272803129</v>
      </c>
      <c r="AM70" s="110" t="n">
        <f aca="false">AM68*(1-Hipótesis!$D$73)-AM69</f>
        <v>22504.3725820036</v>
      </c>
      <c r="AN70" s="110" t="n">
        <f aca="false">AN68*(1-Hipótesis!$D$73)-AN69</f>
        <v>22990.2178836943</v>
      </c>
      <c r="AO70" s="110" t="n">
        <f aca="false">AO68*(1-Hipótesis!$D$73)-AO69</f>
        <v>23476.063185385</v>
      </c>
      <c r="AP70" s="110" t="n">
        <f aca="false">AP68*(1-Hipótesis!$D$73)-AP69</f>
        <v>23961.9084870757</v>
      </c>
      <c r="AQ70" s="110" t="n">
        <f aca="false">AQ68*(1-Hipótesis!$D$73)-AQ69</f>
        <v>24447.7537887664</v>
      </c>
      <c r="AR70" s="110" t="n">
        <f aca="false">AR68*(1-Hipótesis!$D$73)-AR69</f>
        <v>24933.5990904571</v>
      </c>
      <c r="AS70" s="110" t="n">
        <f aca="false">AS68*(1-Hipótesis!$D$73)-AS69</f>
        <v>24933.5990904571</v>
      </c>
      <c r="AT70" s="110" t="n">
        <f aca="false">AT68*(1-Hipótesis!$D$73)-AT69</f>
        <v>24933.5990904571</v>
      </c>
      <c r="AU70" s="110" t="n">
        <f aca="false">AU68*(1-Hipótesis!$D$73)-AU69</f>
        <v>24933.5990904571</v>
      </c>
      <c r="AV70" s="110" t="n">
        <f aca="false">AV68*(1-Hipótesis!$D$73)-AV69</f>
        <v>24933.5990904571</v>
      </c>
      <c r="AW70" s="110" t="n">
        <f aca="false">AW68*(1-Hipótesis!$D$73)-AW69</f>
        <v>24933.5990904571</v>
      </c>
      <c r="AX70" s="110" t="n">
        <f aca="false">AX68*(1-Hipótesis!$D$73)-AX69</f>
        <v>24933.5990904571</v>
      </c>
      <c r="AY70" s="110" t="n">
        <f aca="false">AY68*(1-Hipótesis!$D$73)-AY69</f>
        <v>24933.5990904571</v>
      </c>
      <c r="AZ70" s="110" t="n">
        <f aca="false">AZ68*(1-Hipótesis!$D$73)-AZ69</f>
        <v>24933.5990904571</v>
      </c>
      <c r="BA70" s="110" t="n">
        <f aca="false">BA68*(1-Hipótesis!$D$73)-BA69</f>
        <v>24933.5990904571</v>
      </c>
      <c r="BB70" s="110" t="n">
        <f aca="false">BB68*(1-Hipótesis!$D$73)-BB69</f>
        <v>24933.5990904571</v>
      </c>
      <c r="BC70" s="110" t="n">
        <f aca="false">BC68*(1-Hipótesis!$D$73)-BC69</f>
        <v>24933.5990904571</v>
      </c>
      <c r="BD70" s="110" t="n">
        <f aca="false">BD68*(1-Hipótesis!$D$73)-BD69</f>
        <v>24933.5990904571</v>
      </c>
      <c r="BE70" s="110" t="n">
        <f aca="false">BE68*(1-Hipótesis!$D$73)-BE69</f>
        <v>24933.5990904571</v>
      </c>
      <c r="BF70" s="110" t="n">
        <f aca="false">BF68*(1-Hipótesis!$D$73)-BF69</f>
        <v>24933.5990904571</v>
      </c>
      <c r="BG70" s="110" t="n">
        <f aca="false">BG68*(1-Hipótesis!$D$73)-BG69</f>
        <v>24933.5990904571</v>
      </c>
      <c r="BH70" s="110" t="n">
        <f aca="false">BH68*(1-Hipótesis!$D$73)-BH69</f>
        <v>24933.5990904571</v>
      </c>
      <c r="BI70" s="110" t="n">
        <f aca="false">BI68*(1-Hipótesis!$D$73)-BI69</f>
        <v>24933.5990904571</v>
      </c>
      <c r="BJ70" s="110" t="n">
        <f aca="false">BJ68*(1-Hipótesis!$D$73)-BJ69</f>
        <v>24933.5990904571</v>
      </c>
      <c r="BK70" s="110" t="n">
        <f aca="false">BK68*(1-Hipótesis!$D$73)-BK69</f>
        <v>24933.5990904571</v>
      </c>
      <c r="BL70" s="110" t="n">
        <f aca="false">BL68*(1-Hipótesis!$D$73)-BL69</f>
        <v>24933.5990904571</v>
      </c>
      <c r="BM70" s="110" t="n">
        <f aca="false">BM68*(1-Hipótesis!$D$73)-BM69</f>
        <v>24933.5990904571</v>
      </c>
      <c r="BN70" s="110" t="n">
        <f aca="false">BN68*(1-Hipótesis!$D$73)-BN69</f>
        <v>24933.5990904571</v>
      </c>
      <c r="BO70" s="110" t="n">
        <f aca="false">BO68*(1-Hipótesis!$D$73)-BO69</f>
        <v>24933.5990904571</v>
      </c>
      <c r="BP70" s="110" t="n">
        <f aca="false">BP68*(1-Hipótesis!$D$73)-BP69</f>
        <v>24933.5990904571</v>
      </c>
      <c r="BQ70" s="110" t="n">
        <f aca="false">BQ68*(1-Hipótesis!$D$73)-BQ69</f>
        <v>24933.5990904571</v>
      </c>
      <c r="BR70" s="110" t="n">
        <f aca="false">BR68*(1-Hipótesis!$D$73)-BR69</f>
        <v>24933.5990904571</v>
      </c>
      <c r="BS70" s="110" t="n">
        <f aca="false">BS68*(1-Hipótesis!$D$73)-BS69</f>
        <v>24933.5990904571</v>
      </c>
      <c r="BT70" s="110" t="n">
        <f aca="false">BT68*(1-Hipótesis!$D$73)-BT69</f>
        <v>24933.5990904571</v>
      </c>
      <c r="BU70" s="110" t="n">
        <f aca="false">BU68*(1-Hipótesis!$D$73)-BU69</f>
        <v>24933.5990904571</v>
      </c>
      <c r="BV70" s="110" t="n">
        <f aca="false">BV68*(1-Hipótesis!$D$73)-BV69</f>
        <v>24933.5990904571</v>
      </c>
      <c r="BW70" s="110" t="n">
        <f aca="false">BW68*(1-Hipótesis!$D$73)-BW69</f>
        <v>24933.5990904571</v>
      </c>
      <c r="BX70" s="110" t="n">
        <f aca="false">BX68*(1-Hipótesis!$D$73)-BX69</f>
        <v>24933.5990904571</v>
      </c>
      <c r="BY70" s="110" t="n">
        <f aca="false">BY68*(1-Hipótesis!$D$73)-BY69</f>
        <v>24933.5990904571</v>
      </c>
      <c r="BZ70" s="110" t="n">
        <f aca="false">BZ68*(1-Hipótesis!$D$73)-BZ69</f>
        <v>24933.5990904571</v>
      </c>
      <c r="CA70" s="110" t="n">
        <f aca="false">CA68*(1-Hipótesis!$D$73)-CA69</f>
        <v>24933.5990904571</v>
      </c>
      <c r="CB70" s="110" t="n">
        <f aca="false">CB68*(1-Hipótesis!$D$73)-CB69</f>
        <v>24933.5990904571</v>
      </c>
      <c r="CC70" s="110" t="n">
        <f aca="false">CC68*(1-Hipótesis!$D$73)-CC69</f>
        <v>24933.5990904571</v>
      </c>
      <c r="CD70" s="110" t="n">
        <f aca="false">CD68*(1-Hipótesis!$D$73)-CD69</f>
        <v>24933.5990904571</v>
      </c>
      <c r="CE70" s="110" t="n">
        <f aca="false">CE68*(1-Hipótesis!$D$73)-CE69</f>
        <v>24933.5990904571</v>
      </c>
      <c r="CF70" s="110" t="n">
        <f aca="false">CF68*(1-Hipótesis!$D$73)-CF69</f>
        <v>24933.5990904571</v>
      </c>
      <c r="CG70" s="110" t="n">
        <f aca="false">CG68*(1-Hipótesis!$D$73)-CG69</f>
        <v>24933.5990904571</v>
      </c>
      <c r="CH70" s="110" t="n">
        <f aca="false">CH68*(1-Hipótesis!$D$73)-CH69</f>
        <v>24933.5990904571</v>
      </c>
    </row>
    <row r="71" customFormat="false" ht="13.5" hidden="false" customHeight="true" outlineLevel="0" collapsed="false">
      <c r="A71" s="6" t="s">
        <v>573</v>
      </c>
      <c r="C71" s="109" t="n">
        <f aca="false">-C70</f>
        <v>-344.237566666667</v>
      </c>
      <c r="D71" s="109" t="n">
        <f aca="false">-(D70-C70)</f>
        <v>-364.099666666667</v>
      </c>
      <c r="E71" s="109" t="n">
        <f aca="false">-(E70-D70)</f>
        <v>-689.316507865646</v>
      </c>
      <c r="F71" s="109" t="n">
        <f aca="false">-(F70-E70)</f>
        <v>-345.07894119898</v>
      </c>
      <c r="G71" s="109" t="n">
        <f aca="false">-(G70-F70)</f>
        <v>-325.21684119898</v>
      </c>
      <c r="H71" s="109" t="n">
        <f aca="false">-(H70-G70)</f>
        <v>-475.28640369898</v>
      </c>
      <c r="I71" s="109" t="n">
        <f aca="false">-(I70-H70)</f>
        <v>-961.131705389682</v>
      </c>
      <c r="J71" s="109" t="n">
        <f aca="false">-(J70-I70)</f>
        <v>-961.131705389681</v>
      </c>
      <c r="K71" s="109" t="n">
        <f aca="false">-(K70-J70)</f>
        <v>-961.131705389685</v>
      </c>
      <c r="L71" s="109" t="n">
        <f aca="false">-(L70-K70)</f>
        <v>-961.131705389682</v>
      </c>
      <c r="M71" s="109" t="n">
        <f aca="false">-(M70-L70)</f>
        <v>-635.9148641907</v>
      </c>
      <c r="N71" s="109" t="n">
        <f aca="false">-(N70-M70)</f>
        <v>-826.009864190703</v>
      </c>
      <c r="O71" s="109" t="n">
        <f aca="false">-(O70-N70)</f>
        <v>-826.009864190704</v>
      </c>
      <c r="P71" s="109" t="n">
        <f aca="false">-(P70-O70)</f>
        <v>-740.703101690702</v>
      </c>
      <c r="Q71" s="109" t="n">
        <f aca="false">-(Q70-P70)</f>
        <v>-740.703101690706</v>
      </c>
      <c r="R71" s="109" t="n">
        <f aca="false">-(R70-Q70)</f>
        <v>-740.703101690699</v>
      </c>
      <c r="S71" s="109" t="n">
        <f aca="false">-(S70-R70)</f>
        <v>-740.703101690704</v>
      </c>
      <c r="T71" s="109" t="n">
        <f aca="false">-(T70-S70)</f>
        <v>-740.703101690704</v>
      </c>
      <c r="U71" s="109" t="n">
        <f aca="false">-(U70-T70)</f>
        <v>-740.703101690704</v>
      </c>
      <c r="V71" s="109" t="n">
        <f aca="false">-(V70-U70)</f>
        <v>-740.7031016907</v>
      </c>
      <c r="W71" s="109" t="n">
        <f aca="false">-(W70-V70)</f>
        <v>-740.703101690702</v>
      </c>
      <c r="X71" s="109" t="n">
        <f aca="false">-(X70-W70)</f>
        <v>-550.608101690708</v>
      </c>
      <c r="Y71" s="109" t="n">
        <f aca="false">-(Y70-X70)</f>
        <v>-550.608101690701</v>
      </c>
      <c r="Z71" s="109" t="n">
        <f aca="false">-(Z70-Y70)</f>
        <v>-485.845301690701</v>
      </c>
      <c r="AA71" s="109" t="n">
        <f aca="false">-(AA70-Z70)</f>
        <v>-485.845301690704</v>
      </c>
      <c r="AB71" s="109" t="n">
        <f aca="false">-(AB70-AA70)</f>
        <v>-485.845301690701</v>
      </c>
      <c r="AC71" s="109" t="n">
        <f aca="false">-(AC70-AB70)</f>
        <v>-485.845301690704</v>
      </c>
      <c r="AD71" s="109" t="n">
        <f aca="false">-(AD70-AC70)</f>
        <v>-485.845301690704</v>
      </c>
      <c r="AE71" s="109" t="n">
        <f aca="false">-(AE70-AD70)</f>
        <v>-485.845301690701</v>
      </c>
      <c r="AF71" s="109" t="n">
        <f aca="false">-(AF70-AE70)</f>
        <v>-485.845301690708</v>
      </c>
      <c r="AG71" s="109" t="n">
        <f aca="false">-(AG70-AF70)</f>
        <v>-485.845301690704</v>
      </c>
      <c r="AH71" s="109" t="n">
        <f aca="false">-(AH70-AG70)</f>
        <v>-485.845301690697</v>
      </c>
      <c r="AI71" s="109" t="n">
        <f aca="false">-(AI70-AH70)</f>
        <v>-485.845301690704</v>
      </c>
      <c r="AJ71" s="109" t="n">
        <f aca="false">-(AJ70-AI70)</f>
        <v>-485.845301690704</v>
      </c>
      <c r="AK71" s="109" t="n">
        <f aca="false">-(AK70-AJ70)</f>
        <v>-485.845301690697</v>
      </c>
      <c r="AL71" s="109" t="n">
        <f aca="false">-(AL70-AK70)</f>
        <v>-485.845301690704</v>
      </c>
      <c r="AM71" s="109" t="n">
        <f aca="false">-(AM70-AL70)</f>
        <v>-485.845301690701</v>
      </c>
      <c r="AN71" s="109" t="n">
        <f aca="false">-(AN70-AM70)</f>
        <v>-485.845301690708</v>
      </c>
      <c r="AO71" s="109" t="n">
        <f aca="false">-(AO70-AN70)</f>
        <v>-485.845301690701</v>
      </c>
      <c r="AP71" s="109" t="n">
        <f aca="false">-(AP70-AO70)</f>
        <v>-485.845301690701</v>
      </c>
      <c r="AQ71" s="109" t="n">
        <f aca="false">-(AQ70-AP70)</f>
        <v>-485.845301690708</v>
      </c>
      <c r="AR71" s="109" t="n">
        <f aca="false">-(AR70-AQ70)</f>
        <v>-485.845301690701</v>
      </c>
      <c r="AS71" s="109" t="n">
        <f aca="false">-(AS70-AR70)</f>
        <v>-0</v>
      </c>
      <c r="AT71" s="109" t="n">
        <f aca="false">-(AT70-AS70)</f>
        <v>-0</v>
      </c>
      <c r="AU71" s="109" t="n">
        <f aca="false">-(AU70-AT70)</f>
        <v>-0</v>
      </c>
      <c r="AV71" s="109" t="n">
        <f aca="false">-(AV70-AU70)</f>
        <v>-0</v>
      </c>
      <c r="AW71" s="109" t="n">
        <f aca="false">-(AW70-AV70)</f>
        <v>-0</v>
      </c>
      <c r="AX71" s="109" t="n">
        <f aca="false">-(AX70-AW70)</f>
        <v>-0</v>
      </c>
      <c r="AY71" s="109" t="n">
        <f aca="false">-(AY70-AX70)</f>
        <v>-0</v>
      </c>
      <c r="AZ71" s="109" t="n">
        <f aca="false">-(AZ70-AY70)</f>
        <v>-0</v>
      </c>
      <c r="BA71" s="109" t="n">
        <f aca="false">-(BA70-AZ70)</f>
        <v>-0</v>
      </c>
      <c r="BB71" s="109" t="n">
        <f aca="false">-(BB70-BA70)</f>
        <v>-0</v>
      </c>
      <c r="BC71" s="109" t="n">
        <f aca="false">-(BC70-BB70)</f>
        <v>-0</v>
      </c>
      <c r="BD71" s="109" t="n">
        <f aca="false">-(BD70-BC70)</f>
        <v>-0</v>
      </c>
      <c r="BE71" s="109" t="n">
        <f aca="false">-(BE70-BD70)</f>
        <v>-0</v>
      </c>
      <c r="BF71" s="109" t="n">
        <f aca="false">-(BF70-BE70)</f>
        <v>-0</v>
      </c>
      <c r="BG71" s="109" t="n">
        <f aca="false">-(BG70-BF70)</f>
        <v>-0</v>
      </c>
      <c r="BH71" s="109" t="n">
        <f aca="false">-(BH70-BG70)</f>
        <v>-0</v>
      </c>
      <c r="BI71" s="109" t="n">
        <f aca="false">-(BI70-BH70)</f>
        <v>-0</v>
      </c>
      <c r="BJ71" s="109" t="n">
        <f aca="false">-(BJ70-BI70)</f>
        <v>-0</v>
      </c>
      <c r="BK71" s="109" t="n">
        <f aca="false">-(BK70-BJ70)</f>
        <v>-0</v>
      </c>
      <c r="BL71" s="109" t="n">
        <f aca="false">-(BL70-BK70)</f>
        <v>-0</v>
      </c>
      <c r="BM71" s="109" t="n">
        <f aca="false">-(BM70-BL70)</f>
        <v>-0</v>
      </c>
      <c r="BN71" s="109" t="n">
        <f aca="false">-(BN70-BM70)</f>
        <v>-0</v>
      </c>
      <c r="BO71" s="109" t="n">
        <f aca="false">-(BO70-BN70)</f>
        <v>-0</v>
      </c>
      <c r="BP71" s="109" t="n">
        <f aca="false">-(BP70-BO70)</f>
        <v>-0</v>
      </c>
      <c r="BQ71" s="109" t="n">
        <f aca="false">-(BQ70-BP70)</f>
        <v>-0</v>
      </c>
      <c r="BR71" s="109" t="n">
        <f aca="false">-(BR70-BQ70)</f>
        <v>-0</v>
      </c>
      <c r="BS71" s="109" t="n">
        <f aca="false">-(BS70-BR70)</f>
        <v>-0</v>
      </c>
      <c r="BT71" s="109" t="n">
        <f aca="false">-(BT70-BS70)</f>
        <v>-0</v>
      </c>
      <c r="BU71" s="109" t="n">
        <f aca="false">-(BU70-BT70)</f>
        <v>-0</v>
      </c>
      <c r="BV71" s="109" t="n">
        <f aca="false">-(BV70-BU70)</f>
        <v>-0</v>
      </c>
      <c r="BW71" s="109" t="n">
        <f aca="false">-(BW70-BV70)</f>
        <v>-0</v>
      </c>
      <c r="BX71" s="109" t="n">
        <f aca="false">-(BX70-BW70)</f>
        <v>-0</v>
      </c>
      <c r="BY71" s="109" t="n">
        <f aca="false">-(BY70-BX70)</f>
        <v>-0</v>
      </c>
      <c r="BZ71" s="109" t="n">
        <f aca="false">-(BZ70-BY70)</f>
        <v>-0</v>
      </c>
      <c r="CA71" s="109" t="n">
        <f aca="false">-(CA70-BZ70)</f>
        <v>-0</v>
      </c>
      <c r="CB71" s="109" t="n">
        <f aca="false">-(CB70-CA70)</f>
        <v>-0</v>
      </c>
      <c r="CC71" s="109" t="n">
        <f aca="false">-(CC70-CB70)</f>
        <v>-0</v>
      </c>
      <c r="CD71" s="109" t="n">
        <f aca="false">-(CD70-CC70)</f>
        <v>-0</v>
      </c>
      <c r="CE71" s="109" t="n">
        <f aca="false">-(CE70-CD70)</f>
        <v>-0</v>
      </c>
      <c r="CF71" s="109" t="n">
        <f aca="false">-(CF70-CE70)</f>
        <v>-0</v>
      </c>
      <c r="CG71" s="109" t="n">
        <f aca="false">-(CG70-CF70)</f>
        <v>-0</v>
      </c>
      <c r="CH71" s="109" t="n">
        <f aca="false">-(CH70-CG70)</f>
        <v>-0</v>
      </c>
    </row>
    <row r="72" customFormat="false" ht="13.5" hidden="false" customHeight="true" outlineLevel="0" collapsed="false">
      <c r="A72" s="6" t="s">
        <v>574</v>
      </c>
      <c r="C72" s="109" t="n">
        <f aca="false">-CAPEX!$C$22*CAPEX!$C$29</f>
        <v>-29601</v>
      </c>
      <c r="D72" s="109" t="n">
        <f aca="false">-CAPEX!$C$22*CAPEX!$D$29</f>
        <v>-13813.8</v>
      </c>
      <c r="E72" s="109" t="n">
        <f aca="false">-CAPEX!$C$22*CAPEX!$E$29</f>
        <v>-9867</v>
      </c>
      <c r="F72" s="109" t="n">
        <f aca="false">-CAPEX!$C$22*CAPEX!$F$29</f>
        <v>-8880.3</v>
      </c>
      <c r="G72" s="109" t="n">
        <f aca="false">-CAPEX!$C$22*CAPEX!$G$29</f>
        <v>-7893.6</v>
      </c>
      <c r="H72" s="109" t="n">
        <f aca="false">-CAPEX!$C$22*CAPEX!$H$29</f>
        <v>-6906.9</v>
      </c>
      <c r="I72" s="109" t="n">
        <f aca="false">-CAPEX!$C$22*CAPEX!$I$29</f>
        <v>-5920.2</v>
      </c>
      <c r="J72" s="109" t="n">
        <f aca="false">-CAPEX!$C$22*CAPEX!$J$29</f>
        <v>-4933.5</v>
      </c>
      <c r="K72" s="109" t="n">
        <f aca="false">-CAPEX!$C$22*CAPEX!$K$29</f>
        <v>-3946.8</v>
      </c>
      <c r="L72" s="109" t="n">
        <f aca="false">-CAPEX!$C$22*CAPEX!$L$29</f>
        <v>-2960.1</v>
      </c>
      <c r="M72" s="109" t="n">
        <f aca="false">-CAPEX!$C$22*CAPEX!$M$29</f>
        <v>-1973.4</v>
      </c>
      <c r="N72" s="109" t="n">
        <f aca="false">-CAPEX!$C$22*CAPEX!$N$29</f>
        <v>-1973.4</v>
      </c>
      <c r="O72" s="109" t="n">
        <f aca="false">0</f>
        <v>0</v>
      </c>
      <c r="P72" s="109" t="n">
        <f aca="false">0</f>
        <v>0</v>
      </c>
      <c r="Q72" s="109" t="n">
        <f aca="false">0</f>
        <v>0</v>
      </c>
      <c r="R72" s="109" t="n">
        <f aca="false">0</f>
        <v>0</v>
      </c>
      <c r="S72" s="109" t="n">
        <f aca="false">0</f>
        <v>0</v>
      </c>
      <c r="T72" s="109" t="n">
        <f aca="false">0</f>
        <v>0</v>
      </c>
      <c r="U72" s="109" t="n">
        <f aca="false">0</f>
        <v>0</v>
      </c>
      <c r="V72" s="109" t="n">
        <f aca="false">0</f>
        <v>0</v>
      </c>
      <c r="W72" s="109" t="n">
        <f aca="false">0</f>
        <v>0</v>
      </c>
      <c r="X72" s="109" t="n">
        <f aca="false">0</f>
        <v>0</v>
      </c>
      <c r="Y72" s="109" t="n">
        <f aca="false">0</f>
        <v>0</v>
      </c>
      <c r="Z72" s="109" t="n">
        <f aca="false">0</f>
        <v>0</v>
      </c>
      <c r="AA72" s="109" t="n">
        <f aca="false">0</f>
        <v>0</v>
      </c>
      <c r="AB72" s="109" t="n">
        <f aca="false">0</f>
        <v>0</v>
      </c>
      <c r="AC72" s="109" t="n">
        <f aca="false">0</f>
        <v>0</v>
      </c>
      <c r="AD72" s="109" t="n">
        <f aca="false">0</f>
        <v>0</v>
      </c>
      <c r="AE72" s="109" t="n">
        <f aca="false">0</f>
        <v>0</v>
      </c>
      <c r="AF72" s="109" t="n">
        <f aca="false">0</f>
        <v>0</v>
      </c>
      <c r="AG72" s="109" t="n">
        <f aca="false">0</f>
        <v>0</v>
      </c>
      <c r="AH72" s="109" t="n">
        <f aca="false">0</f>
        <v>0</v>
      </c>
      <c r="AI72" s="109" t="n">
        <f aca="false">0</f>
        <v>0</v>
      </c>
      <c r="AJ72" s="109" t="n">
        <f aca="false">0</f>
        <v>0</v>
      </c>
      <c r="AK72" s="109" t="n">
        <f aca="false">0</f>
        <v>0</v>
      </c>
      <c r="AL72" s="109" t="n">
        <f aca="false">0</f>
        <v>0</v>
      </c>
      <c r="AM72" s="109" t="n">
        <f aca="false">0</f>
        <v>0</v>
      </c>
      <c r="AN72" s="109" t="n">
        <f aca="false">0</f>
        <v>0</v>
      </c>
      <c r="AO72" s="109" t="n">
        <f aca="false">0</f>
        <v>0</v>
      </c>
      <c r="AP72" s="109" t="n">
        <f aca="false">0</f>
        <v>0</v>
      </c>
      <c r="AQ72" s="109" t="n">
        <f aca="false">0</f>
        <v>0</v>
      </c>
      <c r="AR72" s="109" t="n">
        <f aca="false">0</f>
        <v>0</v>
      </c>
      <c r="AS72" s="109" t="n">
        <f aca="false">0</f>
        <v>0</v>
      </c>
      <c r="AT72" s="109" t="n">
        <f aca="false">0</f>
        <v>0</v>
      </c>
      <c r="AU72" s="109" t="n">
        <f aca="false">0</f>
        <v>0</v>
      </c>
      <c r="AV72" s="109" t="n">
        <f aca="false">0</f>
        <v>0</v>
      </c>
      <c r="AW72" s="109" t="n">
        <f aca="false">0</f>
        <v>0</v>
      </c>
      <c r="AX72" s="109" t="n">
        <f aca="false">0</f>
        <v>0</v>
      </c>
      <c r="AY72" s="109" t="n">
        <f aca="false">0</f>
        <v>0</v>
      </c>
      <c r="AZ72" s="109" t="n">
        <f aca="false">0</f>
        <v>0</v>
      </c>
      <c r="BA72" s="109" t="n">
        <f aca="false">0</f>
        <v>0</v>
      </c>
      <c r="BB72" s="109" t="n">
        <f aca="false">0</f>
        <v>0</v>
      </c>
      <c r="BC72" s="109" t="n">
        <f aca="false">0</f>
        <v>0</v>
      </c>
      <c r="BD72" s="109" t="n">
        <f aca="false">0</f>
        <v>0</v>
      </c>
      <c r="BE72" s="109" t="n">
        <f aca="false">0</f>
        <v>0</v>
      </c>
      <c r="BF72" s="109" t="n">
        <f aca="false">0</f>
        <v>0</v>
      </c>
      <c r="BG72" s="109" t="n">
        <f aca="false">0</f>
        <v>0</v>
      </c>
      <c r="BH72" s="109" t="n">
        <f aca="false">0</f>
        <v>0</v>
      </c>
      <c r="BI72" s="109" t="n">
        <f aca="false">0</f>
        <v>0</v>
      </c>
      <c r="BJ72" s="109" t="n">
        <f aca="false">0</f>
        <v>0</v>
      </c>
      <c r="BK72" s="109" t="n">
        <f aca="false">0</f>
        <v>0</v>
      </c>
      <c r="BL72" s="109" t="n">
        <f aca="false">0</f>
        <v>0</v>
      </c>
      <c r="BM72" s="109" t="n">
        <f aca="false">0</f>
        <v>0</v>
      </c>
      <c r="BN72" s="109" t="n">
        <f aca="false">0</f>
        <v>0</v>
      </c>
      <c r="BO72" s="109" t="n">
        <f aca="false">0</f>
        <v>0</v>
      </c>
      <c r="BP72" s="109" t="n">
        <f aca="false">0</f>
        <v>0</v>
      </c>
      <c r="BQ72" s="109" t="n">
        <f aca="false">0</f>
        <v>0</v>
      </c>
      <c r="BR72" s="109" t="n">
        <f aca="false">0</f>
        <v>0</v>
      </c>
      <c r="BS72" s="109" t="n">
        <f aca="false">0</f>
        <v>0</v>
      </c>
      <c r="BT72" s="109" t="n">
        <f aca="false">0</f>
        <v>0</v>
      </c>
      <c r="BU72" s="109" t="n">
        <f aca="false">0</f>
        <v>0</v>
      </c>
      <c r="BV72" s="109" t="n">
        <f aca="false">0</f>
        <v>0</v>
      </c>
      <c r="BW72" s="109" t="n">
        <f aca="false">0</f>
        <v>0</v>
      </c>
      <c r="BX72" s="109" t="n">
        <f aca="false">0</f>
        <v>0</v>
      </c>
      <c r="BY72" s="109" t="n">
        <f aca="false">0</f>
        <v>0</v>
      </c>
      <c r="BZ72" s="109" t="n">
        <f aca="false">0</f>
        <v>0</v>
      </c>
      <c r="CA72" s="109" t="n">
        <f aca="false">0</f>
        <v>0</v>
      </c>
      <c r="CB72" s="109" t="n">
        <f aca="false">0</f>
        <v>0</v>
      </c>
      <c r="CC72" s="109" t="n">
        <f aca="false">0</f>
        <v>0</v>
      </c>
      <c r="CD72" s="109" t="n">
        <f aca="false">0</f>
        <v>0</v>
      </c>
      <c r="CE72" s="109" t="n">
        <f aca="false">0</f>
        <v>0</v>
      </c>
      <c r="CF72" s="109" t="n">
        <f aca="false">0</f>
        <v>0</v>
      </c>
      <c r="CG72" s="109" t="n">
        <f aca="false">0</f>
        <v>0</v>
      </c>
      <c r="CH72" s="109" t="n">
        <f aca="false">0</f>
        <v>0</v>
      </c>
    </row>
    <row r="73" customFormat="false" ht="13.5" hidden="false" customHeight="true" outlineLevel="0" collapsed="false">
      <c r="A73" s="6" t="s">
        <v>575</v>
      </c>
      <c r="C73" s="109" t="n">
        <f aca="false">-C36*Hipótesis!$D$68</f>
        <v>-24.1338</v>
      </c>
      <c r="D73" s="109" t="n">
        <f aca="false">-D36*Hipótesis!$D$68</f>
        <v>-50.1468</v>
      </c>
      <c r="E73" s="109" t="n">
        <f aca="false">-E36*Hipótesis!$D$68</f>
        <v>-104.445675</v>
      </c>
      <c r="F73" s="109" t="n">
        <f aca="false">-F36*Hipótesis!$D$68</f>
        <v>-134.61075</v>
      </c>
      <c r="G73" s="109" t="n">
        <f aca="false">-G36*Hipótesis!$D$68</f>
        <v>-162.896625</v>
      </c>
      <c r="H73" s="109" t="n">
        <f aca="false">-H36*Hipótesis!$D$68</f>
        <v>-208.4085</v>
      </c>
      <c r="I73" s="109" t="n">
        <f aca="false">-I36*Hipótesis!$D$68</f>
        <v>-297.648357167351</v>
      </c>
      <c r="J73" s="109" t="n">
        <f aca="false">-J36*Hipótesis!$D$68</f>
        <v>-386.888214334703</v>
      </c>
      <c r="K73" s="109" t="n">
        <f aca="false">-K36*Hipótesis!$D$68</f>
        <v>-476.128071502054</v>
      </c>
      <c r="L73" s="109" t="n">
        <f aca="false">-L36*Hipótesis!$D$68</f>
        <v>-565.367928669405</v>
      </c>
      <c r="M73" s="109" t="n">
        <f aca="false">-M36*Hipótesis!$D$68</f>
        <v>-626.321910836757</v>
      </c>
      <c r="N73" s="109" t="n">
        <f aca="false">-N36*Hipótesis!$D$68</f>
        <v>-710.765893004108</v>
      </c>
      <c r="O73" s="109" t="n">
        <f aca="false">-O36*Hipótesis!$D$68</f>
        <v>-795.209875171459</v>
      </c>
      <c r="P73" s="109" t="n">
        <f aca="false">-P36*Hipótesis!$D$68</f>
        <v>-871.197457338811</v>
      </c>
      <c r="Q73" s="109" t="n">
        <f aca="false">-Q36*Hipótesis!$D$68</f>
        <v>-947.185039506162</v>
      </c>
      <c r="R73" s="109" t="n">
        <f aca="false">-R36*Hipótesis!$D$68</f>
        <v>-1023.17262167351</v>
      </c>
      <c r="S73" s="109" t="n">
        <f aca="false">-S36*Hipótesis!$D$68</f>
        <v>-1099.16020384086</v>
      </c>
      <c r="T73" s="109" t="n">
        <f aca="false">-T36*Hipótesis!$D$68</f>
        <v>-1175.14778600822</v>
      </c>
      <c r="U73" s="109" t="n">
        <f aca="false">-U36*Hipótesis!$D$68</f>
        <v>-1251.13536817557</v>
      </c>
      <c r="V73" s="109" t="n">
        <f aca="false">-V36*Hipótesis!$D$68</f>
        <v>-1327.12295034292</v>
      </c>
      <c r="W73" s="109" t="n">
        <f aca="false">-W36*Hipótesis!$D$68</f>
        <v>-1403.11053251027</v>
      </c>
      <c r="X73" s="109" t="n">
        <f aca="false">-X36*Hipótesis!$D$68</f>
        <v>-1455.60811467762</v>
      </c>
      <c r="Y73" s="109" t="n">
        <f aca="false">-Y36*Hipótesis!$D$68</f>
        <v>-1508.10569684497</v>
      </c>
      <c r="Z73" s="109" t="n">
        <f aca="false">-Z36*Hipótesis!$D$68</f>
        <v>-1551.83367901232</v>
      </c>
      <c r="AA73" s="109" t="n">
        <f aca="false">-AA36*Hipótesis!$D$68</f>
        <v>-1595.56166117968</v>
      </c>
      <c r="AB73" s="109" t="n">
        <f aca="false">-AB36*Hipótesis!$D$68</f>
        <v>-1639.28964334703</v>
      </c>
      <c r="AC73" s="109" t="n">
        <f aca="false">-AC36*Hipótesis!$D$68</f>
        <v>-1683.01762551438</v>
      </c>
      <c r="AD73" s="109" t="n">
        <f aca="false">-AD36*Hipótesis!$D$68</f>
        <v>-1726.74560768173</v>
      </c>
      <c r="AE73" s="109" t="n">
        <f aca="false">-AE36*Hipótesis!$D$68</f>
        <v>-1770.47358984908</v>
      </c>
      <c r="AF73" s="109" t="n">
        <f aca="false">-AF36*Hipótesis!$D$68</f>
        <v>-1814.20157201643</v>
      </c>
      <c r="AG73" s="109" t="n">
        <f aca="false">-AG36*Hipótesis!$D$68</f>
        <v>-1857.92955418378</v>
      </c>
      <c r="AH73" s="109" t="n">
        <f aca="false">-AH36*Hipótesis!$D$68</f>
        <v>-1901.65753635114</v>
      </c>
      <c r="AI73" s="109" t="n">
        <f aca="false">-AI36*Hipótesis!$D$68</f>
        <v>-1945.38551851849</v>
      </c>
      <c r="AJ73" s="109" t="n">
        <f aca="false">-AJ36*Hipótesis!$D$68</f>
        <v>-1989.11350068584</v>
      </c>
      <c r="AK73" s="109" t="n">
        <f aca="false">-AK36*Hipótesis!$D$68</f>
        <v>-2032.84148285319</v>
      </c>
      <c r="AL73" s="109" t="n">
        <f aca="false">-AL36*Hipótesis!$D$68</f>
        <v>-2076.56946502054</v>
      </c>
      <c r="AM73" s="109" t="n">
        <f aca="false">-AM36*Hipótesis!$D$68</f>
        <v>-2120.29744718789</v>
      </c>
      <c r="AN73" s="109" t="n">
        <f aca="false">-AN36*Hipótesis!$D$68</f>
        <v>-2164.02542935524</v>
      </c>
      <c r="AO73" s="109" t="n">
        <f aca="false">-AO36*Hipótesis!$D$68</f>
        <v>-2207.7534115226</v>
      </c>
      <c r="AP73" s="109" t="n">
        <f aca="false">-AP36*Hipótesis!$D$68</f>
        <v>-2251.48139368995</v>
      </c>
      <c r="AQ73" s="109" t="n">
        <f aca="false">-AQ36*Hipótesis!$D$68</f>
        <v>-2295.2093758573</v>
      </c>
      <c r="AR73" s="109" t="n">
        <f aca="false">-AR36*Hipótesis!$D$68</f>
        <v>-2338.93735802465</v>
      </c>
      <c r="AS73" s="109" t="n">
        <f aca="false">-AS36*Hipótesis!$D$68</f>
        <v>-2338.93735802465</v>
      </c>
      <c r="AT73" s="109" t="n">
        <f aca="false">-AT36*Hipótesis!$D$68</f>
        <v>-2338.93735802465</v>
      </c>
      <c r="AU73" s="109" t="n">
        <f aca="false">-AU36*Hipótesis!$D$68</f>
        <v>-2338.93735802465</v>
      </c>
      <c r="AV73" s="109" t="n">
        <f aca="false">-AV36*Hipótesis!$D$68</f>
        <v>-2338.93735802465</v>
      </c>
      <c r="AW73" s="109" t="n">
        <f aca="false">-AW36*Hipótesis!$D$68</f>
        <v>-2338.93735802465</v>
      </c>
      <c r="AX73" s="109" t="n">
        <f aca="false">-AX36*Hipótesis!$D$68</f>
        <v>-2338.93735802465</v>
      </c>
      <c r="AY73" s="109" t="n">
        <f aca="false">-AY36*Hipótesis!$D$68</f>
        <v>-2338.93735802465</v>
      </c>
      <c r="AZ73" s="109" t="n">
        <f aca="false">-AZ36*Hipótesis!$D$68</f>
        <v>-2338.93735802465</v>
      </c>
      <c r="BA73" s="109" t="n">
        <f aca="false">-BA36*Hipótesis!$D$68</f>
        <v>-2338.93735802465</v>
      </c>
      <c r="BB73" s="109" t="n">
        <f aca="false">-BB36*Hipótesis!$D$68</f>
        <v>-2338.93735802465</v>
      </c>
      <c r="BC73" s="109" t="n">
        <f aca="false">-BC36*Hipótesis!$D$68</f>
        <v>-2338.93735802465</v>
      </c>
      <c r="BD73" s="109" t="n">
        <f aca="false">-BD36*Hipótesis!$D$68</f>
        <v>-2338.93735802465</v>
      </c>
      <c r="BE73" s="109" t="n">
        <f aca="false">-BE36*Hipótesis!$D$68</f>
        <v>-2338.93735802465</v>
      </c>
      <c r="BF73" s="109" t="n">
        <f aca="false">-BF36*Hipótesis!$D$68</f>
        <v>-2338.93735802465</v>
      </c>
      <c r="BG73" s="109" t="n">
        <f aca="false">-BG36*Hipótesis!$D$68</f>
        <v>-2338.93735802465</v>
      </c>
      <c r="BH73" s="109" t="n">
        <f aca="false">-BH36*Hipótesis!$D$68</f>
        <v>-2338.93735802465</v>
      </c>
      <c r="BI73" s="109" t="n">
        <f aca="false">-BI36*Hipótesis!$D$68</f>
        <v>-2338.93735802465</v>
      </c>
      <c r="BJ73" s="109" t="n">
        <f aca="false">-BJ36*Hipótesis!$D$68</f>
        <v>-2338.93735802465</v>
      </c>
      <c r="BK73" s="109" t="n">
        <f aca="false">-BK36*Hipótesis!$D$68</f>
        <v>-2338.93735802465</v>
      </c>
      <c r="BL73" s="109" t="n">
        <f aca="false">-BL36*Hipótesis!$D$68</f>
        <v>-2338.93735802465</v>
      </c>
      <c r="BM73" s="109" t="n">
        <f aca="false">-BM36*Hipótesis!$D$68</f>
        <v>-2338.93735802465</v>
      </c>
      <c r="BN73" s="109" t="n">
        <f aca="false">-BN36*Hipótesis!$D$68</f>
        <v>-2338.93735802465</v>
      </c>
      <c r="BO73" s="109" t="n">
        <f aca="false">-BO36*Hipótesis!$D$68</f>
        <v>-2338.93735802465</v>
      </c>
      <c r="BP73" s="109" t="n">
        <f aca="false">-BP36*Hipótesis!$D$68</f>
        <v>-2338.93735802465</v>
      </c>
      <c r="BQ73" s="109" t="n">
        <f aca="false">-BQ36*Hipótesis!$D$68</f>
        <v>-2338.93735802465</v>
      </c>
      <c r="BR73" s="109" t="n">
        <f aca="false">-BR36*Hipótesis!$D$68</f>
        <v>-2338.93735802465</v>
      </c>
      <c r="BS73" s="109" t="n">
        <f aca="false">-BS36*Hipótesis!$D$68</f>
        <v>-2338.93735802465</v>
      </c>
      <c r="BT73" s="109" t="n">
        <f aca="false">-BT36*Hipótesis!$D$68</f>
        <v>-2338.93735802465</v>
      </c>
      <c r="BU73" s="109" t="n">
        <f aca="false">-BU36*Hipótesis!$D$68</f>
        <v>-2338.93735802465</v>
      </c>
      <c r="BV73" s="109" t="n">
        <f aca="false">-BV36*Hipótesis!$D$68</f>
        <v>-2338.93735802465</v>
      </c>
      <c r="BW73" s="109" t="n">
        <f aca="false">-BW36*Hipótesis!$D$68</f>
        <v>-2338.93735802465</v>
      </c>
      <c r="BX73" s="109" t="n">
        <f aca="false">-BX36*Hipótesis!$D$68</f>
        <v>-2338.93735802465</v>
      </c>
      <c r="BY73" s="109" t="n">
        <f aca="false">-BY36*Hipótesis!$D$68</f>
        <v>-2338.93735802465</v>
      </c>
      <c r="BZ73" s="109" t="n">
        <f aca="false">-BZ36*Hipótesis!$D$68</f>
        <v>-2338.93735802465</v>
      </c>
      <c r="CA73" s="109" t="n">
        <f aca="false">-CA36*Hipótesis!$D$68</f>
        <v>-2338.93735802465</v>
      </c>
      <c r="CB73" s="109" t="n">
        <f aca="false">-CB36*Hipótesis!$D$68</f>
        <v>-2338.93735802465</v>
      </c>
      <c r="CC73" s="109" t="n">
        <f aca="false">-CC36*Hipótesis!$D$68</f>
        <v>-2338.93735802465</v>
      </c>
      <c r="CD73" s="109" t="n">
        <f aca="false">-CD36*Hipótesis!$D$68</f>
        <v>-2338.93735802465</v>
      </c>
      <c r="CE73" s="109" t="n">
        <f aca="false">-CE36*Hipótesis!$D$68</f>
        <v>-2338.93735802465</v>
      </c>
      <c r="CF73" s="109" t="n">
        <f aca="false">-CF36*Hipótesis!$D$68</f>
        <v>-2338.93735802465</v>
      </c>
      <c r="CG73" s="109" t="n">
        <f aca="false">-CG36*Hipótesis!$D$68</f>
        <v>-2338.93735802465</v>
      </c>
      <c r="CH73" s="109" t="n">
        <f aca="false">-CH36*Hipótesis!$D$68</f>
        <v>-2338.93735802465</v>
      </c>
    </row>
    <row r="74" customFormat="false" ht="13.5" hidden="false" customHeight="true" outlineLevel="0" collapsed="false">
      <c r="A74" s="22" t="s">
        <v>576</v>
      </c>
      <c r="C74" s="109" t="n">
        <f aca="false">C66+C67+C71+C72+C73</f>
        <v>-44652.4303440799</v>
      </c>
      <c r="D74" s="109" t="n">
        <f aca="false">D66+D67+D71+D72+D73</f>
        <v>-27873.5973992182</v>
      </c>
      <c r="E74" s="109" t="n">
        <f aca="false">E66+E67+E71+E72+E73</f>
        <v>-22209.7508202848</v>
      </c>
      <c r="F74" s="109" t="n">
        <f aca="false">F66+F67+F71+F72+F73</f>
        <v>-19781.3570560724</v>
      </c>
      <c r="G74" s="109" t="n">
        <f aca="false">G66+G67+G71+G72+G73</f>
        <v>-17744.0265808016</v>
      </c>
      <c r="H74" s="109" t="n">
        <f aca="false">H66+H67+H71+H72+H73</f>
        <v>-15301.9824711311</v>
      </c>
      <c r="I74" s="109" t="n">
        <f aca="false">I66+I67+I71+I72+I73</f>
        <v>-11618.1289911442</v>
      </c>
      <c r="J74" s="109" t="n">
        <f aca="false">J66+J67+J71+J72+J73</f>
        <v>-7448.43020946655</v>
      </c>
      <c r="K74" s="109" t="n">
        <f aca="false">K66+K67+K71+K72+K73</f>
        <v>-3349.96627472572</v>
      </c>
      <c r="L74" s="109" t="n">
        <f aca="false">L66+L67+L71+L72+L73</f>
        <v>343.049782417047</v>
      </c>
      <c r="M74" s="109" t="n">
        <f aca="false">M66+M67+M71+M72+M73</f>
        <v>3483.47860580771</v>
      </c>
      <c r="N74" s="109" t="n">
        <f aca="false">N66+N67+N71+N72+N73</f>
        <v>5771.11186702471</v>
      </c>
      <c r="O74" s="109" t="n">
        <f aca="false">O66+O67+O71+O72+O73</f>
        <v>5765.38723027107</v>
      </c>
      <c r="P74" s="109" t="n">
        <f aca="false">P66+P67+P71+P72+P73</f>
        <v>6107.94551948672</v>
      </c>
      <c r="Q74" s="109" t="n">
        <f aca="false">Q66+Q67+Q71+Q72+Q73</f>
        <v>8336.75300620236</v>
      </c>
      <c r="R74" s="109" t="n">
        <f aca="false">R66+R67+R71+R72+R73</f>
        <v>10565.560492918</v>
      </c>
      <c r="S74" s="109" t="n">
        <f aca="false">S66+S67+S71+S72+S73</f>
        <v>12794.3679796337</v>
      </c>
      <c r="T74" s="109" t="n">
        <f aca="false">T66+T67+T71+T72+T73</f>
        <v>15023.1754663493</v>
      </c>
      <c r="U74" s="109" t="n">
        <f aca="false">U66+U67+U71+U72+U73</f>
        <v>15280.426993065</v>
      </c>
      <c r="V74" s="109" t="n">
        <f aca="false">V66+V67+V71+V72+V73</f>
        <v>15189.7568797806</v>
      </c>
      <c r="W74" s="109" t="n">
        <f aca="false">W66+W67+W71+W72+W73</f>
        <v>17418.5643664962</v>
      </c>
      <c r="X74" s="109" t="n">
        <f aca="false">X66+X67+X71+X72+X73</f>
        <v>19186.122312579</v>
      </c>
      <c r="Y74" s="109" t="n">
        <f aca="false">Y66+Y67+Y71+Y72+Y73</f>
        <v>20763.5852586617</v>
      </c>
      <c r="Z74" s="109" t="n">
        <f aca="false">Z66+Z67+Z71+Z72+Z73</f>
        <v>22168.7070082413</v>
      </c>
      <c r="AA74" s="109" t="n">
        <f aca="false">AA66+AA67+AA71+AA72+AA73</f>
        <v>21562.6639442209</v>
      </c>
      <c r="AB74" s="109" t="n">
        <f aca="false">AB66+AB67+AB71+AB72+AB73</f>
        <v>20871.4869216671</v>
      </c>
      <c r="AC74" s="109" t="n">
        <f aca="false">AC66+AC67+AC71+AC72+AC73</f>
        <v>22211.0125379134</v>
      </c>
      <c r="AD74" s="109" t="n">
        <f aca="false">AD66+AD67+AD71+AD72+AD73</f>
        <v>23550.5381541596</v>
      </c>
      <c r="AE74" s="109" t="n">
        <f aca="false">AE66+AE67+AE71+AE72+AE73</f>
        <v>24890.0637704059</v>
      </c>
      <c r="AF74" s="109" t="n">
        <f aca="false">AF66+AF67+AF71+AF72+AF73</f>
        <v>26229.5893866521</v>
      </c>
      <c r="AG74" s="109" t="n">
        <f aca="false">AG66+AG67+AG71+AG72+AG73</f>
        <v>27569.1150028983</v>
      </c>
      <c r="AH74" s="109" t="n">
        <f aca="false">AH66+AH67+AH71+AH72+AH73</f>
        <v>28908.6406191446</v>
      </c>
      <c r="AI74" s="109" t="n">
        <f aca="false">AI66+AI67+AI71+AI72+AI73</f>
        <v>30248.1662353908</v>
      </c>
      <c r="AJ74" s="109" t="n">
        <f aca="false">AJ66+AJ67+AJ71+AJ72+AJ73</f>
        <v>31587.6918516371</v>
      </c>
      <c r="AK74" s="109" t="n">
        <f aca="false">AK66+AK67+AK71+AK72+AK73</f>
        <v>32927.2174678833</v>
      </c>
      <c r="AL74" s="109" t="n">
        <f aca="false">AL66+AL67+AL71+AL72+AL73</f>
        <v>34266.7430841296</v>
      </c>
      <c r="AM74" s="109" t="n">
        <f aca="false">AM66+AM67+AM71+AM72+AM73</f>
        <v>27792.1518106544</v>
      </c>
      <c r="AN74" s="109" t="n">
        <f aca="false">AN66+AN67+AN71+AN72+AN73</f>
        <v>28972.9710980601</v>
      </c>
      <c r="AO74" s="109" t="n">
        <f aca="false">AO66+AO67+AO71+AO72+AO73</f>
        <v>30153.7903854657</v>
      </c>
      <c r="AP74" s="109" t="n">
        <f aca="false">AP66+AP67+AP71+AP72+AP73</f>
        <v>31334.6096728714</v>
      </c>
      <c r="AQ74" s="109" t="n">
        <f aca="false">AQ66+AQ67+AQ71+AQ72+AQ73</f>
        <v>32515.4289602771</v>
      </c>
      <c r="AR74" s="109" t="n">
        <f aca="false">AR66+AR67+AR71+AR72+AR73</f>
        <v>33696.2482476827</v>
      </c>
      <c r="AS74" s="109" t="n">
        <f aca="false">AS66+AS67+AS71+AS72+AS73</f>
        <v>34180.7046604845</v>
      </c>
      <c r="AT74" s="109" t="n">
        <f aca="false">AT66+AT67+AT71+AT72+AT73</f>
        <v>34179.3157715957</v>
      </c>
      <c r="AU74" s="109" t="n">
        <f aca="false">AU66+AU67+AU71+AU72+AU73</f>
        <v>34177.9268827068</v>
      </c>
      <c r="AV74" s="109" t="n">
        <f aca="false">AV66+AV67+AV71+AV72+AV73</f>
        <v>34176.5379938179</v>
      </c>
      <c r="AW74" s="109" t="n">
        <f aca="false">AW66+AW67+AW71+AW72+AW73</f>
        <v>34175.149104929</v>
      </c>
      <c r="AX74" s="109" t="n">
        <f aca="false">AX66+AX67+AX71+AX72+AX73</f>
        <v>34173.7602160401</v>
      </c>
      <c r="AY74" s="109" t="n">
        <f aca="false">AY66+AY67+AY71+AY72+AY73</f>
        <v>32324.6315272144</v>
      </c>
      <c r="AZ74" s="109" t="n">
        <f aca="false">AZ66+AZ67+AZ71+AZ72+AZ73</f>
        <v>32323.2426383255</v>
      </c>
      <c r="BA74" s="109" t="n">
        <f aca="false">BA66+BA67+BA71+BA72+BA73</f>
        <v>32321.8537494366</v>
      </c>
      <c r="BB74" s="109" t="n">
        <f aca="false">BB66+BB67+BB71+BB72+BB73</f>
        <v>32320.4648605477</v>
      </c>
      <c r="BC74" s="109" t="n">
        <f aca="false">BC66+BC67+BC71+BC72+BC73</f>
        <v>32319.0759716588</v>
      </c>
      <c r="BD74" s="109" t="n">
        <f aca="false">BD66+BD67+BD71+BD72+BD73</f>
        <v>32317.68708277</v>
      </c>
      <c r="BE74" s="109" t="n">
        <f aca="false">BE66+BE67+BE71+BE72+BE73</f>
        <v>32316.2981938811</v>
      </c>
      <c r="BF74" s="109" t="n">
        <f aca="false">BF66+BF67+BF71+BF72+BF73</f>
        <v>32314.9093049922</v>
      </c>
      <c r="BG74" s="109" t="n">
        <f aca="false">BG66+BG67+BG71+BG72+BG73</f>
        <v>32313.5204161033</v>
      </c>
      <c r="BH74" s="109" t="n">
        <f aca="false">BH66+BH67+BH71+BH72+BH73</f>
        <v>32312.1315272144</v>
      </c>
      <c r="BI74" s="109" t="n">
        <f aca="false">BI66+BI67+BI71+BI72+BI73</f>
        <v>32310.7426383255</v>
      </c>
      <c r="BJ74" s="109" t="n">
        <f aca="false">BJ66+BJ67+BJ71+BJ72+BJ73</f>
        <v>32309.3537494366</v>
      </c>
      <c r="BK74" s="109" t="n">
        <f aca="false">BK66+BK67+BK71+BK72+BK73</f>
        <v>30449.6398666128</v>
      </c>
      <c r="BL74" s="109" t="n">
        <f aca="false">BL66+BL67+BL71+BL72+BL73</f>
        <v>30448.2509777239</v>
      </c>
      <c r="BM74" s="109" t="n">
        <f aca="false">BM66+BM67+BM71+BM72+BM73</f>
        <v>30446.862088835</v>
      </c>
      <c r="BN74" s="109" t="n">
        <f aca="false">BN66+BN67+BN71+BN72+BN73</f>
        <v>30445.4731999462</v>
      </c>
      <c r="BO74" s="109" t="n">
        <f aca="false">BO66+BO67+BO71+BO72+BO73</f>
        <v>30444.0843110573</v>
      </c>
      <c r="BP74" s="109" t="n">
        <f aca="false">BP66+BP67+BP71+BP72+BP73</f>
        <v>30442.6954221684</v>
      </c>
      <c r="BQ74" s="109" t="n">
        <f aca="false">BQ66+BQ67+BQ71+BQ72+BQ73</f>
        <v>30441.3065332795</v>
      </c>
      <c r="BR74" s="109" t="n">
        <f aca="false">BR66+BR67+BR71+BR72+BR73</f>
        <v>30439.9176443906</v>
      </c>
      <c r="BS74" s="109" t="n">
        <f aca="false">BS66+BS67+BS71+BS72+BS73</f>
        <v>30438.5287555017</v>
      </c>
      <c r="BT74" s="109" t="n">
        <f aca="false">BT66+BT67+BT71+BT72+BT73</f>
        <v>30437.1398666128</v>
      </c>
      <c r="BU74" s="109" t="n">
        <f aca="false">BU66+BU67+BU71+BU72+BU73</f>
        <v>30435.7509777239</v>
      </c>
      <c r="BV74" s="109" t="n">
        <f aca="false">BV66+BV67+BV71+BV72+BV73</f>
        <v>30434.362088835</v>
      </c>
      <c r="BW74" s="109" t="n">
        <f aca="false">BW66+BW67+BW71+BW72+BW73</f>
        <v>28563.7454561932</v>
      </c>
      <c r="BX74" s="109" t="n">
        <f aca="false">BX66+BX67+BX71+BX72+BX73</f>
        <v>28562.3565673043</v>
      </c>
      <c r="BY74" s="109" t="n">
        <f aca="false">BY66+BY67+BY71+BY72+BY73</f>
        <v>28560.9676784154</v>
      </c>
      <c r="BZ74" s="109" t="n">
        <f aca="false">BZ66+BZ67+BZ71+BZ72+BZ73</f>
        <v>28559.5787895265</v>
      </c>
      <c r="CA74" s="109" t="n">
        <f aca="false">CA66+CA67+CA71+CA72+CA73</f>
        <v>28558.1899006377</v>
      </c>
      <c r="CB74" s="109" t="n">
        <f aca="false">CB66+CB67+CB71+CB72+CB73</f>
        <v>28556.8010117488</v>
      </c>
      <c r="CC74" s="109" t="n">
        <f aca="false">CC66+CC67+CC71+CC72+CC73</f>
        <v>28555.4121228599</v>
      </c>
      <c r="CD74" s="109" t="n">
        <f aca="false">CD66+CD67+CD71+CD72+CD73</f>
        <v>28554.023233971</v>
      </c>
      <c r="CE74" s="109" t="n">
        <f aca="false">CE66+CE67+CE71+CE72+CE73</f>
        <v>28552.6343450821</v>
      </c>
      <c r="CF74" s="109" t="n">
        <f aca="false">CF66+CF67+CF71+CF72+CF73</f>
        <v>28551.2454561932</v>
      </c>
      <c r="CG74" s="109" t="n">
        <f aca="false">CG66+CG67+CG71+CG72+CG73</f>
        <v>28549.8565673043</v>
      </c>
      <c r="CH74" s="109" t="n">
        <f aca="false">CH66+CH67+CH71+CH72+CH73</f>
        <v>28548.4676784154</v>
      </c>
    </row>
    <row r="75" customFormat="false" ht="13.5" hidden="false" customHeight="true" outlineLevel="0" collapsed="false">
      <c r="A75" s="6" t="s">
        <v>577</v>
      </c>
      <c r="C75" s="109" t="n">
        <f aca="false">Hipótesis!$D$122</f>
        <v>200000</v>
      </c>
      <c r="D75" s="109" t="n">
        <f aca="false">0</f>
        <v>0</v>
      </c>
      <c r="E75" s="109" t="n">
        <f aca="false">0</f>
        <v>0</v>
      </c>
      <c r="F75" s="109" t="n">
        <f aca="false">0</f>
        <v>0</v>
      </c>
      <c r="G75" s="109" t="n">
        <f aca="false">0</f>
        <v>0</v>
      </c>
      <c r="H75" s="109" t="n">
        <f aca="false">0</f>
        <v>0</v>
      </c>
      <c r="I75" s="109" t="n">
        <f aca="false">0</f>
        <v>0</v>
      </c>
      <c r="J75" s="109" t="n">
        <f aca="false">0</f>
        <v>0</v>
      </c>
      <c r="K75" s="109" t="n">
        <f aca="false">0</f>
        <v>0</v>
      </c>
      <c r="L75" s="109" t="n">
        <f aca="false">0</f>
        <v>0</v>
      </c>
      <c r="M75" s="109" t="n">
        <f aca="false">0</f>
        <v>0</v>
      </c>
      <c r="N75" s="109" t="n">
        <f aca="false">0</f>
        <v>0</v>
      </c>
      <c r="O75" s="109" t="n">
        <f aca="false">0</f>
        <v>0</v>
      </c>
      <c r="P75" s="109" t="n">
        <f aca="false">0</f>
        <v>0</v>
      </c>
      <c r="Q75" s="109" t="n">
        <f aca="false">0</f>
        <v>0</v>
      </c>
      <c r="R75" s="109" t="n">
        <f aca="false">0</f>
        <v>0</v>
      </c>
      <c r="S75" s="109" t="n">
        <f aca="false">0</f>
        <v>0</v>
      </c>
      <c r="T75" s="109" t="n">
        <f aca="false">0</f>
        <v>0</v>
      </c>
      <c r="U75" s="109" t="n">
        <f aca="false">0</f>
        <v>0</v>
      </c>
      <c r="V75" s="109" t="n">
        <f aca="false">0</f>
        <v>0</v>
      </c>
      <c r="W75" s="109" t="n">
        <f aca="false">0</f>
        <v>0</v>
      </c>
      <c r="X75" s="109" t="n">
        <f aca="false">0</f>
        <v>0</v>
      </c>
      <c r="Y75" s="109" t="n">
        <f aca="false">0</f>
        <v>0</v>
      </c>
      <c r="Z75" s="109" t="n">
        <f aca="false">0</f>
        <v>0</v>
      </c>
      <c r="AA75" s="109" t="n">
        <f aca="false">0</f>
        <v>0</v>
      </c>
      <c r="AB75" s="109" t="n">
        <f aca="false">0</f>
        <v>0</v>
      </c>
      <c r="AC75" s="109" t="n">
        <f aca="false">0</f>
        <v>0</v>
      </c>
      <c r="AD75" s="109" t="n">
        <f aca="false">0</f>
        <v>0</v>
      </c>
      <c r="AE75" s="109" t="n">
        <f aca="false">0</f>
        <v>0</v>
      </c>
      <c r="AF75" s="109" t="n">
        <f aca="false">0</f>
        <v>0</v>
      </c>
      <c r="AG75" s="109" t="n">
        <f aca="false">0</f>
        <v>0</v>
      </c>
      <c r="AH75" s="109" t="n">
        <f aca="false">0</f>
        <v>0</v>
      </c>
      <c r="AI75" s="109" t="n">
        <f aca="false">0</f>
        <v>0</v>
      </c>
      <c r="AJ75" s="109" t="n">
        <f aca="false">0</f>
        <v>0</v>
      </c>
      <c r="AK75" s="109" t="n">
        <f aca="false">0</f>
        <v>0</v>
      </c>
      <c r="AL75" s="109" t="n">
        <f aca="false">0</f>
        <v>0</v>
      </c>
      <c r="AM75" s="109" t="n">
        <f aca="false">0</f>
        <v>0</v>
      </c>
      <c r="AN75" s="109" t="n">
        <f aca="false">0</f>
        <v>0</v>
      </c>
      <c r="AO75" s="109" t="n">
        <f aca="false">0</f>
        <v>0</v>
      </c>
      <c r="AP75" s="109" t="n">
        <f aca="false">0</f>
        <v>0</v>
      </c>
      <c r="AQ75" s="109" t="n">
        <f aca="false">0</f>
        <v>0</v>
      </c>
      <c r="AR75" s="109" t="n">
        <f aca="false">0</f>
        <v>0</v>
      </c>
      <c r="AS75" s="109" t="n">
        <f aca="false">0</f>
        <v>0</v>
      </c>
      <c r="AT75" s="109" t="n">
        <f aca="false">0</f>
        <v>0</v>
      </c>
      <c r="AU75" s="109" t="n">
        <f aca="false">0</f>
        <v>0</v>
      </c>
      <c r="AV75" s="109" t="n">
        <f aca="false">0</f>
        <v>0</v>
      </c>
      <c r="AW75" s="109" t="n">
        <f aca="false">0</f>
        <v>0</v>
      </c>
      <c r="AX75" s="109" t="n">
        <f aca="false">0</f>
        <v>0</v>
      </c>
      <c r="AY75" s="109" t="n">
        <f aca="false">0</f>
        <v>0</v>
      </c>
      <c r="AZ75" s="109" t="n">
        <f aca="false">0</f>
        <v>0</v>
      </c>
      <c r="BA75" s="109" t="n">
        <f aca="false">0</f>
        <v>0</v>
      </c>
      <c r="BB75" s="109" t="n">
        <f aca="false">0</f>
        <v>0</v>
      </c>
      <c r="BC75" s="109" t="n">
        <f aca="false">0</f>
        <v>0</v>
      </c>
      <c r="BD75" s="109" t="n">
        <f aca="false">0</f>
        <v>0</v>
      </c>
      <c r="BE75" s="109" t="n">
        <f aca="false">0</f>
        <v>0</v>
      </c>
      <c r="BF75" s="109" t="n">
        <f aca="false">0</f>
        <v>0</v>
      </c>
      <c r="BG75" s="109" t="n">
        <f aca="false">0</f>
        <v>0</v>
      </c>
      <c r="BH75" s="109" t="n">
        <f aca="false">0</f>
        <v>0</v>
      </c>
      <c r="BI75" s="109" t="n">
        <f aca="false">0</f>
        <v>0</v>
      </c>
      <c r="BJ75" s="109" t="n">
        <f aca="false">0</f>
        <v>0</v>
      </c>
      <c r="BK75" s="109" t="n">
        <f aca="false">0</f>
        <v>0</v>
      </c>
      <c r="BL75" s="109" t="n">
        <f aca="false">0</f>
        <v>0</v>
      </c>
      <c r="BM75" s="109" t="n">
        <f aca="false">0</f>
        <v>0</v>
      </c>
      <c r="BN75" s="109" t="n">
        <f aca="false">0</f>
        <v>0</v>
      </c>
      <c r="BO75" s="109" t="n">
        <f aca="false">0</f>
        <v>0</v>
      </c>
      <c r="BP75" s="109" t="n">
        <f aca="false">0</f>
        <v>0</v>
      </c>
      <c r="BQ75" s="109" t="n">
        <f aca="false">0</f>
        <v>0</v>
      </c>
      <c r="BR75" s="109" t="n">
        <f aca="false">0</f>
        <v>0</v>
      </c>
      <c r="BS75" s="109" t="n">
        <f aca="false">0</f>
        <v>0</v>
      </c>
      <c r="BT75" s="109" t="n">
        <f aca="false">0</f>
        <v>0</v>
      </c>
      <c r="BU75" s="109" t="n">
        <f aca="false">0</f>
        <v>0</v>
      </c>
      <c r="BV75" s="109" t="n">
        <f aca="false">0</f>
        <v>0</v>
      </c>
      <c r="BW75" s="109" t="n">
        <f aca="false">0</f>
        <v>0</v>
      </c>
      <c r="BX75" s="109" t="n">
        <f aca="false">0</f>
        <v>0</v>
      </c>
      <c r="BY75" s="109" t="n">
        <f aca="false">0</f>
        <v>0</v>
      </c>
      <c r="BZ75" s="109" t="n">
        <f aca="false">0</f>
        <v>0</v>
      </c>
      <c r="CA75" s="109" t="n">
        <f aca="false">0</f>
        <v>0</v>
      </c>
      <c r="CB75" s="109" t="n">
        <f aca="false">0</f>
        <v>0</v>
      </c>
      <c r="CC75" s="109" t="n">
        <f aca="false">0</f>
        <v>0</v>
      </c>
      <c r="CD75" s="109" t="n">
        <f aca="false">0</f>
        <v>0</v>
      </c>
      <c r="CE75" s="109" t="n">
        <f aca="false">0</f>
        <v>0</v>
      </c>
      <c r="CF75" s="109" t="n">
        <f aca="false">0</f>
        <v>0</v>
      </c>
      <c r="CG75" s="109" t="n">
        <f aca="false">0</f>
        <v>0</v>
      </c>
      <c r="CH75" s="109" t="n">
        <f aca="false">0</f>
        <v>0</v>
      </c>
    </row>
    <row r="76" customFormat="false" ht="13.5" hidden="false" customHeight="true" outlineLevel="0" collapsed="false">
      <c r="A76" s="6" t="s">
        <v>578</v>
      </c>
      <c r="C76" s="109" t="n">
        <f aca="false">-C106</f>
        <v>-333.333333333333</v>
      </c>
      <c r="D76" s="109" t="n">
        <f aca="false">-D106</f>
        <v>-333.333333333333</v>
      </c>
      <c r="E76" s="109" t="n">
        <f aca="false">-E106</f>
        <v>-333.333333333333</v>
      </c>
      <c r="F76" s="109" t="n">
        <f aca="false">-F106</f>
        <v>-333.333333333333</v>
      </c>
      <c r="G76" s="109" t="n">
        <f aca="false">-G106</f>
        <v>-333.333333333333</v>
      </c>
      <c r="H76" s="109" t="n">
        <f aca="false">-H106</f>
        <v>-333.333333333333</v>
      </c>
      <c r="I76" s="109" t="n">
        <f aca="false">-I106</f>
        <v>-333.333333333333</v>
      </c>
      <c r="J76" s="109" t="n">
        <f aca="false">-J106</f>
        <v>-333.333333333333</v>
      </c>
      <c r="K76" s="109" t="n">
        <f aca="false">-K106</f>
        <v>-375.439900315389</v>
      </c>
      <c r="L76" s="109" t="n">
        <f aca="false">-L106</f>
        <v>-440.884673092289</v>
      </c>
      <c r="M76" s="109" t="n">
        <f aca="false">-M106</f>
        <v>-485.148360863772</v>
      </c>
      <c r="N76" s="109" t="n">
        <f aca="false">-N106</f>
        <v>-545.220722726882</v>
      </c>
      <c r="O76" s="109" t="n">
        <f aca="false">-O106</f>
        <v>-500.749084589993</v>
      </c>
      <c r="P76" s="109" t="n">
        <f aca="false">-P106</f>
        <v>-508.51733015176</v>
      </c>
      <c r="Q76" s="109" t="n">
        <f aca="false">-Q106</f>
        <v>-562.511975713528</v>
      </c>
      <c r="R76" s="109" t="n">
        <f aca="false">-R106</f>
        <v>-616.506621275295</v>
      </c>
      <c r="S76" s="109" t="n">
        <f aca="false">-S106</f>
        <v>-670.501266837063</v>
      </c>
      <c r="T76" s="109" t="n">
        <f aca="false">-T106</f>
        <v>-724.495912398831</v>
      </c>
      <c r="U76" s="109" t="n">
        <f aca="false">-U106</f>
        <v>-732.264157960599</v>
      </c>
      <c r="V76" s="109" t="n">
        <f aca="false">-V106</f>
        <v>-731.874803522366</v>
      </c>
      <c r="W76" s="109" t="n">
        <f aca="false">-W106</f>
        <v>-785.869449084133</v>
      </c>
      <c r="X76" s="109" t="n">
        <f aca="false">-X106</f>
        <v>-824.055420554274</v>
      </c>
      <c r="Y76" s="109" t="n">
        <f aca="false">-Y106</f>
        <v>-862.241392024414</v>
      </c>
      <c r="Z76" s="109" t="n">
        <f aca="false">-Z106</f>
        <v>-894.667653857903</v>
      </c>
      <c r="AA76" s="109" t="n">
        <f aca="false">-AA106</f>
        <v>-2548.12395835806</v>
      </c>
      <c r="AB76" s="109" t="n">
        <f aca="false">-AB106</f>
        <v>-2527.38147263599</v>
      </c>
      <c r="AC76" s="109" t="n">
        <f aca="false">-AC106</f>
        <v>-2554.25217891393</v>
      </c>
      <c r="AD76" s="109" t="n">
        <f aca="false">-AD106</f>
        <v>-2581.12288519186</v>
      </c>
      <c r="AE76" s="109" t="n">
        <f aca="false">-AE106</f>
        <v>-2607.99359146979</v>
      </c>
      <c r="AF76" s="109" t="n">
        <f aca="false">-AF106</f>
        <v>-2634.86429774773</v>
      </c>
      <c r="AG76" s="109" t="n">
        <f aca="false">-AG106</f>
        <v>-2661.73500402566</v>
      </c>
      <c r="AH76" s="109" t="n">
        <f aca="false">-AH106</f>
        <v>-2688.6057103036</v>
      </c>
      <c r="AI76" s="109" t="n">
        <f aca="false">-AI106</f>
        <v>-2715.47641658153</v>
      </c>
      <c r="AJ76" s="109" t="n">
        <f aca="false">-AJ106</f>
        <v>-2742.34712285946</v>
      </c>
      <c r="AK76" s="109" t="n">
        <f aca="false">-AK106</f>
        <v>-2769.2178291374</v>
      </c>
      <c r="AL76" s="109" t="n">
        <f aca="false">-AL106</f>
        <v>-2796.08853541533</v>
      </c>
      <c r="AM76" s="109" t="n">
        <f aca="false">-AM106</f>
        <v>-2726.67153545326</v>
      </c>
      <c r="AN76" s="109" t="n">
        <f aca="false">-AN106</f>
        <v>-2753.5422417312</v>
      </c>
      <c r="AO76" s="109" t="n">
        <f aca="false">-AO106</f>
        <v>-2780.41294800913</v>
      </c>
      <c r="AP76" s="109" t="n">
        <f aca="false">-AP106</f>
        <v>-2807.28365428706</v>
      </c>
      <c r="AQ76" s="109" t="n">
        <f aca="false">-AQ106</f>
        <v>-2834.154360565</v>
      </c>
      <c r="AR76" s="109" t="n">
        <f aca="false">-AR106</f>
        <v>-2861.02506684293</v>
      </c>
      <c r="AS76" s="109" t="n">
        <f aca="false">-AS106</f>
        <v>-2855.46951128738</v>
      </c>
      <c r="AT76" s="109" t="n">
        <f aca="false">-AT106</f>
        <v>-2849.91395573182</v>
      </c>
      <c r="AU76" s="109" t="n">
        <f aca="false">-AU106</f>
        <v>-2844.35840017627</v>
      </c>
      <c r="AV76" s="109" t="n">
        <f aca="false">-AV106</f>
        <v>-2838.80284462071</v>
      </c>
      <c r="AW76" s="109" t="n">
        <f aca="false">-AW106</f>
        <v>-2833.24728906515</v>
      </c>
      <c r="AX76" s="109" t="n">
        <f aca="false">-AX106</f>
        <v>-2827.6917335096</v>
      </c>
      <c r="AY76" s="109" t="n">
        <f aca="false">-AY106</f>
        <v>-2773.18942828684</v>
      </c>
      <c r="AZ76" s="109" t="n">
        <f aca="false">-AZ106</f>
        <v>-2767.63387273129</v>
      </c>
      <c r="BA76" s="109" t="n">
        <f aca="false">-BA106</f>
        <v>-2762.07831717573</v>
      </c>
      <c r="BB76" s="109" t="n">
        <f aca="false">-BB106</f>
        <v>-2756.52276162018</v>
      </c>
      <c r="BC76" s="109" t="n">
        <f aca="false">-BC106</f>
        <v>-2750.96720606462</v>
      </c>
      <c r="BD76" s="109" t="n">
        <f aca="false">-BD106</f>
        <v>-2745.41165050907</v>
      </c>
      <c r="BE76" s="109" t="n">
        <f aca="false">-BE106</f>
        <v>-2739.85609495351</v>
      </c>
      <c r="BF76" s="109" t="n">
        <f aca="false">-BF106</f>
        <v>-2734.30053939795</v>
      </c>
      <c r="BG76" s="109" t="n">
        <f aca="false">-BG106</f>
        <v>-2728.7449838424</v>
      </c>
      <c r="BH76" s="109" t="n">
        <f aca="false">-BH106</f>
        <v>-2723.18942828684</v>
      </c>
      <c r="BI76" s="109" t="n">
        <f aca="false">-BI106</f>
        <v>-2717.63387273129</v>
      </c>
      <c r="BJ76" s="109" t="n">
        <f aca="false">-BJ106</f>
        <v>-2712.07831717573</v>
      </c>
      <c r="BK76" s="109" t="n">
        <f aca="false">-BK106</f>
        <v>-2657.29560946296</v>
      </c>
      <c r="BL76" s="109" t="n">
        <f aca="false">-BL106</f>
        <v>-2651.74005390741</v>
      </c>
      <c r="BM76" s="109" t="n">
        <f aca="false">-BM106</f>
        <v>-2646.18449835185</v>
      </c>
      <c r="BN76" s="109" t="n">
        <f aca="false">-BN106</f>
        <v>-2640.62894279629</v>
      </c>
      <c r="BO76" s="109" t="n">
        <f aca="false">-BO106</f>
        <v>-2635.07338724074</v>
      </c>
      <c r="BP76" s="109" t="n">
        <f aca="false">-BP106</f>
        <v>-2629.51783168518</v>
      </c>
      <c r="BQ76" s="109" t="n">
        <f aca="false">-BQ106</f>
        <v>-2623.96227612963</v>
      </c>
      <c r="BR76" s="109" t="n">
        <f aca="false">-BR106</f>
        <v>-2618.40672057407</v>
      </c>
      <c r="BS76" s="109" t="n">
        <f aca="false">-BS106</f>
        <v>-2612.85116501852</v>
      </c>
      <c r="BT76" s="109" t="n">
        <f aca="false">-BT106</f>
        <v>-2607.29560946296</v>
      </c>
      <c r="BU76" s="109" t="n">
        <f aca="false">-BU106</f>
        <v>-2601.74005390741</v>
      </c>
      <c r="BV76" s="109" t="n">
        <f aca="false">-BV106</f>
        <v>-2596.18449835185</v>
      </c>
      <c r="BW76" s="109" t="n">
        <f aca="false">-BW106</f>
        <v>-2541.11297607436</v>
      </c>
      <c r="BX76" s="109" t="n">
        <f aca="false">-BX106</f>
        <v>-2535.55742051881</v>
      </c>
      <c r="BY76" s="109" t="n">
        <f aca="false">-BY106</f>
        <v>-2530.00186496325</v>
      </c>
      <c r="BZ76" s="109" t="n">
        <f aca="false">-BZ106</f>
        <v>-2524.44630940769</v>
      </c>
      <c r="CA76" s="109" t="n">
        <f aca="false">-CA106</f>
        <v>-2518.89075385214</v>
      </c>
      <c r="CB76" s="109" t="n">
        <f aca="false">-CB106</f>
        <v>-2513.33519829658</v>
      </c>
      <c r="CC76" s="109" t="n">
        <f aca="false">-CC106</f>
        <v>-2507.77964274103</v>
      </c>
      <c r="CD76" s="109" t="n">
        <f aca="false">-CD106</f>
        <v>-2502.22408718547</v>
      </c>
      <c r="CE76" s="109" t="n">
        <f aca="false">-CE106</f>
        <v>-2496.66853162992</v>
      </c>
      <c r="CF76" s="109" t="n">
        <f aca="false">-CF106</f>
        <v>-2491.11297607436</v>
      </c>
      <c r="CG76" s="109" t="n">
        <f aca="false">-CG106</f>
        <v>-2485.55742051881</v>
      </c>
      <c r="CH76" s="109" t="n">
        <f aca="false">-CH106</f>
        <v>-2480.00186496319</v>
      </c>
    </row>
    <row r="77" customFormat="false" ht="13.5" hidden="false" customHeight="true" outlineLevel="0" collapsed="false">
      <c r="A77" s="6" t="s">
        <v>579</v>
      </c>
      <c r="C77" s="109" t="n">
        <f aca="false">0</f>
        <v>0</v>
      </c>
      <c r="D77" s="109" t="n">
        <f aca="false">C81*Hipótesis!$D$71/12</f>
        <v>-0</v>
      </c>
      <c r="E77" s="109" t="n">
        <f aca="false">D81*Hipótesis!$D$71/12</f>
        <v>0</v>
      </c>
      <c r="F77" s="109" t="n">
        <f aca="false">E81*Hipótesis!$D$71/12</f>
        <v>0</v>
      </c>
      <c r="G77" s="109" t="n">
        <f aca="false">F81*Hipótesis!$D$71/12</f>
        <v>0</v>
      </c>
      <c r="H77" s="109" t="n">
        <f aca="false">G81*Hipótesis!$D$71/12</f>
        <v>0</v>
      </c>
      <c r="I77" s="109" t="n">
        <f aca="false">H81*Hipótesis!$D$71/12</f>
        <v>0</v>
      </c>
      <c r="J77" s="109" t="n">
        <f aca="false">I81*Hipótesis!$D$71/12</f>
        <v>0</v>
      </c>
      <c r="K77" s="109" t="n">
        <f aca="false">J81*Hipótesis!$D$71/12</f>
        <v>0</v>
      </c>
      <c r="L77" s="109" t="n">
        <f aca="false">K81*Hipótesis!$D$71/12</f>
        <v>13.8498099387381</v>
      </c>
      <c r="M77" s="109" t="n">
        <f aca="false">L81*Hipótesis!$D$71/12</f>
        <v>14.3616981498855</v>
      </c>
      <c r="N77" s="109" t="n">
        <f aca="false">M81*Hipótesis!$D$71/12</f>
        <v>0.685175643746132</v>
      </c>
      <c r="O77" s="109" t="n">
        <f aca="false">N81*Hipótesis!$D$71/12</f>
        <v>0</v>
      </c>
      <c r="P77" s="109" t="n">
        <f aca="false">O81*Hipótesis!$D$71/12</f>
        <v>0</v>
      </c>
      <c r="Q77" s="109" t="n">
        <f aca="false">P81*Hipótesis!$D$71/12</f>
        <v>0</v>
      </c>
      <c r="R77" s="109" t="n">
        <f aca="false">Q81*Hipótesis!$D$71/12</f>
        <v>0</v>
      </c>
      <c r="S77" s="109" t="n">
        <f aca="false">R81*Hipótesis!$D$71/12</f>
        <v>0</v>
      </c>
      <c r="T77" s="109" t="n">
        <f aca="false">S81*Hipótesis!$D$71/12</f>
        <v>0</v>
      </c>
      <c r="U77" s="109" t="n">
        <f aca="false">T81*Hipótesis!$D$71/12</f>
        <v>0</v>
      </c>
      <c r="V77" s="109" t="n">
        <f aca="false">U81*Hipótesis!$D$71/12</f>
        <v>0</v>
      </c>
      <c r="W77" s="109" t="n">
        <f aca="false">V81*Hipótesis!$D$71/12</f>
        <v>0</v>
      </c>
      <c r="X77" s="109" t="n">
        <f aca="false">W81*Hipótesis!$D$71/12</f>
        <v>0</v>
      </c>
      <c r="Y77" s="109" t="n">
        <f aca="false">X81*Hipótesis!$D$71/12</f>
        <v>0</v>
      </c>
      <c r="Z77" s="109" t="n">
        <f aca="false">Y81*Hipótesis!$D$71/12</f>
        <v>0</v>
      </c>
      <c r="AA77" s="109" t="n">
        <f aca="false">Z81*Hipótesis!$D$71/12</f>
        <v>0</v>
      </c>
      <c r="AB77" s="109" t="n">
        <f aca="false">AA81*Hipótesis!$D$71/12</f>
        <v>0</v>
      </c>
      <c r="AC77" s="109" t="n">
        <f aca="false">AB81*Hipótesis!$D$71/12</f>
        <v>0</v>
      </c>
      <c r="AD77" s="109" t="n">
        <f aca="false">AC81*Hipótesis!$D$71/12</f>
        <v>0</v>
      </c>
      <c r="AE77" s="109" t="n">
        <f aca="false">AD81*Hipótesis!$D$71/12</f>
        <v>0</v>
      </c>
      <c r="AF77" s="109" t="n">
        <f aca="false">AE81*Hipótesis!$D$71/12</f>
        <v>0</v>
      </c>
      <c r="AG77" s="109" t="n">
        <f aca="false">AF81*Hipótesis!$D$71/12</f>
        <v>0</v>
      </c>
      <c r="AH77" s="109" t="n">
        <f aca="false">AG81*Hipótesis!$D$71/12</f>
        <v>0</v>
      </c>
      <c r="AI77" s="109" t="n">
        <f aca="false">AH81*Hipótesis!$D$71/12</f>
        <v>0</v>
      </c>
      <c r="AJ77" s="109" t="n">
        <f aca="false">AI81*Hipótesis!$D$71/12</f>
        <v>0</v>
      </c>
      <c r="AK77" s="109" t="n">
        <f aca="false">AJ81*Hipótesis!$D$71/12</f>
        <v>0</v>
      </c>
      <c r="AL77" s="109" t="n">
        <f aca="false">AK81*Hipótesis!$D$71/12</f>
        <v>0</v>
      </c>
      <c r="AM77" s="109" t="n">
        <f aca="false">AL81*Hipótesis!$D$71/12</f>
        <v>0</v>
      </c>
      <c r="AN77" s="109" t="n">
        <f aca="false">AM81*Hipótesis!$D$71/12</f>
        <v>0</v>
      </c>
      <c r="AO77" s="109" t="n">
        <f aca="false">AN81*Hipótesis!$D$71/12</f>
        <v>0</v>
      </c>
      <c r="AP77" s="109" t="n">
        <f aca="false">AO81*Hipótesis!$D$71/12</f>
        <v>0</v>
      </c>
      <c r="AQ77" s="109" t="n">
        <f aca="false">AP81*Hipótesis!$D$71/12</f>
        <v>0</v>
      </c>
      <c r="AR77" s="109" t="n">
        <f aca="false">AQ81*Hipótesis!$D$71/12</f>
        <v>0</v>
      </c>
      <c r="AS77" s="109" t="n">
        <f aca="false">AR81*Hipótesis!$D$71/12</f>
        <v>0</v>
      </c>
      <c r="AT77" s="109" t="n">
        <f aca="false">AS81*Hipótesis!$D$71/12</f>
        <v>0</v>
      </c>
      <c r="AU77" s="109" t="n">
        <f aca="false">AT81*Hipótesis!$D$71/12</f>
        <v>0</v>
      </c>
      <c r="AV77" s="109" t="n">
        <f aca="false">AU81*Hipótesis!$D$71/12</f>
        <v>0</v>
      </c>
      <c r="AW77" s="109" t="n">
        <f aca="false">AV81*Hipótesis!$D$71/12</f>
        <v>0</v>
      </c>
      <c r="AX77" s="109" t="n">
        <f aca="false">AW81*Hipótesis!$D$71/12</f>
        <v>0</v>
      </c>
      <c r="AY77" s="109" t="n">
        <f aca="false">AX81*Hipótesis!$D$71/12</f>
        <v>0</v>
      </c>
      <c r="AZ77" s="109" t="n">
        <f aca="false">AY81*Hipótesis!$D$71/12</f>
        <v>0</v>
      </c>
      <c r="BA77" s="109" t="n">
        <f aca="false">AZ81*Hipótesis!$D$71/12</f>
        <v>0</v>
      </c>
      <c r="BB77" s="109" t="n">
        <f aca="false">BA81*Hipótesis!$D$71/12</f>
        <v>0</v>
      </c>
      <c r="BC77" s="109" t="n">
        <f aca="false">BB81*Hipótesis!$D$71/12</f>
        <v>0</v>
      </c>
      <c r="BD77" s="109" t="n">
        <f aca="false">BC81*Hipótesis!$D$71/12</f>
        <v>0</v>
      </c>
      <c r="BE77" s="109" t="n">
        <f aca="false">BD81*Hipótesis!$D$71/12</f>
        <v>0</v>
      </c>
      <c r="BF77" s="109" t="n">
        <f aca="false">BE81*Hipótesis!$D$71/12</f>
        <v>0</v>
      </c>
      <c r="BG77" s="109" t="n">
        <f aca="false">BF81*Hipótesis!$D$71/12</f>
        <v>0</v>
      </c>
      <c r="BH77" s="109" t="n">
        <f aca="false">BG81*Hipótesis!$D$71/12</f>
        <v>0</v>
      </c>
      <c r="BI77" s="109" t="n">
        <f aca="false">BH81*Hipótesis!$D$71/12</f>
        <v>0</v>
      </c>
      <c r="BJ77" s="109" t="n">
        <f aca="false">BI81*Hipótesis!$D$71/12</f>
        <v>0</v>
      </c>
      <c r="BK77" s="109" t="n">
        <f aca="false">BJ81*Hipótesis!$D$71/12</f>
        <v>0</v>
      </c>
      <c r="BL77" s="109" t="n">
        <f aca="false">BK81*Hipótesis!$D$71/12</f>
        <v>0</v>
      </c>
      <c r="BM77" s="109" t="n">
        <f aca="false">BL81*Hipótesis!$D$71/12</f>
        <v>0</v>
      </c>
      <c r="BN77" s="109" t="n">
        <f aca="false">BM81*Hipótesis!$D$71/12</f>
        <v>0</v>
      </c>
      <c r="BO77" s="109" t="n">
        <f aca="false">BN81*Hipótesis!$D$71/12</f>
        <v>0</v>
      </c>
      <c r="BP77" s="109" t="n">
        <f aca="false">BO81*Hipótesis!$D$71/12</f>
        <v>0</v>
      </c>
      <c r="BQ77" s="109" t="n">
        <f aca="false">BP81*Hipótesis!$D$71/12</f>
        <v>0</v>
      </c>
      <c r="BR77" s="109" t="n">
        <f aca="false">BQ81*Hipótesis!$D$71/12</f>
        <v>0</v>
      </c>
      <c r="BS77" s="109" t="n">
        <f aca="false">BR81*Hipótesis!$D$71/12</f>
        <v>0</v>
      </c>
      <c r="BT77" s="109" t="n">
        <f aca="false">BS81*Hipótesis!$D$71/12</f>
        <v>0</v>
      </c>
      <c r="BU77" s="109" t="n">
        <f aca="false">BT81*Hipótesis!$D$71/12</f>
        <v>0</v>
      </c>
      <c r="BV77" s="109" t="n">
        <f aca="false">BU81*Hipótesis!$D$71/12</f>
        <v>0</v>
      </c>
      <c r="BW77" s="109" t="n">
        <f aca="false">BV81*Hipótesis!$D$71/12</f>
        <v>0</v>
      </c>
      <c r="BX77" s="109" t="n">
        <f aca="false">BW81*Hipótesis!$D$71/12</f>
        <v>0</v>
      </c>
      <c r="BY77" s="109" t="n">
        <f aca="false">BX81*Hipótesis!$D$71/12</f>
        <v>0</v>
      </c>
      <c r="BZ77" s="109" t="n">
        <f aca="false">BY81*Hipótesis!$D$71/12</f>
        <v>0</v>
      </c>
      <c r="CA77" s="109" t="n">
        <f aca="false">BZ81*Hipótesis!$D$71/12</f>
        <v>0</v>
      </c>
      <c r="CB77" s="109" t="n">
        <f aca="false">CA81*Hipótesis!$D$71/12</f>
        <v>0</v>
      </c>
      <c r="CC77" s="109" t="n">
        <f aca="false">CB81*Hipótesis!$D$71/12</f>
        <v>0</v>
      </c>
      <c r="CD77" s="109" t="n">
        <f aca="false">CC81*Hipótesis!$D$71/12</f>
        <v>0</v>
      </c>
      <c r="CE77" s="109" t="n">
        <f aca="false">CD81*Hipótesis!$D$71/12</f>
        <v>0</v>
      </c>
      <c r="CF77" s="109" t="n">
        <f aca="false">CE81*Hipótesis!$D$71/12</f>
        <v>0</v>
      </c>
      <c r="CG77" s="109" t="n">
        <f aca="false">CF81*Hipótesis!$D$71/12</f>
        <v>0</v>
      </c>
      <c r="CH77" s="109" t="n">
        <f aca="false">CG81*Hipótesis!$D$71/12</f>
        <v>0</v>
      </c>
    </row>
    <row r="78" customFormat="false" ht="13.5" hidden="false" customHeight="true" outlineLevel="0" collapsed="false">
      <c r="A78" s="22" t="s">
        <v>580</v>
      </c>
      <c r="C78" s="109" t="n">
        <f aca="false">C74+C75+C76-C77</f>
        <v>155014.236322587</v>
      </c>
      <c r="D78" s="109" t="n">
        <f aca="false">D74+D75+D76-D77</f>
        <v>-28206.9307325516</v>
      </c>
      <c r="E78" s="109" t="n">
        <f aca="false">E74+E75+E76-E77</f>
        <v>-22543.0841536181</v>
      </c>
      <c r="F78" s="109" t="n">
        <f aca="false">F74+F75+F76-F77</f>
        <v>-20114.6903894057</v>
      </c>
      <c r="G78" s="109" t="n">
        <f aca="false">G74+G75+G76-G77</f>
        <v>-18077.3599141349</v>
      </c>
      <c r="H78" s="109" t="n">
        <f aca="false">H74+H75+H76-H77</f>
        <v>-15635.3158044644</v>
      </c>
      <c r="I78" s="109" t="n">
        <f aca="false">I74+I75+I76-I77</f>
        <v>-11951.4623244775</v>
      </c>
      <c r="J78" s="109" t="n">
        <f aca="false">J74+J75+J76-J77</f>
        <v>-7781.76354279989</v>
      </c>
      <c r="K78" s="109" t="n">
        <f aca="false">K74+K75+K76-K77</f>
        <v>-3725.40617504111</v>
      </c>
      <c r="L78" s="109" t="n">
        <f aca="false">L74+L75+L76-L77</f>
        <v>-111.68470061398</v>
      </c>
      <c r="M78" s="109" t="n">
        <f aca="false">M74+M75+M76-M77</f>
        <v>2983.96854679405</v>
      </c>
      <c r="N78" s="109" t="n">
        <f aca="false">N74+N75+N76-N77</f>
        <v>5225.20596865408</v>
      </c>
      <c r="O78" s="109" t="n">
        <f aca="false">O74+O75+O76-O77</f>
        <v>5264.63814568107</v>
      </c>
      <c r="P78" s="109" t="n">
        <f aca="false">P74+P75+P76-P77</f>
        <v>5599.42818933495</v>
      </c>
      <c r="Q78" s="109" t="n">
        <f aca="false">Q74+Q75+Q76-Q77</f>
        <v>7774.24103048883</v>
      </c>
      <c r="R78" s="109" t="n">
        <f aca="false">R74+R75+R76-R77</f>
        <v>9949.05387164271</v>
      </c>
      <c r="S78" s="109" t="n">
        <f aca="false">S74+S75+S76-S77</f>
        <v>12123.8667127966</v>
      </c>
      <c r="T78" s="109" t="n">
        <f aca="false">T74+T75+T76-T77</f>
        <v>14298.6795539505</v>
      </c>
      <c r="U78" s="109" t="n">
        <f aca="false">U74+U75+U76-U77</f>
        <v>14548.1628351044</v>
      </c>
      <c r="V78" s="109" t="n">
        <f aca="false">V74+V75+V76-V77</f>
        <v>14457.8820762582</v>
      </c>
      <c r="W78" s="109" t="n">
        <f aca="false">W74+W75+W76-W77</f>
        <v>16632.6949174121</v>
      </c>
      <c r="X78" s="109" t="n">
        <f aca="false">X74+X75+X76-X77</f>
        <v>18362.0668920247</v>
      </c>
      <c r="Y78" s="109" t="n">
        <f aca="false">Y74+Y75+Y76-Y77</f>
        <v>19901.3438666373</v>
      </c>
      <c r="Z78" s="109" t="n">
        <f aca="false">Z74+Z75+Z76-Z77</f>
        <v>21274.0393543834</v>
      </c>
      <c r="AA78" s="109" t="n">
        <f aca="false">AA74+AA75+AA76-AA77</f>
        <v>19014.5399858628</v>
      </c>
      <c r="AB78" s="109" t="n">
        <f aca="false">AB74+AB75+AB76-AB77</f>
        <v>18344.1054490311</v>
      </c>
      <c r="AC78" s="109" t="n">
        <f aca="false">AC74+AC75+AC76-AC77</f>
        <v>19656.7603589994</v>
      </c>
      <c r="AD78" s="109" t="n">
        <f aca="false">AD74+AD75+AD76-AD77</f>
        <v>20969.4152689678</v>
      </c>
      <c r="AE78" s="109" t="n">
        <f aca="false">AE74+AE75+AE76-AE77</f>
        <v>22282.0701789361</v>
      </c>
      <c r="AF78" s="109" t="n">
        <f aca="false">AF74+AF75+AF76-AF77</f>
        <v>23594.7250889044</v>
      </c>
      <c r="AG78" s="109" t="n">
        <f aca="false">AG74+AG75+AG76-AG77</f>
        <v>24907.3799988727</v>
      </c>
      <c r="AH78" s="109" t="n">
        <f aca="false">AH74+AH75+AH76-AH77</f>
        <v>26220.034908841</v>
      </c>
      <c r="AI78" s="109" t="n">
        <f aca="false">AI74+AI75+AI76-AI77</f>
        <v>27532.6898188093</v>
      </c>
      <c r="AJ78" s="109" t="n">
        <f aca="false">AJ74+AJ75+AJ76-AJ77</f>
        <v>28845.3447287776</v>
      </c>
      <c r="AK78" s="109" t="n">
        <f aca="false">AK74+AK75+AK76-AK77</f>
        <v>30157.9996387459</v>
      </c>
      <c r="AL78" s="109" t="n">
        <f aca="false">AL74+AL75+AL76-AL77</f>
        <v>31470.6545487142</v>
      </c>
      <c r="AM78" s="109" t="n">
        <f aca="false">AM74+AM75+AM76-AM77</f>
        <v>25065.4802752011</v>
      </c>
      <c r="AN78" s="109" t="n">
        <f aca="false">AN74+AN75+AN76-AN77</f>
        <v>26219.4288563289</v>
      </c>
      <c r="AO78" s="109" t="n">
        <f aca="false">AO74+AO75+AO76-AO77</f>
        <v>27373.3774374566</v>
      </c>
      <c r="AP78" s="109" t="n">
        <f aca="false">AP74+AP75+AP76-AP77</f>
        <v>28527.3260185843</v>
      </c>
      <c r="AQ78" s="109" t="n">
        <f aca="false">AQ74+AQ75+AQ76-AQ77</f>
        <v>29681.2745997121</v>
      </c>
      <c r="AR78" s="109" t="n">
        <f aca="false">AR74+AR75+AR76-AR77</f>
        <v>30835.2231808398</v>
      </c>
      <c r="AS78" s="109" t="n">
        <f aca="false">AS74+AS75+AS76-AS77</f>
        <v>31325.2351491972</v>
      </c>
      <c r="AT78" s="109" t="n">
        <f aca="false">AT74+AT75+AT76-AT77</f>
        <v>31329.4018158638</v>
      </c>
      <c r="AU78" s="109" t="n">
        <f aca="false">AU74+AU75+AU76-AU77</f>
        <v>31333.5684825305</v>
      </c>
      <c r="AV78" s="109" t="n">
        <f aca="false">AV74+AV75+AV76-AV77</f>
        <v>31337.7351491972</v>
      </c>
      <c r="AW78" s="109" t="n">
        <f aca="false">AW74+AW75+AW76-AW77</f>
        <v>31341.9018158638</v>
      </c>
      <c r="AX78" s="109" t="n">
        <f aca="false">AX74+AX75+AX76-AX77</f>
        <v>31346.0684825305</v>
      </c>
      <c r="AY78" s="109" t="n">
        <f aca="false">AY74+AY75+AY76-AY77</f>
        <v>29551.4420989276</v>
      </c>
      <c r="AZ78" s="109" t="n">
        <f aca="false">AZ74+AZ75+AZ76-AZ77</f>
        <v>29555.6087655942</v>
      </c>
      <c r="BA78" s="109" t="n">
        <f aca="false">BA74+BA75+BA76-BA77</f>
        <v>29559.7754322609</v>
      </c>
      <c r="BB78" s="109" t="n">
        <f aca="false">BB74+BB75+BB76-BB77</f>
        <v>29563.9420989276</v>
      </c>
      <c r="BC78" s="109" t="n">
        <f aca="false">BC74+BC75+BC76-BC77</f>
        <v>29568.1087655942</v>
      </c>
      <c r="BD78" s="109" t="n">
        <f aca="false">BD74+BD75+BD76-BD77</f>
        <v>29572.2754322609</v>
      </c>
      <c r="BE78" s="109" t="n">
        <f aca="false">BE74+BE75+BE76-BE77</f>
        <v>29576.4420989276</v>
      </c>
      <c r="BF78" s="109" t="n">
        <f aca="false">BF74+BF75+BF76-BF77</f>
        <v>29580.6087655942</v>
      </c>
      <c r="BG78" s="109" t="n">
        <f aca="false">BG74+BG75+BG76-BG77</f>
        <v>29584.7754322609</v>
      </c>
      <c r="BH78" s="109" t="n">
        <f aca="false">BH74+BH75+BH76-BH77</f>
        <v>29588.9420989276</v>
      </c>
      <c r="BI78" s="109" t="n">
        <f aca="false">BI74+BI75+BI76-BI77</f>
        <v>29593.1087655942</v>
      </c>
      <c r="BJ78" s="109" t="n">
        <f aca="false">BJ74+BJ75+BJ76-BJ77</f>
        <v>29597.2754322609</v>
      </c>
      <c r="BK78" s="109" t="n">
        <f aca="false">BK74+BK75+BK76-BK77</f>
        <v>27792.3442571499</v>
      </c>
      <c r="BL78" s="109" t="n">
        <f aca="false">BL74+BL75+BL76-BL77</f>
        <v>27796.5109238165</v>
      </c>
      <c r="BM78" s="109" t="n">
        <f aca="false">BM74+BM75+BM76-BM77</f>
        <v>27800.6775904832</v>
      </c>
      <c r="BN78" s="109" t="n">
        <f aca="false">BN74+BN75+BN76-BN77</f>
        <v>27804.8442571499</v>
      </c>
      <c r="BO78" s="109" t="n">
        <f aca="false">BO74+BO75+BO76-BO77</f>
        <v>27809.0109238165</v>
      </c>
      <c r="BP78" s="109" t="n">
        <f aca="false">BP74+BP75+BP76-BP77</f>
        <v>27813.1775904832</v>
      </c>
      <c r="BQ78" s="109" t="n">
        <f aca="false">BQ74+BQ75+BQ76-BQ77</f>
        <v>27817.3442571499</v>
      </c>
      <c r="BR78" s="109" t="n">
        <f aca="false">BR74+BR75+BR76-BR77</f>
        <v>27821.5109238165</v>
      </c>
      <c r="BS78" s="109" t="n">
        <f aca="false">BS74+BS75+BS76-BS77</f>
        <v>27825.6775904832</v>
      </c>
      <c r="BT78" s="109" t="n">
        <f aca="false">BT74+BT75+BT76-BT77</f>
        <v>27829.8442571499</v>
      </c>
      <c r="BU78" s="109" t="n">
        <f aca="false">BU74+BU75+BU76-BU77</f>
        <v>27834.0109238165</v>
      </c>
      <c r="BV78" s="109" t="n">
        <f aca="false">BV74+BV75+BV76-BV77</f>
        <v>27838.1775904832</v>
      </c>
      <c r="BW78" s="109" t="n">
        <f aca="false">BW74+BW75+BW76-BW77</f>
        <v>26022.6324801188</v>
      </c>
      <c r="BX78" s="109" t="n">
        <f aca="false">BX74+BX75+BX76-BX77</f>
        <v>26026.7991467855</v>
      </c>
      <c r="BY78" s="109" t="n">
        <f aca="false">BY74+BY75+BY76-BY77</f>
        <v>26030.9658134522</v>
      </c>
      <c r="BZ78" s="109" t="n">
        <f aca="false">BZ74+BZ75+BZ76-BZ77</f>
        <v>26035.1324801188</v>
      </c>
      <c r="CA78" s="109" t="n">
        <f aca="false">CA74+CA75+CA76-CA77</f>
        <v>26039.2991467855</v>
      </c>
      <c r="CB78" s="109" t="n">
        <f aca="false">CB74+CB75+CB76-CB77</f>
        <v>26043.4658134522</v>
      </c>
      <c r="CC78" s="109" t="n">
        <f aca="false">CC74+CC75+CC76-CC77</f>
        <v>26047.6324801188</v>
      </c>
      <c r="CD78" s="109" t="n">
        <f aca="false">CD74+CD75+CD76-CD77</f>
        <v>26051.7991467855</v>
      </c>
      <c r="CE78" s="109" t="n">
        <f aca="false">CE74+CE75+CE76-CE77</f>
        <v>26055.9658134522</v>
      </c>
      <c r="CF78" s="109" t="n">
        <f aca="false">CF74+CF75+CF76-CF77</f>
        <v>26060.1324801188</v>
      </c>
      <c r="CG78" s="109" t="n">
        <f aca="false">CG74+CG75+CG76-CG77</f>
        <v>26064.2991467855</v>
      </c>
      <c r="CH78" s="109" t="n">
        <f aca="false">CH74+CH75+CH76-CH77</f>
        <v>26068.4658134522</v>
      </c>
    </row>
    <row r="79" customFormat="false" ht="13.5" hidden="false" customHeight="true" outlineLevel="0" collapsed="false">
      <c r="A79" s="6" t="s">
        <v>581</v>
      </c>
      <c r="C79" s="109" t="n">
        <f aca="false">C78</f>
        <v>155014.236322587</v>
      </c>
      <c r="D79" s="109" t="n">
        <f aca="false">C86+D78</f>
        <v>126807.305590035</v>
      </c>
      <c r="E79" s="109" t="n">
        <f aca="false">D86+E78</f>
        <v>104264.221436417</v>
      </c>
      <c r="F79" s="109" t="n">
        <f aca="false">E86+F78</f>
        <v>84149.5310470113</v>
      </c>
      <c r="G79" s="109" t="n">
        <f aca="false">F86+G78</f>
        <v>66072.1711328764</v>
      </c>
      <c r="H79" s="109" t="n">
        <f aca="false">G86+H78</f>
        <v>50436.855328412</v>
      </c>
      <c r="I79" s="109" t="n">
        <f aca="false">H86+I78</f>
        <v>38485.3930039345</v>
      </c>
      <c r="J79" s="109" t="n">
        <f aca="false">I86+J78</f>
        <v>30703.6294611346</v>
      </c>
      <c r="K79" s="109" t="n">
        <f aca="false">J86+K78</f>
        <v>26978.2232860935</v>
      </c>
      <c r="L79" s="109" t="n">
        <f aca="false">K86+L78</f>
        <v>29888.315299386</v>
      </c>
      <c r="M79" s="109" t="n">
        <f aca="false">L86+M78</f>
        <v>32983.9685467941</v>
      </c>
      <c r="N79" s="109" t="n">
        <f aca="false">M86+N78</f>
        <v>35225.2059686541</v>
      </c>
      <c r="O79" s="109" t="n">
        <f aca="false">N86+O78</f>
        <v>40340.3512466087</v>
      </c>
      <c r="P79" s="109" t="n">
        <f aca="false">O86+P78</f>
        <v>45939.7794359437</v>
      </c>
      <c r="Q79" s="109" t="n">
        <f aca="false">P86+Q78</f>
        <v>53714.0204664325</v>
      </c>
      <c r="R79" s="109" t="n">
        <f aca="false">Q86+R78</f>
        <v>63663.0743380752</v>
      </c>
      <c r="S79" s="109" t="n">
        <f aca="false">R86+S78</f>
        <v>75786.9410508718</v>
      </c>
      <c r="T79" s="109" t="n">
        <f aca="false">S86+T78</f>
        <v>90085.6206048223</v>
      </c>
      <c r="U79" s="109" t="n">
        <f aca="false">T86+U78</f>
        <v>104633.783439927</v>
      </c>
      <c r="V79" s="109" t="n">
        <f aca="false">U86+V78</f>
        <v>119091.665516185</v>
      </c>
      <c r="W79" s="109" t="n">
        <f aca="false">V86+W78</f>
        <v>135724.360433597</v>
      </c>
      <c r="X79" s="109" t="n">
        <f aca="false">W86+X78</f>
        <v>154086.427325622</v>
      </c>
      <c r="Y79" s="109" t="n">
        <f aca="false">X86+Y78</f>
        <v>173987.771192259</v>
      </c>
      <c r="Z79" s="109" t="n">
        <f aca="false">Y86+Z78</f>
        <v>195261.810546642</v>
      </c>
      <c r="AA79" s="109" t="n">
        <f aca="false">Z86+AA78</f>
        <v>214276.350532505</v>
      </c>
      <c r="AB79" s="109" t="n">
        <f aca="false">AA86+AB78</f>
        <v>232620.455981536</v>
      </c>
      <c r="AC79" s="109" t="n">
        <f aca="false">AB86+AC78</f>
        <v>252277.216340536</v>
      </c>
      <c r="AD79" s="109" t="n">
        <f aca="false">AC86+AD78</f>
        <v>273246.631609504</v>
      </c>
      <c r="AE79" s="109" t="n">
        <f aca="false">AD86+AE78</f>
        <v>295528.70178844</v>
      </c>
      <c r="AF79" s="109" t="n">
        <f aca="false">AE86+AF78</f>
        <v>319123.426877344</v>
      </c>
      <c r="AG79" s="109" t="n">
        <f aca="false">AF86+AG78</f>
        <v>344030.806876217</v>
      </c>
      <c r="AH79" s="109" t="n">
        <f aca="false">AG86+AH78</f>
        <v>370250.841785058</v>
      </c>
      <c r="AI79" s="109" t="n">
        <f aca="false">AH86+AI78</f>
        <v>397783.531603867</v>
      </c>
      <c r="AJ79" s="109" t="n">
        <f aca="false">AI86+AJ78</f>
        <v>426628.876332645</v>
      </c>
      <c r="AK79" s="109" t="n">
        <f aca="false">AJ86+AK78</f>
        <v>456786.875971391</v>
      </c>
      <c r="AL79" s="109" t="n">
        <f aca="false">AK86+AL78</f>
        <v>488257.530520105</v>
      </c>
      <c r="AM79" s="109" t="n">
        <f aca="false">AL86+AM78</f>
        <v>513323.010795306</v>
      </c>
      <c r="AN79" s="109" t="n">
        <f aca="false">AM86+AN78</f>
        <v>539542.439651635</v>
      </c>
      <c r="AO79" s="109" t="n">
        <f aca="false">AN86+AO78</f>
        <v>566915.817089091</v>
      </c>
      <c r="AP79" s="109" t="n">
        <f aca="false">AO86+AP78</f>
        <v>595443.143107676</v>
      </c>
      <c r="AQ79" s="109" t="n">
        <f aca="false">AP86+AQ78</f>
        <v>625124.417707388</v>
      </c>
      <c r="AR79" s="109" t="n">
        <f aca="false">AQ86+AR78</f>
        <v>655959.640888228</v>
      </c>
      <c r="AS79" s="109" t="n">
        <f aca="false">AR86+AS78</f>
        <v>687284.876037425</v>
      </c>
      <c r="AT79" s="109" t="n">
        <f aca="false">AS86+AT78</f>
        <v>718614.277853289</v>
      </c>
      <c r="AU79" s="109" t="n">
        <f aca="false">AT86+AU78</f>
        <v>749947.846335819</v>
      </c>
      <c r="AV79" s="109" t="n">
        <f aca="false">AU86+AV78</f>
        <v>781285.581485016</v>
      </c>
      <c r="AW79" s="109" t="n">
        <f aca="false">AV86+AW78</f>
        <v>812627.48330088</v>
      </c>
      <c r="AX79" s="109" t="n">
        <f aca="false">AW86+AX78</f>
        <v>843973.551783411</v>
      </c>
      <c r="AY79" s="109" t="n">
        <f aca="false">AX86+AY78</f>
        <v>718596.575619785</v>
      </c>
      <c r="AZ79" s="109" t="n">
        <f aca="false">AY86+AZ78</f>
        <v>748152.184385379</v>
      </c>
      <c r="BA79" s="109" t="n">
        <f aca="false">AZ86+BA78</f>
        <v>777711.95981764</v>
      </c>
      <c r="BB79" s="109" t="n">
        <f aca="false">BA86+BB78</f>
        <v>807275.901916568</v>
      </c>
      <c r="BC79" s="109" t="n">
        <f aca="false">BB86+BC78</f>
        <v>836844.010682162</v>
      </c>
      <c r="BD79" s="109" t="n">
        <f aca="false">BC86+BD78</f>
        <v>866416.286114423</v>
      </c>
      <c r="BE79" s="109" t="n">
        <f aca="false">BD86+BE78</f>
        <v>895992.728213351</v>
      </c>
      <c r="BF79" s="109" t="n">
        <f aca="false">BE86+BF78</f>
        <v>925573.336978945</v>
      </c>
      <c r="BG79" s="109" t="n">
        <f aca="false">BF86+BG78</f>
        <v>955158.112411206</v>
      </c>
      <c r="BH79" s="109" t="n">
        <f aca="false">BG86+BH78</f>
        <v>984747.054510133</v>
      </c>
      <c r="BI79" s="109" t="n">
        <f aca="false">BH86+BI78</f>
        <v>1014340.16327573</v>
      </c>
      <c r="BJ79" s="109" t="n">
        <f aca="false">BI86+BJ78</f>
        <v>1043937.43870799</v>
      </c>
      <c r="BK79" s="109" t="n">
        <f aca="false">BJ86+BK78</f>
        <v>918078.786546053</v>
      </c>
      <c r="BL79" s="109" t="n">
        <f aca="false">BK86+BL78</f>
        <v>945875.29746987</v>
      </c>
      <c r="BM79" s="109" t="n">
        <f aca="false">BL86+BM78</f>
        <v>973675.975060353</v>
      </c>
      <c r="BN79" s="109" t="n">
        <f aca="false">BM86+BN78</f>
        <v>1001480.8193175</v>
      </c>
      <c r="BO79" s="109" t="n">
        <f aca="false">BN86+BO78</f>
        <v>1029289.83024132</v>
      </c>
      <c r="BP79" s="109" t="n">
        <f aca="false">BO86+BP78</f>
        <v>1057103.0078318</v>
      </c>
      <c r="BQ79" s="109" t="n">
        <f aca="false">BP86+BQ78</f>
        <v>1084920.35208895</v>
      </c>
      <c r="BR79" s="109" t="n">
        <f aca="false">BQ86+BR78</f>
        <v>1112741.86301277</v>
      </c>
      <c r="BS79" s="109" t="n">
        <f aca="false">BR86+BS78</f>
        <v>1140567.54060325</v>
      </c>
      <c r="BT79" s="109" t="n">
        <f aca="false">BS86+BT78</f>
        <v>1168397.3848604</v>
      </c>
      <c r="BU79" s="109" t="n">
        <f aca="false">BT86+BU78</f>
        <v>1196231.39578422</v>
      </c>
      <c r="BV79" s="109" t="n">
        <f aca="false">BU86+BV78</f>
        <v>1224069.5733747</v>
      </c>
      <c r="BW79" s="109" t="n">
        <f aca="false">BV86+BW78</f>
        <v>1104884.87907627</v>
      </c>
      <c r="BX79" s="109" t="n">
        <f aca="false">BW86+BX78</f>
        <v>1130911.67822305</v>
      </c>
      <c r="BY79" s="109" t="n">
        <f aca="false">BX86+BY78</f>
        <v>1156942.64403651</v>
      </c>
      <c r="BZ79" s="109" t="n">
        <f aca="false">BY86+BZ78</f>
        <v>1182977.77651663</v>
      </c>
      <c r="CA79" s="109" t="n">
        <f aca="false">BZ86+CA78</f>
        <v>1209017.07566341</v>
      </c>
      <c r="CB79" s="109" t="n">
        <f aca="false">CA86+CB78</f>
        <v>1235060.54147686</v>
      </c>
      <c r="CC79" s="109" t="n">
        <f aca="false">CB86+CC78</f>
        <v>1261108.17395698</v>
      </c>
      <c r="CD79" s="109" t="n">
        <f aca="false">CC86+CD78</f>
        <v>1287159.97310377</v>
      </c>
      <c r="CE79" s="109" t="n">
        <f aca="false">CD86+CE78</f>
        <v>1313215.93891722</v>
      </c>
      <c r="CF79" s="109" t="n">
        <f aca="false">CE86+CF78</f>
        <v>1339276.07139734</v>
      </c>
      <c r="CG79" s="109" t="n">
        <f aca="false">CF86+CG78</f>
        <v>1365340.37054412</v>
      </c>
      <c r="CH79" s="109" t="n">
        <f aca="false">CG86+CH78</f>
        <v>1391408.83635758</v>
      </c>
    </row>
    <row r="80" customFormat="false" ht="13.5" hidden="false" customHeight="true" outlineLevel="0" collapsed="false">
      <c r="A80" s="22" t="s">
        <v>582</v>
      </c>
      <c r="C80" s="109" t="n">
        <f aca="false">IF(C79&lt;Hipótesis!$D$72,MIN(Hipótesis!$D$70-0,Hipótesis!$D$72-C79),-MIN(0,MAX(0,C79-Hipótesis!$D$72)))</f>
        <v>-0</v>
      </c>
      <c r="D80" s="109" t="n">
        <f aca="false">IF(D79&lt;Hipótesis!$D$72,MIN(Hipótesis!$D$70-C81,Hipótesis!$D$72-D79),-MIN(C81,MAX(0,D79-Hipótesis!$D$72)))</f>
        <v>0</v>
      </c>
      <c r="E80" s="109" t="n">
        <f aca="false">IF(E79&lt;Hipótesis!$D$72,MIN(Hipótesis!$D$70-D81,Hipótesis!$D$72-E79),-MIN(D81,MAX(0,E79-Hipótesis!$D$72)))</f>
        <v>-0</v>
      </c>
      <c r="F80" s="109" t="n">
        <f aca="false">IF(F79&lt;Hipótesis!$D$72,MIN(Hipótesis!$D$70-E81,Hipótesis!$D$72-F79),-MIN(E81,MAX(0,F79-Hipótesis!$D$72)))</f>
        <v>-0</v>
      </c>
      <c r="G80" s="109" t="n">
        <f aca="false">IF(G79&lt;Hipótesis!$D$72,MIN(Hipótesis!$D$70-F81,Hipótesis!$D$72-G79),-MIN(F81,MAX(0,G79-Hipótesis!$D$72)))</f>
        <v>-0</v>
      </c>
      <c r="H80" s="109" t="n">
        <f aca="false">IF(H79&lt;Hipótesis!$D$72,MIN(Hipótesis!$D$70-G81,Hipótesis!$D$72-H79),-MIN(G81,MAX(0,H79-Hipótesis!$D$72)))</f>
        <v>-0</v>
      </c>
      <c r="I80" s="109" t="n">
        <f aca="false">IF(I79&lt;Hipótesis!$D$72,MIN(Hipótesis!$D$70-H81,Hipótesis!$D$72-I79),-MIN(H81,MAX(0,I79-Hipótesis!$D$72)))</f>
        <v>-0</v>
      </c>
      <c r="J80" s="109" t="n">
        <f aca="false">IF(J79&lt;Hipótesis!$D$72,MIN(Hipótesis!$D$70-I81,Hipótesis!$D$72-J79),-MIN(I81,MAX(0,J79-Hipótesis!$D$72)))</f>
        <v>-0</v>
      </c>
      <c r="K80" s="109" t="n">
        <f aca="false">IF(K79&lt;Hipótesis!$D$72,MIN(Hipótesis!$D$70-J81,Hipótesis!$D$72-K79),-MIN(J81,MAX(0,K79-Hipótesis!$D$72)))</f>
        <v>3021.7767139065</v>
      </c>
      <c r="L80" s="109" t="n">
        <f aca="false">IF(L79&lt;Hipótesis!$D$72,MIN(Hipótesis!$D$70-K81,Hipótesis!$D$72-L79),-MIN(K81,MAX(0,L79-Hipótesis!$D$72)))</f>
        <v>111.68470061398</v>
      </c>
      <c r="M80" s="109" t="n">
        <f aca="false">IF(M79&lt;Hipótesis!$D$72,MIN(Hipótesis!$D$70-L81,Hipótesis!$D$72-M79),-MIN(L81,MAX(0,M79-Hipótesis!$D$72)))</f>
        <v>-2983.96854679405</v>
      </c>
      <c r="N80" s="109" t="n">
        <f aca="false">IF(N79&lt;Hipótesis!$D$72,MIN(Hipótesis!$D$70-M81,Hipótesis!$D$72-N79),-MIN(M81,MAX(0,N79-Hipótesis!$D$72)))</f>
        <v>-149.492867726429</v>
      </c>
      <c r="O80" s="109" t="n">
        <f aca="false">IF(O79&lt;Hipótesis!$D$72,MIN(Hipótesis!$D$70-N81,Hipótesis!$D$72-O79),-MIN(N81,MAX(0,O79-Hipótesis!$D$72)))</f>
        <v>-0</v>
      </c>
      <c r="P80" s="109" t="n">
        <f aca="false">IF(P79&lt;Hipótesis!$D$72,MIN(Hipótesis!$D$70-O81,Hipótesis!$D$72-P79),-MIN(O81,MAX(0,P79-Hipótesis!$D$72)))</f>
        <v>-0</v>
      </c>
      <c r="Q80" s="109" t="n">
        <f aca="false">IF(Q79&lt;Hipótesis!$D$72,MIN(Hipótesis!$D$70-P81,Hipótesis!$D$72-Q79),-MIN(P81,MAX(0,Q79-Hipótesis!$D$72)))</f>
        <v>-0</v>
      </c>
      <c r="R80" s="109" t="n">
        <f aca="false">IF(R79&lt;Hipótesis!$D$72,MIN(Hipótesis!$D$70-Q81,Hipótesis!$D$72-R79),-MIN(Q81,MAX(0,R79-Hipótesis!$D$72)))</f>
        <v>-0</v>
      </c>
      <c r="S80" s="109" t="n">
        <f aca="false">IF(S79&lt;Hipótesis!$D$72,MIN(Hipótesis!$D$70-R81,Hipótesis!$D$72-S79),-MIN(R81,MAX(0,S79-Hipótesis!$D$72)))</f>
        <v>-0</v>
      </c>
      <c r="T80" s="109" t="n">
        <f aca="false">IF(T79&lt;Hipótesis!$D$72,MIN(Hipótesis!$D$70-S81,Hipótesis!$D$72-T79),-MIN(S81,MAX(0,T79-Hipótesis!$D$72)))</f>
        <v>-0</v>
      </c>
      <c r="U80" s="109" t="n">
        <f aca="false">IF(U79&lt;Hipótesis!$D$72,MIN(Hipótesis!$D$70-T81,Hipótesis!$D$72-U79),-MIN(T81,MAX(0,U79-Hipótesis!$D$72)))</f>
        <v>-0</v>
      </c>
      <c r="V80" s="109" t="n">
        <f aca="false">IF(V79&lt;Hipótesis!$D$72,MIN(Hipótesis!$D$70-U81,Hipótesis!$D$72-V79),-MIN(U81,MAX(0,V79-Hipótesis!$D$72)))</f>
        <v>-0</v>
      </c>
      <c r="W80" s="109" t="n">
        <f aca="false">IF(W79&lt;Hipótesis!$D$72,MIN(Hipótesis!$D$70-V81,Hipótesis!$D$72-W79),-MIN(V81,MAX(0,W79-Hipótesis!$D$72)))</f>
        <v>-0</v>
      </c>
      <c r="X80" s="109" t="n">
        <f aca="false">IF(X79&lt;Hipótesis!$D$72,MIN(Hipótesis!$D$70-W81,Hipótesis!$D$72-X79),-MIN(W81,MAX(0,X79-Hipótesis!$D$72)))</f>
        <v>-0</v>
      </c>
      <c r="Y80" s="109" t="n">
        <f aca="false">IF(Y79&lt;Hipótesis!$D$72,MIN(Hipótesis!$D$70-X81,Hipótesis!$D$72-Y79),-MIN(X81,MAX(0,Y79-Hipótesis!$D$72)))</f>
        <v>-0</v>
      </c>
      <c r="Z80" s="109" t="n">
        <f aca="false">IF(Z79&lt;Hipótesis!$D$72,MIN(Hipótesis!$D$70-Y81,Hipótesis!$D$72-Z79),-MIN(Y81,MAX(0,Z79-Hipótesis!$D$72)))</f>
        <v>-0</v>
      </c>
      <c r="AA80" s="109" t="n">
        <f aca="false">IF(AA79&lt;Hipótesis!$D$72,MIN(Hipótesis!$D$70-Z81,Hipótesis!$D$72-AA79),-MIN(Z81,MAX(0,AA79-Hipótesis!$D$72)))</f>
        <v>-0</v>
      </c>
      <c r="AB80" s="109" t="n">
        <f aca="false">IF(AB79&lt;Hipótesis!$D$72,MIN(Hipótesis!$D$70-AA81,Hipótesis!$D$72-AB79),-MIN(AA81,MAX(0,AB79-Hipótesis!$D$72)))</f>
        <v>-0</v>
      </c>
      <c r="AC80" s="109" t="n">
        <f aca="false">IF(AC79&lt;Hipótesis!$D$72,MIN(Hipótesis!$D$70-AB81,Hipótesis!$D$72-AC79),-MIN(AB81,MAX(0,AC79-Hipótesis!$D$72)))</f>
        <v>-0</v>
      </c>
      <c r="AD80" s="109" t="n">
        <f aca="false">IF(AD79&lt;Hipótesis!$D$72,MIN(Hipótesis!$D$70-AC81,Hipótesis!$D$72-AD79),-MIN(AC81,MAX(0,AD79-Hipótesis!$D$72)))</f>
        <v>-0</v>
      </c>
      <c r="AE80" s="109" t="n">
        <f aca="false">IF(AE79&lt;Hipótesis!$D$72,MIN(Hipótesis!$D$70-AD81,Hipótesis!$D$72-AE79),-MIN(AD81,MAX(0,AE79-Hipótesis!$D$72)))</f>
        <v>-0</v>
      </c>
      <c r="AF80" s="109" t="n">
        <f aca="false">IF(AF79&lt;Hipótesis!$D$72,MIN(Hipótesis!$D$70-AE81,Hipótesis!$D$72-AF79),-MIN(AE81,MAX(0,AF79-Hipótesis!$D$72)))</f>
        <v>-0</v>
      </c>
      <c r="AG80" s="109" t="n">
        <f aca="false">IF(AG79&lt;Hipótesis!$D$72,MIN(Hipótesis!$D$70-AF81,Hipótesis!$D$72-AG79),-MIN(AF81,MAX(0,AG79-Hipótesis!$D$72)))</f>
        <v>-0</v>
      </c>
      <c r="AH80" s="109" t="n">
        <f aca="false">IF(AH79&lt;Hipótesis!$D$72,MIN(Hipótesis!$D$70-AG81,Hipótesis!$D$72-AH79),-MIN(AG81,MAX(0,AH79-Hipótesis!$D$72)))</f>
        <v>-0</v>
      </c>
      <c r="AI80" s="109" t="n">
        <f aca="false">IF(AI79&lt;Hipótesis!$D$72,MIN(Hipótesis!$D$70-AH81,Hipótesis!$D$72-AI79),-MIN(AH81,MAX(0,AI79-Hipótesis!$D$72)))</f>
        <v>-0</v>
      </c>
      <c r="AJ80" s="109" t="n">
        <f aca="false">IF(AJ79&lt;Hipótesis!$D$72,MIN(Hipótesis!$D$70-AI81,Hipótesis!$D$72-AJ79),-MIN(AI81,MAX(0,AJ79-Hipótesis!$D$72)))</f>
        <v>-0</v>
      </c>
      <c r="AK80" s="109" t="n">
        <f aca="false">IF(AK79&lt;Hipótesis!$D$72,MIN(Hipótesis!$D$70-AJ81,Hipótesis!$D$72-AK79),-MIN(AJ81,MAX(0,AK79-Hipótesis!$D$72)))</f>
        <v>-0</v>
      </c>
      <c r="AL80" s="109" t="n">
        <f aca="false">IF(AL79&lt;Hipótesis!$D$72,MIN(Hipótesis!$D$70-AK81,Hipótesis!$D$72-AL79),-MIN(AK81,MAX(0,AL79-Hipótesis!$D$72)))</f>
        <v>-0</v>
      </c>
      <c r="AM80" s="109" t="n">
        <f aca="false">IF(AM79&lt;Hipótesis!$D$72,MIN(Hipótesis!$D$70-AL81,Hipótesis!$D$72-AM79),-MIN(AL81,MAX(0,AM79-Hipótesis!$D$72)))</f>
        <v>-0</v>
      </c>
      <c r="AN80" s="109" t="n">
        <f aca="false">IF(AN79&lt;Hipótesis!$D$72,MIN(Hipótesis!$D$70-AM81,Hipótesis!$D$72-AN79),-MIN(AM81,MAX(0,AN79-Hipótesis!$D$72)))</f>
        <v>-0</v>
      </c>
      <c r="AO80" s="109" t="n">
        <f aca="false">IF(AO79&lt;Hipótesis!$D$72,MIN(Hipótesis!$D$70-AN81,Hipótesis!$D$72-AO79),-MIN(AN81,MAX(0,AO79-Hipótesis!$D$72)))</f>
        <v>-0</v>
      </c>
      <c r="AP80" s="109" t="n">
        <f aca="false">IF(AP79&lt;Hipótesis!$D$72,MIN(Hipótesis!$D$70-AO81,Hipótesis!$D$72-AP79),-MIN(AO81,MAX(0,AP79-Hipótesis!$D$72)))</f>
        <v>-0</v>
      </c>
      <c r="AQ80" s="109" t="n">
        <f aca="false">IF(AQ79&lt;Hipótesis!$D$72,MIN(Hipótesis!$D$70-AP81,Hipótesis!$D$72-AQ79),-MIN(AP81,MAX(0,AQ79-Hipótesis!$D$72)))</f>
        <v>-0</v>
      </c>
      <c r="AR80" s="109" t="n">
        <f aca="false">IF(AR79&lt;Hipótesis!$D$72,MIN(Hipótesis!$D$70-AQ81,Hipótesis!$D$72-AR79),-MIN(AQ81,MAX(0,AR79-Hipótesis!$D$72)))</f>
        <v>-0</v>
      </c>
      <c r="AS80" s="109" t="n">
        <f aca="false">IF(AS79&lt;Hipótesis!$D$72,MIN(Hipótesis!$D$70-AR81,Hipótesis!$D$72-AS79),-MIN(AR81,MAX(0,AS79-Hipótesis!$D$72)))</f>
        <v>-0</v>
      </c>
      <c r="AT80" s="109" t="n">
        <f aca="false">IF(AT79&lt;Hipótesis!$D$72,MIN(Hipótesis!$D$70-AS81,Hipótesis!$D$72-AT79),-MIN(AS81,MAX(0,AT79-Hipótesis!$D$72)))</f>
        <v>-0</v>
      </c>
      <c r="AU80" s="109" t="n">
        <f aca="false">IF(AU79&lt;Hipótesis!$D$72,MIN(Hipótesis!$D$70-AT81,Hipótesis!$D$72-AU79),-MIN(AT81,MAX(0,AU79-Hipótesis!$D$72)))</f>
        <v>-0</v>
      </c>
      <c r="AV80" s="109" t="n">
        <f aca="false">IF(AV79&lt;Hipótesis!$D$72,MIN(Hipótesis!$D$70-AU81,Hipótesis!$D$72-AV79),-MIN(AU81,MAX(0,AV79-Hipótesis!$D$72)))</f>
        <v>-0</v>
      </c>
      <c r="AW80" s="109" t="n">
        <f aca="false">IF(AW79&lt;Hipótesis!$D$72,MIN(Hipótesis!$D$70-AV81,Hipótesis!$D$72-AW79),-MIN(AV81,MAX(0,AW79-Hipótesis!$D$72)))</f>
        <v>-0</v>
      </c>
      <c r="AX80" s="109" t="n">
        <f aca="false">IF(AX79&lt;Hipótesis!$D$72,MIN(Hipótesis!$D$70-AW81,Hipótesis!$D$72-AX79),-MIN(AW81,MAX(0,AX79-Hipótesis!$D$72)))</f>
        <v>-0</v>
      </c>
      <c r="AY80" s="109" t="n">
        <f aca="false">IF(AY79&lt;Hipótesis!$D$72,MIN(Hipótesis!$D$70-AX81,Hipótesis!$D$72-AY79),-MIN(AX81,MAX(0,AY79-Hipótesis!$D$72)))</f>
        <v>-0</v>
      </c>
      <c r="AZ80" s="109" t="n">
        <f aca="false">IF(AZ79&lt;Hipótesis!$D$72,MIN(Hipótesis!$D$70-AY81,Hipótesis!$D$72-AZ79),-MIN(AY81,MAX(0,AZ79-Hipótesis!$D$72)))</f>
        <v>-0</v>
      </c>
      <c r="BA80" s="109" t="n">
        <f aca="false">IF(BA79&lt;Hipótesis!$D$72,MIN(Hipótesis!$D$70-AZ81,Hipótesis!$D$72-BA79),-MIN(AZ81,MAX(0,BA79-Hipótesis!$D$72)))</f>
        <v>-0</v>
      </c>
      <c r="BB80" s="109" t="n">
        <f aca="false">IF(BB79&lt;Hipótesis!$D$72,MIN(Hipótesis!$D$70-BA81,Hipótesis!$D$72-BB79),-MIN(BA81,MAX(0,BB79-Hipótesis!$D$72)))</f>
        <v>-0</v>
      </c>
      <c r="BC80" s="109" t="n">
        <f aca="false">IF(BC79&lt;Hipótesis!$D$72,MIN(Hipótesis!$D$70-BB81,Hipótesis!$D$72-BC79),-MIN(BB81,MAX(0,BC79-Hipótesis!$D$72)))</f>
        <v>-0</v>
      </c>
      <c r="BD80" s="109" t="n">
        <f aca="false">IF(BD79&lt;Hipótesis!$D$72,MIN(Hipótesis!$D$70-BC81,Hipótesis!$D$72-BD79),-MIN(BC81,MAX(0,BD79-Hipótesis!$D$72)))</f>
        <v>-0</v>
      </c>
      <c r="BE80" s="109" t="n">
        <f aca="false">IF(BE79&lt;Hipótesis!$D$72,MIN(Hipótesis!$D$70-BD81,Hipótesis!$D$72-BE79),-MIN(BD81,MAX(0,BE79-Hipótesis!$D$72)))</f>
        <v>-0</v>
      </c>
      <c r="BF80" s="109" t="n">
        <f aca="false">IF(BF79&lt;Hipótesis!$D$72,MIN(Hipótesis!$D$70-BE81,Hipótesis!$D$72-BF79),-MIN(BE81,MAX(0,BF79-Hipótesis!$D$72)))</f>
        <v>-0</v>
      </c>
      <c r="BG80" s="109" t="n">
        <f aca="false">IF(BG79&lt;Hipótesis!$D$72,MIN(Hipótesis!$D$70-BF81,Hipótesis!$D$72-BG79),-MIN(BF81,MAX(0,BG79-Hipótesis!$D$72)))</f>
        <v>-0</v>
      </c>
      <c r="BH80" s="109" t="n">
        <f aca="false">IF(BH79&lt;Hipótesis!$D$72,MIN(Hipótesis!$D$70-BG81,Hipótesis!$D$72-BH79),-MIN(BG81,MAX(0,BH79-Hipótesis!$D$72)))</f>
        <v>-0</v>
      </c>
      <c r="BI80" s="109" t="n">
        <f aca="false">IF(BI79&lt;Hipótesis!$D$72,MIN(Hipótesis!$D$70-BH81,Hipótesis!$D$72-BI79),-MIN(BH81,MAX(0,BI79-Hipótesis!$D$72)))</f>
        <v>-0</v>
      </c>
      <c r="BJ80" s="109" t="n">
        <f aca="false">IF(BJ79&lt;Hipótesis!$D$72,MIN(Hipótesis!$D$70-BI81,Hipótesis!$D$72-BJ79),-MIN(BI81,MAX(0,BJ79-Hipótesis!$D$72)))</f>
        <v>-0</v>
      </c>
      <c r="BK80" s="109" t="n">
        <f aca="false">IF(BK79&lt;Hipótesis!$D$72,MIN(Hipótesis!$D$70-BJ81,Hipótesis!$D$72-BK79),-MIN(BJ81,MAX(0,BK79-Hipótesis!$D$72)))</f>
        <v>-0</v>
      </c>
      <c r="BL80" s="109" t="n">
        <f aca="false">IF(BL79&lt;Hipótesis!$D$72,MIN(Hipótesis!$D$70-BK81,Hipótesis!$D$72-BL79),-MIN(BK81,MAX(0,BL79-Hipótesis!$D$72)))</f>
        <v>-0</v>
      </c>
      <c r="BM80" s="109" t="n">
        <f aca="false">IF(BM79&lt;Hipótesis!$D$72,MIN(Hipótesis!$D$70-BL81,Hipótesis!$D$72-BM79),-MIN(BL81,MAX(0,BM79-Hipótesis!$D$72)))</f>
        <v>-0</v>
      </c>
      <c r="BN80" s="109" t="n">
        <f aca="false">IF(BN79&lt;Hipótesis!$D$72,MIN(Hipótesis!$D$70-BM81,Hipótesis!$D$72-BN79),-MIN(BM81,MAX(0,BN79-Hipótesis!$D$72)))</f>
        <v>-0</v>
      </c>
      <c r="BO80" s="109" t="n">
        <f aca="false">IF(BO79&lt;Hipótesis!$D$72,MIN(Hipótesis!$D$70-BN81,Hipótesis!$D$72-BO79),-MIN(BN81,MAX(0,BO79-Hipótesis!$D$72)))</f>
        <v>-0</v>
      </c>
      <c r="BP80" s="109" t="n">
        <f aca="false">IF(BP79&lt;Hipótesis!$D$72,MIN(Hipótesis!$D$70-BO81,Hipótesis!$D$72-BP79),-MIN(BO81,MAX(0,BP79-Hipótesis!$D$72)))</f>
        <v>-0</v>
      </c>
      <c r="BQ80" s="109" t="n">
        <f aca="false">IF(BQ79&lt;Hipótesis!$D$72,MIN(Hipótesis!$D$70-BP81,Hipótesis!$D$72-BQ79),-MIN(BP81,MAX(0,BQ79-Hipótesis!$D$72)))</f>
        <v>-0</v>
      </c>
      <c r="BR80" s="109" t="n">
        <f aca="false">IF(BR79&lt;Hipótesis!$D$72,MIN(Hipótesis!$D$70-BQ81,Hipótesis!$D$72-BR79),-MIN(BQ81,MAX(0,BR79-Hipótesis!$D$72)))</f>
        <v>-0</v>
      </c>
      <c r="BS80" s="109" t="n">
        <f aca="false">IF(BS79&lt;Hipótesis!$D$72,MIN(Hipótesis!$D$70-BR81,Hipótesis!$D$72-BS79),-MIN(BR81,MAX(0,BS79-Hipótesis!$D$72)))</f>
        <v>-0</v>
      </c>
      <c r="BT80" s="109" t="n">
        <f aca="false">IF(BT79&lt;Hipótesis!$D$72,MIN(Hipótesis!$D$70-BS81,Hipótesis!$D$72-BT79),-MIN(BS81,MAX(0,BT79-Hipótesis!$D$72)))</f>
        <v>-0</v>
      </c>
      <c r="BU80" s="109" t="n">
        <f aca="false">IF(BU79&lt;Hipótesis!$D$72,MIN(Hipótesis!$D$70-BT81,Hipótesis!$D$72-BU79),-MIN(BT81,MAX(0,BU79-Hipótesis!$D$72)))</f>
        <v>-0</v>
      </c>
      <c r="BV80" s="109" t="n">
        <f aca="false">IF(BV79&lt;Hipótesis!$D$72,MIN(Hipótesis!$D$70-BU81,Hipótesis!$D$72-BV79),-MIN(BU81,MAX(0,BV79-Hipótesis!$D$72)))</f>
        <v>-0</v>
      </c>
      <c r="BW80" s="109" t="n">
        <f aca="false">IF(BW79&lt;Hipótesis!$D$72,MIN(Hipótesis!$D$70-BV81,Hipótesis!$D$72-BW79),-MIN(BV81,MAX(0,BW79-Hipótesis!$D$72)))</f>
        <v>-0</v>
      </c>
      <c r="BX80" s="109" t="n">
        <f aca="false">IF(BX79&lt;Hipótesis!$D$72,MIN(Hipótesis!$D$70-BW81,Hipótesis!$D$72-BX79),-MIN(BW81,MAX(0,BX79-Hipótesis!$D$72)))</f>
        <v>-0</v>
      </c>
      <c r="BY80" s="109" t="n">
        <f aca="false">IF(BY79&lt;Hipótesis!$D$72,MIN(Hipótesis!$D$70-BX81,Hipótesis!$D$72-BY79),-MIN(BX81,MAX(0,BY79-Hipótesis!$D$72)))</f>
        <v>-0</v>
      </c>
      <c r="BZ80" s="109" t="n">
        <f aca="false">IF(BZ79&lt;Hipótesis!$D$72,MIN(Hipótesis!$D$70-BY81,Hipótesis!$D$72-BZ79),-MIN(BY81,MAX(0,BZ79-Hipótesis!$D$72)))</f>
        <v>-0</v>
      </c>
      <c r="CA80" s="109" t="n">
        <f aca="false">IF(CA79&lt;Hipótesis!$D$72,MIN(Hipótesis!$D$70-BZ81,Hipótesis!$D$72-CA79),-MIN(BZ81,MAX(0,CA79-Hipótesis!$D$72)))</f>
        <v>-0</v>
      </c>
      <c r="CB80" s="109" t="n">
        <f aca="false">IF(CB79&lt;Hipótesis!$D$72,MIN(Hipótesis!$D$70-CA81,Hipótesis!$D$72-CB79),-MIN(CA81,MAX(0,CB79-Hipótesis!$D$72)))</f>
        <v>-0</v>
      </c>
      <c r="CC80" s="109" t="n">
        <f aca="false">IF(CC79&lt;Hipótesis!$D$72,MIN(Hipótesis!$D$70-CB81,Hipótesis!$D$72-CC79),-MIN(CB81,MAX(0,CC79-Hipótesis!$D$72)))</f>
        <v>-0</v>
      </c>
      <c r="CD80" s="109" t="n">
        <f aca="false">IF(CD79&lt;Hipótesis!$D$72,MIN(Hipótesis!$D$70-CC81,Hipótesis!$D$72-CD79),-MIN(CC81,MAX(0,CD79-Hipótesis!$D$72)))</f>
        <v>-0</v>
      </c>
      <c r="CE80" s="109" t="n">
        <f aca="false">IF(CE79&lt;Hipótesis!$D$72,MIN(Hipótesis!$D$70-CD81,Hipótesis!$D$72-CE79),-MIN(CD81,MAX(0,CE79-Hipótesis!$D$72)))</f>
        <v>-0</v>
      </c>
      <c r="CF80" s="109" t="n">
        <f aca="false">IF(CF79&lt;Hipótesis!$D$72,MIN(Hipótesis!$D$70-CE81,Hipótesis!$D$72-CF79),-MIN(CE81,MAX(0,CF79-Hipótesis!$D$72)))</f>
        <v>-0</v>
      </c>
      <c r="CG80" s="109" t="n">
        <f aca="false">IF(CG79&lt;Hipótesis!$D$72,MIN(Hipótesis!$D$70-CF81,Hipótesis!$D$72-CG79),-MIN(CF81,MAX(0,CG79-Hipótesis!$D$72)))</f>
        <v>-0</v>
      </c>
      <c r="CH80" s="109" t="n">
        <f aca="false">IF(CH79&lt;Hipótesis!$D$72,MIN(Hipótesis!$D$70-CG81,Hipótesis!$D$72-CH79),-MIN(CG81,MAX(0,CH79-Hipótesis!$D$72)))</f>
        <v>-0</v>
      </c>
    </row>
    <row r="81" customFormat="false" ht="13.5" hidden="false" customHeight="true" outlineLevel="0" collapsed="false">
      <c r="A81" s="47" t="s">
        <v>583</v>
      </c>
      <c r="C81" s="71" t="n">
        <f aca="false">C80</f>
        <v>-0</v>
      </c>
      <c r="D81" s="71" t="n">
        <f aca="false">C81+D80</f>
        <v>0</v>
      </c>
      <c r="E81" s="71" t="n">
        <f aca="false">D81+E80</f>
        <v>0</v>
      </c>
      <c r="F81" s="71" t="n">
        <f aca="false">E81+F80</f>
        <v>0</v>
      </c>
      <c r="G81" s="71" t="n">
        <f aca="false">F81+G80</f>
        <v>0</v>
      </c>
      <c r="H81" s="71" t="n">
        <f aca="false">G81+H80</f>
        <v>0</v>
      </c>
      <c r="I81" s="71" t="n">
        <f aca="false">H81+I80</f>
        <v>0</v>
      </c>
      <c r="J81" s="71" t="n">
        <f aca="false">I81+J80</f>
        <v>0</v>
      </c>
      <c r="K81" s="71" t="n">
        <f aca="false">J81+K80</f>
        <v>3021.7767139065</v>
      </c>
      <c r="L81" s="71" t="n">
        <f aca="false">K81+L80</f>
        <v>3133.46141452048</v>
      </c>
      <c r="M81" s="71" t="n">
        <f aca="false">L81+M80</f>
        <v>149.492867726429</v>
      </c>
      <c r="N81" s="71" t="n">
        <f aca="false">M81+N80</f>
        <v>0</v>
      </c>
      <c r="O81" s="71" t="n">
        <f aca="false">N81+O80</f>
        <v>0</v>
      </c>
      <c r="P81" s="71" t="n">
        <f aca="false">O81+P80</f>
        <v>0</v>
      </c>
      <c r="Q81" s="71" t="n">
        <f aca="false">P81+Q80</f>
        <v>0</v>
      </c>
      <c r="R81" s="71" t="n">
        <f aca="false">Q81+R80</f>
        <v>0</v>
      </c>
      <c r="S81" s="71" t="n">
        <f aca="false">R81+S80</f>
        <v>0</v>
      </c>
      <c r="T81" s="71" t="n">
        <f aca="false">S81+T80</f>
        <v>0</v>
      </c>
      <c r="U81" s="71" t="n">
        <f aca="false">T81+U80</f>
        <v>0</v>
      </c>
      <c r="V81" s="71" t="n">
        <f aca="false">U81+V80</f>
        <v>0</v>
      </c>
      <c r="W81" s="71" t="n">
        <f aca="false">V81+W80</f>
        <v>0</v>
      </c>
      <c r="X81" s="71" t="n">
        <f aca="false">W81+X80</f>
        <v>0</v>
      </c>
      <c r="Y81" s="71" t="n">
        <f aca="false">X81+Y80</f>
        <v>0</v>
      </c>
      <c r="Z81" s="71" t="n">
        <f aca="false">Y81+Z80</f>
        <v>0</v>
      </c>
      <c r="AA81" s="71" t="n">
        <f aca="false">Z81+AA80</f>
        <v>0</v>
      </c>
      <c r="AB81" s="71" t="n">
        <f aca="false">AA81+AB80</f>
        <v>0</v>
      </c>
      <c r="AC81" s="71" t="n">
        <f aca="false">AB81+AC80</f>
        <v>0</v>
      </c>
      <c r="AD81" s="71" t="n">
        <f aca="false">AC81+AD80</f>
        <v>0</v>
      </c>
      <c r="AE81" s="71" t="n">
        <f aca="false">AD81+AE80</f>
        <v>0</v>
      </c>
      <c r="AF81" s="71" t="n">
        <f aca="false">AE81+AF80</f>
        <v>0</v>
      </c>
      <c r="AG81" s="71" t="n">
        <f aca="false">AF81+AG80</f>
        <v>0</v>
      </c>
      <c r="AH81" s="71" t="n">
        <f aca="false">AG81+AH80</f>
        <v>0</v>
      </c>
      <c r="AI81" s="71" t="n">
        <f aca="false">AH81+AI80</f>
        <v>0</v>
      </c>
      <c r="AJ81" s="71" t="n">
        <f aca="false">AI81+AJ80</f>
        <v>0</v>
      </c>
      <c r="AK81" s="71" t="n">
        <f aca="false">AJ81+AK80</f>
        <v>0</v>
      </c>
      <c r="AL81" s="71" t="n">
        <f aca="false">AK81+AL80</f>
        <v>0</v>
      </c>
      <c r="AM81" s="71" t="n">
        <f aca="false">AL81+AM80</f>
        <v>0</v>
      </c>
      <c r="AN81" s="71" t="n">
        <f aca="false">AM81+AN80</f>
        <v>0</v>
      </c>
      <c r="AO81" s="71" t="n">
        <f aca="false">AN81+AO80</f>
        <v>0</v>
      </c>
      <c r="AP81" s="71" t="n">
        <f aca="false">AO81+AP80</f>
        <v>0</v>
      </c>
      <c r="AQ81" s="71" t="n">
        <f aca="false">AP81+AQ80</f>
        <v>0</v>
      </c>
      <c r="AR81" s="71" t="n">
        <f aca="false">AQ81+AR80</f>
        <v>0</v>
      </c>
      <c r="AS81" s="71" t="n">
        <f aca="false">AR81+AS80</f>
        <v>0</v>
      </c>
      <c r="AT81" s="71" t="n">
        <f aca="false">AS81+AT80</f>
        <v>0</v>
      </c>
      <c r="AU81" s="71" t="n">
        <f aca="false">AT81+AU80</f>
        <v>0</v>
      </c>
      <c r="AV81" s="71" t="n">
        <f aca="false">AU81+AV80</f>
        <v>0</v>
      </c>
      <c r="AW81" s="71" t="n">
        <f aca="false">AV81+AW80</f>
        <v>0</v>
      </c>
      <c r="AX81" s="71" t="n">
        <f aca="false">AW81+AX80</f>
        <v>0</v>
      </c>
      <c r="AY81" s="71" t="n">
        <f aca="false">AX81+AY80</f>
        <v>0</v>
      </c>
      <c r="AZ81" s="71" t="n">
        <f aca="false">AY81+AZ80</f>
        <v>0</v>
      </c>
      <c r="BA81" s="71" t="n">
        <f aca="false">AZ81+BA80</f>
        <v>0</v>
      </c>
      <c r="BB81" s="71" t="n">
        <f aca="false">BA81+BB80</f>
        <v>0</v>
      </c>
      <c r="BC81" s="71" t="n">
        <f aca="false">BB81+BC80</f>
        <v>0</v>
      </c>
      <c r="BD81" s="71" t="n">
        <f aca="false">BC81+BD80</f>
        <v>0</v>
      </c>
      <c r="BE81" s="71" t="n">
        <f aca="false">BD81+BE80</f>
        <v>0</v>
      </c>
      <c r="BF81" s="71" t="n">
        <f aca="false">BE81+BF80</f>
        <v>0</v>
      </c>
      <c r="BG81" s="71" t="n">
        <f aca="false">BF81+BG80</f>
        <v>0</v>
      </c>
      <c r="BH81" s="71" t="n">
        <f aca="false">BG81+BH80</f>
        <v>0</v>
      </c>
      <c r="BI81" s="71" t="n">
        <f aca="false">BH81+BI80</f>
        <v>0</v>
      </c>
      <c r="BJ81" s="71" t="n">
        <f aca="false">BI81+BJ80</f>
        <v>0</v>
      </c>
      <c r="BK81" s="71" t="n">
        <f aca="false">BJ81+BK80</f>
        <v>0</v>
      </c>
      <c r="BL81" s="71" t="n">
        <f aca="false">BK81+BL80</f>
        <v>0</v>
      </c>
      <c r="BM81" s="71" t="n">
        <f aca="false">BL81+BM80</f>
        <v>0</v>
      </c>
      <c r="BN81" s="71" t="n">
        <f aca="false">BM81+BN80</f>
        <v>0</v>
      </c>
      <c r="BO81" s="71" t="n">
        <f aca="false">BN81+BO80</f>
        <v>0</v>
      </c>
      <c r="BP81" s="71" t="n">
        <f aca="false">BO81+BP80</f>
        <v>0</v>
      </c>
      <c r="BQ81" s="71" t="n">
        <f aca="false">BP81+BQ80</f>
        <v>0</v>
      </c>
      <c r="BR81" s="71" t="n">
        <f aca="false">BQ81+BR80</f>
        <v>0</v>
      </c>
      <c r="BS81" s="71" t="n">
        <f aca="false">BR81+BS80</f>
        <v>0</v>
      </c>
      <c r="BT81" s="71" t="n">
        <f aca="false">BS81+BT80</f>
        <v>0</v>
      </c>
      <c r="BU81" s="71" t="n">
        <f aca="false">BT81+BU80</f>
        <v>0</v>
      </c>
      <c r="BV81" s="71" t="n">
        <f aca="false">BU81+BV80</f>
        <v>0</v>
      </c>
      <c r="BW81" s="71" t="n">
        <f aca="false">BV81+BW80</f>
        <v>0</v>
      </c>
      <c r="BX81" s="71" t="n">
        <f aca="false">BW81+BX80</f>
        <v>0</v>
      </c>
      <c r="BY81" s="71" t="n">
        <f aca="false">BX81+BY80</f>
        <v>0</v>
      </c>
      <c r="BZ81" s="71" t="n">
        <f aca="false">BY81+BZ80</f>
        <v>0</v>
      </c>
      <c r="CA81" s="71" t="n">
        <f aca="false">BZ81+CA80</f>
        <v>0</v>
      </c>
      <c r="CB81" s="71" t="n">
        <f aca="false">CA81+CB80</f>
        <v>0</v>
      </c>
      <c r="CC81" s="71" t="n">
        <f aca="false">CB81+CC80</f>
        <v>0</v>
      </c>
      <c r="CD81" s="71" t="n">
        <f aca="false">CC81+CD80</f>
        <v>0</v>
      </c>
      <c r="CE81" s="71" t="n">
        <f aca="false">CD81+CE80</f>
        <v>0</v>
      </c>
      <c r="CF81" s="71" t="n">
        <f aca="false">CE81+CF80</f>
        <v>0</v>
      </c>
      <c r="CG81" s="71" t="n">
        <f aca="false">CF81+CG80</f>
        <v>0</v>
      </c>
      <c r="CH81" s="71" t="n">
        <f aca="false">CG81+CH80</f>
        <v>0</v>
      </c>
    </row>
    <row r="82" customFormat="false" ht="13.5" hidden="false" customHeight="true" outlineLevel="0" collapsed="false">
      <c r="A82" s="6" t="s">
        <v>584</v>
      </c>
      <c r="C82" s="109" t="n">
        <f aca="false">C79+C80</f>
        <v>155014.236322587</v>
      </c>
      <c r="D82" s="109" t="n">
        <f aca="false">D79+D80</f>
        <v>126807.305590035</v>
      </c>
      <c r="E82" s="109" t="n">
        <f aca="false">E79+E80</f>
        <v>104264.221436417</v>
      </c>
      <c r="F82" s="109" t="n">
        <f aca="false">F79+F80</f>
        <v>84149.5310470113</v>
      </c>
      <c r="G82" s="109" t="n">
        <f aca="false">G79+G80</f>
        <v>66072.1711328764</v>
      </c>
      <c r="H82" s="109" t="n">
        <f aca="false">H79+H80</f>
        <v>50436.855328412</v>
      </c>
      <c r="I82" s="109" t="n">
        <f aca="false">I79+I80</f>
        <v>38485.3930039345</v>
      </c>
      <c r="J82" s="109" t="n">
        <f aca="false">J79+J80</f>
        <v>30703.6294611346</v>
      </c>
      <c r="K82" s="109" t="n">
        <f aca="false">K79+K80</f>
        <v>30000</v>
      </c>
      <c r="L82" s="109" t="n">
        <f aca="false">L79+L80</f>
        <v>30000</v>
      </c>
      <c r="M82" s="109" t="n">
        <f aca="false">M79+M80</f>
        <v>30000</v>
      </c>
      <c r="N82" s="109" t="n">
        <f aca="false">N79+N80</f>
        <v>35075.7131009277</v>
      </c>
      <c r="O82" s="109" t="n">
        <f aca="false">O79+O80</f>
        <v>40340.3512466087</v>
      </c>
      <c r="P82" s="109" t="n">
        <f aca="false">P79+P80</f>
        <v>45939.7794359437</v>
      </c>
      <c r="Q82" s="109" t="n">
        <f aca="false">Q79+Q80</f>
        <v>53714.0204664325</v>
      </c>
      <c r="R82" s="109" t="n">
        <f aca="false">R79+R80</f>
        <v>63663.0743380752</v>
      </c>
      <c r="S82" s="109" t="n">
        <f aca="false">S79+S80</f>
        <v>75786.9410508718</v>
      </c>
      <c r="T82" s="109" t="n">
        <f aca="false">T79+T80</f>
        <v>90085.6206048223</v>
      </c>
      <c r="U82" s="109" t="n">
        <f aca="false">U79+U80</f>
        <v>104633.783439927</v>
      </c>
      <c r="V82" s="109" t="n">
        <f aca="false">V79+V80</f>
        <v>119091.665516185</v>
      </c>
      <c r="W82" s="109" t="n">
        <f aca="false">W79+W80</f>
        <v>135724.360433597</v>
      </c>
      <c r="X82" s="109" t="n">
        <f aca="false">X79+X80</f>
        <v>154086.427325622</v>
      </c>
      <c r="Y82" s="109" t="n">
        <f aca="false">Y79+Y80</f>
        <v>173987.771192259</v>
      </c>
      <c r="Z82" s="109" t="n">
        <f aca="false">Z79+Z80</f>
        <v>195261.810546642</v>
      </c>
      <c r="AA82" s="109" t="n">
        <f aca="false">AA79+AA80</f>
        <v>214276.350532505</v>
      </c>
      <c r="AB82" s="109" t="n">
        <f aca="false">AB79+AB80</f>
        <v>232620.455981536</v>
      </c>
      <c r="AC82" s="109" t="n">
        <f aca="false">AC79+AC80</f>
        <v>252277.216340536</v>
      </c>
      <c r="AD82" s="109" t="n">
        <f aca="false">AD79+AD80</f>
        <v>273246.631609504</v>
      </c>
      <c r="AE82" s="109" t="n">
        <f aca="false">AE79+AE80</f>
        <v>295528.70178844</v>
      </c>
      <c r="AF82" s="109" t="n">
        <f aca="false">AF79+AF80</f>
        <v>319123.426877344</v>
      </c>
      <c r="AG82" s="109" t="n">
        <f aca="false">AG79+AG80</f>
        <v>344030.806876217</v>
      </c>
      <c r="AH82" s="109" t="n">
        <f aca="false">AH79+AH80</f>
        <v>370250.841785058</v>
      </c>
      <c r="AI82" s="109" t="n">
        <f aca="false">AI79+AI80</f>
        <v>397783.531603867</v>
      </c>
      <c r="AJ82" s="109" t="n">
        <f aca="false">AJ79+AJ80</f>
        <v>426628.876332645</v>
      </c>
      <c r="AK82" s="109" t="n">
        <f aca="false">AK79+AK80</f>
        <v>456786.875971391</v>
      </c>
      <c r="AL82" s="109" t="n">
        <f aca="false">AL79+AL80</f>
        <v>488257.530520105</v>
      </c>
      <c r="AM82" s="109" t="n">
        <f aca="false">AM79+AM80</f>
        <v>513323.010795306</v>
      </c>
      <c r="AN82" s="109" t="n">
        <f aca="false">AN79+AN80</f>
        <v>539542.439651635</v>
      </c>
      <c r="AO82" s="109" t="n">
        <f aca="false">AO79+AO80</f>
        <v>566915.817089091</v>
      </c>
      <c r="AP82" s="109" t="n">
        <f aca="false">AP79+AP80</f>
        <v>595443.143107676</v>
      </c>
      <c r="AQ82" s="109" t="n">
        <f aca="false">AQ79+AQ80</f>
        <v>625124.417707388</v>
      </c>
      <c r="AR82" s="109" t="n">
        <f aca="false">AR79+AR80</f>
        <v>655959.640888228</v>
      </c>
      <c r="AS82" s="109" t="n">
        <f aca="false">AS79+AS80</f>
        <v>687284.876037425</v>
      </c>
      <c r="AT82" s="109" t="n">
        <f aca="false">AT79+AT80</f>
        <v>718614.277853289</v>
      </c>
      <c r="AU82" s="109" t="n">
        <f aca="false">AU79+AU80</f>
        <v>749947.846335819</v>
      </c>
      <c r="AV82" s="109" t="n">
        <f aca="false">AV79+AV80</f>
        <v>781285.581485016</v>
      </c>
      <c r="AW82" s="109" t="n">
        <f aca="false">AW79+AW80</f>
        <v>812627.48330088</v>
      </c>
      <c r="AX82" s="109" t="n">
        <f aca="false">AX79+AX80</f>
        <v>843973.551783411</v>
      </c>
      <c r="AY82" s="109" t="n">
        <f aca="false">AY79+AY80</f>
        <v>718596.575619785</v>
      </c>
      <c r="AZ82" s="109" t="n">
        <f aca="false">AZ79+AZ80</f>
        <v>748152.184385379</v>
      </c>
      <c r="BA82" s="109" t="n">
        <f aca="false">BA79+BA80</f>
        <v>777711.95981764</v>
      </c>
      <c r="BB82" s="109" t="n">
        <f aca="false">BB79+BB80</f>
        <v>807275.901916568</v>
      </c>
      <c r="BC82" s="109" t="n">
        <f aca="false">BC79+BC80</f>
        <v>836844.010682162</v>
      </c>
      <c r="BD82" s="109" t="n">
        <f aca="false">BD79+BD80</f>
        <v>866416.286114423</v>
      </c>
      <c r="BE82" s="109" t="n">
        <f aca="false">BE79+BE80</f>
        <v>895992.728213351</v>
      </c>
      <c r="BF82" s="109" t="n">
        <f aca="false">BF79+BF80</f>
        <v>925573.336978945</v>
      </c>
      <c r="BG82" s="109" t="n">
        <f aca="false">BG79+BG80</f>
        <v>955158.112411206</v>
      </c>
      <c r="BH82" s="109" t="n">
        <f aca="false">BH79+BH80</f>
        <v>984747.054510133</v>
      </c>
      <c r="BI82" s="109" t="n">
        <f aca="false">BI79+BI80</f>
        <v>1014340.16327573</v>
      </c>
      <c r="BJ82" s="109" t="n">
        <f aca="false">BJ79+BJ80</f>
        <v>1043937.43870799</v>
      </c>
      <c r="BK82" s="109" t="n">
        <f aca="false">BK79+BK80</f>
        <v>918078.786546053</v>
      </c>
      <c r="BL82" s="109" t="n">
        <f aca="false">BL79+BL80</f>
        <v>945875.29746987</v>
      </c>
      <c r="BM82" s="109" t="n">
        <f aca="false">BM79+BM80</f>
        <v>973675.975060353</v>
      </c>
      <c r="BN82" s="109" t="n">
        <f aca="false">BN79+BN80</f>
        <v>1001480.8193175</v>
      </c>
      <c r="BO82" s="109" t="n">
        <f aca="false">BO79+BO80</f>
        <v>1029289.83024132</v>
      </c>
      <c r="BP82" s="109" t="n">
        <f aca="false">BP79+BP80</f>
        <v>1057103.0078318</v>
      </c>
      <c r="BQ82" s="109" t="n">
        <f aca="false">BQ79+BQ80</f>
        <v>1084920.35208895</v>
      </c>
      <c r="BR82" s="109" t="n">
        <f aca="false">BR79+BR80</f>
        <v>1112741.86301277</v>
      </c>
      <c r="BS82" s="109" t="n">
        <f aca="false">BS79+BS80</f>
        <v>1140567.54060325</v>
      </c>
      <c r="BT82" s="109" t="n">
        <f aca="false">BT79+BT80</f>
        <v>1168397.3848604</v>
      </c>
      <c r="BU82" s="109" t="n">
        <f aca="false">BU79+BU80</f>
        <v>1196231.39578422</v>
      </c>
      <c r="BV82" s="109" t="n">
        <f aca="false">BV79+BV80</f>
        <v>1224069.5733747</v>
      </c>
      <c r="BW82" s="109" t="n">
        <f aca="false">BW79+BW80</f>
        <v>1104884.87907627</v>
      </c>
      <c r="BX82" s="109" t="n">
        <f aca="false">BX79+BX80</f>
        <v>1130911.67822305</v>
      </c>
      <c r="BY82" s="109" t="n">
        <f aca="false">BY79+BY80</f>
        <v>1156942.64403651</v>
      </c>
      <c r="BZ82" s="109" t="n">
        <f aca="false">BZ79+BZ80</f>
        <v>1182977.77651663</v>
      </c>
      <c r="CA82" s="109" t="n">
        <f aca="false">CA79+CA80</f>
        <v>1209017.07566341</v>
      </c>
      <c r="CB82" s="109" t="n">
        <f aca="false">CB79+CB80</f>
        <v>1235060.54147686</v>
      </c>
      <c r="CC82" s="109" t="n">
        <f aca="false">CC79+CC80</f>
        <v>1261108.17395698</v>
      </c>
      <c r="CD82" s="109" t="n">
        <f aca="false">CD79+CD80</f>
        <v>1287159.97310377</v>
      </c>
      <c r="CE82" s="109" t="n">
        <f aca="false">CE79+CE80</f>
        <v>1313215.93891722</v>
      </c>
      <c r="CF82" s="109" t="n">
        <f aca="false">CF79+CF80</f>
        <v>1339276.07139734</v>
      </c>
      <c r="CG82" s="109" t="n">
        <f aca="false">CG79+CG80</f>
        <v>1365340.37054412</v>
      </c>
      <c r="CH82" s="109" t="n">
        <f aca="false">CH79+CH80</f>
        <v>1391408.83635758</v>
      </c>
    </row>
    <row r="83" customFormat="false" ht="13.5" hidden="false" customHeight="true" outlineLevel="0" collapsed="false">
      <c r="A83" s="6" t="s">
        <v>585</v>
      </c>
      <c r="C83" s="109" t="n">
        <f aca="false">-IF(AND(1&gt;=Hipótesis!$D$76,MOD(1,12)=0,C81=0),MIN(Hipótesis!$D$77*MAX(0,SUM(C63:C63)),MAX(0,C82-Hipótesis!$D$80)),0)</f>
        <v>-0</v>
      </c>
      <c r="D83" s="109" t="n">
        <f aca="false">-IF(AND(2&gt;=Hipótesis!$D$76,MOD(2,12)=0,D81=0),MIN(Hipótesis!$D$77*MAX(0,SUM(C63:D63)),MAX(0,D82-Hipótesis!$D$80)),0)</f>
        <v>-0</v>
      </c>
      <c r="E83" s="109" t="n">
        <f aca="false">-IF(AND(3&gt;=Hipótesis!$D$76,MOD(3,12)=0,E81=0),MIN(Hipótesis!$D$77*MAX(0,SUM(C63:E63)),MAX(0,E82-Hipótesis!$D$80)),0)</f>
        <v>-0</v>
      </c>
      <c r="F83" s="109" t="n">
        <f aca="false">-IF(AND(4&gt;=Hipótesis!$D$76,MOD(4,12)=0,F81=0),MIN(Hipótesis!$D$77*MAX(0,SUM(C63:F63)),MAX(0,F82-Hipótesis!$D$80)),0)</f>
        <v>-0</v>
      </c>
      <c r="G83" s="109" t="n">
        <f aca="false">-IF(AND(5&gt;=Hipótesis!$D$76,MOD(5,12)=0,G81=0),MIN(Hipótesis!$D$77*MAX(0,SUM(C63:G63)),MAX(0,G82-Hipótesis!$D$80)),0)</f>
        <v>-0</v>
      </c>
      <c r="H83" s="109" t="n">
        <f aca="false">-IF(AND(6&gt;=Hipótesis!$D$76,MOD(6,12)=0,H81=0),MIN(Hipótesis!$D$77*MAX(0,SUM(C63:H63)),MAX(0,H82-Hipótesis!$D$80)),0)</f>
        <v>-0</v>
      </c>
      <c r="I83" s="109" t="n">
        <f aca="false">-IF(AND(7&gt;=Hipótesis!$D$76,MOD(7,12)=0,I81=0),MIN(Hipótesis!$D$77*MAX(0,SUM(C63:I63)),MAX(0,I82-Hipótesis!$D$80)),0)</f>
        <v>-0</v>
      </c>
      <c r="J83" s="109" t="n">
        <f aca="false">-IF(AND(8&gt;=Hipótesis!$D$76,MOD(8,12)=0,J81=0),MIN(Hipótesis!$D$77*MAX(0,SUM(C63:J63)),MAX(0,J82-Hipótesis!$D$80)),0)</f>
        <v>-0</v>
      </c>
      <c r="K83" s="109" t="n">
        <f aca="false">-IF(AND(9&gt;=Hipótesis!$D$76,MOD(9,12)=0,K81=0),MIN(Hipótesis!$D$77*MAX(0,SUM(C63:K63)),MAX(0,K82-Hipótesis!$D$80)),0)</f>
        <v>-0</v>
      </c>
      <c r="L83" s="109" t="n">
        <f aca="false">-IF(AND(10&gt;=Hipótesis!$D$76,MOD(10,12)=0,L81=0),MIN(Hipótesis!$D$77*MAX(0,SUM(C63:L63)),MAX(0,L82-Hipótesis!$D$80)),0)</f>
        <v>-0</v>
      </c>
      <c r="M83" s="109" t="n">
        <f aca="false">-IF(AND(11&gt;=Hipótesis!$D$76,MOD(11,12)=0,M81=0),MIN(Hipótesis!$D$77*MAX(0,SUM(C63:M63)),MAX(0,M82-Hipótesis!$D$80)),0)</f>
        <v>-0</v>
      </c>
      <c r="N83" s="109" t="n">
        <f aca="false">-IF(AND(12&gt;=Hipótesis!$D$76,MOD(12,12)=0,N81=0),MIN(Hipótesis!$D$77*MAX(0,SUM(C63:N63)),MAX(0,N82-Hipótesis!$D$80)),0)</f>
        <v>-0</v>
      </c>
      <c r="O83" s="109" t="n">
        <f aca="false">-IF(AND(13&gt;=Hipótesis!$D$76,MOD(13,12)=0,O81=0),MIN(Hipótesis!$D$77*MAX(0,SUM(D63:O63)),MAX(0,O82-Hipótesis!$D$80)),0)</f>
        <v>-0</v>
      </c>
      <c r="P83" s="109" t="n">
        <f aca="false">-IF(AND(14&gt;=Hipótesis!$D$76,MOD(14,12)=0,P81=0),MIN(Hipótesis!$D$77*MAX(0,SUM(E63:P63)),MAX(0,P82-Hipótesis!$D$80)),0)</f>
        <v>-0</v>
      </c>
      <c r="Q83" s="109" t="n">
        <f aca="false">-IF(AND(15&gt;=Hipótesis!$D$76,MOD(15,12)=0,Q81=0),MIN(Hipótesis!$D$77*MAX(0,SUM(F63:Q63)),MAX(0,Q82-Hipótesis!$D$80)),0)</f>
        <v>-0</v>
      </c>
      <c r="R83" s="109" t="n">
        <f aca="false">-IF(AND(16&gt;=Hipótesis!$D$76,MOD(16,12)=0,R81=0),MIN(Hipótesis!$D$77*MAX(0,SUM(G63:R63)),MAX(0,R82-Hipótesis!$D$80)),0)</f>
        <v>-0</v>
      </c>
      <c r="S83" s="109" t="n">
        <f aca="false">-IF(AND(17&gt;=Hipótesis!$D$76,MOD(17,12)=0,S81=0),MIN(Hipótesis!$D$77*MAX(0,SUM(H63:S63)),MAX(0,S82-Hipótesis!$D$80)),0)</f>
        <v>-0</v>
      </c>
      <c r="T83" s="109" t="n">
        <f aca="false">-IF(AND(18&gt;=Hipótesis!$D$76,MOD(18,12)=0,T81=0),MIN(Hipótesis!$D$77*MAX(0,SUM(I63:T63)),MAX(0,T82-Hipótesis!$D$80)),0)</f>
        <v>-0</v>
      </c>
      <c r="U83" s="109" t="n">
        <f aca="false">-IF(AND(19&gt;=Hipótesis!$D$76,MOD(19,12)=0,U81=0),MIN(Hipótesis!$D$77*MAX(0,SUM(J63:U63)),MAX(0,U82-Hipótesis!$D$80)),0)</f>
        <v>-0</v>
      </c>
      <c r="V83" s="109" t="n">
        <f aca="false">-IF(AND(20&gt;=Hipótesis!$D$76,MOD(20,12)=0,V81=0),MIN(Hipótesis!$D$77*MAX(0,SUM(K63:V63)),MAX(0,V82-Hipótesis!$D$80)),0)</f>
        <v>-0</v>
      </c>
      <c r="W83" s="109" t="n">
        <f aca="false">-IF(AND(21&gt;=Hipótesis!$D$76,MOD(21,12)=0,W81=0),MIN(Hipótesis!$D$77*MAX(0,SUM(L63:W63)),MAX(0,W82-Hipótesis!$D$80)),0)</f>
        <v>-0</v>
      </c>
      <c r="X83" s="109" t="n">
        <f aca="false">-IF(AND(22&gt;=Hipótesis!$D$76,MOD(22,12)=0,X81=0),MIN(Hipótesis!$D$77*MAX(0,SUM(M63:X63)),MAX(0,X82-Hipótesis!$D$80)),0)</f>
        <v>-0</v>
      </c>
      <c r="Y83" s="109" t="n">
        <f aca="false">-IF(AND(23&gt;=Hipótesis!$D$76,MOD(23,12)=0,Y81=0),MIN(Hipótesis!$D$77*MAX(0,SUM(N63:Y63)),MAX(0,Y82-Hipótesis!$D$80)),0)</f>
        <v>-0</v>
      </c>
      <c r="Z83" s="109" t="n">
        <f aca="false">-IF(AND(24&gt;=Hipótesis!$D$76,MOD(24,12)=0,Z81=0),MIN(Hipótesis!$D$77*MAX(0,SUM(O63:Z63)),MAX(0,Z82-Hipótesis!$D$80)),0)</f>
        <v>-0</v>
      </c>
      <c r="AA83" s="109" t="n">
        <f aca="false">-IF(AND(25&gt;=Hipótesis!$D$76,MOD(25,12)=0,AA81=0),MIN(Hipótesis!$D$77*MAX(0,SUM(P63:AA63)),MAX(0,AA82-Hipótesis!$D$80)),0)</f>
        <v>-0</v>
      </c>
      <c r="AB83" s="109" t="n">
        <f aca="false">-IF(AND(26&gt;=Hipótesis!$D$76,MOD(26,12)=0,AB81=0),MIN(Hipótesis!$D$77*MAX(0,SUM(Q63:AB63)),MAX(0,AB82-Hipótesis!$D$80)),0)</f>
        <v>-0</v>
      </c>
      <c r="AC83" s="109" t="n">
        <f aca="false">-IF(AND(27&gt;=Hipótesis!$D$76,MOD(27,12)=0,AC81=0),MIN(Hipótesis!$D$77*MAX(0,SUM(R63:AC63)),MAX(0,AC82-Hipótesis!$D$80)),0)</f>
        <v>-0</v>
      </c>
      <c r="AD83" s="109" t="n">
        <f aca="false">-IF(AND(28&gt;=Hipótesis!$D$76,MOD(28,12)=0,AD81=0),MIN(Hipótesis!$D$77*MAX(0,SUM(S63:AD63)),MAX(0,AD82-Hipótesis!$D$80)),0)</f>
        <v>-0</v>
      </c>
      <c r="AE83" s="109" t="n">
        <f aca="false">-IF(AND(29&gt;=Hipótesis!$D$76,MOD(29,12)=0,AE81=0),MIN(Hipótesis!$D$77*MAX(0,SUM(T63:AE63)),MAX(0,AE82-Hipótesis!$D$80)),0)</f>
        <v>-0</v>
      </c>
      <c r="AF83" s="109" t="n">
        <f aca="false">-IF(AND(30&gt;=Hipótesis!$D$76,MOD(30,12)=0,AF81=0),MIN(Hipótesis!$D$77*MAX(0,SUM(U63:AF63)),MAX(0,AF82-Hipótesis!$D$80)),0)</f>
        <v>-0</v>
      </c>
      <c r="AG83" s="109" t="n">
        <f aca="false">-IF(AND(31&gt;=Hipótesis!$D$76,MOD(31,12)=0,AG81=0),MIN(Hipótesis!$D$77*MAX(0,SUM(V63:AG63)),MAX(0,AG82-Hipótesis!$D$80)),0)</f>
        <v>-0</v>
      </c>
      <c r="AH83" s="109" t="n">
        <f aca="false">-IF(AND(32&gt;=Hipótesis!$D$76,MOD(32,12)=0,AH81=0),MIN(Hipótesis!$D$77*MAX(0,SUM(W63:AH63)),MAX(0,AH82-Hipótesis!$D$80)),0)</f>
        <v>-0</v>
      </c>
      <c r="AI83" s="109" t="n">
        <f aca="false">-IF(AND(33&gt;=Hipótesis!$D$76,MOD(33,12)=0,AI81=0),MIN(Hipótesis!$D$77*MAX(0,SUM(X63:AI63)),MAX(0,AI82-Hipótesis!$D$80)),0)</f>
        <v>-0</v>
      </c>
      <c r="AJ83" s="109" t="n">
        <f aca="false">-IF(AND(34&gt;=Hipótesis!$D$76,MOD(34,12)=0,AJ81=0),MIN(Hipótesis!$D$77*MAX(0,SUM(Y63:AJ63)),MAX(0,AJ82-Hipótesis!$D$80)),0)</f>
        <v>-0</v>
      </c>
      <c r="AK83" s="109" t="n">
        <f aca="false">-IF(AND(35&gt;=Hipótesis!$D$76,MOD(35,12)=0,AK81=0),MIN(Hipótesis!$D$77*MAX(0,SUM(Z63:AK63)),MAX(0,AK82-Hipótesis!$D$80)),0)</f>
        <v>-0</v>
      </c>
      <c r="AL83" s="109" t="n">
        <f aca="false">-IF(AND(36&gt;=Hipótesis!$D$76,MOD(36,12)=0,AL81=0),MIN(Hipótesis!$D$77*MAX(0,SUM(AA63:AL63)),MAX(0,AL82-Hipótesis!$D$80)),0)</f>
        <v>-0</v>
      </c>
      <c r="AM83" s="109" t="n">
        <f aca="false">-IF(AND(37&gt;=Hipótesis!$D$76,MOD(37,12)=0,AM81=0),MIN(Hipótesis!$D$77*MAX(0,SUM(AB63:AM63)),MAX(0,AM82-Hipótesis!$D$80)),0)</f>
        <v>-0</v>
      </c>
      <c r="AN83" s="109" t="n">
        <f aca="false">-IF(AND(38&gt;=Hipótesis!$D$76,MOD(38,12)=0,AN81=0),MIN(Hipótesis!$D$77*MAX(0,SUM(AC63:AN63)),MAX(0,AN82-Hipótesis!$D$80)),0)</f>
        <v>-0</v>
      </c>
      <c r="AO83" s="109" t="n">
        <f aca="false">-IF(AND(39&gt;=Hipótesis!$D$76,MOD(39,12)=0,AO81=0),MIN(Hipótesis!$D$77*MAX(0,SUM(AD63:AO63)),MAX(0,AO82-Hipótesis!$D$80)),0)</f>
        <v>-0</v>
      </c>
      <c r="AP83" s="109" t="n">
        <f aca="false">-IF(AND(40&gt;=Hipótesis!$D$76,MOD(40,12)=0,AP81=0),MIN(Hipótesis!$D$77*MAX(0,SUM(AE63:AP63)),MAX(0,AP82-Hipótesis!$D$80)),0)</f>
        <v>-0</v>
      </c>
      <c r="AQ83" s="109" t="n">
        <f aca="false">-IF(AND(41&gt;=Hipótesis!$D$76,MOD(41,12)=0,AQ81=0),MIN(Hipótesis!$D$77*MAX(0,SUM(AF63:AQ63)),MAX(0,AQ82-Hipótesis!$D$80)),0)</f>
        <v>-0</v>
      </c>
      <c r="AR83" s="109" t="n">
        <f aca="false">-IF(AND(42&gt;=Hipótesis!$D$76,MOD(42,12)=0,AR81=0),MIN(Hipótesis!$D$77*MAX(0,SUM(AG63:AR63)),MAX(0,AR82-Hipótesis!$D$80)),0)</f>
        <v>-0</v>
      </c>
      <c r="AS83" s="109" t="n">
        <f aca="false">-IF(AND(43&gt;=Hipótesis!$D$76,MOD(43,12)=0,AS81=0),MIN(Hipótesis!$D$77*MAX(0,SUM(AH63:AS63)),MAX(0,AS82-Hipótesis!$D$80)),0)</f>
        <v>-0</v>
      </c>
      <c r="AT83" s="109" t="n">
        <f aca="false">-IF(AND(44&gt;=Hipótesis!$D$76,MOD(44,12)=0,AT81=0),MIN(Hipótesis!$D$77*MAX(0,SUM(AI63:AT63)),MAX(0,AT82-Hipótesis!$D$80)),0)</f>
        <v>-0</v>
      </c>
      <c r="AU83" s="109" t="n">
        <f aca="false">-IF(AND(45&gt;=Hipótesis!$D$76,MOD(45,12)=0,AU81=0),MIN(Hipótesis!$D$77*MAX(0,SUM(AJ63:AU63)),MAX(0,AU82-Hipótesis!$D$80)),0)</f>
        <v>-0</v>
      </c>
      <c r="AV83" s="109" t="n">
        <f aca="false">-IF(AND(46&gt;=Hipótesis!$D$76,MOD(46,12)=0,AV81=0),MIN(Hipótesis!$D$77*MAX(0,SUM(AK63:AV63)),MAX(0,AV82-Hipótesis!$D$80)),0)</f>
        <v>-0</v>
      </c>
      <c r="AW83" s="109" t="n">
        <f aca="false">-IF(AND(47&gt;=Hipótesis!$D$76,MOD(47,12)=0,AW81=0),MIN(Hipótesis!$D$77*MAX(0,SUM(AL63:AW63)),MAX(0,AW82-Hipótesis!$D$80)),0)</f>
        <v>-0</v>
      </c>
      <c r="AX83" s="109" t="n">
        <f aca="false">-IF(AND(48&gt;=Hipótesis!$D$76,MOD(48,12)=0,AX81=0),MIN(Hipótesis!$D$77*MAX(0,SUM(AM63:AX63)),MAX(0,AX82-Hipótesis!$D$80)),0)</f>
        <v>-154928.418262553</v>
      </c>
      <c r="AY83" s="109" t="n">
        <f aca="false">-IF(AND(49&gt;=Hipótesis!$D$76,MOD(49,12)=0,AY81=0),MIN(Hipótesis!$D$77*MAX(0,SUM(AN63:AY63)),MAX(0,AY82-Hipótesis!$D$80)),0)</f>
        <v>-0</v>
      </c>
      <c r="AZ83" s="109" t="n">
        <f aca="false">-IF(AND(50&gt;=Hipótesis!$D$76,MOD(50,12)=0,AZ81=0),MIN(Hipótesis!$D$77*MAX(0,SUM(AO63:AZ63)),MAX(0,AZ82-Hipótesis!$D$80)),0)</f>
        <v>-0</v>
      </c>
      <c r="BA83" s="109" t="n">
        <f aca="false">-IF(AND(51&gt;=Hipótesis!$D$76,MOD(51,12)=0,BA81=0),MIN(Hipótesis!$D$77*MAX(0,SUM(AP63:BA63)),MAX(0,BA82-Hipótesis!$D$80)),0)</f>
        <v>-0</v>
      </c>
      <c r="BB83" s="109" t="n">
        <f aca="false">-IF(AND(52&gt;=Hipótesis!$D$76,MOD(52,12)=0,BB81=0),MIN(Hipótesis!$D$77*MAX(0,SUM(AQ63:BB63)),MAX(0,BB82-Hipótesis!$D$80)),0)</f>
        <v>-0</v>
      </c>
      <c r="BC83" s="109" t="n">
        <f aca="false">-IF(AND(53&gt;=Hipótesis!$D$76,MOD(53,12)=0,BC81=0),MIN(Hipótesis!$D$77*MAX(0,SUM(AR63:BC63)),MAX(0,BC82-Hipótesis!$D$80)),0)</f>
        <v>-0</v>
      </c>
      <c r="BD83" s="109" t="n">
        <f aca="false">-IF(AND(54&gt;=Hipótesis!$D$76,MOD(54,12)=0,BD81=0),MIN(Hipótesis!$D$77*MAX(0,SUM(AS63:BD63)),MAX(0,BD82-Hipótesis!$D$80)),0)</f>
        <v>-0</v>
      </c>
      <c r="BE83" s="109" t="n">
        <f aca="false">-IF(AND(55&gt;=Hipótesis!$D$76,MOD(55,12)=0,BE81=0),MIN(Hipótesis!$D$77*MAX(0,SUM(AT63:BE63)),MAX(0,BE82-Hipótesis!$D$80)),0)</f>
        <v>-0</v>
      </c>
      <c r="BF83" s="109" t="n">
        <f aca="false">-IF(AND(56&gt;=Hipótesis!$D$76,MOD(56,12)=0,BF81=0),MIN(Hipótesis!$D$77*MAX(0,SUM(AU63:BF63)),MAX(0,BF82-Hipótesis!$D$80)),0)</f>
        <v>-0</v>
      </c>
      <c r="BG83" s="109" t="n">
        <f aca="false">-IF(AND(57&gt;=Hipótesis!$D$76,MOD(57,12)=0,BG81=0),MIN(Hipótesis!$D$77*MAX(0,SUM(AV63:BG63)),MAX(0,BG82-Hipótesis!$D$80)),0)</f>
        <v>-0</v>
      </c>
      <c r="BH83" s="109" t="n">
        <f aca="false">-IF(AND(58&gt;=Hipótesis!$D$76,MOD(58,12)=0,BH81=0),MIN(Hipótesis!$D$77*MAX(0,SUM(AW63:BH63)),MAX(0,BH82-Hipótesis!$D$80)),0)</f>
        <v>-0</v>
      </c>
      <c r="BI83" s="109" t="n">
        <f aca="false">-IF(AND(59&gt;=Hipótesis!$D$76,MOD(59,12)=0,BI81=0),MIN(Hipótesis!$D$77*MAX(0,SUM(AX63:BI63)),MAX(0,BI82-Hipótesis!$D$80)),0)</f>
        <v>-0</v>
      </c>
      <c r="BJ83" s="109" t="n">
        <f aca="false">-IF(AND(60&gt;=Hipótesis!$D$76,MOD(60,12)=0,BJ81=0),MIN(Hipótesis!$D$77*MAX(0,SUM(AY63:BJ63)),MAX(0,BJ82-Hipótesis!$D$80)),0)</f>
        <v>-153650.996419085</v>
      </c>
      <c r="BK83" s="109" t="n">
        <f aca="false">-IF(AND(61&gt;=Hipótesis!$D$76,MOD(61,12)=0,BK81=0),MIN(Hipótesis!$D$77*MAX(0,SUM(AZ63:BK63)),MAX(0,BK82-Hipótesis!$D$80)),0)</f>
        <v>-0</v>
      </c>
      <c r="BL83" s="109" t="n">
        <f aca="false">-IF(AND(62&gt;=Hipótesis!$D$76,MOD(62,12)=0,BL81=0),MIN(Hipótesis!$D$77*MAX(0,SUM(BA63:BL63)),MAX(0,BL82-Hipótesis!$D$80)),0)</f>
        <v>-0</v>
      </c>
      <c r="BM83" s="109" t="n">
        <f aca="false">-IF(AND(63&gt;=Hipótesis!$D$76,MOD(63,12)=0,BM81=0),MIN(Hipótesis!$D$77*MAX(0,SUM(BB63:BM63)),MAX(0,BM82-Hipótesis!$D$80)),0)</f>
        <v>-0</v>
      </c>
      <c r="BN83" s="109" t="n">
        <f aca="false">-IF(AND(64&gt;=Hipótesis!$D$76,MOD(64,12)=0,BN81=0),MIN(Hipótesis!$D$77*MAX(0,SUM(BC63:BN63)),MAX(0,BN82-Hipótesis!$D$80)),0)</f>
        <v>-0</v>
      </c>
      <c r="BO83" s="109" t="n">
        <f aca="false">-IF(AND(65&gt;=Hipótesis!$D$76,MOD(65,12)=0,BO81=0),MIN(Hipótesis!$D$77*MAX(0,SUM(BD63:BO63)),MAX(0,BO82-Hipótesis!$D$80)),0)</f>
        <v>-0</v>
      </c>
      <c r="BP83" s="109" t="n">
        <f aca="false">-IF(AND(66&gt;=Hipótesis!$D$76,MOD(66,12)=0,BP81=0),MIN(Hipótesis!$D$77*MAX(0,SUM(BE63:BP63)),MAX(0,BP82-Hipótesis!$D$80)),0)</f>
        <v>-0</v>
      </c>
      <c r="BQ83" s="109" t="n">
        <f aca="false">-IF(AND(67&gt;=Hipótesis!$D$76,MOD(67,12)=0,BQ81=0),MIN(Hipótesis!$D$77*MAX(0,SUM(BF63:BQ63)),MAX(0,BQ82-Hipótesis!$D$80)),0)</f>
        <v>-0</v>
      </c>
      <c r="BR83" s="109" t="n">
        <f aca="false">-IF(AND(68&gt;=Hipótesis!$D$76,MOD(68,12)=0,BR81=0),MIN(Hipótesis!$D$77*MAX(0,SUM(BG63:BR63)),MAX(0,BR82-Hipótesis!$D$80)),0)</f>
        <v>-0</v>
      </c>
      <c r="BS83" s="109" t="n">
        <f aca="false">-IF(AND(69&gt;=Hipótesis!$D$76,MOD(69,12)=0,BS81=0),MIN(Hipótesis!$D$77*MAX(0,SUM(BH63:BS63)),MAX(0,BS82-Hipótesis!$D$80)),0)</f>
        <v>-0</v>
      </c>
      <c r="BT83" s="109" t="n">
        <f aca="false">-IF(AND(70&gt;=Hipótesis!$D$76,MOD(70,12)=0,BT81=0),MIN(Hipótesis!$D$77*MAX(0,SUM(BI63:BT63)),MAX(0,BT82-Hipótesis!$D$80)),0)</f>
        <v>-0</v>
      </c>
      <c r="BU83" s="109" t="n">
        <f aca="false">-IF(AND(71&gt;=Hipótesis!$D$76,MOD(71,12)=0,BU81=0),MIN(Hipótesis!$D$77*MAX(0,SUM(BJ63:BU63)),MAX(0,BU82-Hipótesis!$D$80)),0)</f>
        <v>-0</v>
      </c>
      <c r="BV83" s="109" t="n">
        <f aca="false">-IF(AND(72&gt;=Hipótesis!$D$76,MOD(72,12)=0,BV81=0),MIN(Hipótesis!$D$77*MAX(0,SUM(BK63:BV63)),MAX(0,BV82-Hipótesis!$D$80)),0)</f>
        <v>-145207.326778552</v>
      </c>
      <c r="BW83" s="109" t="n">
        <f aca="false">-IF(AND(73&gt;=Hipótesis!$D$76,MOD(73,12)=0,BW81=0),MIN(Hipótesis!$D$77*MAX(0,SUM(BL63:BW63)),MAX(0,BW82-Hipótesis!$D$80)),0)</f>
        <v>-0</v>
      </c>
      <c r="BX83" s="109" t="n">
        <f aca="false">-IF(AND(74&gt;=Hipótesis!$D$76,MOD(74,12)=0,BX81=0),MIN(Hipótesis!$D$77*MAX(0,SUM(BM63:BX63)),MAX(0,BX82-Hipótesis!$D$80)),0)</f>
        <v>-0</v>
      </c>
      <c r="BY83" s="109" t="n">
        <f aca="false">-IF(AND(75&gt;=Hipótesis!$D$76,MOD(75,12)=0,BY81=0),MIN(Hipótesis!$D$77*MAX(0,SUM(BN63:BY63)),MAX(0,BY82-Hipótesis!$D$80)),0)</f>
        <v>-0</v>
      </c>
      <c r="BZ83" s="109" t="n">
        <f aca="false">-IF(AND(76&gt;=Hipótesis!$D$76,MOD(76,12)=0,BZ81=0),MIN(Hipótesis!$D$77*MAX(0,SUM(BO63:BZ63)),MAX(0,BZ82-Hipótesis!$D$80)),0)</f>
        <v>-0</v>
      </c>
      <c r="CA83" s="109" t="n">
        <f aca="false">-IF(AND(77&gt;=Hipótesis!$D$76,MOD(77,12)=0,CA81=0),MIN(Hipótesis!$D$77*MAX(0,SUM(BP63:CA63)),MAX(0,CA82-Hipótesis!$D$80)),0)</f>
        <v>-0</v>
      </c>
      <c r="CB83" s="109" t="n">
        <f aca="false">-IF(AND(78&gt;=Hipótesis!$D$76,MOD(78,12)=0,CB81=0),MIN(Hipótesis!$D$77*MAX(0,SUM(BQ63:CB63)),MAX(0,CB82-Hipótesis!$D$80)),0)</f>
        <v>-0</v>
      </c>
      <c r="CC83" s="109" t="n">
        <f aca="false">-IF(AND(79&gt;=Hipótesis!$D$76,MOD(79,12)=0,CC81=0),MIN(Hipótesis!$D$77*MAX(0,SUM(BR63:CC63)),MAX(0,CC82-Hipótesis!$D$80)),0)</f>
        <v>-0</v>
      </c>
      <c r="CD83" s="109" t="n">
        <f aca="false">-IF(AND(80&gt;=Hipótesis!$D$76,MOD(80,12)=0,CD81=0),MIN(Hipótesis!$D$77*MAX(0,SUM(BS63:CD63)),MAX(0,CD82-Hipótesis!$D$80)),0)</f>
        <v>-0</v>
      </c>
      <c r="CE83" s="109" t="n">
        <f aca="false">-IF(AND(81&gt;=Hipótesis!$D$76,MOD(81,12)=0,CE81=0),MIN(Hipótesis!$D$77*MAX(0,SUM(BT63:CE63)),MAX(0,CE82-Hipótesis!$D$80)),0)</f>
        <v>-0</v>
      </c>
      <c r="CF83" s="109" t="n">
        <f aca="false">-IF(AND(82&gt;=Hipótesis!$D$76,MOD(82,12)=0,CF81=0),MIN(Hipótesis!$D$77*MAX(0,SUM(BU63:CF63)),MAX(0,CF82-Hipótesis!$D$80)),0)</f>
        <v>-0</v>
      </c>
      <c r="CG83" s="109" t="n">
        <f aca="false">-IF(AND(83&gt;=Hipótesis!$D$76,MOD(83,12)=0,CG81=0),MIN(Hipótesis!$D$77*MAX(0,SUM(BV63:CG63)),MAX(0,CG82-Hipótesis!$D$80)),0)</f>
        <v>-0</v>
      </c>
      <c r="CH83" s="109" t="n">
        <f aca="false">-IF(AND(84&gt;=Hipótesis!$D$76,MOD(84,12)=0,CH81=0),MIN(Hipótesis!$D$77*MAX(0,SUM(BW63:CH63)),MAX(0,CH82-Hipótesis!$D$80)),0)</f>
        <v>-136712.710248803</v>
      </c>
    </row>
    <row r="84" customFormat="false" ht="13.5" hidden="false" customHeight="true" outlineLevel="0" collapsed="false">
      <c r="A84" s="22" t="s">
        <v>586</v>
      </c>
      <c r="C84" s="109" t="n">
        <f aca="false">-IF(AND(1&gt;=Hipótesis!$D$78,MOD(1,12)=0,C96=0,C89=0,C101=0,C81=0),MIN(Hipótesis!$D$79*MAX(0,C112),MAX(0,C82+C83-Hipótesis!$D$80)),0)</f>
        <v>-0</v>
      </c>
      <c r="D84" s="109" t="n">
        <f aca="false">-IF(AND(2&gt;=Hipótesis!$D$78,MOD(2,12)=0,D96=0,D89=0,D101=0,D81=0),MIN(Hipótesis!$D$79*MAX(0,D112),MAX(0,D82+D83-Hipótesis!$D$80)),0)</f>
        <v>-0</v>
      </c>
      <c r="E84" s="109" t="n">
        <f aca="false">-IF(AND(3&gt;=Hipótesis!$D$78,MOD(3,12)=0,E96=0,E89=0,E101=0,E81=0),MIN(Hipótesis!$D$79*MAX(0,E112),MAX(0,E82+E83-Hipótesis!$D$80)),0)</f>
        <v>-0</v>
      </c>
      <c r="F84" s="109" t="n">
        <f aca="false">-IF(AND(4&gt;=Hipótesis!$D$78,MOD(4,12)=0,F96=0,F89=0,F101=0,F81=0),MIN(Hipótesis!$D$79*MAX(0,F112),MAX(0,F82+F83-Hipótesis!$D$80)),0)</f>
        <v>-0</v>
      </c>
      <c r="G84" s="109" t="n">
        <f aca="false">-IF(AND(5&gt;=Hipótesis!$D$78,MOD(5,12)=0,G96=0,G89=0,G101=0,G81=0),MIN(Hipótesis!$D$79*MAX(0,G112),MAX(0,G82+G83-Hipótesis!$D$80)),0)</f>
        <v>-0</v>
      </c>
      <c r="H84" s="109" t="n">
        <f aca="false">-IF(AND(6&gt;=Hipótesis!$D$78,MOD(6,12)=0,H96=0,H89=0,H101=0,H81=0),MIN(Hipótesis!$D$79*MAX(0,H112),MAX(0,H82+H83-Hipótesis!$D$80)),0)</f>
        <v>-0</v>
      </c>
      <c r="I84" s="109" t="n">
        <f aca="false">-IF(AND(7&gt;=Hipótesis!$D$78,MOD(7,12)=0,I96=0,I89=0,I101=0,I81=0),MIN(Hipótesis!$D$79*MAX(0,I112),MAX(0,I82+I83-Hipótesis!$D$80)),0)</f>
        <v>-0</v>
      </c>
      <c r="J84" s="109" t="n">
        <f aca="false">-IF(AND(8&gt;=Hipótesis!$D$78,MOD(8,12)=0,J96=0,J89=0,J101=0,J81=0),MIN(Hipótesis!$D$79*MAX(0,J112),MAX(0,J82+J83-Hipótesis!$D$80)),0)</f>
        <v>-0</v>
      </c>
      <c r="K84" s="109" t="n">
        <f aca="false">-IF(AND(9&gt;=Hipótesis!$D$78,MOD(9,12)=0,K96=0,K89=0,K101=0,K81=0),MIN(Hipótesis!$D$79*MAX(0,K112),MAX(0,K82+K83-Hipótesis!$D$80)),0)</f>
        <v>-0</v>
      </c>
      <c r="L84" s="109" t="n">
        <f aca="false">-IF(AND(10&gt;=Hipótesis!$D$78,MOD(10,12)=0,L96=0,L89=0,L101=0,L81=0),MIN(Hipótesis!$D$79*MAX(0,L112),MAX(0,L82+L83-Hipótesis!$D$80)),0)</f>
        <v>-0</v>
      </c>
      <c r="M84" s="109" t="n">
        <f aca="false">-IF(AND(11&gt;=Hipótesis!$D$78,MOD(11,12)=0,M96=0,M89=0,M101=0,M81=0),MIN(Hipótesis!$D$79*MAX(0,M112),MAX(0,M82+M83-Hipótesis!$D$80)),0)</f>
        <v>-0</v>
      </c>
      <c r="N84" s="109" t="n">
        <f aca="false">-IF(AND(12&gt;=Hipótesis!$D$78,MOD(12,12)=0,N96=0,N89=0,N101=0,N81=0),MIN(Hipótesis!$D$79*MAX(0,N112),MAX(0,N82+N83-Hipótesis!$D$80)),0)</f>
        <v>-0</v>
      </c>
      <c r="O84" s="109" t="n">
        <f aca="false">-IF(AND(13&gt;=Hipótesis!$D$78,MOD(13,12)=0,O96=0,O89=0,O101=0,O81=0),MIN(Hipótesis!$D$79*MAX(0,O112),MAX(0,O82+O83-Hipótesis!$D$80)),0)</f>
        <v>-0</v>
      </c>
      <c r="P84" s="109" t="n">
        <f aca="false">-IF(AND(14&gt;=Hipótesis!$D$78,MOD(14,12)=0,P96=0,P89=0,P101=0,P81=0),MIN(Hipótesis!$D$79*MAX(0,P112),MAX(0,P82+P83-Hipótesis!$D$80)),0)</f>
        <v>-0</v>
      </c>
      <c r="Q84" s="109" t="n">
        <f aca="false">-IF(AND(15&gt;=Hipótesis!$D$78,MOD(15,12)=0,Q96=0,Q89=0,Q101=0,Q81=0),MIN(Hipótesis!$D$79*MAX(0,Q112),MAX(0,Q82+Q83-Hipótesis!$D$80)),0)</f>
        <v>-0</v>
      </c>
      <c r="R84" s="109" t="n">
        <f aca="false">-IF(AND(16&gt;=Hipótesis!$D$78,MOD(16,12)=0,R96=0,R89=0,R101=0,R81=0),MIN(Hipótesis!$D$79*MAX(0,R112),MAX(0,R82+R83-Hipótesis!$D$80)),0)</f>
        <v>-0</v>
      </c>
      <c r="S84" s="109" t="n">
        <f aca="false">-IF(AND(17&gt;=Hipótesis!$D$78,MOD(17,12)=0,S96=0,S89=0,S101=0,S81=0),MIN(Hipótesis!$D$79*MAX(0,S112),MAX(0,S82+S83-Hipótesis!$D$80)),0)</f>
        <v>-0</v>
      </c>
      <c r="T84" s="109" t="n">
        <f aca="false">-IF(AND(18&gt;=Hipótesis!$D$78,MOD(18,12)=0,T96=0,T89=0,T101=0,T81=0),MIN(Hipótesis!$D$79*MAX(0,T112),MAX(0,T82+T83-Hipótesis!$D$80)),0)</f>
        <v>-0</v>
      </c>
      <c r="U84" s="109" t="n">
        <f aca="false">-IF(AND(19&gt;=Hipótesis!$D$78,MOD(19,12)=0,U96=0,U89=0,U101=0,U81=0),MIN(Hipótesis!$D$79*MAX(0,U112),MAX(0,U82+U83-Hipótesis!$D$80)),0)</f>
        <v>-0</v>
      </c>
      <c r="V84" s="109" t="n">
        <f aca="false">-IF(AND(20&gt;=Hipótesis!$D$78,MOD(20,12)=0,V96=0,V89=0,V101=0,V81=0),MIN(Hipótesis!$D$79*MAX(0,V112),MAX(0,V82+V83-Hipótesis!$D$80)),0)</f>
        <v>-0</v>
      </c>
      <c r="W84" s="109" t="n">
        <f aca="false">-IF(AND(21&gt;=Hipótesis!$D$78,MOD(21,12)=0,W96=0,W89=0,W101=0,W81=0),MIN(Hipótesis!$D$79*MAX(0,W112),MAX(0,W82+W83-Hipótesis!$D$80)),0)</f>
        <v>-0</v>
      </c>
      <c r="X84" s="109" t="n">
        <f aca="false">-IF(AND(22&gt;=Hipótesis!$D$78,MOD(22,12)=0,X96=0,X89=0,X101=0,X81=0),MIN(Hipótesis!$D$79*MAX(0,X112),MAX(0,X82+X83-Hipótesis!$D$80)),0)</f>
        <v>-0</v>
      </c>
      <c r="Y84" s="109" t="n">
        <f aca="false">-IF(AND(23&gt;=Hipótesis!$D$78,MOD(23,12)=0,Y96=0,Y89=0,Y101=0,Y81=0),MIN(Hipótesis!$D$79*MAX(0,Y112),MAX(0,Y82+Y83-Hipótesis!$D$80)),0)</f>
        <v>-0</v>
      </c>
      <c r="Z84" s="109" t="n">
        <f aca="false">-IF(AND(24&gt;=Hipótesis!$D$78,MOD(24,12)=0,Z96=0,Z89=0,Z101=0,Z81=0),MIN(Hipótesis!$D$79*MAX(0,Z112),MAX(0,Z82+Z83-Hipótesis!$D$80)),0)</f>
        <v>-0</v>
      </c>
      <c r="AA84" s="109" t="n">
        <f aca="false">-IF(AND(25&gt;=Hipótesis!$D$78,MOD(25,12)=0,AA96=0,AA89=0,AA101=0,AA81=0),MIN(Hipótesis!$D$79*MAX(0,AA112),MAX(0,AA82+AA83-Hipótesis!$D$80)),0)</f>
        <v>-0</v>
      </c>
      <c r="AB84" s="109" t="n">
        <f aca="false">-IF(AND(26&gt;=Hipótesis!$D$78,MOD(26,12)=0,AB96=0,AB89=0,AB101=0,AB81=0),MIN(Hipótesis!$D$79*MAX(0,AB112),MAX(0,AB82+AB83-Hipótesis!$D$80)),0)</f>
        <v>-0</v>
      </c>
      <c r="AC84" s="109" t="n">
        <f aca="false">-IF(AND(27&gt;=Hipótesis!$D$78,MOD(27,12)=0,AC96=0,AC89=0,AC101=0,AC81=0),MIN(Hipótesis!$D$79*MAX(0,AC112),MAX(0,AC82+AC83-Hipótesis!$D$80)),0)</f>
        <v>-0</v>
      </c>
      <c r="AD84" s="109" t="n">
        <f aca="false">-IF(AND(28&gt;=Hipótesis!$D$78,MOD(28,12)=0,AD96=0,AD89=0,AD101=0,AD81=0),MIN(Hipótesis!$D$79*MAX(0,AD112),MAX(0,AD82+AD83-Hipótesis!$D$80)),0)</f>
        <v>-0</v>
      </c>
      <c r="AE84" s="109" t="n">
        <f aca="false">-IF(AND(29&gt;=Hipótesis!$D$78,MOD(29,12)=0,AE96=0,AE89=0,AE101=0,AE81=0),MIN(Hipótesis!$D$79*MAX(0,AE112),MAX(0,AE82+AE83-Hipótesis!$D$80)),0)</f>
        <v>-0</v>
      </c>
      <c r="AF84" s="109" t="n">
        <f aca="false">-IF(AND(30&gt;=Hipótesis!$D$78,MOD(30,12)=0,AF96=0,AF89=0,AF101=0,AF81=0),MIN(Hipótesis!$D$79*MAX(0,AF112),MAX(0,AF82+AF83-Hipótesis!$D$80)),0)</f>
        <v>-0</v>
      </c>
      <c r="AG84" s="109" t="n">
        <f aca="false">-IF(AND(31&gt;=Hipótesis!$D$78,MOD(31,12)=0,AG96=0,AG89=0,AG101=0,AG81=0),MIN(Hipótesis!$D$79*MAX(0,AG112),MAX(0,AG82+AG83-Hipótesis!$D$80)),0)</f>
        <v>-0</v>
      </c>
      <c r="AH84" s="109" t="n">
        <f aca="false">-IF(AND(32&gt;=Hipótesis!$D$78,MOD(32,12)=0,AH96=0,AH89=0,AH101=0,AH81=0),MIN(Hipótesis!$D$79*MAX(0,AH112),MAX(0,AH82+AH83-Hipótesis!$D$80)),0)</f>
        <v>-0</v>
      </c>
      <c r="AI84" s="109" t="n">
        <f aca="false">-IF(AND(33&gt;=Hipótesis!$D$78,MOD(33,12)=0,AI96=0,AI89=0,AI101=0,AI81=0),MIN(Hipótesis!$D$79*MAX(0,AI112),MAX(0,AI82+AI83-Hipótesis!$D$80)),0)</f>
        <v>-0</v>
      </c>
      <c r="AJ84" s="109" t="n">
        <f aca="false">-IF(AND(34&gt;=Hipótesis!$D$78,MOD(34,12)=0,AJ96=0,AJ89=0,AJ101=0,AJ81=0),MIN(Hipótesis!$D$79*MAX(0,AJ112),MAX(0,AJ82+AJ83-Hipótesis!$D$80)),0)</f>
        <v>-0</v>
      </c>
      <c r="AK84" s="109" t="n">
        <f aca="false">-IF(AND(35&gt;=Hipótesis!$D$78,MOD(35,12)=0,AK96=0,AK89=0,AK101=0,AK81=0),MIN(Hipótesis!$D$79*MAX(0,AK112),MAX(0,AK82+AK83-Hipótesis!$D$80)),0)</f>
        <v>-0</v>
      </c>
      <c r="AL84" s="109" t="n">
        <f aca="false">-IF(AND(36&gt;=Hipótesis!$D$78,MOD(36,12)=0,AL96=0,AL89=0,AL101=0,AL81=0),MIN(Hipótesis!$D$79*MAX(0,AL112),MAX(0,AL82+AL83-Hipótesis!$D$80)),0)</f>
        <v>-0</v>
      </c>
      <c r="AM84" s="109" t="n">
        <f aca="false">-IF(AND(37&gt;=Hipótesis!$D$78,MOD(37,12)=0,AM96=0,AM89=0,AM101=0,AM81=0),MIN(Hipótesis!$D$79*MAX(0,AM112),MAX(0,AM82+AM83-Hipótesis!$D$80)),0)</f>
        <v>-0</v>
      </c>
      <c r="AN84" s="109" t="n">
        <f aca="false">-IF(AND(38&gt;=Hipótesis!$D$78,MOD(38,12)=0,AN96=0,AN89=0,AN101=0,AN81=0),MIN(Hipótesis!$D$79*MAX(0,AN112),MAX(0,AN82+AN83-Hipótesis!$D$80)),0)</f>
        <v>-0</v>
      </c>
      <c r="AO84" s="109" t="n">
        <f aca="false">-IF(AND(39&gt;=Hipótesis!$D$78,MOD(39,12)=0,AO96=0,AO89=0,AO101=0,AO81=0),MIN(Hipótesis!$D$79*MAX(0,AO112),MAX(0,AO82+AO83-Hipótesis!$D$80)),0)</f>
        <v>-0</v>
      </c>
      <c r="AP84" s="109" t="n">
        <f aca="false">-IF(AND(40&gt;=Hipótesis!$D$78,MOD(40,12)=0,AP96=0,AP89=0,AP101=0,AP81=0),MIN(Hipótesis!$D$79*MAX(0,AP112),MAX(0,AP82+AP83-Hipótesis!$D$80)),0)</f>
        <v>-0</v>
      </c>
      <c r="AQ84" s="109" t="n">
        <f aca="false">-IF(AND(41&gt;=Hipótesis!$D$78,MOD(41,12)=0,AQ96=0,AQ89=0,AQ101=0,AQ81=0),MIN(Hipótesis!$D$79*MAX(0,AQ112),MAX(0,AQ82+AQ83-Hipótesis!$D$80)),0)</f>
        <v>-0</v>
      </c>
      <c r="AR84" s="109" t="n">
        <f aca="false">-IF(AND(42&gt;=Hipótesis!$D$78,MOD(42,12)=0,AR96=0,AR89=0,AR101=0,AR81=0),MIN(Hipótesis!$D$79*MAX(0,AR112),MAX(0,AR82+AR83-Hipótesis!$D$80)),0)</f>
        <v>-0</v>
      </c>
      <c r="AS84" s="109" t="n">
        <f aca="false">-IF(AND(43&gt;=Hipótesis!$D$78,MOD(43,12)=0,AS96=0,AS89=0,AS101=0,AS81=0),MIN(Hipótesis!$D$79*MAX(0,AS112),MAX(0,AS82+AS83-Hipótesis!$D$80)),0)</f>
        <v>-0</v>
      </c>
      <c r="AT84" s="109" t="n">
        <f aca="false">-IF(AND(44&gt;=Hipótesis!$D$78,MOD(44,12)=0,AT96=0,AT89=0,AT101=0,AT81=0),MIN(Hipótesis!$D$79*MAX(0,AT112),MAX(0,AT82+AT83-Hipótesis!$D$80)),0)</f>
        <v>-0</v>
      </c>
      <c r="AU84" s="109" t="n">
        <f aca="false">-IF(AND(45&gt;=Hipótesis!$D$78,MOD(45,12)=0,AU96=0,AU89=0,AU101=0,AU81=0),MIN(Hipótesis!$D$79*MAX(0,AU112),MAX(0,AU82+AU83-Hipótesis!$D$80)),0)</f>
        <v>-0</v>
      </c>
      <c r="AV84" s="109" t="n">
        <f aca="false">-IF(AND(46&gt;=Hipótesis!$D$78,MOD(46,12)=0,AV96=0,AV89=0,AV101=0,AV81=0),MIN(Hipótesis!$D$79*MAX(0,AV112),MAX(0,AV82+AV83-Hipótesis!$D$80)),0)</f>
        <v>-0</v>
      </c>
      <c r="AW84" s="109" t="n">
        <f aca="false">-IF(AND(47&gt;=Hipótesis!$D$78,MOD(47,12)=0,AW96=0,AW89=0,AW101=0,AW81=0),MIN(Hipótesis!$D$79*MAX(0,AW112),MAX(0,AW82+AW83-Hipótesis!$D$80)),0)</f>
        <v>-0</v>
      </c>
      <c r="AX84" s="109" t="n">
        <f aca="false">-IF(AND(48&gt;=Hipótesis!$D$78,MOD(48,12)=0,AX96=0,AX89=0,AX101=0,AX81=0),MIN(Hipótesis!$D$79*MAX(0,AX112),MAX(0,AX82+AX83-Hipótesis!$D$80)),0)</f>
        <v>-0</v>
      </c>
      <c r="AY84" s="109" t="n">
        <f aca="false">-IF(AND(49&gt;=Hipótesis!$D$78,MOD(49,12)=0,AY96=0,AY89=0,AY101=0,AY81=0),MIN(Hipótesis!$D$79*MAX(0,AY112),MAX(0,AY82+AY83-Hipótesis!$D$80)),0)</f>
        <v>-0</v>
      </c>
      <c r="AZ84" s="109" t="n">
        <f aca="false">-IF(AND(50&gt;=Hipótesis!$D$78,MOD(50,12)=0,AZ96=0,AZ89=0,AZ101=0,AZ81=0),MIN(Hipótesis!$D$79*MAX(0,AZ112),MAX(0,AZ82+AZ83-Hipótesis!$D$80)),0)</f>
        <v>-0</v>
      </c>
      <c r="BA84" s="109" t="n">
        <f aca="false">-IF(AND(51&gt;=Hipótesis!$D$78,MOD(51,12)=0,BA96=0,BA89=0,BA101=0,BA81=0),MIN(Hipótesis!$D$79*MAX(0,BA112),MAX(0,BA82+BA83-Hipótesis!$D$80)),0)</f>
        <v>-0</v>
      </c>
      <c r="BB84" s="109" t="n">
        <f aca="false">-IF(AND(52&gt;=Hipótesis!$D$78,MOD(52,12)=0,BB96=0,BB89=0,BB101=0,BB81=0),MIN(Hipótesis!$D$79*MAX(0,BB112),MAX(0,BB82+BB83-Hipótesis!$D$80)),0)</f>
        <v>-0</v>
      </c>
      <c r="BC84" s="109" t="n">
        <f aca="false">-IF(AND(53&gt;=Hipótesis!$D$78,MOD(53,12)=0,BC96=0,BC89=0,BC101=0,BC81=0),MIN(Hipótesis!$D$79*MAX(0,BC112),MAX(0,BC82+BC83-Hipótesis!$D$80)),0)</f>
        <v>-0</v>
      </c>
      <c r="BD84" s="109" t="n">
        <f aca="false">-IF(AND(54&gt;=Hipótesis!$D$78,MOD(54,12)=0,BD96=0,BD89=0,BD101=0,BD81=0),MIN(Hipótesis!$D$79*MAX(0,BD112),MAX(0,BD82+BD83-Hipótesis!$D$80)),0)</f>
        <v>-0</v>
      </c>
      <c r="BE84" s="109" t="n">
        <f aca="false">-IF(AND(55&gt;=Hipótesis!$D$78,MOD(55,12)=0,BE96=0,BE89=0,BE101=0,BE81=0),MIN(Hipótesis!$D$79*MAX(0,BE112),MAX(0,BE82+BE83-Hipótesis!$D$80)),0)</f>
        <v>-0</v>
      </c>
      <c r="BF84" s="109" t="n">
        <f aca="false">-IF(AND(56&gt;=Hipótesis!$D$78,MOD(56,12)=0,BF96=0,BF89=0,BF101=0,BF81=0),MIN(Hipótesis!$D$79*MAX(0,BF112),MAX(0,BF82+BF83-Hipótesis!$D$80)),0)</f>
        <v>-0</v>
      </c>
      <c r="BG84" s="109" t="n">
        <f aca="false">-IF(AND(57&gt;=Hipótesis!$D$78,MOD(57,12)=0,BG96=0,BG89=0,BG101=0,BG81=0),MIN(Hipótesis!$D$79*MAX(0,BG112),MAX(0,BG82+BG83-Hipótesis!$D$80)),0)</f>
        <v>-0</v>
      </c>
      <c r="BH84" s="109" t="n">
        <f aca="false">-IF(AND(58&gt;=Hipótesis!$D$78,MOD(58,12)=0,BH96=0,BH89=0,BH101=0,BH81=0),MIN(Hipótesis!$D$79*MAX(0,BH112),MAX(0,BH82+BH83-Hipótesis!$D$80)),0)</f>
        <v>-0</v>
      </c>
      <c r="BI84" s="109" t="n">
        <f aca="false">-IF(AND(59&gt;=Hipótesis!$D$78,MOD(59,12)=0,BI96=0,BI89=0,BI101=0,BI81=0),MIN(Hipótesis!$D$79*MAX(0,BI112),MAX(0,BI82+BI83-Hipótesis!$D$80)),0)</f>
        <v>-0</v>
      </c>
      <c r="BJ84" s="109" t="n">
        <f aca="false">-IF(AND(60&gt;=Hipótesis!$D$78,MOD(60,12)=0,BJ96=0,BJ89=0,BJ101=0,BJ81=0),MIN(Hipótesis!$D$79*MAX(0,BJ112),MAX(0,BJ82+BJ83-Hipótesis!$D$80)),0)</f>
        <v>-0</v>
      </c>
      <c r="BK84" s="109" t="n">
        <f aca="false">-IF(AND(61&gt;=Hipótesis!$D$78,MOD(61,12)=0,BK96=0,BK89=0,BK101=0,BK81=0),MIN(Hipótesis!$D$79*MAX(0,BK112),MAX(0,BK82+BK83-Hipótesis!$D$80)),0)</f>
        <v>-0</v>
      </c>
      <c r="BL84" s="109" t="n">
        <f aca="false">-IF(AND(62&gt;=Hipótesis!$D$78,MOD(62,12)=0,BL96=0,BL89=0,BL101=0,BL81=0),MIN(Hipótesis!$D$79*MAX(0,BL112),MAX(0,BL82+BL83-Hipótesis!$D$80)),0)</f>
        <v>-0</v>
      </c>
      <c r="BM84" s="109" t="n">
        <f aca="false">-IF(AND(63&gt;=Hipótesis!$D$78,MOD(63,12)=0,BM96=0,BM89=0,BM101=0,BM81=0),MIN(Hipótesis!$D$79*MAX(0,BM112),MAX(0,BM82+BM83-Hipótesis!$D$80)),0)</f>
        <v>-0</v>
      </c>
      <c r="BN84" s="109" t="n">
        <f aca="false">-IF(AND(64&gt;=Hipótesis!$D$78,MOD(64,12)=0,BN96=0,BN89=0,BN101=0,BN81=0),MIN(Hipótesis!$D$79*MAX(0,BN112),MAX(0,BN82+BN83-Hipótesis!$D$80)),0)</f>
        <v>-0</v>
      </c>
      <c r="BO84" s="109" t="n">
        <f aca="false">-IF(AND(65&gt;=Hipótesis!$D$78,MOD(65,12)=0,BO96=0,BO89=0,BO101=0,BO81=0),MIN(Hipótesis!$D$79*MAX(0,BO112),MAX(0,BO82+BO83-Hipótesis!$D$80)),0)</f>
        <v>-0</v>
      </c>
      <c r="BP84" s="109" t="n">
        <f aca="false">-IF(AND(66&gt;=Hipótesis!$D$78,MOD(66,12)=0,BP96=0,BP89=0,BP101=0,BP81=0),MIN(Hipótesis!$D$79*MAX(0,BP112),MAX(0,BP82+BP83-Hipótesis!$D$80)),0)</f>
        <v>-0</v>
      </c>
      <c r="BQ84" s="109" t="n">
        <f aca="false">-IF(AND(67&gt;=Hipótesis!$D$78,MOD(67,12)=0,BQ96=0,BQ89=0,BQ101=0,BQ81=0),MIN(Hipótesis!$D$79*MAX(0,BQ112),MAX(0,BQ82+BQ83-Hipótesis!$D$80)),0)</f>
        <v>-0</v>
      </c>
      <c r="BR84" s="109" t="n">
        <f aca="false">-IF(AND(68&gt;=Hipótesis!$D$78,MOD(68,12)=0,BR96=0,BR89=0,BR101=0,BR81=0),MIN(Hipótesis!$D$79*MAX(0,BR112),MAX(0,BR82+BR83-Hipótesis!$D$80)),0)</f>
        <v>-0</v>
      </c>
      <c r="BS84" s="109" t="n">
        <f aca="false">-IF(AND(69&gt;=Hipótesis!$D$78,MOD(69,12)=0,BS96=0,BS89=0,BS101=0,BS81=0),MIN(Hipótesis!$D$79*MAX(0,BS112),MAX(0,BS82+BS83-Hipótesis!$D$80)),0)</f>
        <v>-0</v>
      </c>
      <c r="BT84" s="109" t="n">
        <f aca="false">-IF(AND(70&gt;=Hipótesis!$D$78,MOD(70,12)=0,BT96=0,BT89=0,BT101=0,BT81=0),MIN(Hipótesis!$D$79*MAX(0,BT112),MAX(0,BT82+BT83-Hipótesis!$D$80)),0)</f>
        <v>-0</v>
      </c>
      <c r="BU84" s="109" t="n">
        <f aca="false">-IF(AND(71&gt;=Hipótesis!$D$78,MOD(71,12)=0,BU96=0,BU89=0,BU101=0,BU81=0),MIN(Hipótesis!$D$79*MAX(0,BU112),MAX(0,BU82+BU83-Hipótesis!$D$80)),0)</f>
        <v>-0</v>
      </c>
      <c r="BV84" s="109" t="n">
        <f aca="false">-IF(AND(72&gt;=Hipótesis!$D$78,MOD(72,12)=0,BV96=0,BV89=0,BV101=0,BV81=0),MIN(Hipótesis!$D$79*MAX(0,BV112),MAX(0,BV82+BV83-Hipótesis!$D$80)),0)</f>
        <v>-0</v>
      </c>
      <c r="BW84" s="109" t="n">
        <f aca="false">-IF(AND(73&gt;=Hipótesis!$D$78,MOD(73,12)=0,BW96=0,BW89=0,BW101=0,BW81=0),MIN(Hipótesis!$D$79*MAX(0,BW112),MAX(0,BW82+BW83-Hipótesis!$D$80)),0)</f>
        <v>-0</v>
      </c>
      <c r="BX84" s="109" t="n">
        <f aca="false">-IF(AND(74&gt;=Hipótesis!$D$78,MOD(74,12)=0,BX96=0,BX89=0,BX101=0,BX81=0),MIN(Hipótesis!$D$79*MAX(0,BX112),MAX(0,BX82+BX83-Hipótesis!$D$80)),0)</f>
        <v>-0</v>
      </c>
      <c r="BY84" s="109" t="n">
        <f aca="false">-IF(AND(75&gt;=Hipótesis!$D$78,MOD(75,12)=0,BY96=0,BY89=0,BY101=0,BY81=0),MIN(Hipótesis!$D$79*MAX(0,BY112),MAX(0,BY82+BY83-Hipótesis!$D$80)),0)</f>
        <v>-0</v>
      </c>
      <c r="BZ84" s="109" t="n">
        <f aca="false">-IF(AND(76&gt;=Hipótesis!$D$78,MOD(76,12)=0,BZ96=0,BZ89=0,BZ101=0,BZ81=0),MIN(Hipótesis!$D$79*MAX(0,BZ112),MAX(0,BZ82+BZ83-Hipótesis!$D$80)),0)</f>
        <v>-0</v>
      </c>
      <c r="CA84" s="109" t="n">
        <f aca="false">-IF(AND(77&gt;=Hipótesis!$D$78,MOD(77,12)=0,CA96=0,CA89=0,CA101=0,CA81=0),MIN(Hipótesis!$D$79*MAX(0,CA112),MAX(0,CA82+CA83-Hipótesis!$D$80)),0)</f>
        <v>-0</v>
      </c>
      <c r="CB84" s="109" t="n">
        <f aca="false">-IF(AND(78&gt;=Hipótesis!$D$78,MOD(78,12)=0,CB96=0,CB89=0,CB101=0,CB81=0),MIN(Hipótesis!$D$79*MAX(0,CB112),MAX(0,CB82+CB83-Hipótesis!$D$80)),0)</f>
        <v>-0</v>
      </c>
      <c r="CC84" s="109" t="n">
        <f aca="false">-IF(AND(79&gt;=Hipótesis!$D$78,MOD(79,12)=0,CC96=0,CC89=0,CC101=0,CC81=0),MIN(Hipótesis!$D$79*MAX(0,CC112),MAX(0,CC82+CC83-Hipótesis!$D$80)),0)</f>
        <v>-0</v>
      </c>
      <c r="CD84" s="109" t="n">
        <f aca="false">-IF(AND(80&gt;=Hipótesis!$D$78,MOD(80,12)=0,CD96=0,CD89=0,CD101=0,CD81=0),MIN(Hipótesis!$D$79*MAX(0,CD112),MAX(0,CD82+CD83-Hipótesis!$D$80)),0)</f>
        <v>-0</v>
      </c>
      <c r="CE84" s="109" t="n">
        <f aca="false">-IF(AND(81&gt;=Hipótesis!$D$78,MOD(81,12)=0,CE96=0,CE89=0,CE101=0,CE81=0),MIN(Hipótesis!$D$79*MAX(0,CE112),MAX(0,CE82+CE83-Hipótesis!$D$80)),0)</f>
        <v>-0</v>
      </c>
      <c r="CF84" s="109" t="n">
        <f aca="false">-IF(AND(82&gt;=Hipótesis!$D$78,MOD(82,12)=0,CF96=0,CF89=0,CF101=0,CF81=0),MIN(Hipótesis!$D$79*MAX(0,CF112),MAX(0,CF82+CF83-Hipótesis!$D$80)),0)</f>
        <v>-0</v>
      </c>
      <c r="CG84" s="109" t="n">
        <f aca="false">-IF(AND(83&gt;=Hipótesis!$D$78,MOD(83,12)=0,CG96=0,CG89=0,CG101=0,CG81=0),MIN(Hipótesis!$D$79*MAX(0,CG112),MAX(0,CG82+CG83-Hipótesis!$D$80)),0)</f>
        <v>-0</v>
      </c>
      <c r="CH84" s="109" t="n">
        <f aca="false">-IF(AND(84&gt;=Hipótesis!$D$78,MOD(84,12)=0,CH96=0,CH89=0,CH101=0,CH81=0),MIN(Hipótesis!$D$79*MAX(0,CH112),MAX(0,CH82+CH83-Hipótesis!$D$80)),0)</f>
        <v>-0</v>
      </c>
    </row>
    <row r="85" customFormat="false" ht="13.5" hidden="false" customHeight="true" outlineLevel="0" collapsed="false">
      <c r="A85" s="22" t="s">
        <v>587</v>
      </c>
      <c r="C85" s="109" t="n">
        <f aca="false">C78+C80+C83+C84</f>
        <v>155014.236322587</v>
      </c>
      <c r="D85" s="109" t="n">
        <f aca="false">D78+D80+D83+D84</f>
        <v>-28206.9307325516</v>
      </c>
      <c r="E85" s="109" t="n">
        <f aca="false">E78+E80+E83+E84</f>
        <v>-22543.0841536181</v>
      </c>
      <c r="F85" s="109" t="n">
        <f aca="false">F78+F80+F83+F84</f>
        <v>-20114.6903894057</v>
      </c>
      <c r="G85" s="109" t="n">
        <f aca="false">G78+G80+G83+G84</f>
        <v>-18077.3599141349</v>
      </c>
      <c r="H85" s="109" t="n">
        <f aca="false">H78+H80+H83+H84</f>
        <v>-15635.3158044644</v>
      </c>
      <c r="I85" s="109" t="n">
        <f aca="false">I78+I80+I83+I84</f>
        <v>-11951.4623244775</v>
      </c>
      <c r="J85" s="109" t="n">
        <f aca="false">J78+J80+J83+J84</f>
        <v>-7781.76354279989</v>
      </c>
      <c r="K85" s="109" t="n">
        <f aca="false">K78+K80+K83+K84</f>
        <v>-703.629461134609</v>
      </c>
      <c r="L85" s="109" t="n">
        <f aca="false">L78+L80+L83+L84</f>
        <v>0</v>
      </c>
      <c r="M85" s="109" t="n">
        <f aca="false">M78+M80+M83+M84</f>
        <v>0</v>
      </c>
      <c r="N85" s="109" t="n">
        <f aca="false">N78+N80+N83+N84</f>
        <v>5075.71310092765</v>
      </c>
      <c r="O85" s="109" t="n">
        <f aca="false">O78+O80+O83+O84</f>
        <v>5264.63814568107</v>
      </c>
      <c r="P85" s="109" t="n">
        <f aca="false">P78+P80+P83+P84</f>
        <v>5599.42818933495</v>
      </c>
      <c r="Q85" s="109" t="n">
        <f aca="false">Q78+Q80+Q83+Q84</f>
        <v>7774.24103048883</v>
      </c>
      <c r="R85" s="109" t="n">
        <f aca="false">R78+R80+R83+R84</f>
        <v>9949.05387164271</v>
      </c>
      <c r="S85" s="109" t="n">
        <f aca="false">S78+S80+S83+S84</f>
        <v>12123.8667127966</v>
      </c>
      <c r="T85" s="109" t="n">
        <f aca="false">T78+T80+T83+T84</f>
        <v>14298.6795539505</v>
      </c>
      <c r="U85" s="109" t="n">
        <f aca="false">U78+U80+U83+U84</f>
        <v>14548.1628351044</v>
      </c>
      <c r="V85" s="109" t="n">
        <f aca="false">V78+V80+V83+V84</f>
        <v>14457.8820762582</v>
      </c>
      <c r="W85" s="109" t="n">
        <f aca="false">W78+W80+W83+W84</f>
        <v>16632.6949174121</v>
      </c>
      <c r="X85" s="109" t="n">
        <f aca="false">X78+X80+X83+X84</f>
        <v>18362.0668920247</v>
      </c>
      <c r="Y85" s="109" t="n">
        <f aca="false">Y78+Y80+Y83+Y84</f>
        <v>19901.3438666373</v>
      </c>
      <c r="Z85" s="109" t="n">
        <f aca="false">Z78+Z80+Z83+Z84</f>
        <v>21274.0393543834</v>
      </c>
      <c r="AA85" s="109" t="n">
        <f aca="false">AA78+AA80+AA83+AA84</f>
        <v>19014.5399858628</v>
      </c>
      <c r="AB85" s="109" t="n">
        <f aca="false">AB78+AB80+AB83+AB84</f>
        <v>18344.1054490311</v>
      </c>
      <c r="AC85" s="109" t="n">
        <f aca="false">AC78+AC80+AC83+AC84</f>
        <v>19656.7603589994</v>
      </c>
      <c r="AD85" s="109" t="n">
        <f aca="false">AD78+AD80+AD83+AD84</f>
        <v>20969.4152689678</v>
      </c>
      <c r="AE85" s="109" t="n">
        <f aca="false">AE78+AE80+AE83+AE84</f>
        <v>22282.0701789361</v>
      </c>
      <c r="AF85" s="109" t="n">
        <f aca="false">AF78+AF80+AF83+AF84</f>
        <v>23594.7250889044</v>
      </c>
      <c r="AG85" s="109" t="n">
        <f aca="false">AG78+AG80+AG83+AG84</f>
        <v>24907.3799988727</v>
      </c>
      <c r="AH85" s="109" t="n">
        <f aca="false">AH78+AH80+AH83+AH84</f>
        <v>26220.034908841</v>
      </c>
      <c r="AI85" s="109" t="n">
        <f aca="false">AI78+AI80+AI83+AI84</f>
        <v>27532.6898188093</v>
      </c>
      <c r="AJ85" s="109" t="n">
        <f aca="false">AJ78+AJ80+AJ83+AJ84</f>
        <v>28845.3447287776</v>
      </c>
      <c r="AK85" s="109" t="n">
        <f aca="false">AK78+AK80+AK83+AK84</f>
        <v>30157.9996387459</v>
      </c>
      <c r="AL85" s="109" t="n">
        <f aca="false">AL78+AL80+AL83+AL84</f>
        <v>31470.6545487142</v>
      </c>
      <c r="AM85" s="109" t="n">
        <f aca="false">AM78+AM80+AM83+AM84</f>
        <v>25065.4802752011</v>
      </c>
      <c r="AN85" s="109" t="n">
        <f aca="false">AN78+AN80+AN83+AN84</f>
        <v>26219.4288563289</v>
      </c>
      <c r="AO85" s="109" t="n">
        <f aca="false">AO78+AO80+AO83+AO84</f>
        <v>27373.3774374566</v>
      </c>
      <c r="AP85" s="109" t="n">
        <f aca="false">AP78+AP80+AP83+AP84</f>
        <v>28527.3260185843</v>
      </c>
      <c r="AQ85" s="109" t="n">
        <f aca="false">AQ78+AQ80+AQ83+AQ84</f>
        <v>29681.2745997121</v>
      </c>
      <c r="AR85" s="109" t="n">
        <f aca="false">AR78+AR80+AR83+AR84</f>
        <v>30835.2231808398</v>
      </c>
      <c r="AS85" s="109" t="n">
        <f aca="false">AS78+AS80+AS83+AS84</f>
        <v>31325.2351491972</v>
      </c>
      <c r="AT85" s="109" t="n">
        <f aca="false">AT78+AT80+AT83+AT84</f>
        <v>31329.4018158638</v>
      </c>
      <c r="AU85" s="109" t="n">
        <f aca="false">AU78+AU80+AU83+AU84</f>
        <v>31333.5684825305</v>
      </c>
      <c r="AV85" s="109" t="n">
        <f aca="false">AV78+AV80+AV83+AV84</f>
        <v>31337.7351491972</v>
      </c>
      <c r="AW85" s="109" t="n">
        <f aca="false">AW78+AW80+AW83+AW84</f>
        <v>31341.9018158638</v>
      </c>
      <c r="AX85" s="109" t="n">
        <f aca="false">AX78+AX80+AX83+AX84</f>
        <v>-123582.349780022</v>
      </c>
      <c r="AY85" s="109" t="n">
        <f aca="false">AY78+AY80+AY83+AY84</f>
        <v>29551.4420989276</v>
      </c>
      <c r="AZ85" s="109" t="n">
        <f aca="false">AZ78+AZ80+AZ83+AZ84</f>
        <v>29555.6087655942</v>
      </c>
      <c r="BA85" s="109" t="n">
        <f aca="false">BA78+BA80+BA83+BA84</f>
        <v>29559.7754322609</v>
      </c>
      <c r="BB85" s="109" t="n">
        <f aca="false">BB78+BB80+BB83+BB84</f>
        <v>29563.9420989276</v>
      </c>
      <c r="BC85" s="109" t="n">
        <f aca="false">BC78+BC80+BC83+BC84</f>
        <v>29568.1087655942</v>
      </c>
      <c r="BD85" s="109" t="n">
        <f aca="false">BD78+BD80+BD83+BD84</f>
        <v>29572.2754322609</v>
      </c>
      <c r="BE85" s="109" t="n">
        <f aca="false">BE78+BE80+BE83+BE84</f>
        <v>29576.4420989276</v>
      </c>
      <c r="BF85" s="109" t="n">
        <f aca="false">BF78+BF80+BF83+BF84</f>
        <v>29580.6087655942</v>
      </c>
      <c r="BG85" s="109" t="n">
        <f aca="false">BG78+BG80+BG83+BG84</f>
        <v>29584.7754322609</v>
      </c>
      <c r="BH85" s="109" t="n">
        <f aca="false">BH78+BH80+BH83+BH84</f>
        <v>29588.9420989276</v>
      </c>
      <c r="BI85" s="109" t="n">
        <f aca="false">BI78+BI80+BI83+BI84</f>
        <v>29593.1087655942</v>
      </c>
      <c r="BJ85" s="109" t="n">
        <f aca="false">BJ78+BJ80+BJ83+BJ84</f>
        <v>-124053.720986824</v>
      </c>
      <c r="BK85" s="109" t="n">
        <f aca="false">BK78+BK80+BK83+BK84</f>
        <v>27792.3442571499</v>
      </c>
      <c r="BL85" s="109" t="n">
        <f aca="false">BL78+BL80+BL83+BL84</f>
        <v>27796.5109238165</v>
      </c>
      <c r="BM85" s="109" t="n">
        <f aca="false">BM78+BM80+BM83+BM84</f>
        <v>27800.6775904832</v>
      </c>
      <c r="BN85" s="109" t="n">
        <f aca="false">BN78+BN80+BN83+BN84</f>
        <v>27804.8442571499</v>
      </c>
      <c r="BO85" s="109" t="n">
        <f aca="false">BO78+BO80+BO83+BO84</f>
        <v>27809.0109238165</v>
      </c>
      <c r="BP85" s="109" t="n">
        <f aca="false">BP78+BP80+BP83+BP84</f>
        <v>27813.1775904832</v>
      </c>
      <c r="BQ85" s="109" t="n">
        <f aca="false">BQ78+BQ80+BQ83+BQ84</f>
        <v>27817.3442571499</v>
      </c>
      <c r="BR85" s="109" t="n">
        <f aca="false">BR78+BR80+BR83+BR84</f>
        <v>27821.5109238165</v>
      </c>
      <c r="BS85" s="109" t="n">
        <f aca="false">BS78+BS80+BS83+BS84</f>
        <v>27825.6775904832</v>
      </c>
      <c r="BT85" s="109" t="n">
        <f aca="false">BT78+BT80+BT83+BT84</f>
        <v>27829.8442571499</v>
      </c>
      <c r="BU85" s="109" t="n">
        <f aca="false">BU78+BU80+BU83+BU84</f>
        <v>27834.0109238165</v>
      </c>
      <c r="BV85" s="109" t="n">
        <f aca="false">BV78+BV80+BV83+BV84</f>
        <v>-117369.149188069</v>
      </c>
      <c r="BW85" s="109" t="n">
        <f aca="false">BW78+BW80+BW83+BW84</f>
        <v>26022.6324801188</v>
      </c>
      <c r="BX85" s="109" t="n">
        <f aca="false">BX78+BX80+BX83+BX84</f>
        <v>26026.7991467855</v>
      </c>
      <c r="BY85" s="109" t="n">
        <f aca="false">BY78+BY80+BY83+BY84</f>
        <v>26030.9658134522</v>
      </c>
      <c r="BZ85" s="109" t="n">
        <f aca="false">BZ78+BZ80+BZ83+BZ84</f>
        <v>26035.1324801188</v>
      </c>
      <c r="CA85" s="109" t="n">
        <f aca="false">CA78+CA80+CA83+CA84</f>
        <v>26039.2991467855</v>
      </c>
      <c r="CB85" s="109" t="n">
        <f aca="false">CB78+CB80+CB83+CB84</f>
        <v>26043.4658134522</v>
      </c>
      <c r="CC85" s="109" t="n">
        <f aca="false">CC78+CC80+CC83+CC84</f>
        <v>26047.6324801188</v>
      </c>
      <c r="CD85" s="109" t="n">
        <f aca="false">CD78+CD80+CD83+CD84</f>
        <v>26051.7991467855</v>
      </c>
      <c r="CE85" s="109" t="n">
        <f aca="false">CE78+CE80+CE83+CE84</f>
        <v>26055.9658134522</v>
      </c>
      <c r="CF85" s="109" t="n">
        <f aca="false">CF78+CF80+CF83+CF84</f>
        <v>26060.1324801188</v>
      </c>
      <c r="CG85" s="109" t="n">
        <f aca="false">CG78+CG80+CG83+CG84</f>
        <v>26064.2991467855</v>
      </c>
      <c r="CH85" s="109" t="n">
        <f aca="false">CH78+CH80+CH83+CH84</f>
        <v>-110644.244435351</v>
      </c>
    </row>
    <row r="86" customFormat="false" ht="13.5" hidden="false" customHeight="true" outlineLevel="0" collapsed="false">
      <c r="A86" s="47" t="s">
        <v>588</v>
      </c>
      <c r="C86" s="71" t="n">
        <f aca="false">C85</f>
        <v>155014.236322587</v>
      </c>
      <c r="D86" s="71" t="n">
        <f aca="false">C86+D85</f>
        <v>126807.305590035</v>
      </c>
      <c r="E86" s="71" t="n">
        <f aca="false">D86+E85</f>
        <v>104264.221436417</v>
      </c>
      <c r="F86" s="71" t="n">
        <f aca="false">E86+F85</f>
        <v>84149.5310470113</v>
      </c>
      <c r="G86" s="71" t="n">
        <f aca="false">F86+G85</f>
        <v>66072.1711328764</v>
      </c>
      <c r="H86" s="71" t="n">
        <f aca="false">G86+H85</f>
        <v>50436.855328412</v>
      </c>
      <c r="I86" s="71" t="n">
        <f aca="false">H86+I85</f>
        <v>38485.3930039345</v>
      </c>
      <c r="J86" s="71" t="n">
        <f aca="false">I86+J85</f>
        <v>30703.6294611346</v>
      </c>
      <c r="K86" s="71" t="n">
        <f aca="false">J86+K85</f>
        <v>30000</v>
      </c>
      <c r="L86" s="71" t="n">
        <f aca="false">K86+L85</f>
        <v>30000</v>
      </c>
      <c r="M86" s="71" t="n">
        <f aca="false">L86+M85</f>
        <v>30000</v>
      </c>
      <c r="N86" s="71" t="n">
        <f aca="false">M86+N85</f>
        <v>35075.7131009277</v>
      </c>
      <c r="O86" s="71" t="n">
        <f aca="false">N86+O85</f>
        <v>40340.3512466087</v>
      </c>
      <c r="P86" s="71" t="n">
        <f aca="false">O86+P85</f>
        <v>45939.7794359437</v>
      </c>
      <c r="Q86" s="71" t="n">
        <f aca="false">P86+Q85</f>
        <v>53714.0204664325</v>
      </c>
      <c r="R86" s="71" t="n">
        <f aca="false">Q86+R85</f>
        <v>63663.0743380752</v>
      </c>
      <c r="S86" s="71" t="n">
        <f aca="false">R86+S85</f>
        <v>75786.9410508718</v>
      </c>
      <c r="T86" s="71" t="n">
        <f aca="false">S86+T85</f>
        <v>90085.6206048223</v>
      </c>
      <c r="U86" s="71" t="n">
        <f aca="false">T86+U85</f>
        <v>104633.783439927</v>
      </c>
      <c r="V86" s="71" t="n">
        <f aca="false">U86+V85</f>
        <v>119091.665516185</v>
      </c>
      <c r="W86" s="71" t="n">
        <f aca="false">V86+W85</f>
        <v>135724.360433597</v>
      </c>
      <c r="X86" s="71" t="n">
        <f aca="false">W86+X85</f>
        <v>154086.427325622</v>
      </c>
      <c r="Y86" s="71" t="n">
        <f aca="false">X86+Y85</f>
        <v>173987.771192259</v>
      </c>
      <c r="Z86" s="71" t="n">
        <f aca="false">Y86+Z85</f>
        <v>195261.810546642</v>
      </c>
      <c r="AA86" s="71" t="n">
        <f aca="false">Z86+AA85</f>
        <v>214276.350532505</v>
      </c>
      <c r="AB86" s="71" t="n">
        <f aca="false">AA86+AB85</f>
        <v>232620.455981536</v>
      </c>
      <c r="AC86" s="71" t="n">
        <f aca="false">AB86+AC85</f>
        <v>252277.216340536</v>
      </c>
      <c r="AD86" s="71" t="n">
        <f aca="false">AC86+AD85</f>
        <v>273246.631609504</v>
      </c>
      <c r="AE86" s="71" t="n">
        <f aca="false">AD86+AE85</f>
        <v>295528.70178844</v>
      </c>
      <c r="AF86" s="71" t="n">
        <f aca="false">AE86+AF85</f>
        <v>319123.426877344</v>
      </c>
      <c r="AG86" s="71" t="n">
        <f aca="false">AF86+AG85</f>
        <v>344030.806876217</v>
      </c>
      <c r="AH86" s="71" t="n">
        <f aca="false">AG86+AH85</f>
        <v>370250.841785058</v>
      </c>
      <c r="AI86" s="71" t="n">
        <f aca="false">AH86+AI85</f>
        <v>397783.531603867</v>
      </c>
      <c r="AJ86" s="71" t="n">
        <f aca="false">AI86+AJ85</f>
        <v>426628.876332645</v>
      </c>
      <c r="AK86" s="71" t="n">
        <f aca="false">AJ86+AK85</f>
        <v>456786.875971391</v>
      </c>
      <c r="AL86" s="71" t="n">
        <f aca="false">AK86+AL85</f>
        <v>488257.530520105</v>
      </c>
      <c r="AM86" s="71" t="n">
        <f aca="false">AL86+AM85</f>
        <v>513323.010795306</v>
      </c>
      <c r="AN86" s="71" t="n">
        <f aca="false">AM86+AN85</f>
        <v>539542.439651635</v>
      </c>
      <c r="AO86" s="71" t="n">
        <f aca="false">AN86+AO85</f>
        <v>566915.817089091</v>
      </c>
      <c r="AP86" s="71" t="n">
        <f aca="false">AO86+AP85</f>
        <v>595443.143107676</v>
      </c>
      <c r="AQ86" s="71" t="n">
        <f aca="false">AP86+AQ85</f>
        <v>625124.417707388</v>
      </c>
      <c r="AR86" s="71" t="n">
        <f aca="false">AQ86+AR85</f>
        <v>655959.640888228</v>
      </c>
      <c r="AS86" s="71" t="n">
        <f aca="false">AR86+AS85</f>
        <v>687284.876037425</v>
      </c>
      <c r="AT86" s="71" t="n">
        <f aca="false">AS86+AT85</f>
        <v>718614.277853289</v>
      </c>
      <c r="AU86" s="71" t="n">
        <f aca="false">AT86+AU85</f>
        <v>749947.846335819</v>
      </c>
      <c r="AV86" s="71" t="n">
        <f aca="false">AU86+AV85</f>
        <v>781285.581485016</v>
      </c>
      <c r="AW86" s="71" t="n">
        <f aca="false">AV86+AW85</f>
        <v>812627.48330088</v>
      </c>
      <c r="AX86" s="71" t="n">
        <f aca="false">AW86+AX85</f>
        <v>689045.133520858</v>
      </c>
      <c r="AY86" s="71" t="n">
        <f aca="false">AX86+AY85</f>
        <v>718596.575619785</v>
      </c>
      <c r="AZ86" s="71" t="n">
        <f aca="false">AY86+AZ85</f>
        <v>748152.184385379</v>
      </c>
      <c r="BA86" s="71" t="n">
        <f aca="false">AZ86+BA85</f>
        <v>777711.95981764</v>
      </c>
      <c r="BB86" s="71" t="n">
        <f aca="false">BA86+BB85</f>
        <v>807275.901916568</v>
      </c>
      <c r="BC86" s="71" t="n">
        <f aca="false">BB86+BC85</f>
        <v>836844.010682162</v>
      </c>
      <c r="BD86" s="71" t="n">
        <f aca="false">BC86+BD85</f>
        <v>866416.286114423</v>
      </c>
      <c r="BE86" s="71" t="n">
        <f aca="false">BD86+BE85</f>
        <v>895992.728213351</v>
      </c>
      <c r="BF86" s="71" t="n">
        <f aca="false">BE86+BF85</f>
        <v>925573.336978945</v>
      </c>
      <c r="BG86" s="71" t="n">
        <f aca="false">BF86+BG85</f>
        <v>955158.112411206</v>
      </c>
      <c r="BH86" s="71" t="n">
        <f aca="false">BG86+BH85</f>
        <v>984747.054510133</v>
      </c>
      <c r="BI86" s="71" t="n">
        <f aca="false">BH86+BI85</f>
        <v>1014340.16327573</v>
      </c>
      <c r="BJ86" s="71" t="n">
        <f aca="false">BI86+BJ85</f>
        <v>890286.442288903</v>
      </c>
      <c r="BK86" s="71" t="n">
        <f aca="false">BJ86+BK85</f>
        <v>918078.786546053</v>
      </c>
      <c r="BL86" s="71" t="n">
        <f aca="false">BK86+BL85</f>
        <v>945875.29746987</v>
      </c>
      <c r="BM86" s="71" t="n">
        <f aca="false">BL86+BM85</f>
        <v>973675.975060353</v>
      </c>
      <c r="BN86" s="71" t="n">
        <f aca="false">BM86+BN85</f>
        <v>1001480.8193175</v>
      </c>
      <c r="BO86" s="71" t="n">
        <f aca="false">BN86+BO85</f>
        <v>1029289.83024132</v>
      </c>
      <c r="BP86" s="71" t="n">
        <f aca="false">BO86+BP85</f>
        <v>1057103.0078318</v>
      </c>
      <c r="BQ86" s="71" t="n">
        <f aca="false">BP86+BQ85</f>
        <v>1084920.35208895</v>
      </c>
      <c r="BR86" s="71" t="n">
        <f aca="false">BQ86+BR85</f>
        <v>1112741.86301277</v>
      </c>
      <c r="BS86" s="71" t="n">
        <f aca="false">BR86+BS85</f>
        <v>1140567.54060325</v>
      </c>
      <c r="BT86" s="71" t="n">
        <f aca="false">BS86+BT85</f>
        <v>1168397.3848604</v>
      </c>
      <c r="BU86" s="71" t="n">
        <f aca="false">BT86+BU85</f>
        <v>1196231.39578422</v>
      </c>
      <c r="BV86" s="71" t="n">
        <f aca="false">BU86+BV85</f>
        <v>1078862.24659615</v>
      </c>
      <c r="BW86" s="71" t="n">
        <f aca="false">BV86+BW85</f>
        <v>1104884.87907627</v>
      </c>
      <c r="BX86" s="71" t="n">
        <f aca="false">BW86+BX85</f>
        <v>1130911.67822305</v>
      </c>
      <c r="BY86" s="71" t="n">
        <f aca="false">BX86+BY85</f>
        <v>1156942.64403651</v>
      </c>
      <c r="BZ86" s="71" t="n">
        <f aca="false">BY86+BZ85</f>
        <v>1182977.77651663</v>
      </c>
      <c r="CA86" s="71" t="n">
        <f aca="false">BZ86+CA85</f>
        <v>1209017.07566341</v>
      </c>
      <c r="CB86" s="71" t="n">
        <f aca="false">CA86+CB85</f>
        <v>1235060.54147686</v>
      </c>
      <c r="CC86" s="71" t="n">
        <f aca="false">CB86+CC85</f>
        <v>1261108.17395698</v>
      </c>
      <c r="CD86" s="71" t="n">
        <f aca="false">CC86+CD85</f>
        <v>1287159.97310377</v>
      </c>
      <c r="CE86" s="71" t="n">
        <f aca="false">CD86+CE85</f>
        <v>1313215.93891722</v>
      </c>
      <c r="CF86" s="71" t="n">
        <f aca="false">CE86+CF85</f>
        <v>1339276.07139734</v>
      </c>
      <c r="CG86" s="71" t="n">
        <f aca="false">CF86+CG85</f>
        <v>1365340.37054412</v>
      </c>
      <c r="CH86" s="71" t="n">
        <f aca="false">CG86+CH85</f>
        <v>1254696.12610877</v>
      </c>
    </row>
    <row r="87" customFormat="false" ht="13.5" hidden="false" customHeight="true" outlineLevel="0" collapsed="false"/>
    <row r="88" customFormat="false" ht="12.75" hidden="false" customHeight="true" outlineLevel="0" collapsed="false">
      <c r="A88" s="9" t="s">
        <v>589</v>
      </c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s="9"/>
      <c r="BU88" s="9"/>
      <c r="BV88" s="9"/>
      <c r="BW88" s="9"/>
      <c r="BX88" s="9"/>
      <c r="BY88" s="9"/>
      <c r="BZ88" s="9"/>
      <c r="CA88" s="9"/>
      <c r="CB88" s="9"/>
      <c r="CC88" s="9"/>
      <c r="CD88" s="9"/>
      <c r="CE88" s="9"/>
      <c r="CF88" s="9"/>
      <c r="CG88" s="9"/>
      <c r="CH88" s="9"/>
    </row>
    <row r="89" customFormat="false" ht="13.5" hidden="false" customHeight="true" outlineLevel="0" collapsed="false">
      <c r="A89" s="6" t="s">
        <v>590</v>
      </c>
      <c r="C89" s="109" t="n">
        <f aca="false">IF(Hipótesis!$D$94=5,0,Hipótesis!$D$93)</f>
        <v>0</v>
      </c>
      <c r="D89" s="109" t="n">
        <f aca="false">C89-C90</f>
        <v>0</v>
      </c>
      <c r="E89" s="109" t="n">
        <f aca="false">D89-D90</f>
        <v>0</v>
      </c>
      <c r="F89" s="109" t="n">
        <f aca="false">E89-E90</f>
        <v>0</v>
      </c>
      <c r="G89" s="109" t="n">
        <f aca="false">F89-F90</f>
        <v>0</v>
      </c>
      <c r="H89" s="109" t="n">
        <f aca="false">G89-G90</f>
        <v>0</v>
      </c>
      <c r="I89" s="109" t="n">
        <f aca="false">H89-H90</f>
        <v>0</v>
      </c>
      <c r="J89" s="109" t="n">
        <f aca="false">I89-I90</f>
        <v>0</v>
      </c>
      <c r="K89" s="109" t="n">
        <f aca="false">J89-J90</f>
        <v>0</v>
      </c>
      <c r="L89" s="109" t="n">
        <f aca="false">K89-K90</f>
        <v>0</v>
      </c>
      <c r="M89" s="109" t="n">
        <f aca="false">L89-L90</f>
        <v>0</v>
      </c>
      <c r="N89" s="109" t="n">
        <f aca="false">M89-M90</f>
        <v>0</v>
      </c>
      <c r="O89" s="109" t="n">
        <f aca="false">N89-N90</f>
        <v>0</v>
      </c>
      <c r="P89" s="109" t="n">
        <f aca="false">O89-O90</f>
        <v>0</v>
      </c>
      <c r="Q89" s="109" t="n">
        <f aca="false">P89-P90</f>
        <v>0</v>
      </c>
      <c r="R89" s="109" t="n">
        <f aca="false">Q89-Q90</f>
        <v>0</v>
      </c>
      <c r="S89" s="109" t="n">
        <f aca="false">R89-R90</f>
        <v>0</v>
      </c>
      <c r="T89" s="109" t="n">
        <f aca="false">S89-S90</f>
        <v>0</v>
      </c>
      <c r="U89" s="109" t="n">
        <f aca="false">T89-T90</f>
        <v>0</v>
      </c>
      <c r="V89" s="109" t="n">
        <f aca="false">U89-U90</f>
        <v>0</v>
      </c>
      <c r="W89" s="109" t="n">
        <f aca="false">V89-V90</f>
        <v>0</v>
      </c>
      <c r="X89" s="109" t="n">
        <f aca="false">W89-W90</f>
        <v>0</v>
      </c>
      <c r="Y89" s="109" t="n">
        <f aca="false">X89-X90</f>
        <v>0</v>
      </c>
      <c r="Z89" s="109" t="n">
        <f aca="false">Y89-Y90</f>
        <v>0</v>
      </c>
      <c r="AA89" s="109" t="n">
        <f aca="false">Z89-Z90</f>
        <v>0</v>
      </c>
      <c r="AB89" s="109" t="n">
        <f aca="false">AA89-AA90</f>
        <v>0</v>
      </c>
      <c r="AC89" s="109" t="n">
        <f aca="false">AB89-AB90</f>
        <v>0</v>
      </c>
      <c r="AD89" s="109" t="n">
        <f aca="false">AC89-AC90</f>
        <v>0</v>
      </c>
      <c r="AE89" s="109" t="n">
        <f aca="false">AD89-AD90</f>
        <v>0</v>
      </c>
      <c r="AF89" s="109" t="n">
        <f aca="false">AE89-AE90</f>
        <v>0</v>
      </c>
      <c r="AG89" s="109" t="n">
        <f aca="false">AF89-AF90</f>
        <v>0</v>
      </c>
      <c r="AH89" s="109" t="n">
        <f aca="false">AG89-AG90</f>
        <v>0</v>
      </c>
      <c r="AI89" s="109" t="n">
        <f aca="false">AH89-AH90</f>
        <v>0</v>
      </c>
      <c r="AJ89" s="109" t="n">
        <f aca="false">AI89-AI90</f>
        <v>0</v>
      </c>
      <c r="AK89" s="109" t="n">
        <f aca="false">AJ89-AJ90</f>
        <v>0</v>
      </c>
      <c r="AL89" s="109" t="n">
        <f aca="false">AK89-AK90</f>
        <v>0</v>
      </c>
      <c r="AM89" s="109" t="n">
        <f aca="false">AL89-AL90</f>
        <v>0</v>
      </c>
      <c r="AN89" s="109" t="n">
        <f aca="false">AM89-AM90</f>
        <v>0</v>
      </c>
      <c r="AO89" s="109" t="n">
        <f aca="false">AN89-AN90</f>
        <v>0</v>
      </c>
      <c r="AP89" s="109" t="n">
        <f aca="false">AO89-AO90</f>
        <v>0</v>
      </c>
      <c r="AQ89" s="109" t="n">
        <f aca="false">AP89-AP90</f>
        <v>0</v>
      </c>
      <c r="AR89" s="109" t="n">
        <f aca="false">AQ89-AQ90</f>
        <v>0</v>
      </c>
      <c r="AS89" s="109" t="n">
        <f aca="false">AR89-AR90</f>
        <v>0</v>
      </c>
      <c r="AT89" s="109" t="n">
        <f aca="false">AS89-AS90</f>
        <v>0</v>
      </c>
      <c r="AU89" s="109" t="n">
        <f aca="false">AT89-AT90</f>
        <v>0</v>
      </c>
      <c r="AV89" s="109" t="n">
        <f aca="false">AU89-AU90</f>
        <v>0</v>
      </c>
      <c r="AW89" s="109" t="n">
        <f aca="false">AV89-AV90</f>
        <v>0</v>
      </c>
      <c r="AX89" s="109" t="n">
        <f aca="false">AW89-AW90</f>
        <v>0</v>
      </c>
      <c r="AY89" s="109" t="n">
        <f aca="false">AX89-AX90</f>
        <v>0</v>
      </c>
      <c r="AZ89" s="109" t="n">
        <f aca="false">AY89-AY90</f>
        <v>0</v>
      </c>
      <c r="BA89" s="109" t="n">
        <f aca="false">AZ89-AZ90</f>
        <v>0</v>
      </c>
      <c r="BB89" s="109" t="n">
        <f aca="false">BA89-BA90</f>
        <v>0</v>
      </c>
      <c r="BC89" s="109" t="n">
        <f aca="false">BB89-BB90</f>
        <v>0</v>
      </c>
      <c r="BD89" s="109" t="n">
        <f aca="false">BC89-BC90</f>
        <v>0</v>
      </c>
      <c r="BE89" s="109" t="n">
        <f aca="false">BD89-BD90</f>
        <v>0</v>
      </c>
      <c r="BF89" s="109" t="n">
        <f aca="false">BE89-BE90</f>
        <v>0</v>
      </c>
      <c r="BG89" s="109" t="n">
        <f aca="false">BF89-BF90</f>
        <v>0</v>
      </c>
      <c r="BH89" s="109" t="n">
        <f aca="false">BG89-BG90</f>
        <v>0</v>
      </c>
      <c r="BI89" s="109" t="n">
        <f aca="false">BH89-BH90</f>
        <v>0</v>
      </c>
      <c r="BJ89" s="109" t="n">
        <f aca="false">BI89-BI90</f>
        <v>0</v>
      </c>
      <c r="BK89" s="109" t="n">
        <f aca="false">BJ89-BJ90</f>
        <v>0</v>
      </c>
      <c r="BL89" s="109" t="n">
        <f aca="false">BK89-BK90</f>
        <v>0</v>
      </c>
      <c r="BM89" s="109" t="n">
        <f aca="false">BL89-BL90</f>
        <v>0</v>
      </c>
      <c r="BN89" s="109" t="n">
        <f aca="false">BM89-BM90</f>
        <v>0</v>
      </c>
      <c r="BO89" s="109" t="n">
        <f aca="false">BN89-BN90</f>
        <v>0</v>
      </c>
      <c r="BP89" s="109" t="n">
        <f aca="false">BO89-BO90</f>
        <v>0</v>
      </c>
      <c r="BQ89" s="109" t="n">
        <f aca="false">BP89-BP90</f>
        <v>0</v>
      </c>
      <c r="BR89" s="109" t="n">
        <f aca="false">BQ89-BQ90</f>
        <v>0</v>
      </c>
      <c r="BS89" s="109" t="n">
        <f aca="false">BR89-BR90</f>
        <v>0</v>
      </c>
      <c r="BT89" s="109" t="n">
        <f aca="false">BS89-BS90</f>
        <v>0</v>
      </c>
      <c r="BU89" s="109" t="n">
        <f aca="false">BT89-BT90</f>
        <v>0</v>
      </c>
      <c r="BV89" s="109" t="n">
        <f aca="false">BU89-BU90</f>
        <v>0</v>
      </c>
      <c r="BW89" s="109" t="n">
        <f aca="false">BV89-BV90</f>
        <v>0</v>
      </c>
      <c r="BX89" s="109" t="n">
        <f aca="false">BW89-BW90</f>
        <v>0</v>
      </c>
      <c r="BY89" s="109" t="n">
        <f aca="false">BX89-BX90</f>
        <v>0</v>
      </c>
      <c r="BZ89" s="109" t="n">
        <f aca="false">BY89-BY90</f>
        <v>0</v>
      </c>
      <c r="CA89" s="109" t="n">
        <f aca="false">BZ89-BZ90</f>
        <v>0</v>
      </c>
      <c r="CB89" s="109" t="n">
        <f aca="false">CA89-CA90</f>
        <v>0</v>
      </c>
      <c r="CC89" s="109" t="n">
        <f aca="false">CB89-CB90</f>
        <v>0</v>
      </c>
      <c r="CD89" s="109" t="n">
        <f aca="false">CC89-CC90</f>
        <v>0</v>
      </c>
      <c r="CE89" s="109" t="n">
        <f aca="false">CD89-CD90</f>
        <v>0</v>
      </c>
      <c r="CF89" s="109" t="n">
        <f aca="false">CE89-CE90</f>
        <v>0</v>
      </c>
      <c r="CG89" s="109" t="n">
        <f aca="false">CF89-CF90</f>
        <v>0</v>
      </c>
      <c r="CH89" s="109" t="n">
        <f aca="false">CG89-CG90</f>
        <v>0</v>
      </c>
    </row>
    <row r="90" customFormat="false" ht="13.5" hidden="false" customHeight="true" outlineLevel="0" collapsed="false">
      <c r="A90" s="6" t="s">
        <v>591</v>
      </c>
      <c r="C90" s="109" t="n">
        <f aca="false">IF(1&lt;=Hipótesis!$D$97,0,IF(C89&gt;0,MIN(C89,Hipótesis!$D$93/MAX(Hipótesis!$D$96-Hipótesis!$D$97,1)),0))</f>
        <v>0</v>
      </c>
      <c r="D90" s="109" t="n">
        <f aca="false">IF(2&lt;=Hipótesis!$D$97,0,IF(D89&gt;0,MIN(D89,Hipótesis!$D$93/MAX(Hipótesis!$D$96-Hipótesis!$D$97,1)),0))</f>
        <v>0</v>
      </c>
      <c r="E90" s="109" t="n">
        <f aca="false">IF(3&lt;=Hipótesis!$D$97,0,IF(E89&gt;0,MIN(E89,Hipótesis!$D$93/MAX(Hipótesis!$D$96-Hipótesis!$D$97,1)),0))</f>
        <v>0</v>
      </c>
      <c r="F90" s="109" t="n">
        <f aca="false">IF(4&lt;=Hipótesis!$D$97,0,IF(F89&gt;0,MIN(F89,Hipótesis!$D$93/MAX(Hipótesis!$D$96-Hipótesis!$D$97,1)),0))</f>
        <v>0</v>
      </c>
      <c r="G90" s="109" t="n">
        <f aca="false">IF(5&lt;=Hipótesis!$D$97,0,IF(G89&gt;0,MIN(G89,Hipótesis!$D$93/MAX(Hipótesis!$D$96-Hipótesis!$D$97,1)),0))</f>
        <v>0</v>
      </c>
      <c r="H90" s="109" t="n">
        <f aca="false">IF(6&lt;=Hipótesis!$D$97,0,IF(H89&gt;0,MIN(H89,Hipótesis!$D$93/MAX(Hipótesis!$D$96-Hipótesis!$D$97,1)),0))</f>
        <v>0</v>
      </c>
      <c r="I90" s="109" t="n">
        <f aca="false">IF(7&lt;=Hipótesis!$D$97,0,IF(I89&gt;0,MIN(I89,Hipótesis!$D$93/MAX(Hipótesis!$D$96-Hipótesis!$D$97,1)),0))</f>
        <v>0</v>
      </c>
      <c r="J90" s="109" t="n">
        <f aca="false">IF(8&lt;=Hipótesis!$D$97,0,IF(J89&gt;0,MIN(J89,Hipótesis!$D$93/MAX(Hipótesis!$D$96-Hipótesis!$D$97,1)),0))</f>
        <v>0</v>
      </c>
      <c r="K90" s="109" t="n">
        <f aca="false">IF(9&lt;=Hipótesis!$D$97,0,IF(K89&gt;0,MIN(K89,Hipótesis!$D$93/MAX(Hipótesis!$D$96-Hipótesis!$D$97,1)),0))</f>
        <v>0</v>
      </c>
      <c r="L90" s="109" t="n">
        <f aca="false">IF(10&lt;=Hipótesis!$D$97,0,IF(L89&gt;0,MIN(L89,Hipótesis!$D$93/MAX(Hipótesis!$D$96-Hipótesis!$D$97,1)),0))</f>
        <v>0</v>
      </c>
      <c r="M90" s="109" t="n">
        <f aca="false">IF(11&lt;=Hipótesis!$D$97,0,IF(M89&gt;0,MIN(M89,Hipótesis!$D$93/MAX(Hipótesis!$D$96-Hipótesis!$D$97,1)),0))</f>
        <v>0</v>
      </c>
      <c r="N90" s="109" t="n">
        <f aca="false">IF(12&lt;=Hipótesis!$D$97,0,IF(N89&gt;0,MIN(N89,Hipótesis!$D$93/MAX(Hipótesis!$D$96-Hipótesis!$D$97,1)),0))</f>
        <v>0</v>
      </c>
      <c r="O90" s="109" t="n">
        <f aca="false">IF(13&lt;=Hipótesis!$D$97,0,IF(O89&gt;0,MIN(O89,Hipótesis!$D$93/MAX(Hipótesis!$D$96-Hipótesis!$D$97,1)),0))</f>
        <v>0</v>
      </c>
      <c r="P90" s="109" t="n">
        <f aca="false">IF(14&lt;=Hipótesis!$D$97,0,IF(P89&gt;0,MIN(P89,Hipótesis!$D$93/MAX(Hipótesis!$D$96-Hipótesis!$D$97,1)),0))</f>
        <v>0</v>
      </c>
      <c r="Q90" s="109" t="n">
        <f aca="false">IF(15&lt;=Hipótesis!$D$97,0,IF(Q89&gt;0,MIN(Q89,Hipótesis!$D$93/MAX(Hipótesis!$D$96-Hipótesis!$D$97,1)),0))</f>
        <v>0</v>
      </c>
      <c r="R90" s="109" t="n">
        <f aca="false">IF(16&lt;=Hipótesis!$D$97,0,IF(R89&gt;0,MIN(R89,Hipótesis!$D$93/MAX(Hipótesis!$D$96-Hipótesis!$D$97,1)),0))</f>
        <v>0</v>
      </c>
      <c r="S90" s="109" t="n">
        <f aca="false">IF(17&lt;=Hipótesis!$D$97,0,IF(S89&gt;0,MIN(S89,Hipótesis!$D$93/MAX(Hipótesis!$D$96-Hipótesis!$D$97,1)),0))</f>
        <v>0</v>
      </c>
      <c r="T90" s="109" t="n">
        <f aca="false">IF(18&lt;=Hipótesis!$D$97,0,IF(T89&gt;0,MIN(T89,Hipótesis!$D$93/MAX(Hipótesis!$D$96-Hipótesis!$D$97,1)),0))</f>
        <v>0</v>
      </c>
      <c r="U90" s="109" t="n">
        <f aca="false">IF(19&lt;=Hipótesis!$D$97,0,IF(U89&gt;0,MIN(U89,Hipótesis!$D$93/MAX(Hipótesis!$D$96-Hipótesis!$D$97,1)),0))</f>
        <v>0</v>
      </c>
      <c r="V90" s="109" t="n">
        <f aca="false">IF(20&lt;=Hipótesis!$D$97,0,IF(V89&gt;0,MIN(V89,Hipótesis!$D$93/MAX(Hipótesis!$D$96-Hipótesis!$D$97,1)),0))</f>
        <v>0</v>
      </c>
      <c r="W90" s="109" t="n">
        <f aca="false">IF(21&lt;=Hipótesis!$D$97,0,IF(W89&gt;0,MIN(W89,Hipótesis!$D$93/MAX(Hipótesis!$D$96-Hipótesis!$D$97,1)),0))</f>
        <v>0</v>
      </c>
      <c r="X90" s="109" t="n">
        <f aca="false">IF(22&lt;=Hipótesis!$D$97,0,IF(X89&gt;0,MIN(X89,Hipótesis!$D$93/MAX(Hipótesis!$D$96-Hipótesis!$D$97,1)),0))</f>
        <v>0</v>
      </c>
      <c r="Y90" s="109" t="n">
        <f aca="false">IF(23&lt;=Hipótesis!$D$97,0,IF(Y89&gt;0,MIN(Y89,Hipótesis!$D$93/MAX(Hipótesis!$D$96-Hipótesis!$D$97,1)),0))</f>
        <v>0</v>
      </c>
      <c r="Z90" s="109" t="n">
        <f aca="false">IF(24&lt;=Hipótesis!$D$97,0,IF(Z89&gt;0,MIN(Z89,Hipótesis!$D$93/MAX(Hipótesis!$D$96-Hipótesis!$D$97,1)),0))</f>
        <v>0</v>
      </c>
      <c r="AA90" s="109" t="n">
        <f aca="false">IF(25&lt;=Hipótesis!$D$97,0,IF(AA89&gt;0,MIN(AA89,Hipótesis!$D$93/MAX(Hipótesis!$D$96-Hipótesis!$D$97,1)),0))</f>
        <v>0</v>
      </c>
      <c r="AB90" s="109" t="n">
        <f aca="false">IF(26&lt;=Hipótesis!$D$97,0,IF(AB89&gt;0,MIN(AB89,Hipótesis!$D$93/MAX(Hipótesis!$D$96-Hipótesis!$D$97,1)),0))</f>
        <v>0</v>
      </c>
      <c r="AC90" s="109" t="n">
        <f aca="false">IF(27&lt;=Hipótesis!$D$97,0,IF(AC89&gt;0,MIN(AC89,Hipótesis!$D$93/MAX(Hipótesis!$D$96-Hipótesis!$D$97,1)),0))</f>
        <v>0</v>
      </c>
      <c r="AD90" s="109" t="n">
        <f aca="false">IF(28&lt;=Hipótesis!$D$97,0,IF(AD89&gt;0,MIN(AD89,Hipótesis!$D$93/MAX(Hipótesis!$D$96-Hipótesis!$D$97,1)),0))</f>
        <v>0</v>
      </c>
      <c r="AE90" s="109" t="n">
        <f aca="false">IF(29&lt;=Hipótesis!$D$97,0,IF(AE89&gt;0,MIN(AE89,Hipótesis!$D$93/MAX(Hipótesis!$D$96-Hipótesis!$D$97,1)),0))</f>
        <v>0</v>
      </c>
      <c r="AF90" s="109" t="n">
        <f aca="false">IF(30&lt;=Hipótesis!$D$97,0,IF(AF89&gt;0,MIN(AF89,Hipótesis!$D$93/MAX(Hipótesis!$D$96-Hipótesis!$D$97,1)),0))</f>
        <v>0</v>
      </c>
      <c r="AG90" s="109" t="n">
        <f aca="false">IF(31&lt;=Hipótesis!$D$97,0,IF(AG89&gt;0,MIN(AG89,Hipótesis!$D$93/MAX(Hipótesis!$D$96-Hipótesis!$D$97,1)),0))</f>
        <v>0</v>
      </c>
      <c r="AH90" s="109" t="n">
        <f aca="false">IF(32&lt;=Hipótesis!$D$97,0,IF(AH89&gt;0,MIN(AH89,Hipótesis!$D$93/MAX(Hipótesis!$D$96-Hipótesis!$D$97,1)),0))</f>
        <v>0</v>
      </c>
      <c r="AI90" s="109" t="n">
        <f aca="false">IF(33&lt;=Hipótesis!$D$97,0,IF(AI89&gt;0,MIN(AI89,Hipótesis!$D$93/MAX(Hipótesis!$D$96-Hipótesis!$D$97,1)),0))</f>
        <v>0</v>
      </c>
      <c r="AJ90" s="109" t="n">
        <f aca="false">IF(34&lt;=Hipótesis!$D$97,0,IF(AJ89&gt;0,MIN(AJ89,Hipótesis!$D$93/MAX(Hipótesis!$D$96-Hipótesis!$D$97,1)),0))</f>
        <v>0</v>
      </c>
      <c r="AK90" s="109" t="n">
        <f aca="false">IF(35&lt;=Hipótesis!$D$97,0,IF(AK89&gt;0,MIN(AK89,Hipótesis!$D$93/MAX(Hipótesis!$D$96-Hipótesis!$D$97,1)),0))</f>
        <v>0</v>
      </c>
      <c r="AL90" s="109" t="n">
        <f aca="false">IF(36&lt;=Hipótesis!$D$97,0,IF(AL89&gt;0,MIN(AL89,Hipótesis!$D$93/MAX(Hipótesis!$D$96-Hipótesis!$D$97,1)),0))</f>
        <v>0</v>
      </c>
      <c r="AM90" s="109" t="n">
        <f aca="false">IF(37&lt;=Hipótesis!$D$97,0,IF(AM89&gt;0,MIN(AM89,Hipótesis!$D$93/MAX(Hipótesis!$D$96-Hipótesis!$D$97,1)),0))</f>
        <v>0</v>
      </c>
      <c r="AN90" s="109" t="n">
        <f aca="false">IF(38&lt;=Hipótesis!$D$97,0,IF(AN89&gt;0,MIN(AN89,Hipótesis!$D$93/MAX(Hipótesis!$D$96-Hipótesis!$D$97,1)),0))</f>
        <v>0</v>
      </c>
      <c r="AO90" s="109" t="n">
        <f aca="false">IF(39&lt;=Hipótesis!$D$97,0,IF(AO89&gt;0,MIN(AO89,Hipótesis!$D$93/MAX(Hipótesis!$D$96-Hipótesis!$D$97,1)),0))</f>
        <v>0</v>
      </c>
      <c r="AP90" s="109" t="n">
        <f aca="false">IF(40&lt;=Hipótesis!$D$97,0,IF(AP89&gt;0,MIN(AP89,Hipótesis!$D$93/MAX(Hipótesis!$D$96-Hipótesis!$D$97,1)),0))</f>
        <v>0</v>
      </c>
      <c r="AQ90" s="109" t="n">
        <f aca="false">IF(41&lt;=Hipótesis!$D$97,0,IF(AQ89&gt;0,MIN(AQ89,Hipótesis!$D$93/MAX(Hipótesis!$D$96-Hipótesis!$D$97,1)),0))</f>
        <v>0</v>
      </c>
      <c r="AR90" s="109" t="n">
        <f aca="false">IF(42&lt;=Hipótesis!$D$97,0,IF(AR89&gt;0,MIN(AR89,Hipótesis!$D$93/MAX(Hipótesis!$D$96-Hipótesis!$D$97,1)),0))</f>
        <v>0</v>
      </c>
      <c r="AS90" s="109" t="n">
        <f aca="false">IF(43&lt;=Hipótesis!$D$97,0,IF(AS89&gt;0,MIN(AS89,Hipótesis!$D$93/MAX(Hipótesis!$D$96-Hipótesis!$D$97,1)),0))</f>
        <v>0</v>
      </c>
      <c r="AT90" s="109" t="n">
        <f aca="false">IF(44&lt;=Hipótesis!$D$97,0,IF(AT89&gt;0,MIN(AT89,Hipótesis!$D$93/MAX(Hipótesis!$D$96-Hipótesis!$D$97,1)),0))</f>
        <v>0</v>
      </c>
      <c r="AU90" s="109" t="n">
        <f aca="false">IF(45&lt;=Hipótesis!$D$97,0,IF(AU89&gt;0,MIN(AU89,Hipótesis!$D$93/MAX(Hipótesis!$D$96-Hipótesis!$D$97,1)),0))</f>
        <v>0</v>
      </c>
      <c r="AV90" s="109" t="n">
        <f aca="false">IF(46&lt;=Hipótesis!$D$97,0,IF(AV89&gt;0,MIN(AV89,Hipótesis!$D$93/MAX(Hipótesis!$D$96-Hipótesis!$D$97,1)),0))</f>
        <v>0</v>
      </c>
      <c r="AW90" s="109" t="n">
        <f aca="false">IF(47&lt;=Hipótesis!$D$97,0,IF(AW89&gt;0,MIN(AW89,Hipótesis!$D$93/MAX(Hipótesis!$D$96-Hipótesis!$D$97,1)),0))</f>
        <v>0</v>
      </c>
      <c r="AX90" s="109" t="n">
        <f aca="false">IF(48&lt;=Hipótesis!$D$97,0,IF(AX89&gt;0,MIN(AX89,Hipótesis!$D$93/MAX(Hipótesis!$D$96-Hipótesis!$D$97,1)),0))</f>
        <v>0</v>
      </c>
      <c r="AY90" s="109" t="n">
        <f aca="false">IF(49&lt;=Hipótesis!$D$97,0,IF(AY89&gt;0,MIN(AY89,Hipótesis!$D$93/MAX(Hipótesis!$D$96-Hipótesis!$D$97,1)),0))</f>
        <v>0</v>
      </c>
      <c r="AZ90" s="109" t="n">
        <f aca="false">IF(50&lt;=Hipótesis!$D$97,0,IF(AZ89&gt;0,MIN(AZ89,Hipótesis!$D$93/MAX(Hipótesis!$D$96-Hipótesis!$D$97,1)),0))</f>
        <v>0</v>
      </c>
      <c r="BA90" s="109" t="n">
        <f aca="false">IF(51&lt;=Hipótesis!$D$97,0,IF(BA89&gt;0,MIN(BA89,Hipótesis!$D$93/MAX(Hipótesis!$D$96-Hipótesis!$D$97,1)),0))</f>
        <v>0</v>
      </c>
      <c r="BB90" s="109" t="n">
        <f aca="false">IF(52&lt;=Hipótesis!$D$97,0,IF(BB89&gt;0,MIN(BB89,Hipótesis!$D$93/MAX(Hipótesis!$D$96-Hipótesis!$D$97,1)),0))</f>
        <v>0</v>
      </c>
      <c r="BC90" s="109" t="n">
        <f aca="false">IF(53&lt;=Hipótesis!$D$97,0,IF(BC89&gt;0,MIN(BC89,Hipótesis!$D$93/MAX(Hipótesis!$D$96-Hipótesis!$D$97,1)),0))</f>
        <v>0</v>
      </c>
      <c r="BD90" s="109" t="n">
        <f aca="false">IF(54&lt;=Hipótesis!$D$97,0,IF(BD89&gt;0,MIN(BD89,Hipótesis!$D$93/MAX(Hipótesis!$D$96-Hipótesis!$D$97,1)),0))</f>
        <v>0</v>
      </c>
      <c r="BE90" s="109" t="n">
        <f aca="false">IF(55&lt;=Hipótesis!$D$97,0,IF(BE89&gt;0,MIN(BE89,Hipótesis!$D$93/MAX(Hipótesis!$D$96-Hipótesis!$D$97,1)),0))</f>
        <v>0</v>
      </c>
      <c r="BF90" s="109" t="n">
        <f aca="false">IF(56&lt;=Hipótesis!$D$97,0,IF(BF89&gt;0,MIN(BF89,Hipótesis!$D$93/MAX(Hipótesis!$D$96-Hipótesis!$D$97,1)),0))</f>
        <v>0</v>
      </c>
      <c r="BG90" s="109" t="n">
        <f aca="false">IF(57&lt;=Hipótesis!$D$97,0,IF(BG89&gt;0,MIN(BG89,Hipótesis!$D$93/MAX(Hipótesis!$D$96-Hipótesis!$D$97,1)),0))</f>
        <v>0</v>
      </c>
      <c r="BH90" s="109" t="n">
        <f aca="false">IF(58&lt;=Hipótesis!$D$97,0,IF(BH89&gt;0,MIN(BH89,Hipótesis!$D$93/MAX(Hipótesis!$D$96-Hipótesis!$D$97,1)),0))</f>
        <v>0</v>
      </c>
      <c r="BI90" s="109" t="n">
        <f aca="false">IF(59&lt;=Hipótesis!$D$97,0,IF(BI89&gt;0,MIN(BI89,Hipótesis!$D$93/MAX(Hipótesis!$D$96-Hipótesis!$D$97,1)),0))</f>
        <v>0</v>
      </c>
      <c r="BJ90" s="109" t="n">
        <f aca="false">IF(60&lt;=Hipótesis!$D$97,0,IF(BJ89&gt;0,MIN(BJ89,Hipótesis!$D$93/MAX(Hipótesis!$D$96-Hipótesis!$D$97,1)),0))</f>
        <v>0</v>
      </c>
      <c r="BK90" s="109" t="n">
        <f aca="false">IF(61&lt;=Hipótesis!$D$97,0,IF(BK89&gt;0,MIN(BK89,Hipótesis!$D$93/MAX(Hipótesis!$D$96-Hipótesis!$D$97,1)),0))</f>
        <v>0</v>
      </c>
      <c r="BL90" s="109" t="n">
        <f aca="false">IF(62&lt;=Hipótesis!$D$97,0,IF(BL89&gt;0,MIN(BL89,Hipótesis!$D$93/MAX(Hipótesis!$D$96-Hipótesis!$D$97,1)),0))</f>
        <v>0</v>
      </c>
      <c r="BM90" s="109" t="n">
        <f aca="false">IF(63&lt;=Hipótesis!$D$97,0,IF(BM89&gt;0,MIN(BM89,Hipótesis!$D$93/MAX(Hipótesis!$D$96-Hipótesis!$D$97,1)),0))</f>
        <v>0</v>
      </c>
      <c r="BN90" s="109" t="n">
        <f aca="false">IF(64&lt;=Hipótesis!$D$97,0,IF(BN89&gt;0,MIN(BN89,Hipótesis!$D$93/MAX(Hipótesis!$D$96-Hipótesis!$D$97,1)),0))</f>
        <v>0</v>
      </c>
      <c r="BO90" s="109" t="n">
        <f aca="false">IF(65&lt;=Hipótesis!$D$97,0,IF(BO89&gt;0,MIN(BO89,Hipótesis!$D$93/MAX(Hipótesis!$D$96-Hipótesis!$D$97,1)),0))</f>
        <v>0</v>
      </c>
      <c r="BP90" s="109" t="n">
        <f aca="false">IF(66&lt;=Hipótesis!$D$97,0,IF(BP89&gt;0,MIN(BP89,Hipótesis!$D$93/MAX(Hipótesis!$D$96-Hipótesis!$D$97,1)),0))</f>
        <v>0</v>
      </c>
      <c r="BQ90" s="109" t="n">
        <f aca="false">IF(67&lt;=Hipótesis!$D$97,0,IF(BQ89&gt;0,MIN(BQ89,Hipótesis!$D$93/MAX(Hipótesis!$D$96-Hipótesis!$D$97,1)),0))</f>
        <v>0</v>
      </c>
      <c r="BR90" s="109" t="n">
        <f aca="false">IF(68&lt;=Hipótesis!$D$97,0,IF(BR89&gt;0,MIN(BR89,Hipótesis!$D$93/MAX(Hipótesis!$D$96-Hipótesis!$D$97,1)),0))</f>
        <v>0</v>
      </c>
      <c r="BS90" s="109" t="n">
        <f aca="false">IF(69&lt;=Hipótesis!$D$97,0,IF(BS89&gt;0,MIN(BS89,Hipótesis!$D$93/MAX(Hipótesis!$D$96-Hipótesis!$D$97,1)),0))</f>
        <v>0</v>
      </c>
      <c r="BT90" s="109" t="n">
        <f aca="false">IF(70&lt;=Hipótesis!$D$97,0,IF(BT89&gt;0,MIN(BT89,Hipótesis!$D$93/MAX(Hipótesis!$D$96-Hipótesis!$D$97,1)),0))</f>
        <v>0</v>
      </c>
      <c r="BU90" s="109" t="n">
        <f aca="false">IF(71&lt;=Hipótesis!$D$97,0,IF(BU89&gt;0,MIN(BU89,Hipótesis!$D$93/MAX(Hipótesis!$D$96-Hipótesis!$D$97,1)),0))</f>
        <v>0</v>
      </c>
      <c r="BV90" s="109" t="n">
        <f aca="false">IF(72&lt;=Hipótesis!$D$97,0,IF(BV89&gt;0,MIN(BV89,Hipótesis!$D$93/MAX(Hipótesis!$D$96-Hipótesis!$D$97,1)),0))</f>
        <v>0</v>
      </c>
      <c r="BW90" s="109" t="n">
        <f aca="false">IF(73&lt;=Hipótesis!$D$97,0,IF(BW89&gt;0,MIN(BW89,Hipótesis!$D$93/MAX(Hipótesis!$D$96-Hipótesis!$D$97,1)),0))</f>
        <v>0</v>
      </c>
      <c r="BX90" s="109" t="n">
        <f aca="false">IF(74&lt;=Hipótesis!$D$97,0,IF(BX89&gt;0,MIN(BX89,Hipótesis!$D$93/MAX(Hipótesis!$D$96-Hipótesis!$D$97,1)),0))</f>
        <v>0</v>
      </c>
      <c r="BY90" s="109" t="n">
        <f aca="false">IF(75&lt;=Hipótesis!$D$97,0,IF(BY89&gt;0,MIN(BY89,Hipótesis!$D$93/MAX(Hipótesis!$D$96-Hipótesis!$D$97,1)),0))</f>
        <v>0</v>
      </c>
      <c r="BZ90" s="109" t="n">
        <f aca="false">IF(76&lt;=Hipótesis!$D$97,0,IF(BZ89&gt;0,MIN(BZ89,Hipótesis!$D$93/MAX(Hipótesis!$D$96-Hipótesis!$D$97,1)),0))</f>
        <v>0</v>
      </c>
      <c r="CA90" s="109" t="n">
        <f aca="false">IF(77&lt;=Hipótesis!$D$97,0,IF(CA89&gt;0,MIN(CA89,Hipótesis!$D$93/MAX(Hipótesis!$D$96-Hipótesis!$D$97,1)),0))</f>
        <v>0</v>
      </c>
      <c r="CB90" s="109" t="n">
        <f aca="false">IF(78&lt;=Hipótesis!$D$97,0,IF(CB89&gt;0,MIN(CB89,Hipótesis!$D$93/MAX(Hipótesis!$D$96-Hipótesis!$D$97,1)),0))</f>
        <v>0</v>
      </c>
      <c r="CC90" s="109" t="n">
        <f aca="false">IF(79&lt;=Hipótesis!$D$97,0,IF(CC89&gt;0,MIN(CC89,Hipótesis!$D$93/MAX(Hipótesis!$D$96-Hipótesis!$D$97,1)),0))</f>
        <v>0</v>
      </c>
      <c r="CD90" s="109" t="n">
        <f aca="false">IF(80&lt;=Hipótesis!$D$97,0,IF(CD89&gt;0,MIN(CD89,Hipótesis!$D$93/MAX(Hipótesis!$D$96-Hipótesis!$D$97,1)),0))</f>
        <v>0</v>
      </c>
      <c r="CE90" s="109" t="n">
        <f aca="false">IF(81&lt;=Hipótesis!$D$97,0,IF(CE89&gt;0,MIN(CE89,Hipótesis!$D$93/MAX(Hipótesis!$D$96-Hipótesis!$D$97,1)),0))</f>
        <v>0</v>
      </c>
      <c r="CF90" s="109" t="n">
        <f aca="false">IF(82&lt;=Hipótesis!$D$97,0,IF(CF89&gt;0,MIN(CF89,Hipótesis!$D$93/MAX(Hipótesis!$D$96-Hipótesis!$D$97,1)),0))</f>
        <v>0</v>
      </c>
      <c r="CG90" s="109" t="n">
        <f aca="false">IF(83&lt;=Hipótesis!$D$97,0,IF(CG89&gt;0,MIN(CG89,Hipótesis!$D$93/MAX(Hipótesis!$D$96-Hipótesis!$D$97,1)),0))</f>
        <v>0</v>
      </c>
      <c r="CH90" s="109" t="n">
        <f aca="false">IF(84&lt;=Hipótesis!$D$97,0,IF(CH89&gt;0,MIN(CH89,Hipótesis!$D$93/MAX(Hipótesis!$D$96-Hipótesis!$D$97,1)),0))</f>
        <v>0</v>
      </c>
    </row>
    <row r="91" customFormat="false" ht="13.5" hidden="false" customHeight="true" outlineLevel="0" collapsed="false">
      <c r="A91" s="6" t="s">
        <v>592</v>
      </c>
      <c r="C91" s="109" t="n">
        <f aca="false">C89*Hipótesis!$D$95/12</f>
        <v>0</v>
      </c>
      <c r="D91" s="109" t="n">
        <f aca="false">D89*Hipótesis!$D$95/12</f>
        <v>0</v>
      </c>
      <c r="E91" s="109" t="n">
        <f aca="false">E89*Hipótesis!$D$95/12</f>
        <v>0</v>
      </c>
      <c r="F91" s="109" t="n">
        <f aca="false">F89*Hipótesis!$D$95/12</f>
        <v>0</v>
      </c>
      <c r="G91" s="109" t="n">
        <f aca="false">G89*Hipótesis!$D$95/12</f>
        <v>0</v>
      </c>
      <c r="H91" s="109" t="n">
        <f aca="false">H89*Hipótesis!$D$95/12</f>
        <v>0</v>
      </c>
      <c r="I91" s="109" t="n">
        <f aca="false">I89*Hipótesis!$D$95/12</f>
        <v>0</v>
      </c>
      <c r="J91" s="109" t="n">
        <f aca="false">J89*Hipótesis!$D$95/12</f>
        <v>0</v>
      </c>
      <c r="K91" s="109" t="n">
        <f aca="false">K89*Hipótesis!$D$95/12</f>
        <v>0</v>
      </c>
      <c r="L91" s="109" t="n">
        <f aca="false">L89*Hipótesis!$D$95/12</f>
        <v>0</v>
      </c>
      <c r="M91" s="109" t="n">
        <f aca="false">M89*Hipótesis!$D$95/12</f>
        <v>0</v>
      </c>
      <c r="N91" s="109" t="n">
        <f aca="false">N89*Hipótesis!$D$95/12</f>
        <v>0</v>
      </c>
      <c r="O91" s="109" t="n">
        <f aca="false">O89*Hipótesis!$D$95/12</f>
        <v>0</v>
      </c>
      <c r="P91" s="109" t="n">
        <f aca="false">P89*Hipótesis!$D$95/12</f>
        <v>0</v>
      </c>
      <c r="Q91" s="109" t="n">
        <f aca="false">Q89*Hipótesis!$D$95/12</f>
        <v>0</v>
      </c>
      <c r="R91" s="109" t="n">
        <f aca="false">R89*Hipótesis!$D$95/12</f>
        <v>0</v>
      </c>
      <c r="S91" s="109" t="n">
        <f aca="false">S89*Hipótesis!$D$95/12</f>
        <v>0</v>
      </c>
      <c r="T91" s="109" t="n">
        <f aca="false">T89*Hipótesis!$D$95/12</f>
        <v>0</v>
      </c>
      <c r="U91" s="109" t="n">
        <f aca="false">U89*Hipótesis!$D$95/12</f>
        <v>0</v>
      </c>
      <c r="V91" s="109" t="n">
        <f aca="false">V89*Hipótesis!$D$95/12</f>
        <v>0</v>
      </c>
      <c r="W91" s="109" t="n">
        <f aca="false">W89*Hipótesis!$D$95/12</f>
        <v>0</v>
      </c>
      <c r="X91" s="109" t="n">
        <f aca="false">X89*Hipótesis!$D$95/12</f>
        <v>0</v>
      </c>
      <c r="Y91" s="109" t="n">
        <f aca="false">Y89*Hipótesis!$D$95/12</f>
        <v>0</v>
      </c>
      <c r="Z91" s="109" t="n">
        <f aca="false">Z89*Hipótesis!$D$95/12</f>
        <v>0</v>
      </c>
      <c r="AA91" s="109" t="n">
        <f aca="false">AA89*Hipótesis!$D$95/12</f>
        <v>0</v>
      </c>
      <c r="AB91" s="109" t="n">
        <f aca="false">AB89*Hipótesis!$D$95/12</f>
        <v>0</v>
      </c>
      <c r="AC91" s="109" t="n">
        <f aca="false">AC89*Hipótesis!$D$95/12</f>
        <v>0</v>
      </c>
      <c r="AD91" s="109" t="n">
        <f aca="false">AD89*Hipótesis!$D$95/12</f>
        <v>0</v>
      </c>
      <c r="AE91" s="109" t="n">
        <f aca="false">AE89*Hipótesis!$D$95/12</f>
        <v>0</v>
      </c>
      <c r="AF91" s="109" t="n">
        <f aca="false">AF89*Hipótesis!$D$95/12</f>
        <v>0</v>
      </c>
      <c r="AG91" s="109" t="n">
        <f aca="false">AG89*Hipótesis!$D$95/12</f>
        <v>0</v>
      </c>
      <c r="AH91" s="109" t="n">
        <f aca="false">AH89*Hipótesis!$D$95/12</f>
        <v>0</v>
      </c>
      <c r="AI91" s="109" t="n">
        <f aca="false">AI89*Hipótesis!$D$95/12</f>
        <v>0</v>
      </c>
      <c r="AJ91" s="109" t="n">
        <f aca="false">AJ89*Hipótesis!$D$95/12</f>
        <v>0</v>
      </c>
      <c r="AK91" s="109" t="n">
        <f aca="false">AK89*Hipótesis!$D$95/12</f>
        <v>0</v>
      </c>
      <c r="AL91" s="109" t="n">
        <f aca="false">AL89*Hipótesis!$D$95/12</f>
        <v>0</v>
      </c>
      <c r="AM91" s="109" t="n">
        <f aca="false">AM89*Hipótesis!$D$95/12</f>
        <v>0</v>
      </c>
      <c r="AN91" s="109" t="n">
        <f aca="false">AN89*Hipótesis!$D$95/12</f>
        <v>0</v>
      </c>
      <c r="AO91" s="109" t="n">
        <f aca="false">AO89*Hipótesis!$D$95/12</f>
        <v>0</v>
      </c>
      <c r="AP91" s="109" t="n">
        <f aca="false">AP89*Hipótesis!$D$95/12</f>
        <v>0</v>
      </c>
      <c r="AQ91" s="109" t="n">
        <f aca="false">AQ89*Hipótesis!$D$95/12</f>
        <v>0</v>
      </c>
      <c r="AR91" s="109" t="n">
        <f aca="false">AR89*Hipótesis!$D$95/12</f>
        <v>0</v>
      </c>
      <c r="AS91" s="109" t="n">
        <f aca="false">AS89*Hipótesis!$D$95/12</f>
        <v>0</v>
      </c>
      <c r="AT91" s="109" t="n">
        <f aca="false">AT89*Hipótesis!$D$95/12</f>
        <v>0</v>
      </c>
      <c r="AU91" s="109" t="n">
        <f aca="false">AU89*Hipótesis!$D$95/12</f>
        <v>0</v>
      </c>
      <c r="AV91" s="109" t="n">
        <f aca="false">AV89*Hipótesis!$D$95/12</f>
        <v>0</v>
      </c>
      <c r="AW91" s="109" t="n">
        <f aca="false">AW89*Hipótesis!$D$95/12</f>
        <v>0</v>
      </c>
      <c r="AX91" s="109" t="n">
        <f aca="false">AX89*Hipótesis!$D$95/12</f>
        <v>0</v>
      </c>
      <c r="AY91" s="109" t="n">
        <f aca="false">AY89*Hipótesis!$D$95/12</f>
        <v>0</v>
      </c>
      <c r="AZ91" s="109" t="n">
        <f aca="false">AZ89*Hipótesis!$D$95/12</f>
        <v>0</v>
      </c>
      <c r="BA91" s="109" t="n">
        <f aca="false">BA89*Hipótesis!$D$95/12</f>
        <v>0</v>
      </c>
      <c r="BB91" s="109" t="n">
        <f aca="false">BB89*Hipótesis!$D$95/12</f>
        <v>0</v>
      </c>
      <c r="BC91" s="109" t="n">
        <f aca="false">BC89*Hipótesis!$D$95/12</f>
        <v>0</v>
      </c>
      <c r="BD91" s="109" t="n">
        <f aca="false">BD89*Hipótesis!$D$95/12</f>
        <v>0</v>
      </c>
      <c r="BE91" s="109" t="n">
        <f aca="false">BE89*Hipótesis!$D$95/12</f>
        <v>0</v>
      </c>
      <c r="BF91" s="109" t="n">
        <f aca="false">BF89*Hipótesis!$D$95/12</f>
        <v>0</v>
      </c>
      <c r="BG91" s="109" t="n">
        <f aca="false">BG89*Hipótesis!$D$95/12</f>
        <v>0</v>
      </c>
      <c r="BH91" s="109" t="n">
        <f aca="false">BH89*Hipótesis!$D$95/12</f>
        <v>0</v>
      </c>
      <c r="BI91" s="109" t="n">
        <f aca="false">BI89*Hipótesis!$D$95/12</f>
        <v>0</v>
      </c>
      <c r="BJ91" s="109" t="n">
        <f aca="false">BJ89*Hipótesis!$D$95/12</f>
        <v>0</v>
      </c>
      <c r="BK91" s="109" t="n">
        <f aca="false">BK89*Hipótesis!$D$95/12</f>
        <v>0</v>
      </c>
      <c r="BL91" s="109" t="n">
        <f aca="false">BL89*Hipótesis!$D$95/12</f>
        <v>0</v>
      </c>
      <c r="BM91" s="109" t="n">
        <f aca="false">BM89*Hipótesis!$D$95/12</f>
        <v>0</v>
      </c>
      <c r="BN91" s="109" t="n">
        <f aca="false">BN89*Hipótesis!$D$95/12</f>
        <v>0</v>
      </c>
      <c r="BO91" s="109" t="n">
        <f aca="false">BO89*Hipótesis!$D$95/12</f>
        <v>0</v>
      </c>
      <c r="BP91" s="109" t="n">
        <f aca="false">BP89*Hipótesis!$D$95/12</f>
        <v>0</v>
      </c>
      <c r="BQ91" s="109" t="n">
        <f aca="false">BQ89*Hipótesis!$D$95/12</f>
        <v>0</v>
      </c>
      <c r="BR91" s="109" t="n">
        <f aca="false">BR89*Hipótesis!$D$95/12</f>
        <v>0</v>
      </c>
      <c r="BS91" s="109" t="n">
        <f aca="false">BS89*Hipótesis!$D$95/12</f>
        <v>0</v>
      </c>
      <c r="BT91" s="109" t="n">
        <f aca="false">BT89*Hipótesis!$D$95/12</f>
        <v>0</v>
      </c>
      <c r="BU91" s="109" t="n">
        <f aca="false">BU89*Hipótesis!$D$95/12</f>
        <v>0</v>
      </c>
      <c r="BV91" s="109" t="n">
        <f aca="false">BV89*Hipótesis!$D$95/12</f>
        <v>0</v>
      </c>
      <c r="BW91" s="109" t="n">
        <f aca="false">BW89*Hipótesis!$D$95/12</f>
        <v>0</v>
      </c>
      <c r="BX91" s="109" t="n">
        <f aca="false">BX89*Hipótesis!$D$95/12</f>
        <v>0</v>
      </c>
      <c r="BY91" s="109" t="n">
        <f aca="false">BY89*Hipótesis!$D$95/12</f>
        <v>0</v>
      </c>
      <c r="BZ91" s="109" t="n">
        <f aca="false">BZ89*Hipótesis!$D$95/12</f>
        <v>0</v>
      </c>
      <c r="CA91" s="109" t="n">
        <f aca="false">CA89*Hipótesis!$D$95/12</f>
        <v>0</v>
      </c>
      <c r="CB91" s="109" t="n">
        <f aca="false">CB89*Hipótesis!$D$95/12</f>
        <v>0</v>
      </c>
      <c r="CC91" s="109" t="n">
        <f aca="false">CC89*Hipótesis!$D$95/12</f>
        <v>0</v>
      </c>
      <c r="CD91" s="109" t="n">
        <f aca="false">CD89*Hipótesis!$D$95/12</f>
        <v>0</v>
      </c>
      <c r="CE91" s="109" t="n">
        <f aca="false">CE89*Hipótesis!$D$95/12</f>
        <v>0</v>
      </c>
      <c r="CF91" s="109" t="n">
        <f aca="false">CF89*Hipótesis!$D$95/12</f>
        <v>0</v>
      </c>
      <c r="CG91" s="109" t="n">
        <f aca="false">CG89*Hipótesis!$D$95/12</f>
        <v>0</v>
      </c>
      <c r="CH91" s="109" t="n">
        <f aca="false">CH89*Hipótesis!$D$95/12</f>
        <v>0</v>
      </c>
    </row>
    <row r="92" customFormat="false" ht="13.5" hidden="false" customHeight="true" outlineLevel="0" collapsed="false">
      <c r="A92" s="6" t="s">
        <v>593</v>
      </c>
      <c r="C92" s="109" t="n">
        <f aca="false">IF(Hipótesis!$D$94=5,0,IF(Hipótesis!$D$94=1,C90+C91,IF(Hipótesis!$D$94=2,C90+C91+IF(C89&gt;0,Hipótesis!$D$98*MAX(0,C56),0),IF(Hipótesis!$D$94=3,Hipótesis!$D$99*MAX(0,C56),Hipótesis!$D$100*C36))))</f>
        <v>0</v>
      </c>
      <c r="D92" s="109" t="n">
        <f aca="false">IF(Hipótesis!$D$94=5,0,IF(Hipótesis!$D$94=1,D90+D91,IF(Hipótesis!$D$94=2,D90+D91+IF(D89&gt;0,Hipótesis!$D$98*MAX(0,D56),0),IF(Hipótesis!$D$94=3,Hipótesis!$D$99*MAX(0,D56),Hipótesis!$D$100*D36))))</f>
        <v>0</v>
      </c>
      <c r="E92" s="109" t="n">
        <f aca="false">IF(Hipótesis!$D$94=5,0,IF(Hipótesis!$D$94=1,E90+E91,IF(Hipótesis!$D$94=2,E90+E91+IF(E89&gt;0,Hipótesis!$D$98*MAX(0,E56),0),IF(Hipótesis!$D$94=3,Hipótesis!$D$99*MAX(0,E56),Hipótesis!$D$100*E36))))</f>
        <v>0</v>
      </c>
      <c r="F92" s="109" t="n">
        <f aca="false">IF(Hipótesis!$D$94=5,0,IF(Hipótesis!$D$94=1,F90+F91,IF(Hipótesis!$D$94=2,F90+F91+IF(F89&gt;0,Hipótesis!$D$98*MAX(0,F56),0),IF(Hipótesis!$D$94=3,Hipótesis!$D$99*MAX(0,F56),Hipótesis!$D$100*F36))))</f>
        <v>0</v>
      </c>
      <c r="G92" s="109" t="n">
        <f aca="false">IF(Hipótesis!$D$94=5,0,IF(Hipótesis!$D$94=1,G90+G91,IF(Hipótesis!$D$94=2,G90+G91+IF(G89&gt;0,Hipótesis!$D$98*MAX(0,G56),0),IF(Hipótesis!$D$94=3,Hipótesis!$D$99*MAX(0,G56),Hipótesis!$D$100*G36))))</f>
        <v>0</v>
      </c>
      <c r="H92" s="109" t="n">
        <f aca="false">IF(Hipótesis!$D$94=5,0,IF(Hipótesis!$D$94=1,H90+H91,IF(Hipótesis!$D$94=2,H90+H91+IF(H89&gt;0,Hipótesis!$D$98*MAX(0,H56),0),IF(Hipótesis!$D$94=3,Hipótesis!$D$99*MAX(0,H56),Hipótesis!$D$100*H36))))</f>
        <v>0</v>
      </c>
      <c r="I92" s="109" t="n">
        <f aca="false">IF(Hipótesis!$D$94=5,0,IF(Hipótesis!$D$94=1,I90+I91,IF(Hipótesis!$D$94=2,I90+I91+IF(I89&gt;0,Hipótesis!$D$98*MAX(0,I56),0),IF(Hipótesis!$D$94=3,Hipótesis!$D$99*MAX(0,I56),Hipótesis!$D$100*I36))))</f>
        <v>0</v>
      </c>
      <c r="J92" s="109" t="n">
        <f aca="false">IF(Hipótesis!$D$94=5,0,IF(Hipótesis!$D$94=1,J90+J91,IF(Hipótesis!$D$94=2,J90+J91+IF(J89&gt;0,Hipótesis!$D$98*MAX(0,J56),0),IF(Hipótesis!$D$94=3,Hipótesis!$D$99*MAX(0,J56),Hipótesis!$D$100*J36))))</f>
        <v>0</v>
      </c>
      <c r="K92" s="109" t="n">
        <f aca="false">IF(Hipótesis!$D$94=5,0,IF(Hipótesis!$D$94=1,K90+K91,IF(Hipótesis!$D$94=2,K90+K91+IF(K89&gt;0,Hipótesis!$D$98*MAX(0,K56),0),IF(Hipótesis!$D$94=3,Hipótesis!$D$99*MAX(0,K56),Hipótesis!$D$100*K36))))</f>
        <v>0</v>
      </c>
      <c r="L92" s="109" t="n">
        <f aca="false">IF(Hipótesis!$D$94=5,0,IF(Hipótesis!$D$94=1,L90+L91,IF(Hipótesis!$D$94=2,L90+L91+IF(L89&gt;0,Hipótesis!$D$98*MAX(0,L56),0),IF(Hipótesis!$D$94=3,Hipótesis!$D$99*MAX(0,L56),Hipótesis!$D$100*L36))))</f>
        <v>0</v>
      </c>
      <c r="M92" s="109" t="n">
        <f aca="false">IF(Hipótesis!$D$94=5,0,IF(Hipótesis!$D$94=1,M90+M91,IF(Hipótesis!$D$94=2,M90+M91+IF(M89&gt;0,Hipótesis!$D$98*MAX(0,M56),0),IF(Hipótesis!$D$94=3,Hipótesis!$D$99*MAX(0,M56),Hipótesis!$D$100*M36))))</f>
        <v>0</v>
      </c>
      <c r="N92" s="109" t="n">
        <f aca="false">IF(Hipótesis!$D$94=5,0,IF(Hipótesis!$D$94=1,N90+N91,IF(Hipótesis!$D$94=2,N90+N91+IF(N89&gt;0,Hipótesis!$D$98*MAX(0,N56),0),IF(Hipótesis!$D$94=3,Hipótesis!$D$99*MAX(0,N56),Hipótesis!$D$100*N36))))</f>
        <v>0</v>
      </c>
      <c r="O92" s="109" t="n">
        <f aca="false">IF(Hipótesis!$D$94=5,0,IF(Hipótesis!$D$94=1,O90+O91,IF(Hipótesis!$D$94=2,O90+O91+IF(O89&gt;0,Hipótesis!$D$98*MAX(0,O56),0),IF(Hipótesis!$D$94=3,Hipótesis!$D$99*MAX(0,O56),Hipótesis!$D$100*O36))))</f>
        <v>0</v>
      </c>
      <c r="P92" s="109" t="n">
        <f aca="false">IF(Hipótesis!$D$94=5,0,IF(Hipótesis!$D$94=1,P90+P91,IF(Hipótesis!$D$94=2,P90+P91+IF(P89&gt;0,Hipótesis!$D$98*MAX(0,P56),0),IF(Hipótesis!$D$94=3,Hipótesis!$D$99*MAX(0,P56),Hipótesis!$D$100*P36))))</f>
        <v>0</v>
      </c>
      <c r="Q92" s="109" t="n">
        <f aca="false">IF(Hipótesis!$D$94=5,0,IF(Hipótesis!$D$94=1,Q90+Q91,IF(Hipótesis!$D$94=2,Q90+Q91+IF(Q89&gt;0,Hipótesis!$D$98*MAX(0,Q56),0),IF(Hipótesis!$D$94=3,Hipótesis!$D$99*MAX(0,Q56),Hipótesis!$D$100*Q36))))</f>
        <v>0</v>
      </c>
      <c r="R92" s="109" t="n">
        <f aca="false">IF(Hipótesis!$D$94=5,0,IF(Hipótesis!$D$94=1,R90+R91,IF(Hipótesis!$D$94=2,R90+R91+IF(R89&gt;0,Hipótesis!$D$98*MAX(0,R56),0),IF(Hipótesis!$D$94=3,Hipótesis!$D$99*MAX(0,R56),Hipótesis!$D$100*R36))))</f>
        <v>0</v>
      </c>
      <c r="S92" s="109" t="n">
        <f aca="false">IF(Hipótesis!$D$94=5,0,IF(Hipótesis!$D$94=1,S90+S91,IF(Hipótesis!$D$94=2,S90+S91+IF(S89&gt;0,Hipótesis!$D$98*MAX(0,S56),0),IF(Hipótesis!$D$94=3,Hipótesis!$D$99*MAX(0,S56),Hipótesis!$D$100*S36))))</f>
        <v>0</v>
      </c>
      <c r="T92" s="109" t="n">
        <f aca="false">IF(Hipótesis!$D$94=5,0,IF(Hipótesis!$D$94=1,T90+T91,IF(Hipótesis!$D$94=2,T90+T91+IF(T89&gt;0,Hipótesis!$D$98*MAX(0,T56),0),IF(Hipótesis!$D$94=3,Hipótesis!$D$99*MAX(0,T56),Hipótesis!$D$100*T36))))</f>
        <v>0</v>
      </c>
      <c r="U92" s="109" t="n">
        <f aca="false">IF(Hipótesis!$D$94=5,0,IF(Hipótesis!$D$94=1,U90+U91,IF(Hipótesis!$D$94=2,U90+U91+IF(U89&gt;0,Hipótesis!$D$98*MAX(0,U56),0),IF(Hipótesis!$D$94=3,Hipótesis!$D$99*MAX(0,U56),Hipótesis!$D$100*U36))))</f>
        <v>0</v>
      </c>
      <c r="V92" s="109" t="n">
        <f aca="false">IF(Hipótesis!$D$94=5,0,IF(Hipótesis!$D$94=1,V90+V91,IF(Hipótesis!$D$94=2,V90+V91+IF(V89&gt;0,Hipótesis!$D$98*MAX(0,V56),0),IF(Hipótesis!$D$94=3,Hipótesis!$D$99*MAX(0,V56),Hipótesis!$D$100*V36))))</f>
        <v>0</v>
      </c>
      <c r="W92" s="109" t="n">
        <f aca="false">IF(Hipótesis!$D$94=5,0,IF(Hipótesis!$D$94=1,W90+W91,IF(Hipótesis!$D$94=2,W90+W91+IF(W89&gt;0,Hipótesis!$D$98*MAX(0,W56),0),IF(Hipótesis!$D$94=3,Hipótesis!$D$99*MAX(0,W56),Hipótesis!$D$100*W36))))</f>
        <v>0</v>
      </c>
      <c r="X92" s="109" t="n">
        <f aca="false">IF(Hipótesis!$D$94=5,0,IF(Hipótesis!$D$94=1,X90+X91,IF(Hipótesis!$D$94=2,X90+X91+IF(X89&gt;0,Hipótesis!$D$98*MAX(0,X56),0),IF(Hipótesis!$D$94=3,Hipótesis!$D$99*MAX(0,X56),Hipótesis!$D$100*X36))))</f>
        <v>0</v>
      </c>
      <c r="Y92" s="109" t="n">
        <f aca="false">IF(Hipótesis!$D$94=5,0,IF(Hipótesis!$D$94=1,Y90+Y91,IF(Hipótesis!$D$94=2,Y90+Y91+IF(Y89&gt;0,Hipótesis!$D$98*MAX(0,Y56),0),IF(Hipótesis!$D$94=3,Hipótesis!$D$99*MAX(0,Y56),Hipótesis!$D$100*Y36))))</f>
        <v>0</v>
      </c>
      <c r="Z92" s="109" t="n">
        <f aca="false">IF(Hipótesis!$D$94=5,0,IF(Hipótesis!$D$94=1,Z90+Z91,IF(Hipótesis!$D$94=2,Z90+Z91+IF(Z89&gt;0,Hipótesis!$D$98*MAX(0,Z56),0),IF(Hipótesis!$D$94=3,Hipótesis!$D$99*MAX(0,Z56),Hipótesis!$D$100*Z36))))</f>
        <v>0</v>
      </c>
      <c r="AA92" s="109" t="n">
        <f aca="false">IF(Hipótesis!$D$94=5,0,IF(Hipótesis!$D$94=1,AA90+AA91,IF(Hipótesis!$D$94=2,AA90+AA91+IF(AA89&gt;0,Hipótesis!$D$98*MAX(0,AA56),0),IF(Hipótesis!$D$94=3,Hipótesis!$D$99*MAX(0,AA56),Hipótesis!$D$100*AA36))))</f>
        <v>0</v>
      </c>
      <c r="AB92" s="109" t="n">
        <f aca="false">IF(Hipótesis!$D$94=5,0,IF(Hipótesis!$D$94=1,AB90+AB91,IF(Hipótesis!$D$94=2,AB90+AB91+IF(AB89&gt;0,Hipótesis!$D$98*MAX(0,AB56),0),IF(Hipótesis!$D$94=3,Hipótesis!$D$99*MAX(0,AB56),Hipótesis!$D$100*AB36))))</f>
        <v>0</v>
      </c>
      <c r="AC92" s="109" t="n">
        <f aca="false">IF(Hipótesis!$D$94=5,0,IF(Hipótesis!$D$94=1,AC90+AC91,IF(Hipótesis!$D$94=2,AC90+AC91+IF(AC89&gt;0,Hipótesis!$D$98*MAX(0,AC56),0),IF(Hipótesis!$D$94=3,Hipótesis!$D$99*MAX(0,AC56),Hipótesis!$D$100*AC36))))</f>
        <v>0</v>
      </c>
      <c r="AD92" s="109" t="n">
        <f aca="false">IF(Hipótesis!$D$94=5,0,IF(Hipótesis!$D$94=1,AD90+AD91,IF(Hipótesis!$D$94=2,AD90+AD91+IF(AD89&gt;0,Hipótesis!$D$98*MAX(0,AD56),0),IF(Hipótesis!$D$94=3,Hipótesis!$D$99*MAX(0,AD56),Hipótesis!$D$100*AD36))))</f>
        <v>0</v>
      </c>
      <c r="AE92" s="109" t="n">
        <f aca="false">IF(Hipótesis!$D$94=5,0,IF(Hipótesis!$D$94=1,AE90+AE91,IF(Hipótesis!$D$94=2,AE90+AE91+IF(AE89&gt;0,Hipótesis!$D$98*MAX(0,AE56),0),IF(Hipótesis!$D$94=3,Hipótesis!$D$99*MAX(0,AE56),Hipótesis!$D$100*AE36))))</f>
        <v>0</v>
      </c>
      <c r="AF92" s="109" t="n">
        <f aca="false">IF(Hipótesis!$D$94=5,0,IF(Hipótesis!$D$94=1,AF90+AF91,IF(Hipótesis!$D$94=2,AF90+AF91+IF(AF89&gt;0,Hipótesis!$D$98*MAX(0,AF56),0),IF(Hipótesis!$D$94=3,Hipótesis!$D$99*MAX(0,AF56),Hipótesis!$D$100*AF36))))</f>
        <v>0</v>
      </c>
      <c r="AG92" s="109" t="n">
        <f aca="false">IF(Hipótesis!$D$94=5,0,IF(Hipótesis!$D$94=1,AG90+AG91,IF(Hipótesis!$D$94=2,AG90+AG91+IF(AG89&gt;0,Hipótesis!$D$98*MAX(0,AG56),0),IF(Hipótesis!$D$94=3,Hipótesis!$D$99*MAX(0,AG56),Hipótesis!$D$100*AG36))))</f>
        <v>0</v>
      </c>
      <c r="AH92" s="109" t="n">
        <f aca="false">IF(Hipótesis!$D$94=5,0,IF(Hipótesis!$D$94=1,AH90+AH91,IF(Hipótesis!$D$94=2,AH90+AH91+IF(AH89&gt;0,Hipótesis!$D$98*MAX(0,AH56),0),IF(Hipótesis!$D$94=3,Hipótesis!$D$99*MAX(0,AH56),Hipótesis!$D$100*AH36))))</f>
        <v>0</v>
      </c>
      <c r="AI92" s="109" t="n">
        <f aca="false">IF(Hipótesis!$D$94=5,0,IF(Hipótesis!$D$94=1,AI90+AI91,IF(Hipótesis!$D$94=2,AI90+AI91+IF(AI89&gt;0,Hipótesis!$D$98*MAX(0,AI56),0),IF(Hipótesis!$D$94=3,Hipótesis!$D$99*MAX(0,AI56),Hipótesis!$D$100*AI36))))</f>
        <v>0</v>
      </c>
      <c r="AJ92" s="109" t="n">
        <f aca="false">IF(Hipótesis!$D$94=5,0,IF(Hipótesis!$D$94=1,AJ90+AJ91,IF(Hipótesis!$D$94=2,AJ90+AJ91+IF(AJ89&gt;0,Hipótesis!$D$98*MAX(0,AJ56),0),IF(Hipótesis!$D$94=3,Hipótesis!$D$99*MAX(0,AJ56),Hipótesis!$D$100*AJ36))))</f>
        <v>0</v>
      </c>
      <c r="AK92" s="109" t="n">
        <f aca="false">IF(Hipótesis!$D$94=5,0,IF(Hipótesis!$D$94=1,AK90+AK91,IF(Hipótesis!$D$94=2,AK90+AK91+IF(AK89&gt;0,Hipótesis!$D$98*MAX(0,AK56),0),IF(Hipótesis!$D$94=3,Hipótesis!$D$99*MAX(0,AK56),Hipótesis!$D$100*AK36))))</f>
        <v>0</v>
      </c>
      <c r="AL92" s="109" t="n">
        <f aca="false">IF(Hipótesis!$D$94=5,0,IF(Hipótesis!$D$94=1,AL90+AL91,IF(Hipótesis!$D$94=2,AL90+AL91+IF(AL89&gt;0,Hipótesis!$D$98*MAX(0,AL56),0),IF(Hipótesis!$D$94=3,Hipótesis!$D$99*MAX(0,AL56),Hipótesis!$D$100*AL36))))</f>
        <v>0</v>
      </c>
      <c r="AM92" s="109" t="n">
        <f aca="false">IF(Hipótesis!$D$94=5,0,IF(Hipótesis!$D$94=1,AM90+AM91,IF(Hipótesis!$D$94=2,AM90+AM91+IF(AM89&gt;0,Hipótesis!$D$98*MAX(0,AM56),0),IF(Hipótesis!$D$94=3,Hipótesis!$D$99*MAX(0,AM56),Hipótesis!$D$100*AM36))))</f>
        <v>0</v>
      </c>
      <c r="AN92" s="109" t="n">
        <f aca="false">IF(Hipótesis!$D$94=5,0,IF(Hipótesis!$D$94=1,AN90+AN91,IF(Hipótesis!$D$94=2,AN90+AN91+IF(AN89&gt;0,Hipótesis!$D$98*MAX(0,AN56),0),IF(Hipótesis!$D$94=3,Hipótesis!$D$99*MAX(0,AN56),Hipótesis!$D$100*AN36))))</f>
        <v>0</v>
      </c>
      <c r="AO92" s="109" t="n">
        <f aca="false">IF(Hipótesis!$D$94=5,0,IF(Hipótesis!$D$94=1,AO90+AO91,IF(Hipótesis!$D$94=2,AO90+AO91+IF(AO89&gt;0,Hipótesis!$D$98*MAX(0,AO56),0),IF(Hipótesis!$D$94=3,Hipótesis!$D$99*MAX(0,AO56),Hipótesis!$D$100*AO36))))</f>
        <v>0</v>
      </c>
      <c r="AP92" s="109" t="n">
        <f aca="false">IF(Hipótesis!$D$94=5,0,IF(Hipótesis!$D$94=1,AP90+AP91,IF(Hipótesis!$D$94=2,AP90+AP91+IF(AP89&gt;0,Hipótesis!$D$98*MAX(0,AP56),0),IF(Hipótesis!$D$94=3,Hipótesis!$D$99*MAX(0,AP56),Hipótesis!$D$100*AP36))))</f>
        <v>0</v>
      </c>
      <c r="AQ92" s="109" t="n">
        <f aca="false">IF(Hipótesis!$D$94=5,0,IF(Hipótesis!$D$94=1,AQ90+AQ91,IF(Hipótesis!$D$94=2,AQ90+AQ91+IF(AQ89&gt;0,Hipótesis!$D$98*MAX(0,AQ56),0),IF(Hipótesis!$D$94=3,Hipótesis!$D$99*MAX(0,AQ56),Hipótesis!$D$100*AQ36))))</f>
        <v>0</v>
      </c>
      <c r="AR92" s="109" t="n">
        <f aca="false">IF(Hipótesis!$D$94=5,0,IF(Hipótesis!$D$94=1,AR90+AR91,IF(Hipótesis!$D$94=2,AR90+AR91+IF(AR89&gt;0,Hipótesis!$D$98*MAX(0,AR56),0),IF(Hipótesis!$D$94=3,Hipótesis!$D$99*MAX(0,AR56),Hipótesis!$D$100*AR36))))</f>
        <v>0</v>
      </c>
      <c r="AS92" s="109" t="n">
        <f aca="false">IF(Hipótesis!$D$94=5,0,IF(Hipótesis!$D$94=1,AS90+AS91,IF(Hipótesis!$D$94=2,AS90+AS91+IF(AS89&gt;0,Hipótesis!$D$98*MAX(0,AS56),0),IF(Hipótesis!$D$94=3,Hipótesis!$D$99*MAX(0,AS56),Hipótesis!$D$100*AS36))))</f>
        <v>0</v>
      </c>
      <c r="AT92" s="109" t="n">
        <f aca="false">IF(Hipótesis!$D$94=5,0,IF(Hipótesis!$D$94=1,AT90+AT91,IF(Hipótesis!$D$94=2,AT90+AT91+IF(AT89&gt;0,Hipótesis!$D$98*MAX(0,AT56),0),IF(Hipótesis!$D$94=3,Hipótesis!$D$99*MAX(0,AT56),Hipótesis!$D$100*AT36))))</f>
        <v>0</v>
      </c>
      <c r="AU92" s="109" t="n">
        <f aca="false">IF(Hipótesis!$D$94=5,0,IF(Hipótesis!$D$94=1,AU90+AU91,IF(Hipótesis!$D$94=2,AU90+AU91+IF(AU89&gt;0,Hipótesis!$D$98*MAX(0,AU56),0),IF(Hipótesis!$D$94=3,Hipótesis!$D$99*MAX(0,AU56),Hipótesis!$D$100*AU36))))</f>
        <v>0</v>
      </c>
      <c r="AV92" s="109" t="n">
        <f aca="false">IF(Hipótesis!$D$94=5,0,IF(Hipótesis!$D$94=1,AV90+AV91,IF(Hipótesis!$D$94=2,AV90+AV91+IF(AV89&gt;0,Hipótesis!$D$98*MAX(0,AV56),0),IF(Hipótesis!$D$94=3,Hipótesis!$D$99*MAX(0,AV56),Hipótesis!$D$100*AV36))))</f>
        <v>0</v>
      </c>
      <c r="AW92" s="109" t="n">
        <f aca="false">IF(Hipótesis!$D$94=5,0,IF(Hipótesis!$D$94=1,AW90+AW91,IF(Hipótesis!$D$94=2,AW90+AW91+IF(AW89&gt;0,Hipótesis!$D$98*MAX(0,AW56),0),IF(Hipótesis!$D$94=3,Hipótesis!$D$99*MAX(0,AW56),Hipótesis!$D$100*AW36))))</f>
        <v>0</v>
      </c>
      <c r="AX92" s="109" t="n">
        <f aca="false">IF(Hipótesis!$D$94=5,0,IF(Hipótesis!$D$94=1,AX90+AX91,IF(Hipótesis!$D$94=2,AX90+AX91+IF(AX89&gt;0,Hipótesis!$D$98*MAX(0,AX56),0),IF(Hipótesis!$D$94=3,Hipótesis!$D$99*MAX(0,AX56),Hipótesis!$D$100*AX36))))</f>
        <v>0</v>
      </c>
      <c r="AY92" s="109" t="n">
        <f aca="false">IF(Hipótesis!$D$94=5,0,IF(Hipótesis!$D$94=1,AY90+AY91,IF(Hipótesis!$D$94=2,AY90+AY91+IF(AY89&gt;0,Hipótesis!$D$98*MAX(0,AY56),0),IF(Hipótesis!$D$94=3,Hipótesis!$D$99*MAX(0,AY56),Hipótesis!$D$100*AY36))))</f>
        <v>0</v>
      </c>
      <c r="AZ92" s="109" t="n">
        <f aca="false">IF(Hipótesis!$D$94=5,0,IF(Hipótesis!$D$94=1,AZ90+AZ91,IF(Hipótesis!$D$94=2,AZ90+AZ91+IF(AZ89&gt;0,Hipótesis!$D$98*MAX(0,AZ56),0),IF(Hipótesis!$D$94=3,Hipótesis!$D$99*MAX(0,AZ56),Hipótesis!$D$100*AZ36))))</f>
        <v>0</v>
      </c>
      <c r="BA92" s="109" t="n">
        <f aca="false">IF(Hipótesis!$D$94=5,0,IF(Hipótesis!$D$94=1,BA90+BA91,IF(Hipótesis!$D$94=2,BA90+BA91+IF(BA89&gt;0,Hipótesis!$D$98*MAX(0,BA56),0),IF(Hipótesis!$D$94=3,Hipótesis!$D$99*MAX(0,BA56),Hipótesis!$D$100*BA36))))</f>
        <v>0</v>
      </c>
      <c r="BB92" s="109" t="n">
        <f aca="false">IF(Hipótesis!$D$94=5,0,IF(Hipótesis!$D$94=1,BB90+BB91,IF(Hipótesis!$D$94=2,BB90+BB91+IF(BB89&gt;0,Hipótesis!$D$98*MAX(0,BB56),0),IF(Hipótesis!$D$94=3,Hipótesis!$D$99*MAX(0,BB56),Hipótesis!$D$100*BB36))))</f>
        <v>0</v>
      </c>
      <c r="BC92" s="109" t="n">
        <f aca="false">IF(Hipótesis!$D$94=5,0,IF(Hipótesis!$D$94=1,BC90+BC91,IF(Hipótesis!$D$94=2,BC90+BC91+IF(BC89&gt;0,Hipótesis!$D$98*MAX(0,BC56),0),IF(Hipótesis!$D$94=3,Hipótesis!$D$99*MAX(0,BC56),Hipótesis!$D$100*BC36))))</f>
        <v>0</v>
      </c>
      <c r="BD92" s="109" t="n">
        <f aca="false">IF(Hipótesis!$D$94=5,0,IF(Hipótesis!$D$94=1,BD90+BD91,IF(Hipótesis!$D$94=2,BD90+BD91+IF(BD89&gt;0,Hipótesis!$D$98*MAX(0,BD56),0),IF(Hipótesis!$D$94=3,Hipótesis!$D$99*MAX(0,BD56),Hipótesis!$D$100*BD36))))</f>
        <v>0</v>
      </c>
      <c r="BE92" s="109" t="n">
        <f aca="false">IF(Hipótesis!$D$94=5,0,IF(Hipótesis!$D$94=1,BE90+BE91,IF(Hipótesis!$D$94=2,BE90+BE91+IF(BE89&gt;0,Hipótesis!$D$98*MAX(0,BE56),0),IF(Hipótesis!$D$94=3,Hipótesis!$D$99*MAX(0,BE56),Hipótesis!$D$100*BE36))))</f>
        <v>0</v>
      </c>
      <c r="BF92" s="109" t="n">
        <f aca="false">IF(Hipótesis!$D$94=5,0,IF(Hipótesis!$D$94=1,BF90+BF91,IF(Hipótesis!$D$94=2,BF90+BF91+IF(BF89&gt;0,Hipótesis!$D$98*MAX(0,BF56),0),IF(Hipótesis!$D$94=3,Hipótesis!$D$99*MAX(0,BF56),Hipótesis!$D$100*BF36))))</f>
        <v>0</v>
      </c>
      <c r="BG92" s="109" t="n">
        <f aca="false">IF(Hipótesis!$D$94=5,0,IF(Hipótesis!$D$94=1,BG90+BG91,IF(Hipótesis!$D$94=2,BG90+BG91+IF(BG89&gt;0,Hipótesis!$D$98*MAX(0,BG56),0),IF(Hipótesis!$D$94=3,Hipótesis!$D$99*MAX(0,BG56),Hipótesis!$D$100*BG36))))</f>
        <v>0</v>
      </c>
      <c r="BH92" s="109" t="n">
        <f aca="false">IF(Hipótesis!$D$94=5,0,IF(Hipótesis!$D$94=1,BH90+BH91,IF(Hipótesis!$D$94=2,BH90+BH91+IF(BH89&gt;0,Hipótesis!$D$98*MAX(0,BH56),0),IF(Hipótesis!$D$94=3,Hipótesis!$D$99*MAX(0,BH56),Hipótesis!$D$100*BH36))))</f>
        <v>0</v>
      </c>
      <c r="BI92" s="109" t="n">
        <f aca="false">IF(Hipótesis!$D$94=5,0,IF(Hipótesis!$D$94=1,BI90+BI91,IF(Hipótesis!$D$94=2,BI90+BI91+IF(BI89&gt;0,Hipótesis!$D$98*MAX(0,BI56),0),IF(Hipótesis!$D$94=3,Hipótesis!$D$99*MAX(0,BI56),Hipótesis!$D$100*BI36))))</f>
        <v>0</v>
      </c>
      <c r="BJ92" s="109" t="n">
        <f aca="false">IF(Hipótesis!$D$94=5,0,IF(Hipótesis!$D$94=1,BJ90+BJ91,IF(Hipótesis!$D$94=2,BJ90+BJ91+IF(BJ89&gt;0,Hipótesis!$D$98*MAX(0,BJ56),0),IF(Hipótesis!$D$94=3,Hipótesis!$D$99*MAX(0,BJ56),Hipótesis!$D$100*BJ36))))</f>
        <v>0</v>
      </c>
      <c r="BK92" s="109" t="n">
        <f aca="false">IF(Hipótesis!$D$94=5,0,IF(Hipótesis!$D$94=1,BK90+BK91,IF(Hipótesis!$D$94=2,BK90+BK91+IF(BK89&gt;0,Hipótesis!$D$98*MAX(0,BK56),0),IF(Hipótesis!$D$94=3,Hipótesis!$D$99*MAX(0,BK56),Hipótesis!$D$100*BK36))))</f>
        <v>0</v>
      </c>
      <c r="BL92" s="109" t="n">
        <f aca="false">IF(Hipótesis!$D$94=5,0,IF(Hipótesis!$D$94=1,BL90+BL91,IF(Hipótesis!$D$94=2,BL90+BL91+IF(BL89&gt;0,Hipótesis!$D$98*MAX(0,BL56),0),IF(Hipótesis!$D$94=3,Hipótesis!$D$99*MAX(0,BL56),Hipótesis!$D$100*BL36))))</f>
        <v>0</v>
      </c>
      <c r="BM92" s="109" t="n">
        <f aca="false">IF(Hipótesis!$D$94=5,0,IF(Hipótesis!$D$94=1,BM90+BM91,IF(Hipótesis!$D$94=2,BM90+BM91+IF(BM89&gt;0,Hipótesis!$D$98*MAX(0,BM56),0),IF(Hipótesis!$D$94=3,Hipótesis!$D$99*MAX(0,BM56),Hipótesis!$D$100*BM36))))</f>
        <v>0</v>
      </c>
      <c r="BN92" s="109" t="n">
        <f aca="false">IF(Hipótesis!$D$94=5,0,IF(Hipótesis!$D$94=1,BN90+BN91,IF(Hipótesis!$D$94=2,BN90+BN91+IF(BN89&gt;0,Hipótesis!$D$98*MAX(0,BN56),0),IF(Hipótesis!$D$94=3,Hipótesis!$D$99*MAX(0,BN56),Hipótesis!$D$100*BN36))))</f>
        <v>0</v>
      </c>
      <c r="BO92" s="109" t="n">
        <f aca="false">IF(Hipótesis!$D$94=5,0,IF(Hipótesis!$D$94=1,BO90+BO91,IF(Hipótesis!$D$94=2,BO90+BO91+IF(BO89&gt;0,Hipótesis!$D$98*MAX(0,BO56),0),IF(Hipótesis!$D$94=3,Hipótesis!$D$99*MAX(0,BO56),Hipótesis!$D$100*BO36))))</f>
        <v>0</v>
      </c>
      <c r="BP92" s="109" t="n">
        <f aca="false">IF(Hipótesis!$D$94=5,0,IF(Hipótesis!$D$94=1,BP90+BP91,IF(Hipótesis!$D$94=2,BP90+BP91+IF(BP89&gt;0,Hipótesis!$D$98*MAX(0,BP56),0),IF(Hipótesis!$D$94=3,Hipótesis!$D$99*MAX(0,BP56),Hipótesis!$D$100*BP36))))</f>
        <v>0</v>
      </c>
      <c r="BQ92" s="109" t="n">
        <f aca="false">IF(Hipótesis!$D$94=5,0,IF(Hipótesis!$D$94=1,BQ90+BQ91,IF(Hipótesis!$D$94=2,BQ90+BQ91+IF(BQ89&gt;0,Hipótesis!$D$98*MAX(0,BQ56),0),IF(Hipótesis!$D$94=3,Hipótesis!$D$99*MAX(0,BQ56),Hipótesis!$D$100*BQ36))))</f>
        <v>0</v>
      </c>
      <c r="BR92" s="109" t="n">
        <f aca="false">IF(Hipótesis!$D$94=5,0,IF(Hipótesis!$D$94=1,BR90+BR91,IF(Hipótesis!$D$94=2,BR90+BR91+IF(BR89&gt;0,Hipótesis!$D$98*MAX(0,BR56),0),IF(Hipótesis!$D$94=3,Hipótesis!$D$99*MAX(0,BR56),Hipótesis!$D$100*BR36))))</f>
        <v>0</v>
      </c>
      <c r="BS92" s="109" t="n">
        <f aca="false">IF(Hipótesis!$D$94=5,0,IF(Hipótesis!$D$94=1,BS90+BS91,IF(Hipótesis!$D$94=2,BS90+BS91+IF(BS89&gt;0,Hipótesis!$D$98*MAX(0,BS56),0),IF(Hipótesis!$D$94=3,Hipótesis!$D$99*MAX(0,BS56),Hipótesis!$D$100*BS36))))</f>
        <v>0</v>
      </c>
      <c r="BT92" s="109" t="n">
        <f aca="false">IF(Hipótesis!$D$94=5,0,IF(Hipótesis!$D$94=1,BT90+BT91,IF(Hipótesis!$D$94=2,BT90+BT91+IF(BT89&gt;0,Hipótesis!$D$98*MAX(0,BT56),0),IF(Hipótesis!$D$94=3,Hipótesis!$D$99*MAX(0,BT56),Hipótesis!$D$100*BT36))))</f>
        <v>0</v>
      </c>
      <c r="BU92" s="109" t="n">
        <f aca="false">IF(Hipótesis!$D$94=5,0,IF(Hipótesis!$D$94=1,BU90+BU91,IF(Hipótesis!$D$94=2,BU90+BU91+IF(BU89&gt;0,Hipótesis!$D$98*MAX(0,BU56),0),IF(Hipótesis!$D$94=3,Hipótesis!$D$99*MAX(0,BU56),Hipótesis!$D$100*BU36))))</f>
        <v>0</v>
      </c>
      <c r="BV92" s="109" t="n">
        <f aca="false">IF(Hipótesis!$D$94=5,0,IF(Hipótesis!$D$94=1,BV90+BV91,IF(Hipótesis!$D$94=2,BV90+BV91+IF(BV89&gt;0,Hipótesis!$D$98*MAX(0,BV56),0),IF(Hipótesis!$D$94=3,Hipótesis!$D$99*MAX(0,BV56),Hipótesis!$D$100*BV36))))</f>
        <v>0</v>
      </c>
      <c r="BW92" s="109" t="n">
        <f aca="false">IF(Hipótesis!$D$94=5,0,IF(Hipótesis!$D$94=1,BW90+BW91,IF(Hipótesis!$D$94=2,BW90+BW91+IF(BW89&gt;0,Hipótesis!$D$98*MAX(0,BW56),0),IF(Hipótesis!$D$94=3,Hipótesis!$D$99*MAX(0,BW56),Hipótesis!$D$100*BW36))))</f>
        <v>0</v>
      </c>
      <c r="BX92" s="109" t="n">
        <f aca="false">IF(Hipótesis!$D$94=5,0,IF(Hipótesis!$D$94=1,BX90+BX91,IF(Hipótesis!$D$94=2,BX90+BX91+IF(BX89&gt;0,Hipótesis!$D$98*MAX(0,BX56),0),IF(Hipótesis!$D$94=3,Hipótesis!$D$99*MAX(0,BX56),Hipótesis!$D$100*BX36))))</f>
        <v>0</v>
      </c>
      <c r="BY92" s="109" t="n">
        <f aca="false">IF(Hipótesis!$D$94=5,0,IF(Hipótesis!$D$94=1,BY90+BY91,IF(Hipótesis!$D$94=2,BY90+BY91+IF(BY89&gt;0,Hipótesis!$D$98*MAX(0,BY56),0),IF(Hipótesis!$D$94=3,Hipótesis!$D$99*MAX(0,BY56),Hipótesis!$D$100*BY36))))</f>
        <v>0</v>
      </c>
      <c r="BZ92" s="109" t="n">
        <f aca="false">IF(Hipótesis!$D$94=5,0,IF(Hipótesis!$D$94=1,BZ90+BZ91,IF(Hipótesis!$D$94=2,BZ90+BZ91+IF(BZ89&gt;0,Hipótesis!$D$98*MAX(0,BZ56),0),IF(Hipótesis!$D$94=3,Hipótesis!$D$99*MAX(0,BZ56),Hipótesis!$D$100*BZ36))))</f>
        <v>0</v>
      </c>
      <c r="CA92" s="109" t="n">
        <f aca="false">IF(Hipótesis!$D$94=5,0,IF(Hipótesis!$D$94=1,CA90+CA91,IF(Hipótesis!$D$94=2,CA90+CA91+IF(CA89&gt;0,Hipótesis!$D$98*MAX(0,CA56),0),IF(Hipótesis!$D$94=3,Hipótesis!$D$99*MAX(0,CA56),Hipótesis!$D$100*CA36))))</f>
        <v>0</v>
      </c>
      <c r="CB92" s="109" t="n">
        <f aca="false">IF(Hipótesis!$D$94=5,0,IF(Hipótesis!$D$94=1,CB90+CB91,IF(Hipótesis!$D$94=2,CB90+CB91+IF(CB89&gt;0,Hipótesis!$D$98*MAX(0,CB56),0),IF(Hipótesis!$D$94=3,Hipótesis!$D$99*MAX(0,CB56),Hipótesis!$D$100*CB36))))</f>
        <v>0</v>
      </c>
      <c r="CC92" s="109" t="n">
        <f aca="false">IF(Hipótesis!$D$94=5,0,IF(Hipótesis!$D$94=1,CC90+CC91,IF(Hipótesis!$D$94=2,CC90+CC91+IF(CC89&gt;0,Hipótesis!$D$98*MAX(0,CC56),0),IF(Hipótesis!$D$94=3,Hipótesis!$D$99*MAX(0,CC56),Hipótesis!$D$100*CC36))))</f>
        <v>0</v>
      </c>
      <c r="CD92" s="109" t="n">
        <f aca="false">IF(Hipótesis!$D$94=5,0,IF(Hipótesis!$D$94=1,CD90+CD91,IF(Hipótesis!$D$94=2,CD90+CD91+IF(CD89&gt;0,Hipótesis!$D$98*MAX(0,CD56),0),IF(Hipótesis!$D$94=3,Hipótesis!$D$99*MAX(0,CD56),Hipótesis!$D$100*CD36))))</f>
        <v>0</v>
      </c>
      <c r="CE92" s="109" t="n">
        <f aca="false">IF(Hipótesis!$D$94=5,0,IF(Hipótesis!$D$94=1,CE90+CE91,IF(Hipótesis!$D$94=2,CE90+CE91+IF(CE89&gt;0,Hipótesis!$D$98*MAX(0,CE56),0),IF(Hipótesis!$D$94=3,Hipótesis!$D$99*MAX(0,CE56),Hipótesis!$D$100*CE36))))</f>
        <v>0</v>
      </c>
      <c r="CF92" s="109" t="n">
        <f aca="false">IF(Hipótesis!$D$94=5,0,IF(Hipótesis!$D$94=1,CF90+CF91,IF(Hipótesis!$D$94=2,CF90+CF91+IF(CF89&gt;0,Hipótesis!$D$98*MAX(0,CF56),0),IF(Hipótesis!$D$94=3,Hipótesis!$D$99*MAX(0,CF56),Hipótesis!$D$100*CF36))))</f>
        <v>0</v>
      </c>
      <c r="CG92" s="109" t="n">
        <f aca="false">IF(Hipótesis!$D$94=5,0,IF(Hipótesis!$D$94=1,CG90+CG91,IF(Hipótesis!$D$94=2,CG90+CG91+IF(CG89&gt;0,Hipótesis!$D$98*MAX(0,CG56),0),IF(Hipótesis!$D$94=3,Hipótesis!$D$99*MAX(0,CG56),Hipótesis!$D$100*CG36))))</f>
        <v>0</v>
      </c>
      <c r="CH92" s="109" t="n">
        <f aca="false">IF(Hipótesis!$D$94=5,0,IF(Hipótesis!$D$94=1,CH90+CH91,IF(Hipótesis!$D$94=2,CH90+CH91+IF(CH89&gt;0,Hipótesis!$D$98*MAX(0,CH56),0),IF(Hipótesis!$D$94=3,Hipótesis!$D$99*MAX(0,CH56),Hipótesis!$D$100*CH36))))</f>
        <v>0</v>
      </c>
    </row>
    <row r="93" customFormat="false" ht="13.5" hidden="false" customHeight="true" outlineLevel="0" collapsed="false">
      <c r="A93" s="6" t="s">
        <v>594</v>
      </c>
      <c r="C93" s="109" t="n">
        <f aca="false">IF(Hipótesis!$D$94&lt;=2,C92,MIN(C92,MAX(0,Hipótesis!$D$101*Hipótesis!$D$93-0)))</f>
        <v>0</v>
      </c>
      <c r="D93" s="109" t="n">
        <f aca="false">IF(Hipótesis!$D$94&lt;=2,D92,MIN(D92,MAX(0,Hipótesis!$D$101*Hipótesis!$D$93-C94)))</f>
        <v>0</v>
      </c>
      <c r="E93" s="109" t="n">
        <f aca="false">IF(Hipótesis!$D$94&lt;=2,E92,MIN(E92,MAX(0,Hipótesis!$D$101*Hipótesis!$D$93-D94)))</f>
        <v>0</v>
      </c>
      <c r="F93" s="109" t="n">
        <f aca="false">IF(Hipótesis!$D$94&lt;=2,F92,MIN(F92,MAX(0,Hipótesis!$D$101*Hipótesis!$D$93-E94)))</f>
        <v>0</v>
      </c>
      <c r="G93" s="109" t="n">
        <f aca="false">IF(Hipótesis!$D$94&lt;=2,G92,MIN(G92,MAX(0,Hipótesis!$D$101*Hipótesis!$D$93-F94)))</f>
        <v>0</v>
      </c>
      <c r="H93" s="109" t="n">
        <f aca="false">IF(Hipótesis!$D$94&lt;=2,H92,MIN(H92,MAX(0,Hipótesis!$D$101*Hipótesis!$D$93-G94)))</f>
        <v>0</v>
      </c>
      <c r="I93" s="109" t="n">
        <f aca="false">IF(Hipótesis!$D$94&lt;=2,I92,MIN(I92,MAX(0,Hipótesis!$D$101*Hipótesis!$D$93-H94)))</f>
        <v>0</v>
      </c>
      <c r="J93" s="109" t="n">
        <f aca="false">IF(Hipótesis!$D$94&lt;=2,J92,MIN(J92,MAX(0,Hipótesis!$D$101*Hipótesis!$D$93-I94)))</f>
        <v>0</v>
      </c>
      <c r="K93" s="109" t="n">
        <f aca="false">IF(Hipótesis!$D$94&lt;=2,K92,MIN(K92,MAX(0,Hipótesis!$D$101*Hipótesis!$D$93-J94)))</f>
        <v>0</v>
      </c>
      <c r="L93" s="109" t="n">
        <f aca="false">IF(Hipótesis!$D$94&lt;=2,L92,MIN(L92,MAX(0,Hipótesis!$D$101*Hipótesis!$D$93-K94)))</f>
        <v>0</v>
      </c>
      <c r="M93" s="109" t="n">
        <f aca="false">IF(Hipótesis!$D$94&lt;=2,M92,MIN(M92,MAX(0,Hipótesis!$D$101*Hipótesis!$D$93-L94)))</f>
        <v>0</v>
      </c>
      <c r="N93" s="109" t="n">
        <f aca="false">IF(Hipótesis!$D$94&lt;=2,N92,MIN(N92,MAX(0,Hipótesis!$D$101*Hipótesis!$D$93-M94)))</f>
        <v>0</v>
      </c>
      <c r="O93" s="109" t="n">
        <f aca="false">IF(Hipótesis!$D$94&lt;=2,O92,MIN(O92,MAX(0,Hipótesis!$D$101*Hipótesis!$D$93-N94)))</f>
        <v>0</v>
      </c>
      <c r="P93" s="109" t="n">
        <f aca="false">IF(Hipótesis!$D$94&lt;=2,P92,MIN(P92,MAX(0,Hipótesis!$D$101*Hipótesis!$D$93-O94)))</f>
        <v>0</v>
      </c>
      <c r="Q93" s="109" t="n">
        <f aca="false">IF(Hipótesis!$D$94&lt;=2,Q92,MIN(Q92,MAX(0,Hipótesis!$D$101*Hipótesis!$D$93-P94)))</f>
        <v>0</v>
      </c>
      <c r="R93" s="109" t="n">
        <f aca="false">IF(Hipótesis!$D$94&lt;=2,R92,MIN(R92,MAX(0,Hipótesis!$D$101*Hipótesis!$D$93-Q94)))</f>
        <v>0</v>
      </c>
      <c r="S93" s="109" t="n">
        <f aca="false">IF(Hipótesis!$D$94&lt;=2,S92,MIN(S92,MAX(0,Hipótesis!$D$101*Hipótesis!$D$93-R94)))</f>
        <v>0</v>
      </c>
      <c r="T93" s="109" t="n">
        <f aca="false">IF(Hipótesis!$D$94&lt;=2,T92,MIN(T92,MAX(0,Hipótesis!$D$101*Hipótesis!$D$93-S94)))</f>
        <v>0</v>
      </c>
      <c r="U93" s="109" t="n">
        <f aca="false">IF(Hipótesis!$D$94&lt;=2,U92,MIN(U92,MAX(0,Hipótesis!$D$101*Hipótesis!$D$93-T94)))</f>
        <v>0</v>
      </c>
      <c r="V93" s="109" t="n">
        <f aca="false">IF(Hipótesis!$D$94&lt;=2,V92,MIN(V92,MAX(0,Hipótesis!$D$101*Hipótesis!$D$93-U94)))</f>
        <v>0</v>
      </c>
      <c r="W93" s="109" t="n">
        <f aca="false">IF(Hipótesis!$D$94&lt;=2,W92,MIN(W92,MAX(0,Hipótesis!$D$101*Hipótesis!$D$93-V94)))</f>
        <v>0</v>
      </c>
      <c r="X93" s="109" t="n">
        <f aca="false">IF(Hipótesis!$D$94&lt;=2,X92,MIN(X92,MAX(0,Hipótesis!$D$101*Hipótesis!$D$93-W94)))</f>
        <v>0</v>
      </c>
      <c r="Y93" s="109" t="n">
        <f aca="false">IF(Hipótesis!$D$94&lt;=2,Y92,MIN(Y92,MAX(0,Hipótesis!$D$101*Hipótesis!$D$93-X94)))</f>
        <v>0</v>
      </c>
      <c r="Z93" s="109" t="n">
        <f aca="false">IF(Hipótesis!$D$94&lt;=2,Z92,MIN(Z92,MAX(0,Hipótesis!$D$101*Hipótesis!$D$93-Y94)))</f>
        <v>0</v>
      </c>
      <c r="AA93" s="109" t="n">
        <f aca="false">IF(Hipótesis!$D$94&lt;=2,AA92,MIN(AA92,MAX(0,Hipótesis!$D$101*Hipótesis!$D$93-Z94)))</f>
        <v>0</v>
      </c>
      <c r="AB93" s="109" t="n">
        <f aca="false">IF(Hipótesis!$D$94&lt;=2,AB92,MIN(AB92,MAX(0,Hipótesis!$D$101*Hipótesis!$D$93-AA94)))</f>
        <v>0</v>
      </c>
      <c r="AC93" s="109" t="n">
        <f aca="false">IF(Hipótesis!$D$94&lt;=2,AC92,MIN(AC92,MAX(0,Hipótesis!$D$101*Hipótesis!$D$93-AB94)))</f>
        <v>0</v>
      </c>
      <c r="AD93" s="109" t="n">
        <f aca="false">IF(Hipótesis!$D$94&lt;=2,AD92,MIN(AD92,MAX(0,Hipótesis!$D$101*Hipótesis!$D$93-AC94)))</f>
        <v>0</v>
      </c>
      <c r="AE93" s="109" t="n">
        <f aca="false">IF(Hipótesis!$D$94&lt;=2,AE92,MIN(AE92,MAX(0,Hipótesis!$D$101*Hipótesis!$D$93-AD94)))</f>
        <v>0</v>
      </c>
      <c r="AF93" s="109" t="n">
        <f aca="false">IF(Hipótesis!$D$94&lt;=2,AF92,MIN(AF92,MAX(0,Hipótesis!$D$101*Hipótesis!$D$93-AE94)))</f>
        <v>0</v>
      </c>
      <c r="AG93" s="109" t="n">
        <f aca="false">IF(Hipótesis!$D$94&lt;=2,AG92,MIN(AG92,MAX(0,Hipótesis!$D$101*Hipótesis!$D$93-AF94)))</f>
        <v>0</v>
      </c>
      <c r="AH93" s="109" t="n">
        <f aca="false">IF(Hipótesis!$D$94&lt;=2,AH92,MIN(AH92,MAX(0,Hipótesis!$D$101*Hipótesis!$D$93-AG94)))</f>
        <v>0</v>
      </c>
      <c r="AI93" s="109" t="n">
        <f aca="false">IF(Hipótesis!$D$94&lt;=2,AI92,MIN(AI92,MAX(0,Hipótesis!$D$101*Hipótesis!$D$93-AH94)))</f>
        <v>0</v>
      </c>
      <c r="AJ93" s="109" t="n">
        <f aca="false">IF(Hipótesis!$D$94&lt;=2,AJ92,MIN(AJ92,MAX(0,Hipótesis!$D$101*Hipótesis!$D$93-AI94)))</f>
        <v>0</v>
      </c>
      <c r="AK93" s="109" t="n">
        <f aca="false">IF(Hipótesis!$D$94&lt;=2,AK92,MIN(AK92,MAX(0,Hipótesis!$D$101*Hipótesis!$D$93-AJ94)))</f>
        <v>0</v>
      </c>
      <c r="AL93" s="109" t="n">
        <f aca="false">IF(Hipótesis!$D$94&lt;=2,AL92,MIN(AL92,MAX(0,Hipótesis!$D$101*Hipótesis!$D$93-AK94)))</f>
        <v>0</v>
      </c>
      <c r="AM93" s="109" t="n">
        <f aca="false">IF(Hipótesis!$D$94&lt;=2,AM92,MIN(AM92,MAX(0,Hipótesis!$D$101*Hipótesis!$D$93-AL94)))</f>
        <v>0</v>
      </c>
      <c r="AN93" s="109" t="n">
        <f aca="false">IF(Hipótesis!$D$94&lt;=2,AN92,MIN(AN92,MAX(0,Hipótesis!$D$101*Hipótesis!$D$93-AM94)))</f>
        <v>0</v>
      </c>
      <c r="AO93" s="109" t="n">
        <f aca="false">IF(Hipótesis!$D$94&lt;=2,AO92,MIN(AO92,MAX(0,Hipótesis!$D$101*Hipótesis!$D$93-AN94)))</f>
        <v>0</v>
      </c>
      <c r="AP93" s="109" t="n">
        <f aca="false">IF(Hipótesis!$D$94&lt;=2,AP92,MIN(AP92,MAX(0,Hipótesis!$D$101*Hipótesis!$D$93-AO94)))</f>
        <v>0</v>
      </c>
      <c r="AQ93" s="109" t="n">
        <f aca="false">IF(Hipótesis!$D$94&lt;=2,AQ92,MIN(AQ92,MAX(0,Hipótesis!$D$101*Hipótesis!$D$93-AP94)))</f>
        <v>0</v>
      </c>
      <c r="AR93" s="109" t="n">
        <f aca="false">IF(Hipótesis!$D$94&lt;=2,AR92,MIN(AR92,MAX(0,Hipótesis!$D$101*Hipótesis!$D$93-AQ94)))</f>
        <v>0</v>
      </c>
      <c r="AS93" s="109" t="n">
        <f aca="false">IF(Hipótesis!$D$94&lt;=2,AS92,MIN(AS92,MAX(0,Hipótesis!$D$101*Hipótesis!$D$93-AR94)))</f>
        <v>0</v>
      </c>
      <c r="AT93" s="109" t="n">
        <f aca="false">IF(Hipótesis!$D$94&lt;=2,AT92,MIN(AT92,MAX(0,Hipótesis!$D$101*Hipótesis!$D$93-AS94)))</f>
        <v>0</v>
      </c>
      <c r="AU93" s="109" t="n">
        <f aca="false">IF(Hipótesis!$D$94&lt;=2,AU92,MIN(AU92,MAX(0,Hipótesis!$D$101*Hipótesis!$D$93-AT94)))</f>
        <v>0</v>
      </c>
      <c r="AV93" s="109" t="n">
        <f aca="false">IF(Hipótesis!$D$94&lt;=2,AV92,MIN(AV92,MAX(0,Hipótesis!$D$101*Hipótesis!$D$93-AU94)))</f>
        <v>0</v>
      </c>
      <c r="AW93" s="109" t="n">
        <f aca="false">IF(Hipótesis!$D$94&lt;=2,AW92,MIN(AW92,MAX(0,Hipótesis!$D$101*Hipótesis!$D$93-AV94)))</f>
        <v>0</v>
      </c>
      <c r="AX93" s="109" t="n">
        <f aca="false">IF(Hipótesis!$D$94&lt;=2,AX92,MIN(AX92,MAX(0,Hipótesis!$D$101*Hipótesis!$D$93-AW94)))</f>
        <v>0</v>
      </c>
      <c r="AY93" s="109" t="n">
        <f aca="false">IF(Hipótesis!$D$94&lt;=2,AY92,MIN(AY92,MAX(0,Hipótesis!$D$101*Hipótesis!$D$93-AX94)))</f>
        <v>0</v>
      </c>
      <c r="AZ93" s="109" t="n">
        <f aca="false">IF(Hipótesis!$D$94&lt;=2,AZ92,MIN(AZ92,MAX(0,Hipótesis!$D$101*Hipótesis!$D$93-AY94)))</f>
        <v>0</v>
      </c>
      <c r="BA93" s="109" t="n">
        <f aca="false">IF(Hipótesis!$D$94&lt;=2,BA92,MIN(BA92,MAX(0,Hipótesis!$D$101*Hipótesis!$D$93-AZ94)))</f>
        <v>0</v>
      </c>
      <c r="BB93" s="109" t="n">
        <f aca="false">IF(Hipótesis!$D$94&lt;=2,BB92,MIN(BB92,MAX(0,Hipótesis!$D$101*Hipótesis!$D$93-BA94)))</f>
        <v>0</v>
      </c>
      <c r="BC93" s="109" t="n">
        <f aca="false">IF(Hipótesis!$D$94&lt;=2,BC92,MIN(BC92,MAX(0,Hipótesis!$D$101*Hipótesis!$D$93-BB94)))</f>
        <v>0</v>
      </c>
      <c r="BD93" s="109" t="n">
        <f aca="false">IF(Hipótesis!$D$94&lt;=2,BD92,MIN(BD92,MAX(0,Hipótesis!$D$101*Hipótesis!$D$93-BC94)))</f>
        <v>0</v>
      </c>
      <c r="BE93" s="109" t="n">
        <f aca="false">IF(Hipótesis!$D$94&lt;=2,BE92,MIN(BE92,MAX(0,Hipótesis!$D$101*Hipótesis!$D$93-BD94)))</f>
        <v>0</v>
      </c>
      <c r="BF93" s="109" t="n">
        <f aca="false">IF(Hipótesis!$D$94&lt;=2,BF92,MIN(BF92,MAX(0,Hipótesis!$D$101*Hipótesis!$D$93-BE94)))</f>
        <v>0</v>
      </c>
      <c r="BG93" s="109" t="n">
        <f aca="false">IF(Hipótesis!$D$94&lt;=2,BG92,MIN(BG92,MAX(0,Hipótesis!$D$101*Hipótesis!$D$93-BF94)))</f>
        <v>0</v>
      </c>
      <c r="BH93" s="109" t="n">
        <f aca="false">IF(Hipótesis!$D$94&lt;=2,BH92,MIN(BH92,MAX(0,Hipótesis!$D$101*Hipótesis!$D$93-BG94)))</f>
        <v>0</v>
      </c>
      <c r="BI93" s="109" t="n">
        <f aca="false">IF(Hipótesis!$D$94&lt;=2,BI92,MIN(BI92,MAX(0,Hipótesis!$D$101*Hipótesis!$D$93-BH94)))</f>
        <v>0</v>
      </c>
      <c r="BJ93" s="109" t="n">
        <f aca="false">IF(Hipótesis!$D$94&lt;=2,BJ92,MIN(BJ92,MAX(0,Hipótesis!$D$101*Hipótesis!$D$93-BI94)))</f>
        <v>0</v>
      </c>
      <c r="BK93" s="109" t="n">
        <f aca="false">IF(Hipótesis!$D$94&lt;=2,BK92,MIN(BK92,MAX(0,Hipótesis!$D$101*Hipótesis!$D$93-BJ94)))</f>
        <v>0</v>
      </c>
      <c r="BL93" s="109" t="n">
        <f aca="false">IF(Hipótesis!$D$94&lt;=2,BL92,MIN(BL92,MAX(0,Hipótesis!$D$101*Hipótesis!$D$93-BK94)))</f>
        <v>0</v>
      </c>
      <c r="BM93" s="109" t="n">
        <f aca="false">IF(Hipótesis!$D$94&lt;=2,BM92,MIN(BM92,MAX(0,Hipótesis!$D$101*Hipótesis!$D$93-BL94)))</f>
        <v>0</v>
      </c>
      <c r="BN93" s="109" t="n">
        <f aca="false">IF(Hipótesis!$D$94&lt;=2,BN92,MIN(BN92,MAX(0,Hipótesis!$D$101*Hipótesis!$D$93-BM94)))</f>
        <v>0</v>
      </c>
      <c r="BO93" s="109" t="n">
        <f aca="false">IF(Hipótesis!$D$94&lt;=2,BO92,MIN(BO92,MAX(0,Hipótesis!$D$101*Hipótesis!$D$93-BN94)))</f>
        <v>0</v>
      </c>
      <c r="BP93" s="109" t="n">
        <f aca="false">IF(Hipótesis!$D$94&lt;=2,BP92,MIN(BP92,MAX(0,Hipótesis!$D$101*Hipótesis!$D$93-BO94)))</f>
        <v>0</v>
      </c>
      <c r="BQ93" s="109" t="n">
        <f aca="false">IF(Hipótesis!$D$94&lt;=2,BQ92,MIN(BQ92,MAX(0,Hipótesis!$D$101*Hipótesis!$D$93-BP94)))</f>
        <v>0</v>
      </c>
      <c r="BR93" s="109" t="n">
        <f aca="false">IF(Hipótesis!$D$94&lt;=2,BR92,MIN(BR92,MAX(0,Hipótesis!$D$101*Hipótesis!$D$93-BQ94)))</f>
        <v>0</v>
      </c>
      <c r="BS93" s="109" t="n">
        <f aca="false">IF(Hipótesis!$D$94&lt;=2,BS92,MIN(BS92,MAX(0,Hipótesis!$D$101*Hipótesis!$D$93-BR94)))</f>
        <v>0</v>
      </c>
      <c r="BT93" s="109" t="n">
        <f aca="false">IF(Hipótesis!$D$94&lt;=2,BT92,MIN(BT92,MAX(0,Hipótesis!$D$101*Hipótesis!$D$93-BS94)))</f>
        <v>0</v>
      </c>
      <c r="BU93" s="109" t="n">
        <f aca="false">IF(Hipótesis!$D$94&lt;=2,BU92,MIN(BU92,MAX(0,Hipótesis!$D$101*Hipótesis!$D$93-BT94)))</f>
        <v>0</v>
      </c>
      <c r="BV93" s="109" t="n">
        <f aca="false">IF(Hipótesis!$D$94&lt;=2,BV92,MIN(BV92,MAX(0,Hipótesis!$D$101*Hipótesis!$D$93-BU94)))</f>
        <v>0</v>
      </c>
      <c r="BW93" s="109" t="n">
        <f aca="false">IF(Hipótesis!$D$94&lt;=2,BW92,MIN(BW92,MAX(0,Hipótesis!$D$101*Hipótesis!$D$93-BV94)))</f>
        <v>0</v>
      </c>
      <c r="BX93" s="109" t="n">
        <f aca="false">IF(Hipótesis!$D$94&lt;=2,BX92,MIN(BX92,MAX(0,Hipótesis!$D$101*Hipótesis!$D$93-BW94)))</f>
        <v>0</v>
      </c>
      <c r="BY93" s="109" t="n">
        <f aca="false">IF(Hipótesis!$D$94&lt;=2,BY92,MIN(BY92,MAX(0,Hipótesis!$D$101*Hipótesis!$D$93-BX94)))</f>
        <v>0</v>
      </c>
      <c r="BZ93" s="109" t="n">
        <f aca="false">IF(Hipótesis!$D$94&lt;=2,BZ92,MIN(BZ92,MAX(0,Hipótesis!$D$101*Hipótesis!$D$93-BY94)))</f>
        <v>0</v>
      </c>
      <c r="CA93" s="109" t="n">
        <f aca="false">IF(Hipótesis!$D$94&lt;=2,CA92,MIN(CA92,MAX(0,Hipótesis!$D$101*Hipótesis!$D$93-BZ94)))</f>
        <v>0</v>
      </c>
      <c r="CB93" s="109" t="n">
        <f aca="false">IF(Hipótesis!$D$94&lt;=2,CB92,MIN(CB92,MAX(0,Hipótesis!$D$101*Hipótesis!$D$93-CA94)))</f>
        <v>0</v>
      </c>
      <c r="CC93" s="109" t="n">
        <f aca="false">IF(Hipótesis!$D$94&lt;=2,CC92,MIN(CC92,MAX(0,Hipótesis!$D$101*Hipótesis!$D$93-CB94)))</f>
        <v>0</v>
      </c>
      <c r="CD93" s="109" t="n">
        <f aca="false">IF(Hipótesis!$D$94&lt;=2,CD92,MIN(CD92,MAX(0,Hipótesis!$D$101*Hipótesis!$D$93-CC94)))</f>
        <v>0</v>
      </c>
      <c r="CE93" s="109" t="n">
        <f aca="false">IF(Hipótesis!$D$94&lt;=2,CE92,MIN(CE92,MAX(0,Hipótesis!$D$101*Hipótesis!$D$93-CD94)))</f>
        <v>0</v>
      </c>
      <c r="CF93" s="109" t="n">
        <f aca="false">IF(Hipótesis!$D$94&lt;=2,CF92,MIN(CF92,MAX(0,Hipótesis!$D$101*Hipótesis!$D$93-CE94)))</f>
        <v>0</v>
      </c>
      <c r="CG93" s="109" t="n">
        <f aca="false">IF(Hipótesis!$D$94&lt;=2,CG92,MIN(CG92,MAX(0,Hipótesis!$D$101*Hipótesis!$D$93-CF94)))</f>
        <v>0</v>
      </c>
      <c r="CH93" s="109" t="n">
        <f aca="false">IF(Hipótesis!$D$94&lt;=2,CH92,MIN(CH92,MAX(0,Hipótesis!$D$101*Hipótesis!$D$93-CG94)))</f>
        <v>0</v>
      </c>
    </row>
    <row r="94" customFormat="false" ht="13.5" hidden="false" customHeight="true" outlineLevel="0" collapsed="false">
      <c r="A94" s="6" t="s">
        <v>595</v>
      </c>
      <c r="C94" s="109" t="n">
        <f aca="false">C121</f>
        <v>0</v>
      </c>
      <c r="D94" s="109" t="n">
        <f aca="false">C94+D121</f>
        <v>0</v>
      </c>
      <c r="E94" s="109" t="n">
        <f aca="false">D94+E121</f>
        <v>0</v>
      </c>
      <c r="F94" s="109" t="n">
        <f aca="false">E94+F121</f>
        <v>0</v>
      </c>
      <c r="G94" s="109" t="n">
        <f aca="false">F94+G121</f>
        <v>0</v>
      </c>
      <c r="H94" s="109" t="n">
        <f aca="false">G94+H121</f>
        <v>0</v>
      </c>
      <c r="I94" s="109" t="n">
        <f aca="false">H94+I121</f>
        <v>0</v>
      </c>
      <c r="J94" s="109" t="n">
        <f aca="false">I94+J121</f>
        <v>0</v>
      </c>
      <c r="K94" s="109" t="n">
        <f aca="false">J94+K121</f>
        <v>0</v>
      </c>
      <c r="L94" s="109" t="n">
        <f aca="false">K94+L121</f>
        <v>0</v>
      </c>
      <c r="M94" s="109" t="n">
        <f aca="false">L94+M121</f>
        <v>0</v>
      </c>
      <c r="N94" s="109" t="n">
        <f aca="false">M94+N121</f>
        <v>0</v>
      </c>
      <c r="O94" s="109" t="n">
        <f aca="false">N94+O121</f>
        <v>0</v>
      </c>
      <c r="P94" s="109" t="n">
        <f aca="false">O94+P121</f>
        <v>0</v>
      </c>
      <c r="Q94" s="109" t="n">
        <f aca="false">P94+Q121</f>
        <v>0</v>
      </c>
      <c r="R94" s="109" t="n">
        <f aca="false">Q94+R121</f>
        <v>0</v>
      </c>
      <c r="S94" s="109" t="n">
        <f aca="false">R94+S121</f>
        <v>0</v>
      </c>
      <c r="T94" s="109" t="n">
        <f aca="false">S94+T121</f>
        <v>0</v>
      </c>
      <c r="U94" s="109" t="n">
        <f aca="false">T94+U121</f>
        <v>0</v>
      </c>
      <c r="V94" s="109" t="n">
        <f aca="false">U94+V121</f>
        <v>0</v>
      </c>
      <c r="W94" s="109" t="n">
        <f aca="false">V94+W121</f>
        <v>0</v>
      </c>
      <c r="X94" s="109" t="n">
        <f aca="false">W94+X121</f>
        <v>0</v>
      </c>
      <c r="Y94" s="109" t="n">
        <f aca="false">X94+Y121</f>
        <v>0</v>
      </c>
      <c r="Z94" s="109" t="n">
        <f aca="false">Y94+Z121</f>
        <v>0</v>
      </c>
      <c r="AA94" s="109" t="n">
        <f aca="false">Z94+AA121</f>
        <v>0</v>
      </c>
      <c r="AB94" s="109" t="n">
        <f aca="false">AA94+AB121</f>
        <v>0</v>
      </c>
      <c r="AC94" s="109" t="n">
        <f aca="false">AB94+AC121</f>
        <v>0</v>
      </c>
      <c r="AD94" s="109" t="n">
        <f aca="false">AC94+AD121</f>
        <v>0</v>
      </c>
      <c r="AE94" s="109" t="n">
        <f aca="false">AD94+AE121</f>
        <v>0</v>
      </c>
      <c r="AF94" s="109" t="n">
        <f aca="false">AE94+AF121</f>
        <v>0</v>
      </c>
      <c r="AG94" s="109" t="n">
        <f aca="false">AF94+AG121</f>
        <v>0</v>
      </c>
      <c r="AH94" s="109" t="n">
        <f aca="false">AG94+AH121</f>
        <v>0</v>
      </c>
      <c r="AI94" s="109" t="n">
        <f aca="false">AH94+AI121</f>
        <v>0</v>
      </c>
      <c r="AJ94" s="109" t="n">
        <f aca="false">AI94+AJ121</f>
        <v>0</v>
      </c>
      <c r="AK94" s="109" t="n">
        <f aca="false">AJ94+AK121</f>
        <v>0</v>
      </c>
      <c r="AL94" s="109" t="n">
        <f aca="false">AK94+AL121</f>
        <v>0</v>
      </c>
      <c r="AM94" s="109" t="n">
        <f aca="false">AL94+AM121</f>
        <v>0</v>
      </c>
      <c r="AN94" s="109" t="n">
        <f aca="false">AM94+AN121</f>
        <v>0</v>
      </c>
      <c r="AO94" s="109" t="n">
        <f aca="false">AN94+AO121</f>
        <v>0</v>
      </c>
      <c r="AP94" s="109" t="n">
        <f aca="false">AO94+AP121</f>
        <v>0</v>
      </c>
      <c r="AQ94" s="109" t="n">
        <f aca="false">AP94+AQ121</f>
        <v>0</v>
      </c>
      <c r="AR94" s="109" t="n">
        <f aca="false">AQ94+AR121</f>
        <v>0</v>
      </c>
      <c r="AS94" s="109" t="n">
        <f aca="false">AR94+AS121</f>
        <v>0</v>
      </c>
      <c r="AT94" s="109" t="n">
        <f aca="false">AS94+AT121</f>
        <v>0</v>
      </c>
      <c r="AU94" s="109" t="n">
        <f aca="false">AT94+AU121</f>
        <v>0</v>
      </c>
      <c r="AV94" s="109" t="n">
        <f aca="false">AU94+AV121</f>
        <v>0</v>
      </c>
      <c r="AW94" s="109" t="n">
        <f aca="false">AV94+AW121</f>
        <v>0</v>
      </c>
      <c r="AX94" s="109" t="n">
        <f aca="false">AW94+AX121</f>
        <v>392115.052923805</v>
      </c>
      <c r="AY94" s="109" t="n">
        <f aca="false">AX94+AY121</f>
        <v>392115.052923805</v>
      </c>
      <c r="AZ94" s="109" t="n">
        <f aca="false">AY94+AZ121</f>
        <v>392115.052923805</v>
      </c>
      <c r="BA94" s="109" t="n">
        <f aca="false">AZ94+BA121</f>
        <v>392115.052923805</v>
      </c>
      <c r="BB94" s="109" t="n">
        <f aca="false">BA94+BB121</f>
        <v>392115.052923805</v>
      </c>
      <c r="BC94" s="109" t="n">
        <f aca="false">BB94+BC121</f>
        <v>392115.052923805</v>
      </c>
      <c r="BD94" s="109" t="n">
        <f aca="false">BC94+BD121</f>
        <v>392115.052923805</v>
      </c>
      <c r="BE94" s="109" t="n">
        <f aca="false">BD94+BE121</f>
        <v>392115.052923805</v>
      </c>
      <c r="BF94" s="109" t="n">
        <f aca="false">BE94+BF121</f>
        <v>392115.052923805</v>
      </c>
      <c r="BG94" s="109" t="n">
        <f aca="false">BF94+BG121</f>
        <v>392115.052923805</v>
      </c>
      <c r="BH94" s="109" t="n">
        <f aca="false">BG94+BH121</f>
        <v>392115.052923805</v>
      </c>
      <c r="BI94" s="109" t="n">
        <f aca="false">BH94+BI121</f>
        <v>392115.052923805</v>
      </c>
      <c r="BJ94" s="109" t="n">
        <f aca="false">BI94+BJ121</f>
        <v>392115.052923805</v>
      </c>
      <c r="BK94" s="109" t="n">
        <f aca="false">BJ94+BK121</f>
        <v>392115.052923805</v>
      </c>
      <c r="BL94" s="109" t="n">
        <f aca="false">BK94+BL121</f>
        <v>392115.052923805</v>
      </c>
      <c r="BM94" s="109" t="n">
        <f aca="false">BL94+BM121</f>
        <v>392115.052923805</v>
      </c>
      <c r="BN94" s="109" t="n">
        <f aca="false">BM94+BN121</f>
        <v>392115.052923805</v>
      </c>
      <c r="BO94" s="109" t="n">
        <f aca="false">BN94+BO121</f>
        <v>392115.052923805</v>
      </c>
      <c r="BP94" s="109" t="n">
        <f aca="false">BO94+BP121</f>
        <v>392115.052923805</v>
      </c>
      <c r="BQ94" s="109" t="n">
        <f aca="false">BP94+BQ121</f>
        <v>392115.052923805</v>
      </c>
      <c r="BR94" s="109" t="n">
        <f aca="false">BQ94+BR121</f>
        <v>392115.052923805</v>
      </c>
      <c r="BS94" s="109" t="n">
        <f aca="false">BR94+BS121</f>
        <v>392115.052923805</v>
      </c>
      <c r="BT94" s="109" t="n">
        <f aca="false">BS94+BT121</f>
        <v>392115.052923805</v>
      </c>
      <c r="BU94" s="109" t="n">
        <f aca="false">BT94+BU121</f>
        <v>392115.052923805</v>
      </c>
      <c r="BV94" s="109" t="n">
        <f aca="false">BU94+BV121</f>
        <v>392115.052923805</v>
      </c>
      <c r="BW94" s="109" t="n">
        <f aca="false">BV94+BW121</f>
        <v>392115.052923805</v>
      </c>
      <c r="BX94" s="109" t="n">
        <f aca="false">BW94+BX121</f>
        <v>392115.052923805</v>
      </c>
      <c r="BY94" s="109" t="n">
        <f aca="false">BX94+BY121</f>
        <v>392115.052923805</v>
      </c>
      <c r="BZ94" s="109" t="n">
        <f aca="false">BY94+BZ121</f>
        <v>392115.052923805</v>
      </c>
      <c r="CA94" s="109" t="n">
        <f aca="false">BZ94+CA121</f>
        <v>392115.052923805</v>
      </c>
      <c r="CB94" s="109" t="n">
        <f aca="false">CA94+CB121</f>
        <v>392115.052923805</v>
      </c>
      <c r="CC94" s="109" t="n">
        <f aca="false">CB94+CC121</f>
        <v>392115.052923805</v>
      </c>
      <c r="CD94" s="109" t="n">
        <f aca="false">CC94+CD121</f>
        <v>392115.052923805</v>
      </c>
      <c r="CE94" s="109" t="n">
        <f aca="false">CD94+CE121</f>
        <v>392115.052923805</v>
      </c>
      <c r="CF94" s="109" t="n">
        <f aca="false">CE94+CF121</f>
        <v>392115.052923805</v>
      </c>
      <c r="CG94" s="109" t="n">
        <f aca="false">CF94+CG121</f>
        <v>392115.052923805</v>
      </c>
      <c r="CH94" s="109" t="n">
        <f aca="false">CG94+CH121</f>
        <v>392115.052923805</v>
      </c>
    </row>
    <row r="95" customFormat="false" ht="13.5" hidden="false" customHeight="true" outlineLevel="0" collapsed="false"/>
    <row r="96" customFormat="false" ht="13.5" hidden="false" customHeight="true" outlineLevel="0" collapsed="false">
      <c r="A96" s="6" t="s">
        <v>596</v>
      </c>
      <c r="C96" s="109" t="n">
        <f aca="false">Hipótesis!$D$105</f>
        <v>100000</v>
      </c>
      <c r="D96" s="109" t="n">
        <f aca="false">C96-C97</f>
        <v>100000</v>
      </c>
      <c r="E96" s="109" t="n">
        <f aca="false">D96-D97</f>
        <v>100000</v>
      </c>
      <c r="F96" s="109" t="n">
        <f aca="false">E96-E97</f>
        <v>100000</v>
      </c>
      <c r="G96" s="109" t="n">
        <f aca="false">F96-F97</f>
        <v>100000</v>
      </c>
      <c r="H96" s="109" t="n">
        <f aca="false">G96-G97</f>
        <v>100000</v>
      </c>
      <c r="I96" s="109" t="n">
        <f aca="false">H96-H97</f>
        <v>100000</v>
      </c>
      <c r="J96" s="109" t="n">
        <f aca="false">I96-I97</f>
        <v>100000</v>
      </c>
      <c r="K96" s="109" t="n">
        <f aca="false">J96-J97</f>
        <v>100000</v>
      </c>
      <c r="L96" s="109" t="n">
        <f aca="false">K96-K97</f>
        <v>100000</v>
      </c>
      <c r="M96" s="109" t="n">
        <f aca="false">L96-L97</f>
        <v>100000</v>
      </c>
      <c r="N96" s="109" t="n">
        <f aca="false">M96-M97</f>
        <v>100000</v>
      </c>
      <c r="O96" s="109" t="n">
        <f aca="false">N96-N97</f>
        <v>100000</v>
      </c>
      <c r="P96" s="109" t="n">
        <f aca="false">O96-O97</f>
        <v>100000</v>
      </c>
      <c r="Q96" s="109" t="n">
        <f aca="false">P96-P97</f>
        <v>100000</v>
      </c>
      <c r="R96" s="109" t="n">
        <f aca="false">Q96-Q97</f>
        <v>100000</v>
      </c>
      <c r="S96" s="109" t="n">
        <f aca="false">R96-R97</f>
        <v>100000</v>
      </c>
      <c r="T96" s="109" t="n">
        <f aca="false">S96-S97</f>
        <v>100000</v>
      </c>
      <c r="U96" s="109" t="n">
        <f aca="false">T96-T97</f>
        <v>100000</v>
      </c>
      <c r="V96" s="109" t="n">
        <f aca="false">U96-U97</f>
        <v>100000</v>
      </c>
      <c r="W96" s="109" t="n">
        <f aca="false">V96-V97</f>
        <v>100000</v>
      </c>
      <c r="X96" s="109" t="n">
        <f aca="false">W96-W97</f>
        <v>100000</v>
      </c>
      <c r="Y96" s="109" t="n">
        <f aca="false">X96-X97</f>
        <v>100000</v>
      </c>
      <c r="Z96" s="109" t="n">
        <f aca="false">Y96-Y97</f>
        <v>100000</v>
      </c>
      <c r="AA96" s="109" t="n">
        <f aca="false">Z96-Z97</f>
        <v>100000</v>
      </c>
      <c r="AB96" s="109" t="n">
        <f aca="false">AA96-AA97</f>
        <v>98333.3333333333</v>
      </c>
      <c r="AC96" s="109" t="n">
        <f aca="false">AB96-AB97</f>
        <v>96666.6666666667</v>
      </c>
      <c r="AD96" s="109" t="n">
        <f aca="false">AC96-AC97</f>
        <v>95000</v>
      </c>
      <c r="AE96" s="109" t="n">
        <f aca="false">AD96-AD97</f>
        <v>93333.3333333333</v>
      </c>
      <c r="AF96" s="109" t="n">
        <f aca="false">AE96-AE97</f>
        <v>91666.6666666666</v>
      </c>
      <c r="AG96" s="109" t="n">
        <f aca="false">AF96-AF97</f>
        <v>90000</v>
      </c>
      <c r="AH96" s="109" t="n">
        <f aca="false">AG96-AG97</f>
        <v>88333.3333333333</v>
      </c>
      <c r="AI96" s="109" t="n">
        <f aca="false">AH96-AH97</f>
        <v>86666.6666666666</v>
      </c>
      <c r="AJ96" s="109" t="n">
        <f aca="false">AI96-AI97</f>
        <v>85000</v>
      </c>
      <c r="AK96" s="109" t="n">
        <f aca="false">AJ96-AJ97</f>
        <v>83333.3333333333</v>
      </c>
      <c r="AL96" s="109" t="n">
        <f aca="false">AK96-AK97</f>
        <v>81666.6666666666</v>
      </c>
      <c r="AM96" s="109" t="n">
        <f aca="false">AL96-AL97</f>
        <v>79999.9999999999</v>
      </c>
      <c r="AN96" s="109" t="n">
        <f aca="false">AM96-AM97</f>
        <v>78333.3333333333</v>
      </c>
      <c r="AO96" s="109" t="n">
        <f aca="false">AN96-AN97</f>
        <v>76666.6666666666</v>
      </c>
      <c r="AP96" s="109" t="n">
        <f aca="false">AO96-AO97</f>
        <v>74999.9999999999</v>
      </c>
      <c r="AQ96" s="109" t="n">
        <f aca="false">AP96-AP97</f>
        <v>73333.3333333333</v>
      </c>
      <c r="AR96" s="109" t="n">
        <f aca="false">AQ96-AQ97</f>
        <v>71666.6666666666</v>
      </c>
      <c r="AS96" s="109" t="n">
        <f aca="false">AR96-AR97</f>
        <v>69999.9999999999</v>
      </c>
      <c r="AT96" s="109" t="n">
        <f aca="false">AS96-AS97</f>
        <v>68333.3333333332</v>
      </c>
      <c r="AU96" s="109" t="n">
        <f aca="false">AT96-AT97</f>
        <v>66666.6666666666</v>
      </c>
      <c r="AV96" s="109" t="n">
        <f aca="false">AU96-AU97</f>
        <v>64999.9999999999</v>
      </c>
      <c r="AW96" s="109" t="n">
        <f aca="false">AV96-AV97</f>
        <v>63333.3333333332</v>
      </c>
      <c r="AX96" s="109" t="n">
        <f aca="false">AW96-AW97</f>
        <v>61666.6666666666</v>
      </c>
      <c r="AY96" s="109" t="n">
        <f aca="false">AX96-AX97</f>
        <v>59999.9999999999</v>
      </c>
      <c r="AZ96" s="109" t="n">
        <f aca="false">AY96-AY97</f>
        <v>58333.3333333333</v>
      </c>
      <c r="BA96" s="109" t="n">
        <f aca="false">AZ96-AZ97</f>
        <v>56666.6666666666</v>
      </c>
      <c r="BB96" s="109" t="n">
        <f aca="false">BA96-BA97</f>
        <v>54999.9999999999</v>
      </c>
      <c r="BC96" s="109" t="n">
        <f aca="false">BB96-BB97</f>
        <v>53333.3333333333</v>
      </c>
      <c r="BD96" s="109" t="n">
        <f aca="false">BC96-BC97</f>
        <v>51666.6666666666</v>
      </c>
      <c r="BE96" s="109" t="n">
        <f aca="false">BD96-BD97</f>
        <v>49999.9999999999</v>
      </c>
      <c r="BF96" s="109" t="n">
        <f aca="false">BE96-BE97</f>
        <v>48333.3333333333</v>
      </c>
      <c r="BG96" s="109" t="n">
        <f aca="false">BF96-BF97</f>
        <v>46666.6666666666</v>
      </c>
      <c r="BH96" s="109" t="n">
        <f aca="false">BG96-BG97</f>
        <v>44999.9999999999</v>
      </c>
      <c r="BI96" s="109" t="n">
        <f aca="false">BH96-BH97</f>
        <v>43333.3333333333</v>
      </c>
      <c r="BJ96" s="109" t="n">
        <f aca="false">BI96-BI97</f>
        <v>41666.6666666666</v>
      </c>
      <c r="BK96" s="109" t="n">
        <f aca="false">BJ96-BJ97</f>
        <v>39999.9999999999</v>
      </c>
      <c r="BL96" s="109" t="n">
        <f aca="false">BK96-BK97</f>
        <v>38333.3333333333</v>
      </c>
      <c r="BM96" s="109" t="n">
        <f aca="false">BL96-BL97</f>
        <v>36666.6666666666</v>
      </c>
      <c r="BN96" s="109" t="n">
        <f aca="false">BM96-BM97</f>
        <v>35000</v>
      </c>
      <c r="BO96" s="109" t="n">
        <f aca="false">BN96-BN97</f>
        <v>33333.3333333333</v>
      </c>
      <c r="BP96" s="109" t="n">
        <f aca="false">BO96-BO97</f>
        <v>31666.6666666666</v>
      </c>
      <c r="BQ96" s="109" t="n">
        <f aca="false">BP96-BP97</f>
        <v>30000</v>
      </c>
      <c r="BR96" s="109" t="n">
        <f aca="false">BQ96-BQ97</f>
        <v>28333.3333333333</v>
      </c>
      <c r="BS96" s="109" t="n">
        <f aca="false">BR96-BR97</f>
        <v>26666.6666666666</v>
      </c>
      <c r="BT96" s="109" t="n">
        <f aca="false">BS96-BS97</f>
        <v>24999.9999999999</v>
      </c>
      <c r="BU96" s="109" t="n">
        <f aca="false">BT96-BT97</f>
        <v>23333.3333333333</v>
      </c>
      <c r="BV96" s="109" t="n">
        <f aca="false">BU96-BU97</f>
        <v>21666.6666666666</v>
      </c>
      <c r="BW96" s="109" t="n">
        <f aca="false">BV96-BV97</f>
        <v>19999.9999999999</v>
      </c>
      <c r="BX96" s="109" t="n">
        <f aca="false">BW96-BW97</f>
        <v>18333.3333333333</v>
      </c>
      <c r="BY96" s="109" t="n">
        <f aca="false">BX96-BX97</f>
        <v>16666.6666666666</v>
      </c>
      <c r="BZ96" s="109" t="n">
        <f aca="false">BY96-BY97</f>
        <v>14999.9999999999</v>
      </c>
      <c r="CA96" s="109" t="n">
        <f aca="false">BZ96-BZ97</f>
        <v>13333.3333333333</v>
      </c>
      <c r="CB96" s="109" t="n">
        <f aca="false">CA96-CA97</f>
        <v>11666.6666666666</v>
      </c>
      <c r="CC96" s="109" t="n">
        <f aca="false">CB96-CB97</f>
        <v>9999.99999999994</v>
      </c>
      <c r="CD96" s="109" t="n">
        <f aca="false">CC96-CC97</f>
        <v>8333.33333333328</v>
      </c>
      <c r="CE96" s="109" t="n">
        <f aca="false">CD96-CD97</f>
        <v>6666.66666666661</v>
      </c>
      <c r="CF96" s="109" t="n">
        <f aca="false">CE96-CE97</f>
        <v>4999.99999999994</v>
      </c>
      <c r="CG96" s="109" t="n">
        <f aca="false">CF96-CF97</f>
        <v>3333.33333333328</v>
      </c>
      <c r="CH96" s="109" t="n">
        <f aca="false">CG96-CG97</f>
        <v>1666.66666666661</v>
      </c>
    </row>
    <row r="97" customFormat="false" ht="13.5" hidden="false" customHeight="true" outlineLevel="0" collapsed="false">
      <c r="A97" s="6" t="s">
        <v>597</v>
      </c>
      <c r="C97" s="109" t="n">
        <f aca="false">IF(1&lt;=Hipótesis!$D$109,0,IF(C96&gt;0,MIN(C96,Hipótesis!$D$105/MAX(Hipótesis!$D$108-Hipótesis!$D$109,1)),0))</f>
        <v>0</v>
      </c>
      <c r="D97" s="109" t="n">
        <f aca="false">IF(2&lt;=Hipótesis!$D$109,0,IF(D96&gt;0,MIN(D96,Hipótesis!$D$105/MAX(Hipótesis!$D$108-Hipótesis!$D$109,1)),0))</f>
        <v>0</v>
      </c>
      <c r="E97" s="109" t="n">
        <f aca="false">IF(3&lt;=Hipótesis!$D$109,0,IF(E96&gt;0,MIN(E96,Hipótesis!$D$105/MAX(Hipótesis!$D$108-Hipótesis!$D$109,1)),0))</f>
        <v>0</v>
      </c>
      <c r="F97" s="109" t="n">
        <f aca="false">IF(4&lt;=Hipótesis!$D$109,0,IF(F96&gt;0,MIN(F96,Hipótesis!$D$105/MAX(Hipótesis!$D$108-Hipótesis!$D$109,1)),0))</f>
        <v>0</v>
      </c>
      <c r="G97" s="109" t="n">
        <f aca="false">IF(5&lt;=Hipótesis!$D$109,0,IF(G96&gt;0,MIN(G96,Hipótesis!$D$105/MAX(Hipótesis!$D$108-Hipótesis!$D$109,1)),0))</f>
        <v>0</v>
      </c>
      <c r="H97" s="109" t="n">
        <f aca="false">IF(6&lt;=Hipótesis!$D$109,0,IF(H96&gt;0,MIN(H96,Hipótesis!$D$105/MAX(Hipótesis!$D$108-Hipótesis!$D$109,1)),0))</f>
        <v>0</v>
      </c>
      <c r="I97" s="109" t="n">
        <f aca="false">IF(7&lt;=Hipótesis!$D$109,0,IF(I96&gt;0,MIN(I96,Hipótesis!$D$105/MAX(Hipótesis!$D$108-Hipótesis!$D$109,1)),0))</f>
        <v>0</v>
      </c>
      <c r="J97" s="109" t="n">
        <f aca="false">IF(8&lt;=Hipótesis!$D$109,0,IF(J96&gt;0,MIN(J96,Hipótesis!$D$105/MAX(Hipótesis!$D$108-Hipótesis!$D$109,1)),0))</f>
        <v>0</v>
      </c>
      <c r="K97" s="109" t="n">
        <f aca="false">IF(9&lt;=Hipótesis!$D$109,0,IF(K96&gt;0,MIN(K96,Hipótesis!$D$105/MAX(Hipótesis!$D$108-Hipótesis!$D$109,1)),0))</f>
        <v>0</v>
      </c>
      <c r="L97" s="109" t="n">
        <f aca="false">IF(10&lt;=Hipótesis!$D$109,0,IF(L96&gt;0,MIN(L96,Hipótesis!$D$105/MAX(Hipótesis!$D$108-Hipótesis!$D$109,1)),0))</f>
        <v>0</v>
      </c>
      <c r="M97" s="109" t="n">
        <f aca="false">IF(11&lt;=Hipótesis!$D$109,0,IF(M96&gt;0,MIN(M96,Hipótesis!$D$105/MAX(Hipótesis!$D$108-Hipótesis!$D$109,1)),0))</f>
        <v>0</v>
      </c>
      <c r="N97" s="109" t="n">
        <f aca="false">IF(12&lt;=Hipótesis!$D$109,0,IF(N96&gt;0,MIN(N96,Hipótesis!$D$105/MAX(Hipótesis!$D$108-Hipótesis!$D$109,1)),0))</f>
        <v>0</v>
      </c>
      <c r="O97" s="109" t="n">
        <f aca="false">IF(13&lt;=Hipótesis!$D$109,0,IF(O96&gt;0,MIN(O96,Hipótesis!$D$105/MAX(Hipótesis!$D$108-Hipótesis!$D$109,1)),0))</f>
        <v>0</v>
      </c>
      <c r="P97" s="109" t="n">
        <f aca="false">IF(14&lt;=Hipótesis!$D$109,0,IF(P96&gt;0,MIN(P96,Hipótesis!$D$105/MAX(Hipótesis!$D$108-Hipótesis!$D$109,1)),0))</f>
        <v>0</v>
      </c>
      <c r="Q97" s="109" t="n">
        <f aca="false">IF(15&lt;=Hipótesis!$D$109,0,IF(Q96&gt;0,MIN(Q96,Hipótesis!$D$105/MAX(Hipótesis!$D$108-Hipótesis!$D$109,1)),0))</f>
        <v>0</v>
      </c>
      <c r="R97" s="109" t="n">
        <f aca="false">IF(16&lt;=Hipótesis!$D$109,0,IF(R96&gt;0,MIN(R96,Hipótesis!$D$105/MAX(Hipótesis!$D$108-Hipótesis!$D$109,1)),0))</f>
        <v>0</v>
      </c>
      <c r="S97" s="109" t="n">
        <f aca="false">IF(17&lt;=Hipótesis!$D$109,0,IF(S96&gt;0,MIN(S96,Hipótesis!$D$105/MAX(Hipótesis!$D$108-Hipótesis!$D$109,1)),0))</f>
        <v>0</v>
      </c>
      <c r="T97" s="109" t="n">
        <f aca="false">IF(18&lt;=Hipótesis!$D$109,0,IF(T96&gt;0,MIN(T96,Hipótesis!$D$105/MAX(Hipótesis!$D$108-Hipótesis!$D$109,1)),0))</f>
        <v>0</v>
      </c>
      <c r="U97" s="109" t="n">
        <f aca="false">IF(19&lt;=Hipótesis!$D$109,0,IF(U96&gt;0,MIN(U96,Hipótesis!$D$105/MAX(Hipótesis!$D$108-Hipótesis!$D$109,1)),0))</f>
        <v>0</v>
      </c>
      <c r="V97" s="109" t="n">
        <f aca="false">IF(20&lt;=Hipótesis!$D$109,0,IF(V96&gt;0,MIN(V96,Hipótesis!$D$105/MAX(Hipótesis!$D$108-Hipótesis!$D$109,1)),0))</f>
        <v>0</v>
      </c>
      <c r="W97" s="109" t="n">
        <f aca="false">IF(21&lt;=Hipótesis!$D$109,0,IF(W96&gt;0,MIN(W96,Hipótesis!$D$105/MAX(Hipótesis!$D$108-Hipótesis!$D$109,1)),0))</f>
        <v>0</v>
      </c>
      <c r="X97" s="109" t="n">
        <f aca="false">IF(22&lt;=Hipótesis!$D$109,0,IF(X96&gt;0,MIN(X96,Hipótesis!$D$105/MAX(Hipótesis!$D$108-Hipótesis!$D$109,1)),0))</f>
        <v>0</v>
      </c>
      <c r="Y97" s="109" t="n">
        <f aca="false">IF(23&lt;=Hipótesis!$D$109,0,IF(Y96&gt;0,MIN(Y96,Hipótesis!$D$105/MAX(Hipótesis!$D$108-Hipótesis!$D$109,1)),0))</f>
        <v>0</v>
      </c>
      <c r="Z97" s="109" t="n">
        <f aca="false">IF(24&lt;=Hipótesis!$D$109,0,IF(Z96&gt;0,MIN(Z96,Hipótesis!$D$105/MAX(Hipótesis!$D$108-Hipótesis!$D$109,1)),0))</f>
        <v>0</v>
      </c>
      <c r="AA97" s="109" t="n">
        <f aca="false">IF(25&lt;=Hipótesis!$D$109,0,IF(AA96&gt;0,MIN(AA96,Hipótesis!$D$105/MAX(Hipótesis!$D$108-Hipótesis!$D$109,1)),0))</f>
        <v>1666.66666666667</v>
      </c>
      <c r="AB97" s="109" t="n">
        <f aca="false">IF(26&lt;=Hipótesis!$D$109,0,IF(AB96&gt;0,MIN(AB96,Hipótesis!$D$105/MAX(Hipótesis!$D$108-Hipótesis!$D$109,1)),0))</f>
        <v>1666.66666666667</v>
      </c>
      <c r="AC97" s="109" t="n">
        <f aca="false">IF(27&lt;=Hipótesis!$D$109,0,IF(AC96&gt;0,MIN(AC96,Hipótesis!$D$105/MAX(Hipótesis!$D$108-Hipótesis!$D$109,1)),0))</f>
        <v>1666.66666666667</v>
      </c>
      <c r="AD97" s="109" t="n">
        <f aca="false">IF(28&lt;=Hipótesis!$D$109,0,IF(AD96&gt;0,MIN(AD96,Hipótesis!$D$105/MAX(Hipótesis!$D$108-Hipótesis!$D$109,1)),0))</f>
        <v>1666.66666666667</v>
      </c>
      <c r="AE97" s="109" t="n">
        <f aca="false">IF(29&lt;=Hipótesis!$D$109,0,IF(AE96&gt;0,MIN(AE96,Hipótesis!$D$105/MAX(Hipótesis!$D$108-Hipótesis!$D$109,1)),0))</f>
        <v>1666.66666666667</v>
      </c>
      <c r="AF97" s="109" t="n">
        <f aca="false">IF(30&lt;=Hipótesis!$D$109,0,IF(AF96&gt;0,MIN(AF96,Hipótesis!$D$105/MAX(Hipótesis!$D$108-Hipótesis!$D$109,1)),0))</f>
        <v>1666.66666666667</v>
      </c>
      <c r="AG97" s="109" t="n">
        <f aca="false">IF(31&lt;=Hipótesis!$D$109,0,IF(AG96&gt;0,MIN(AG96,Hipótesis!$D$105/MAX(Hipótesis!$D$108-Hipótesis!$D$109,1)),0))</f>
        <v>1666.66666666667</v>
      </c>
      <c r="AH97" s="109" t="n">
        <f aca="false">IF(32&lt;=Hipótesis!$D$109,0,IF(AH96&gt;0,MIN(AH96,Hipótesis!$D$105/MAX(Hipótesis!$D$108-Hipótesis!$D$109,1)),0))</f>
        <v>1666.66666666667</v>
      </c>
      <c r="AI97" s="109" t="n">
        <f aca="false">IF(33&lt;=Hipótesis!$D$109,0,IF(AI96&gt;0,MIN(AI96,Hipótesis!$D$105/MAX(Hipótesis!$D$108-Hipótesis!$D$109,1)),0))</f>
        <v>1666.66666666667</v>
      </c>
      <c r="AJ97" s="109" t="n">
        <f aca="false">IF(34&lt;=Hipótesis!$D$109,0,IF(AJ96&gt;0,MIN(AJ96,Hipótesis!$D$105/MAX(Hipótesis!$D$108-Hipótesis!$D$109,1)),0))</f>
        <v>1666.66666666667</v>
      </c>
      <c r="AK97" s="109" t="n">
        <f aca="false">IF(35&lt;=Hipótesis!$D$109,0,IF(AK96&gt;0,MIN(AK96,Hipótesis!$D$105/MAX(Hipótesis!$D$108-Hipótesis!$D$109,1)),0))</f>
        <v>1666.66666666667</v>
      </c>
      <c r="AL97" s="109" t="n">
        <f aca="false">IF(36&lt;=Hipótesis!$D$109,0,IF(AL96&gt;0,MIN(AL96,Hipótesis!$D$105/MAX(Hipótesis!$D$108-Hipótesis!$D$109,1)),0))</f>
        <v>1666.66666666667</v>
      </c>
      <c r="AM97" s="109" t="n">
        <f aca="false">IF(37&lt;=Hipótesis!$D$109,0,IF(AM96&gt;0,MIN(AM96,Hipótesis!$D$105/MAX(Hipótesis!$D$108-Hipótesis!$D$109,1)),0))</f>
        <v>1666.66666666667</v>
      </c>
      <c r="AN97" s="109" t="n">
        <f aca="false">IF(38&lt;=Hipótesis!$D$109,0,IF(AN96&gt;0,MIN(AN96,Hipótesis!$D$105/MAX(Hipótesis!$D$108-Hipótesis!$D$109,1)),0))</f>
        <v>1666.66666666667</v>
      </c>
      <c r="AO97" s="109" t="n">
        <f aca="false">IF(39&lt;=Hipótesis!$D$109,0,IF(AO96&gt;0,MIN(AO96,Hipótesis!$D$105/MAX(Hipótesis!$D$108-Hipótesis!$D$109,1)),0))</f>
        <v>1666.66666666667</v>
      </c>
      <c r="AP97" s="109" t="n">
        <f aca="false">IF(40&lt;=Hipótesis!$D$109,0,IF(AP96&gt;0,MIN(AP96,Hipótesis!$D$105/MAX(Hipótesis!$D$108-Hipótesis!$D$109,1)),0))</f>
        <v>1666.66666666667</v>
      </c>
      <c r="AQ97" s="109" t="n">
        <f aca="false">IF(41&lt;=Hipótesis!$D$109,0,IF(AQ96&gt;0,MIN(AQ96,Hipótesis!$D$105/MAX(Hipótesis!$D$108-Hipótesis!$D$109,1)),0))</f>
        <v>1666.66666666667</v>
      </c>
      <c r="AR97" s="109" t="n">
        <f aca="false">IF(42&lt;=Hipótesis!$D$109,0,IF(AR96&gt;0,MIN(AR96,Hipótesis!$D$105/MAX(Hipótesis!$D$108-Hipótesis!$D$109,1)),0))</f>
        <v>1666.66666666667</v>
      </c>
      <c r="AS97" s="109" t="n">
        <f aca="false">IF(43&lt;=Hipótesis!$D$109,0,IF(AS96&gt;0,MIN(AS96,Hipótesis!$D$105/MAX(Hipótesis!$D$108-Hipótesis!$D$109,1)),0))</f>
        <v>1666.66666666667</v>
      </c>
      <c r="AT97" s="109" t="n">
        <f aca="false">IF(44&lt;=Hipótesis!$D$109,0,IF(AT96&gt;0,MIN(AT96,Hipótesis!$D$105/MAX(Hipótesis!$D$108-Hipótesis!$D$109,1)),0))</f>
        <v>1666.66666666667</v>
      </c>
      <c r="AU97" s="109" t="n">
        <f aca="false">IF(45&lt;=Hipótesis!$D$109,0,IF(AU96&gt;0,MIN(AU96,Hipótesis!$D$105/MAX(Hipótesis!$D$108-Hipótesis!$D$109,1)),0))</f>
        <v>1666.66666666667</v>
      </c>
      <c r="AV97" s="109" t="n">
        <f aca="false">IF(46&lt;=Hipótesis!$D$109,0,IF(AV96&gt;0,MIN(AV96,Hipótesis!$D$105/MAX(Hipótesis!$D$108-Hipótesis!$D$109,1)),0))</f>
        <v>1666.66666666667</v>
      </c>
      <c r="AW97" s="109" t="n">
        <f aca="false">IF(47&lt;=Hipótesis!$D$109,0,IF(AW96&gt;0,MIN(AW96,Hipótesis!$D$105/MAX(Hipótesis!$D$108-Hipótesis!$D$109,1)),0))</f>
        <v>1666.66666666667</v>
      </c>
      <c r="AX97" s="109" t="n">
        <f aca="false">IF(48&lt;=Hipótesis!$D$109,0,IF(AX96&gt;0,MIN(AX96,Hipótesis!$D$105/MAX(Hipótesis!$D$108-Hipótesis!$D$109,1)),0))</f>
        <v>1666.66666666667</v>
      </c>
      <c r="AY97" s="109" t="n">
        <f aca="false">IF(49&lt;=Hipótesis!$D$109,0,IF(AY96&gt;0,MIN(AY96,Hipótesis!$D$105/MAX(Hipótesis!$D$108-Hipótesis!$D$109,1)),0))</f>
        <v>1666.66666666667</v>
      </c>
      <c r="AZ97" s="109" t="n">
        <f aca="false">IF(50&lt;=Hipótesis!$D$109,0,IF(AZ96&gt;0,MIN(AZ96,Hipótesis!$D$105/MAX(Hipótesis!$D$108-Hipótesis!$D$109,1)),0))</f>
        <v>1666.66666666667</v>
      </c>
      <c r="BA97" s="109" t="n">
        <f aca="false">IF(51&lt;=Hipótesis!$D$109,0,IF(BA96&gt;0,MIN(BA96,Hipótesis!$D$105/MAX(Hipótesis!$D$108-Hipótesis!$D$109,1)),0))</f>
        <v>1666.66666666667</v>
      </c>
      <c r="BB97" s="109" t="n">
        <f aca="false">IF(52&lt;=Hipótesis!$D$109,0,IF(BB96&gt;0,MIN(BB96,Hipótesis!$D$105/MAX(Hipótesis!$D$108-Hipótesis!$D$109,1)),0))</f>
        <v>1666.66666666667</v>
      </c>
      <c r="BC97" s="109" t="n">
        <f aca="false">IF(53&lt;=Hipótesis!$D$109,0,IF(BC96&gt;0,MIN(BC96,Hipótesis!$D$105/MAX(Hipótesis!$D$108-Hipótesis!$D$109,1)),0))</f>
        <v>1666.66666666667</v>
      </c>
      <c r="BD97" s="109" t="n">
        <f aca="false">IF(54&lt;=Hipótesis!$D$109,0,IF(BD96&gt;0,MIN(BD96,Hipótesis!$D$105/MAX(Hipótesis!$D$108-Hipótesis!$D$109,1)),0))</f>
        <v>1666.66666666667</v>
      </c>
      <c r="BE97" s="109" t="n">
        <f aca="false">IF(55&lt;=Hipótesis!$D$109,0,IF(BE96&gt;0,MIN(BE96,Hipótesis!$D$105/MAX(Hipótesis!$D$108-Hipótesis!$D$109,1)),0))</f>
        <v>1666.66666666667</v>
      </c>
      <c r="BF97" s="109" t="n">
        <f aca="false">IF(56&lt;=Hipótesis!$D$109,0,IF(BF96&gt;0,MIN(BF96,Hipótesis!$D$105/MAX(Hipótesis!$D$108-Hipótesis!$D$109,1)),0))</f>
        <v>1666.66666666667</v>
      </c>
      <c r="BG97" s="109" t="n">
        <f aca="false">IF(57&lt;=Hipótesis!$D$109,0,IF(BG96&gt;0,MIN(BG96,Hipótesis!$D$105/MAX(Hipótesis!$D$108-Hipótesis!$D$109,1)),0))</f>
        <v>1666.66666666667</v>
      </c>
      <c r="BH97" s="109" t="n">
        <f aca="false">IF(58&lt;=Hipótesis!$D$109,0,IF(BH96&gt;0,MIN(BH96,Hipótesis!$D$105/MAX(Hipótesis!$D$108-Hipótesis!$D$109,1)),0))</f>
        <v>1666.66666666667</v>
      </c>
      <c r="BI97" s="109" t="n">
        <f aca="false">IF(59&lt;=Hipótesis!$D$109,0,IF(BI96&gt;0,MIN(BI96,Hipótesis!$D$105/MAX(Hipótesis!$D$108-Hipótesis!$D$109,1)),0))</f>
        <v>1666.66666666667</v>
      </c>
      <c r="BJ97" s="109" t="n">
        <f aca="false">IF(60&lt;=Hipótesis!$D$109,0,IF(BJ96&gt;0,MIN(BJ96,Hipótesis!$D$105/MAX(Hipótesis!$D$108-Hipótesis!$D$109,1)),0))</f>
        <v>1666.66666666667</v>
      </c>
      <c r="BK97" s="109" t="n">
        <f aca="false">IF(61&lt;=Hipótesis!$D$109,0,IF(BK96&gt;0,MIN(BK96,Hipótesis!$D$105/MAX(Hipótesis!$D$108-Hipótesis!$D$109,1)),0))</f>
        <v>1666.66666666667</v>
      </c>
      <c r="BL97" s="109" t="n">
        <f aca="false">IF(62&lt;=Hipótesis!$D$109,0,IF(BL96&gt;0,MIN(BL96,Hipótesis!$D$105/MAX(Hipótesis!$D$108-Hipótesis!$D$109,1)),0))</f>
        <v>1666.66666666667</v>
      </c>
      <c r="BM97" s="109" t="n">
        <f aca="false">IF(63&lt;=Hipótesis!$D$109,0,IF(BM96&gt;0,MIN(BM96,Hipótesis!$D$105/MAX(Hipótesis!$D$108-Hipótesis!$D$109,1)),0))</f>
        <v>1666.66666666667</v>
      </c>
      <c r="BN97" s="109" t="n">
        <f aca="false">IF(64&lt;=Hipótesis!$D$109,0,IF(BN96&gt;0,MIN(BN96,Hipótesis!$D$105/MAX(Hipótesis!$D$108-Hipótesis!$D$109,1)),0))</f>
        <v>1666.66666666667</v>
      </c>
      <c r="BO97" s="109" t="n">
        <f aca="false">IF(65&lt;=Hipótesis!$D$109,0,IF(BO96&gt;0,MIN(BO96,Hipótesis!$D$105/MAX(Hipótesis!$D$108-Hipótesis!$D$109,1)),0))</f>
        <v>1666.66666666667</v>
      </c>
      <c r="BP97" s="109" t="n">
        <f aca="false">IF(66&lt;=Hipótesis!$D$109,0,IF(BP96&gt;0,MIN(BP96,Hipótesis!$D$105/MAX(Hipótesis!$D$108-Hipótesis!$D$109,1)),0))</f>
        <v>1666.66666666667</v>
      </c>
      <c r="BQ97" s="109" t="n">
        <f aca="false">IF(67&lt;=Hipótesis!$D$109,0,IF(BQ96&gt;0,MIN(BQ96,Hipótesis!$D$105/MAX(Hipótesis!$D$108-Hipótesis!$D$109,1)),0))</f>
        <v>1666.66666666667</v>
      </c>
      <c r="BR97" s="109" t="n">
        <f aca="false">IF(68&lt;=Hipótesis!$D$109,0,IF(BR96&gt;0,MIN(BR96,Hipótesis!$D$105/MAX(Hipótesis!$D$108-Hipótesis!$D$109,1)),0))</f>
        <v>1666.66666666667</v>
      </c>
      <c r="BS97" s="109" t="n">
        <f aca="false">IF(69&lt;=Hipótesis!$D$109,0,IF(BS96&gt;0,MIN(BS96,Hipótesis!$D$105/MAX(Hipótesis!$D$108-Hipótesis!$D$109,1)),0))</f>
        <v>1666.66666666667</v>
      </c>
      <c r="BT97" s="109" t="n">
        <f aca="false">IF(70&lt;=Hipótesis!$D$109,0,IF(BT96&gt;0,MIN(BT96,Hipótesis!$D$105/MAX(Hipótesis!$D$108-Hipótesis!$D$109,1)),0))</f>
        <v>1666.66666666667</v>
      </c>
      <c r="BU97" s="109" t="n">
        <f aca="false">IF(71&lt;=Hipótesis!$D$109,0,IF(BU96&gt;0,MIN(BU96,Hipótesis!$D$105/MAX(Hipótesis!$D$108-Hipótesis!$D$109,1)),0))</f>
        <v>1666.66666666667</v>
      </c>
      <c r="BV97" s="109" t="n">
        <f aca="false">IF(72&lt;=Hipótesis!$D$109,0,IF(BV96&gt;0,MIN(BV96,Hipótesis!$D$105/MAX(Hipótesis!$D$108-Hipótesis!$D$109,1)),0))</f>
        <v>1666.66666666667</v>
      </c>
      <c r="BW97" s="109" t="n">
        <f aca="false">IF(73&lt;=Hipótesis!$D$109,0,IF(BW96&gt;0,MIN(BW96,Hipótesis!$D$105/MAX(Hipótesis!$D$108-Hipótesis!$D$109,1)),0))</f>
        <v>1666.66666666667</v>
      </c>
      <c r="BX97" s="109" t="n">
        <f aca="false">IF(74&lt;=Hipótesis!$D$109,0,IF(BX96&gt;0,MIN(BX96,Hipótesis!$D$105/MAX(Hipótesis!$D$108-Hipótesis!$D$109,1)),0))</f>
        <v>1666.66666666667</v>
      </c>
      <c r="BY97" s="109" t="n">
        <f aca="false">IF(75&lt;=Hipótesis!$D$109,0,IF(BY96&gt;0,MIN(BY96,Hipótesis!$D$105/MAX(Hipótesis!$D$108-Hipótesis!$D$109,1)),0))</f>
        <v>1666.66666666667</v>
      </c>
      <c r="BZ97" s="109" t="n">
        <f aca="false">IF(76&lt;=Hipótesis!$D$109,0,IF(BZ96&gt;0,MIN(BZ96,Hipótesis!$D$105/MAX(Hipótesis!$D$108-Hipótesis!$D$109,1)),0))</f>
        <v>1666.66666666667</v>
      </c>
      <c r="CA97" s="109" t="n">
        <f aca="false">IF(77&lt;=Hipótesis!$D$109,0,IF(CA96&gt;0,MIN(CA96,Hipótesis!$D$105/MAX(Hipótesis!$D$108-Hipótesis!$D$109,1)),0))</f>
        <v>1666.66666666667</v>
      </c>
      <c r="CB97" s="109" t="n">
        <f aca="false">IF(78&lt;=Hipótesis!$D$109,0,IF(CB96&gt;0,MIN(CB96,Hipótesis!$D$105/MAX(Hipótesis!$D$108-Hipótesis!$D$109,1)),0))</f>
        <v>1666.66666666667</v>
      </c>
      <c r="CC97" s="109" t="n">
        <f aca="false">IF(79&lt;=Hipótesis!$D$109,0,IF(CC96&gt;0,MIN(CC96,Hipótesis!$D$105/MAX(Hipótesis!$D$108-Hipótesis!$D$109,1)),0))</f>
        <v>1666.66666666667</v>
      </c>
      <c r="CD97" s="109" t="n">
        <f aca="false">IF(80&lt;=Hipótesis!$D$109,0,IF(CD96&gt;0,MIN(CD96,Hipótesis!$D$105/MAX(Hipótesis!$D$108-Hipótesis!$D$109,1)),0))</f>
        <v>1666.66666666667</v>
      </c>
      <c r="CE97" s="109" t="n">
        <f aca="false">IF(81&lt;=Hipótesis!$D$109,0,IF(CE96&gt;0,MIN(CE96,Hipótesis!$D$105/MAX(Hipótesis!$D$108-Hipótesis!$D$109,1)),0))</f>
        <v>1666.66666666667</v>
      </c>
      <c r="CF97" s="109" t="n">
        <f aca="false">IF(82&lt;=Hipótesis!$D$109,0,IF(CF96&gt;0,MIN(CF96,Hipótesis!$D$105/MAX(Hipótesis!$D$108-Hipótesis!$D$109,1)),0))</f>
        <v>1666.66666666667</v>
      </c>
      <c r="CG97" s="109" t="n">
        <f aca="false">IF(83&lt;=Hipótesis!$D$109,0,IF(CG96&gt;0,MIN(CG96,Hipótesis!$D$105/MAX(Hipótesis!$D$108-Hipótesis!$D$109,1)),0))</f>
        <v>1666.66666666667</v>
      </c>
      <c r="CH97" s="109" t="n">
        <f aca="false">IF(84&lt;=Hipótesis!$D$109,0,IF(CH96&gt;0,MIN(CH96,Hipótesis!$D$105/MAX(Hipótesis!$D$108-Hipótesis!$D$109,1)),0))</f>
        <v>1666.66666666661</v>
      </c>
    </row>
    <row r="98" customFormat="false" ht="13.5" hidden="false" customHeight="true" outlineLevel="0" collapsed="false">
      <c r="A98" s="6" t="s">
        <v>598</v>
      </c>
      <c r="C98" s="109" t="n">
        <f aca="false">C96*Hipótesis!$D$106/12+IF(C96&gt;0,Hipótesis!$D$107*MAX(0,C56),0)</f>
        <v>333.333333333333</v>
      </c>
      <c r="D98" s="109" t="n">
        <f aca="false">D96*Hipótesis!$D$106/12+IF(D96&gt;0,Hipótesis!$D$107*MAX(0,D56),0)</f>
        <v>333.333333333333</v>
      </c>
      <c r="E98" s="109" t="n">
        <f aca="false">E96*Hipótesis!$D$106/12+IF(E96&gt;0,Hipótesis!$D$107*MAX(0,E56),0)</f>
        <v>333.333333333333</v>
      </c>
      <c r="F98" s="109" t="n">
        <f aca="false">F96*Hipótesis!$D$106/12+IF(F96&gt;0,Hipótesis!$D$107*MAX(0,F56),0)</f>
        <v>333.333333333333</v>
      </c>
      <c r="G98" s="109" t="n">
        <f aca="false">G96*Hipótesis!$D$106/12+IF(G96&gt;0,Hipótesis!$D$107*MAX(0,G56),0)</f>
        <v>333.333333333333</v>
      </c>
      <c r="H98" s="109" t="n">
        <f aca="false">H96*Hipótesis!$D$106/12+IF(H96&gt;0,Hipótesis!$D$107*MAX(0,H56),0)</f>
        <v>333.333333333333</v>
      </c>
      <c r="I98" s="109" t="n">
        <f aca="false">I96*Hipótesis!$D$106/12+IF(I96&gt;0,Hipótesis!$D$107*MAX(0,I56),0)</f>
        <v>333.333333333333</v>
      </c>
      <c r="J98" s="109" t="n">
        <f aca="false">J96*Hipótesis!$D$106/12+IF(J96&gt;0,Hipótesis!$D$107*MAX(0,J56),0)</f>
        <v>333.333333333333</v>
      </c>
      <c r="K98" s="109" t="n">
        <f aca="false">K96*Hipótesis!$D$106/12+IF(K96&gt;0,Hipótesis!$D$107*MAX(0,K56),0)</f>
        <v>375.439900315389</v>
      </c>
      <c r="L98" s="109" t="n">
        <f aca="false">L96*Hipótesis!$D$106/12+IF(L96&gt;0,Hipótesis!$D$107*MAX(0,L56),0)</f>
        <v>440.884673092289</v>
      </c>
      <c r="M98" s="109" t="n">
        <f aca="false">M96*Hipótesis!$D$106/12+IF(M96&gt;0,Hipótesis!$D$107*MAX(0,M56),0)</f>
        <v>485.148360863772</v>
      </c>
      <c r="N98" s="109" t="n">
        <f aca="false">N96*Hipótesis!$D$106/12+IF(N96&gt;0,Hipótesis!$D$107*MAX(0,N56),0)</f>
        <v>545.220722726882</v>
      </c>
      <c r="O98" s="109" t="n">
        <f aca="false">O96*Hipótesis!$D$106/12+IF(O96&gt;0,Hipótesis!$D$107*MAX(0,O56),0)</f>
        <v>500.749084589993</v>
      </c>
      <c r="P98" s="109" t="n">
        <f aca="false">P96*Hipótesis!$D$106/12+IF(P96&gt;0,Hipótesis!$D$107*MAX(0,P56),0)</f>
        <v>508.51733015176</v>
      </c>
      <c r="Q98" s="109" t="n">
        <f aca="false">Q96*Hipótesis!$D$106/12+IF(Q96&gt;0,Hipótesis!$D$107*MAX(0,Q56),0)</f>
        <v>562.511975713528</v>
      </c>
      <c r="R98" s="109" t="n">
        <f aca="false">R96*Hipótesis!$D$106/12+IF(R96&gt;0,Hipótesis!$D$107*MAX(0,R56),0)</f>
        <v>616.506621275295</v>
      </c>
      <c r="S98" s="109" t="n">
        <f aca="false">S96*Hipótesis!$D$106/12+IF(S96&gt;0,Hipótesis!$D$107*MAX(0,S56),0)</f>
        <v>670.501266837063</v>
      </c>
      <c r="T98" s="109" t="n">
        <f aca="false">T96*Hipótesis!$D$106/12+IF(T96&gt;0,Hipótesis!$D$107*MAX(0,T56),0)</f>
        <v>724.495912398831</v>
      </c>
      <c r="U98" s="109" t="n">
        <f aca="false">U96*Hipótesis!$D$106/12+IF(U96&gt;0,Hipótesis!$D$107*MAX(0,U56),0)</f>
        <v>732.264157960599</v>
      </c>
      <c r="V98" s="109" t="n">
        <f aca="false">V96*Hipótesis!$D$106/12+IF(V96&gt;0,Hipótesis!$D$107*MAX(0,V56),0)</f>
        <v>731.874803522366</v>
      </c>
      <c r="W98" s="109" t="n">
        <f aca="false">W96*Hipótesis!$D$106/12+IF(W96&gt;0,Hipótesis!$D$107*MAX(0,W56),0)</f>
        <v>785.869449084133</v>
      </c>
      <c r="X98" s="109" t="n">
        <f aca="false">X96*Hipótesis!$D$106/12+IF(X96&gt;0,Hipótesis!$D$107*MAX(0,X56),0)</f>
        <v>824.055420554274</v>
      </c>
      <c r="Y98" s="109" t="n">
        <f aca="false">Y96*Hipótesis!$D$106/12+IF(Y96&gt;0,Hipótesis!$D$107*MAX(0,Y56),0)</f>
        <v>862.241392024414</v>
      </c>
      <c r="Z98" s="109" t="n">
        <f aca="false">Z96*Hipótesis!$D$106/12+IF(Z96&gt;0,Hipótesis!$D$107*MAX(0,Z56),0)</f>
        <v>894.667653857903</v>
      </c>
      <c r="AA98" s="109" t="n">
        <f aca="false">AA96*Hipótesis!$D$106/12+IF(AA96&gt;0,Hipótesis!$D$107*MAX(0,AA56),0)</f>
        <v>881.457291691393</v>
      </c>
      <c r="AB98" s="109" t="n">
        <f aca="false">AB96*Hipótesis!$D$106/12+IF(AB96&gt;0,Hipótesis!$D$107*MAX(0,AB56),0)</f>
        <v>860.714805969326</v>
      </c>
      <c r="AC98" s="109" t="n">
        <f aca="false">AC96*Hipótesis!$D$106/12+IF(AC96&gt;0,Hipótesis!$D$107*MAX(0,AC56),0)</f>
        <v>887.58551224726</v>
      </c>
      <c r="AD98" s="109" t="n">
        <f aca="false">AD96*Hipótesis!$D$106/12+IF(AD96&gt;0,Hipótesis!$D$107*MAX(0,AD56),0)</f>
        <v>914.456218525194</v>
      </c>
      <c r="AE98" s="109" t="n">
        <f aca="false">AE96*Hipótesis!$D$106/12+IF(AE96&gt;0,Hipótesis!$D$107*MAX(0,AE56),0)</f>
        <v>941.326924803127</v>
      </c>
      <c r="AF98" s="109" t="n">
        <f aca="false">AF96*Hipótesis!$D$106/12+IF(AF96&gt;0,Hipótesis!$D$107*MAX(0,AF56),0)</f>
        <v>968.197631081061</v>
      </c>
      <c r="AG98" s="109" t="n">
        <f aca="false">AG96*Hipótesis!$D$106/12+IF(AG96&gt;0,Hipótesis!$D$107*MAX(0,AG56),0)</f>
        <v>995.068337358995</v>
      </c>
      <c r="AH98" s="109" t="n">
        <f aca="false">AH96*Hipótesis!$D$106/12+IF(AH96&gt;0,Hipótesis!$D$107*MAX(0,AH56),0)</f>
        <v>1021.93904363693</v>
      </c>
      <c r="AI98" s="109" t="n">
        <f aca="false">AI96*Hipótesis!$D$106/12+IF(AI96&gt;0,Hipótesis!$D$107*MAX(0,AI56),0)</f>
        <v>1048.80974991486</v>
      </c>
      <c r="AJ98" s="109" t="n">
        <f aca="false">AJ96*Hipótesis!$D$106/12+IF(AJ96&gt;0,Hipótesis!$D$107*MAX(0,AJ56),0)</f>
        <v>1075.6804561928</v>
      </c>
      <c r="AK98" s="109" t="n">
        <f aca="false">AK96*Hipótesis!$D$106/12+IF(AK96&gt;0,Hipótesis!$D$107*MAX(0,AK56),0)</f>
        <v>1102.55116247073</v>
      </c>
      <c r="AL98" s="109" t="n">
        <f aca="false">AL96*Hipótesis!$D$106/12+IF(AL96&gt;0,Hipótesis!$D$107*MAX(0,AL56),0)</f>
        <v>1129.42186874866</v>
      </c>
      <c r="AM98" s="109" t="n">
        <f aca="false">AM96*Hipótesis!$D$106/12+IF(AM96&gt;0,Hipótesis!$D$107*MAX(0,AM56),0)</f>
        <v>1060.0048687866</v>
      </c>
      <c r="AN98" s="109" t="n">
        <f aca="false">AN96*Hipótesis!$D$106/12+IF(AN96&gt;0,Hipótesis!$D$107*MAX(0,AN56),0)</f>
        <v>1086.87557506453</v>
      </c>
      <c r="AO98" s="109" t="n">
        <f aca="false">AO96*Hipótesis!$D$106/12+IF(AO96&gt;0,Hipótesis!$D$107*MAX(0,AO56),0)</f>
        <v>1113.74628134246</v>
      </c>
      <c r="AP98" s="109" t="n">
        <f aca="false">AP96*Hipótesis!$D$106/12+IF(AP96&gt;0,Hipótesis!$D$107*MAX(0,AP56),0)</f>
        <v>1140.6169876204</v>
      </c>
      <c r="AQ98" s="109" t="n">
        <f aca="false">AQ96*Hipótesis!$D$106/12+IF(AQ96&gt;0,Hipótesis!$D$107*MAX(0,AQ56),0)</f>
        <v>1167.48769389833</v>
      </c>
      <c r="AR98" s="109" t="n">
        <f aca="false">AR96*Hipótesis!$D$106/12+IF(AR96&gt;0,Hipótesis!$D$107*MAX(0,AR56),0)</f>
        <v>1194.35840017627</v>
      </c>
      <c r="AS98" s="109" t="n">
        <f aca="false">AS96*Hipótesis!$D$106/12+IF(AS96&gt;0,Hipótesis!$D$107*MAX(0,AS56),0)</f>
        <v>1188.80284462071</v>
      </c>
      <c r="AT98" s="109" t="n">
        <f aca="false">AT96*Hipótesis!$D$106/12+IF(AT96&gt;0,Hipótesis!$D$107*MAX(0,AT56),0)</f>
        <v>1183.24728906515</v>
      </c>
      <c r="AU98" s="109" t="n">
        <f aca="false">AU96*Hipótesis!$D$106/12+IF(AU96&gt;0,Hipótesis!$D$107*MAX(0,AU56),0)</f>
        <v>1177.6917335096</v>
      </c>
      <c r="AV98" s="109" t="n">
        <f aca="false">AV96*Hipótesis!$D$106/12+IF(AV96&gt;0,Hipótesis!$D$107*MAX(0,AV56),0)</f>
        <v>1172.13617795404</v>
      </c>
      <c r="AW98" s="109" t="n">
        <f aca="false">AW96*Hipótesis!$D$106/12+IF(AW96&gt;0,Hipótesis!$D$107*MAX(0,AW56),0)</f>
        <v>1166.58062239849</v>
      </c>
      <c r="AX98" s="109" t="n">
        <f aca="false">AX96*Hipótesis!$D$106/12+IF(AX96&gt;0,Hipótesis!$D$107*MAX(0,AX56),0)</f>
        <v>1161.02506684293</v>
      </c>
      <c r="AY98" s="109" t="n">
        <f aca="false">AY96*Hipótesis!$D$106/12+IF(AY96&gt;0,Hipótesis!$D$107*MAX(0,AY56),0)</f>
        <v>1106.52276162018</v>
      </c>
      <c r="AZ98" s="109" t="n">
        <f aca="false">AZ96*Hipótesis!$D$106/12+IF(AZ96&gt;0,Hipótesis!$D$107*MAX(0,AZ56),0)</f>
        <v>1100.96720606462</v>
      </c>
      <c r="BA98" s="109" t="n">
        <f aca="false">BA96*Hipótesis!$D$106/12+IF(BA96&gt;0,Hipótesis!$D$107*MAX(0,BA56),0)</f>
        <v>1095.41165050907</v>
      </c>
      <c r="BB98" s="109" t="n">
        <f aca="false">BB96*Hipótesis!$D$106/12+IF(BB96&gt;0,Hipótesis!$D$107*MAX(0,BB56),0)</f>
        <v>1089.85609495351</v>
      </c>
      <c r="BC98" s="109" t="n">
        <f aca="false">BC96*Hipótesis!$D$106/12+IF(BC96&gt;0,Hipótesis!$D$107*MAX(0,BC56),0)</f>
        <v>1084.30053939795</v>
      </c>
      <c r="BD98" s="109" t="n">
        <f aca="false">BD96*Hipótesis!$D$106/12+IF(BD96&gt;0,Hipótesis!$D$107*MAX(0,BD56),0)</f>
        <v>1078.7449838424</v>
      </c>
      <c r="BE98" s="109" t="n">
        <f aca="false">BE96*Hipótesis!$D$106/12+IF(BE96&gt;0,Hipótesis!$D$107*MAX(0,BE56),0)</f>
        <v>1073.18942828684</v>
      </c>
      <c r="BF98" s="109" t="n">
        <f aca="false">BF96*Hipótesis!$D$106/12+IF(BF96&gt;0,Hipótesis!$D$107*MAX(0,BF56),0)</f>
        <v>1067.63387273129</v>
      </c>
      <c r="BG98" s="109" t="n">
        <f aca="false">BG96*Hipótesis!$D$106/12+IF(BG96&gt;0,Hipótesis!$D$107*MAX(0,BG56),0)</f>
        <v>1062.07831717573</v>
      </c>
      <c r="BH98" s="109" t="n">
        <f aca="false">BH96*Hipótesis!$D$106/12+IF(BH96&gt;0,Hipótesis!$D$107*MAX(0,BH56),0)</f>
        <v>1056.52276162018</v>
      </c>
      <c r="BI98" s="109" t="n">
        <f aca="false">BI96*Hipótesis!$D$106/12+IF(BI96&gt;0,Hipótesis!$D$107*MAX(0,BI56),0)</f>
        <v>1050.96720606462</v>
      </c>
      <c r="BJ98" s="109" t="n">
        <f aca="false">BJ96*Hipótesis!$D$106/12+IF(BJ96&gt;0,Hipótesis!$D$107*MAX(0,BJ56),0)</f>
        <v>1045.41165050907</v>
      </c>
      <c r="BK98" s="109" t="n">
        <f aca="false">BK96*Hipótesis!$D$106/12+IF(BK96&gt;0,Hipótesis!$D$107*MAX(0,BK56),0)</f>
        <v>990.628942796294</v>
      </c>
      <c r="BL98" s="109" t="n">
        <f aca="false">BL96*Hipótesis!$D$106/12+IF(BL96&gt;0,Hipótesis!$D$107*MAX(0,BL56),0)</f>
        <v>985.073387240738</v>
      </c>
      <c r="BM98" s="109" t="n">
        <f aca="false">BM96*Hipótesis!$D$106/12+IF(BM96&gt;0,Hipótesis!$D$107*MAX(0,BM56),0)</f>
        <v>979.517831685183</v>
      </c>
      <c r="BN98" s="109" t="n">
        <f aca="false">BN96*Hipótesis!$D$106/12+IF(BN96&gt;0,Hipótesis!$D$107*MAX(0,BN56),0)</f>
        <v>973.962276129627</v>
      </c>
      <c r="BO98" s="109" t="n">
        <f aca="false">BO96*Hipótesis!$D$106/12+IF(BO96&gt;0,Hipótesis!$D$107*MAX(0,BO56),0)</f>
        <v>968.406720574072</v>
      </c>
      <c r="BP98" s="109" t="n">
        <f aca="false">BP96*Hipótesis!$D$106/12+IF(BP96&gt;0,Hipótesis!$D$107*MAX(0,BP56),0)</f>
        <v>962.851165018516</v>
      </c>
      <c r="BQ98" s="109" t="n">
        <f aca="false">BQ96*Hipótesis!$D$106/12+IF(BQ96&gt;0,Hipótesis!$D$107*MAX(0,BQ56),0)</f>
        <v>957.29560946296</v>
      </c>
      <c r="BR98" s="109" t="n">
        <f aca="false">BR96*Hipótesis!$D$106/12+IF(BR96&gt;0,Hipótesis!$D$107*MAX(0,BR56),0)</f>
        <v>951.740053907405</v>
      </c>
      <c r="BS98" s="109" t="n">
        <f aca="false">BS96*Hipótesis!$D$106/12+IF(BS96&gt;0,Hipótesis!$D$107*MAX(0,BS56),0)</f>
        <v>946.184498351849</v>
      </c>
      <c r="BT98" s="109" t="n">
        <f aca="false">BT96*Hipótesis!$D$106/12+IF(BT96&gt;0,Hipótesis!$D$107*MAX(0,BT56),0)</f>
        <v>940.628942796294</v>
      </c>
      <c r="BU98" s="109" t="n">
        <f aca="false">BU96*Hipótesis!$D$106/12+IF(BU96&gt;0,Hipótesis!$D$107*MAX(0,BU56),0)</f>
        <v>935.073387240738</v>
      </c>
      <c r="BV98" s="109" t="n">
        <f aca="false">BV96*Hipótesis!$D$106/12+IF(BV96&gt;0,Hipótesis!$D$107*MAX(0,BV56),0)</f>
        <v>929.517831685183</v>
      </c>
      <c r="BW98" s="109" t="n">
        <f aca="false">BW96*Hipótesis!$D$106/12+IF(BW96&gt;0,Hipótesis!$D$107*MAX(0,BW56),0)</f>
        <v>874.446309407695</v>
      </c>
      <c r="BX98" s="109" t="n">
        <f aca="false">BX96*Hipótesis!$D$106/12+IF(BX96&gt;0,Hipótesis!$D$107*MAX(0,BX56),0)</f>
        <v>868.890753852139</v>
      </c>
      <c r="BY98" s="109" t="n">
        <f aca="false">BY96*Hipótesis!$D$106/12+IF(BY96&gt;0,Hipótesis!$D$107*MAX(0,BY56),0)</f>
        <v>863.335198296583</v>
      </c>
      <c r="BZ98" s="109" t="n">
        <f aca="false">BZ96*Hipótesis!$D$106/12+IF(BZ96&gt;0,Hipótesis!$D$107*MAX(0,BZ56),0)</f>
        <v>857.779642741028</v>
      </c>
      <c r="CA98" s="109" t="n">
        <f aca="false">CA96*Hipótesis!$D$106/12+IF(CA96&gt;0,Hipótesis!$D$107*MAX(0,CA56),0)</f>
        <v>852.224087185472</v>
      </c>
      <c r="CB98" s="109" t="n">
        <f aca="false">CB96*Hipótesis!$D$106/12+IF(CB96&gt;0,Hipótesis!$D$107*MAX(0,CB56),0)</f>
        <v>846.668531629917</v>
      </c>
      <c r="CC98" s="109" t="n">
        <f aca="false">CC96*Hipótesis!$D$106/12+IF(CC96&gt;0,Hipótesis!$D$107*MAX(0,CC56),0)</f>
        <v>841.112976074361</v>
      </c>
      <c r="CD98" s="109" t="n">
        <f aca="false">CD96*Hipótesis!$D$106/12+IF(CD96&gt;0,Hipótesis!$D$107*MAX(0,CD56),0)</f>
        <v>835.557420518806</v>
      </c>
      <c r="CE98" s="109" t="n">
        <f aca="false">CE96*Hipótesis!$D$106/12+IF(CE96&gt;0,Hipótesis!$D$107*MAX(0,CE56),0)</f>
        <v>830.00186496325</v>
      </c>
      <c r="CF98" s="109" t="n">
        <f aca="false">CF96*Hipótesis!$D$106/12+IF(CF96&gt;0,Hipótesis!$D$107*MAX(0,CF56),0)</f>
        <v>824.446309407695</v>
      </c>
      <c r="CG98" s="109" t="n">
        <f aca="false">CG96*Hipótesis!$D$106/12+IF(CG96&gt;0,Hipótesis!$D$107*MAX(0,CG56),0)</f>
        <v>818.890753852139</v>
      </c>
      <c r="CH98" s="109" t="n">
        <f aca="false">CH96*Hipótesis!$D$106/12+IF(CH96&gt;0,Hipótesis!$D$107*MAX(0,CH56),0)</f>
        <v>813.335198296583</v>
      </c>
    </row>
    <row r="99" customFormat="false" ht="13.5" hidden="false" customHeight="true" outlineLevel="0" collapsed="false">
      <c r="A99" s="6" t="s">
        <v>599</v>
      </c>
      <c r="C99" s="109" t="n">
        <f aca="false">C97+C98</f>
        <v>333.333333333333</v>
      </c>
      <c r="D99" s="109" t="n">
        <f aca="false">D97+D98</f>
        <v>333.333333333333</v>
      </c>
      <c r="E99" s="109" t="n">
        <f aca="false">E97+E98</f>
        <v>333.333333333333</v>
      </c>
      <c r="F99" s="109" t="n">
        <f aca="false">F97+F98</f>
        <v>333.333333333333</v>
      </c>
      <c r="G99" s="109" t="n">
        <f aca="false">G97+G98</f>
        <v>333.333333333333</v>
      </c>
      <c r="H99" s="109" t="n">
        <f aca="false">H97+H98</f>
        <v>333.333333333333</v>
      </c>
      <c r="I99" s="109" t="n">
        <f aca="false">I97+I98</f>
        <v>333.333333333333</v>
      </c>
      <c r="J99" s="109" t="n">
        <f aca="false">J97+J98</f>
        <v>333.333333333333</v>
      </c>
      <c r="K99" s="109" t="n">
        <f aca="false">K97+K98</f>
        <v>375.439900315389</v>
      </c>
      <c r="L99" s="109" t="n">
        <f aca="false">L97+L98</f>
        <v>440.884673092289</v>
      </c>
      <c r="M99" s="109" t="n">
        <f aca="false">M97+M98</f>
        <v>485.148360863772</v>
      </c>
      <c r="N99" s="109" t="n">
        <f aca="false">N97+N98</f>
        <v>545.220722726882</v>
      </c>
      <c r="O99" s="109" t="n">
        <f aca="false">O97+O98</f>
        <v>500.749084589993</v>
      </c>
      <c r="P99" s="109" t="n">
        <f aca="false">P97+P98</f>
        <v>508.51733015176</v>
      </c>
      <c r="Q99" s="109" t="n">
        <f aca="false">Q97+Q98</f>
        <v>562.511975713528</v>
      </c>
      <c r="R99" s="109" t="n">
        <f aca="false">R97+R98</f>
        <v>616.506621275295</v>
      </c>
      <c r="S99" s="109" t="n">
        <f aca="false">S97+S98</f>
        <v>670.501266837063</v>
      </c>
      <c r="T99" s="109" t="n">
        <f aca="false">T97+T98</f>
        <v>724.495912398831</v>
      </c>
      <c r="U99" s="109" t="n">
        <f aca="false">U97+U98</f>
        <v>732.264157960599</v>
      </c>
      <c r="V99" s="109" t="n">
        <f aca="false">V97+V98</f>
        <v>731.874803522366</v>
      </c>
      <c r="W99" s="109" t="n">
        <f aca="false">W97+W98</f>
        <v>785.869449084133</v>
      </c>
      <c r="X99" s="109" t="n">
        <f aca="false">X97+X98</f>
        <v>824.055420554274</v>
      </c>
      <c r="Y99" s="109" t="n">
        <f aca="false">Y97+Y98</f>
        <v>862.241392024414</v>
      </c>
      <c r="Z99" s="109" t="n">
        <f aca="false">Z97+Z98</f>
        <v>894.667653857903</v>
      </c>
      <c r="AA99" s="109" t="n">
        <f aca="false">AA97+AA98</f>
        <v>2548.12395835806</v>
      </c>
      <c r="AB99" s="109" t="n">
        <f aca="false">AB97+AB98</f>
        <v>2527.38147263599</v>
      </c>
      <c r="AC99" s="109" t="n">
        <f aca="false">AC97+AC98</f>
        <v>2554.25217891393</v>
      </c>
      <c r="AD99" s="109" t="n">
        <f aca="false">AD97+AD98</f>
        <v>2581.12288519186</v>
      </c>
      <c r="AE99" s="109" t="n">
        <f aca="false">AE97+AE98</f>
        <v>2607.99359146979</v>
      </c>
      <c r="AF99" s="109" t="n">
        <f aca="false">AF97+AF98</f>
        <v>2634.86429774773</v>
      </c>
      <c r="AG99" s="109" t="n">
        <f aca="false">AG97+AG98</f>
        <v>2661.73500402566</v>
      </c>
      <c r="AH99" s="109" t="n">
        <f aca="false">AH97+AH98</f>
        <v>2688.6057103036</v>
      </c>
      <c r="AI99" s="109" t="n">
        <f aca="false">AI97+AI98</f>
        <v>2715.47641658153</v>
      </c>
      <c r="AJ99" s="109" t="n">
        <f aca="false">AJ97+AJ98</f>
        <v>2742.34712285946</v>
      </c>
      <c r="AK99" s="109" t="n">
        <f aca="false">AK97+AK98</f>
        <v>2769.2178291374</v>
      </c>
      <c r="AL99" s="109" t="n">
        <f aca="false">AL97+AL98</f>
        <v>2796.08853541533</v>
      </c>
      <c r="AM99" s="109" t="n">
        <f aca="false">AM97+AM98</f>
        <v>2726.67153545326</v>
      </c>
      <c r="AN99" s="109" t="n">
        <f aca="false">AN97+AN98</f>
        <v>2753.5422417312</v>
      </c>
      <c r="AO99" s="109" t="n">
        <f aca="false">AO97+AO98</f>
        <v>2780.41294800913</v>
      </c>
      <c r="AP99" s="109" t="n">
        <f aca="false">AP97+AP98</f>
        <v>2807.28365428706</v>
      </c>
      <c r="AQ99" s="109" t="n">
        <f aca="false">AQ97+AQ98</f>
        <v>2834.154360565</v>
      </c>
      <c r="AR99" s="109" t="n">
        <f aca="false">AR97+AR98</f>
        <v>2861.02506684293</v>
      </c>
      <c r="AS99" s="109" t="n">
        <f aca="false">AS97+AS98</f>
        <v>2855.46951128738</v>
      </c>
      <c r="AT99" s="109" t="n">
        <f aca="false">AT97+AT98</f>
        <v>2849.91395573182</v>
      </c>
      <c r="AU99" s="109" t="n">
        <f aca="false">AU97+AU98</f>
        <v>2844.35840017627</v>
      </c>
      <c r="AV99" s="109" t="n">
        <f aca="false">AV97+AV98</f>
        <v>2838.80284462071</v>
      </c>
      <c r="AW99" s="109" t="n">
        <f aca="false">AW97+AW98</f>
        <v>2833.24728906515</v>
      </c>
      <c r="AX99" s="109" t="n">
        <f aca="false">AX97+AX98</f>
        <v>2827.6917335096</v>
      </c>
      <c r="AY99" s="109" t="n">
        <f aca="false">AY97+AY98</f>
        <v>2773.18942828684</v>
      </c>
      <c r="AZ99" s="109" t="n">
        <f aca="false">AZ97+AZ98</f>
        <v>2767.63387273129</v>
      </c>
      <c r="BA99" s="109" t="n">
        <f aca="false">BA97+BA98</f>
        <v>2762.07831717573</v>
      </c>
      <c r="BB99" s="109" t="n">
        <f aca="false">BB97+BB98</f>
        <v>2756.52276162018</v>
      </c>
      <c r="BC99" s="109" t="n">
        <f aca="false">BC97+BC98</f>
        <v>2750.96720606462</v>
      </c>
      <c r="BD99" s="109" t="n">
        <f aca="false">BD97+BD98</f>
        <v>2745.41165050907</v>
      </c>
      <c r="BE99" s="109" t="n">
        <f aca="false">BE97+BE98</f>
        <v>2739.85609495351</v>
      </c>
      <c r="BF99" s="109" t="n">
        <f aca="false">BF97+BF98</f>
        <v>2734.30053939795</v>
      </c>
      <c r="BG99" s="109" t="n">
        <f aca="false">BG97+BG98</f>
        <v>2728.7449838424</v>
      </c>
      <c r="BH99" s="109" t="n">
        <f aca="false">BH97+BH98</f>
        <v>2723.18942828684</v>
      </c>
      <c r="BI99" s="109" t="n">
        <f aca="false">BI97+BI98</f>
        <v>2717.63387273129</v>
      </c>
      <c r="BJ99" s="109" t="n">
        <f aca="false">BJ97+BJ98</f>
        <v>2712.07831717573</v>
      </c>
      <c r="BK99" s="109" t="n">
        <f aca="false">BK97+BK98</f>
        <v>2657.29560946296</v>
      </c>
      <c r="BL99" s="109" t="n">
        <f aca="false">BL97+BL98</f>
        <v>2651.74005390741</v>
      </c>
      <c r="BM99" s="109" t="n">
        <f aca="false">BM97+BM98</f>
        <v>2646.18449835185</v>
      </c>
      <c r="BN99" s="109" t="n">
        <f aca="false">BN97+BN98</f>
        <v>2640.62894279629</v>
      </c>
      <c r="BO99" s="109" t="n">
        <f aca="false">BO97+BO98</f>
        <v>2635.07338724074</v>
      </c>
      <c r="BP99" s="109" t="n">
        <f aca="false">BP97+BP98</f>
        <v>2629.51783168518</v>
      </c>
      <c r="BQ99" s="109" t="n">
        <f aca="false">BQ97+BQ98</f>
        <v>2623.96227612963</v>
      </c>
      <c r="BR99" s="109" t="n">
        <f aca="false">BR97+BR98</f>
        <v>2618.40672057407</v>
      </c>
      <c r="BS99" s="109" t="n">
        <f aca="false">BS97+BS98</f>
        <v>2612.85116501852</v>
      </c>
      <c r="BT99" s="109" t="n">
        <f aca="false">BT97+BT98</f>
        <v>2607.29560946296</v>
      </c>
      <c r="BU99" s="109" t="n">
        <f aca="false">BU97+BU98</f>
        <v>2601.74005390741</v>
      </c>
      <c r="BV99" s="109" t="n">
        <f aca="false">BV97+BV98</f>
        <v>2596.18449835185</v>
      </c>
      <c r="BW99" s="109" t="n">
        <f aca="false">BW97+BW98</f>
        <v>2541.11297607436</v>
      </c>
      <c r="BX99" s="109" t="n">
        <f aca="false">BX97+BX98</f>
        <v>2535.55742051881</v>
      </c>
      <c r="BY99" s="109" t="n">
        <f aca="false">BY97+BY98</f>
        <v>2530.00186496325</v>
      </c>
      <c r="BZ99" s="109" t="n">
        <f aca="false">BZ97+BZ98</f>
        <v>2524.44630940769</v>
      </c>
      <c r="CA99" s="109" t="n">
        <f aca="false">CA97+CA98</f>
        <v>2518.89075385214</v>
      </c>
      <c r="CB99" s="109" t="n">
        <f aca="false">CB97+CB98</f>
        <v>2513.33519829658</v>
      </c>
      <c r="CC99" s="109" t="n">
        <f aca="false">CC97+CC98</f>
        <v>2507.77964274103</v>
      </c>
      <c r="CD99" s="109" t="n">
        <f aca="false">CD97+CD98</f>
        <v>2502.22408718547</v>
      </c>
      <c r="CE99" s="109" t="n">
        <f aca="false">CE97+CE98</f>
        <v>2496.66853162992</v>
      </c>
      <c r="CF99" s="109" t="n">
        <f aca="false">CF97+CF98</f>
        <v>2491.11297607436</v>
      </c>
      <c r="CG99" s="109" t="n">
        <f aca="false">CG97+CG98</f>
        <v>2485.55742051881</v>
      </c>
      <c r="CH99" s="109" t="n">
        <f aca="false">CH97+CH98</f>
        <v>2480.00186496319</v>
      </c>
    </row>
    <row r="100" customFormat="false" ht="13.5" hidden="false" customHeight="true" outlineLevel="0" collapsed="false"/>
    <row r="101" customFormat="false" ht="13.5" hidden="false" customHeight="true" outlineLevel="0" collapsed="false">
      <c r="A101" s="6" t="s">
        <v>600</v>
      </c>
      <c r="C101" s="109" t="n">
        <f aca="false">Hipótesis!$D$113*(1-Hipótesis!$D$117)</f>
        <v>0</v>
      </c>
      <c r="D101" s="109" t="n">
        <f aca="false">C101-C102</f>
        <v>0</v>
      </c>
      <c r="E101" s="109" t="n">
        <f aca="false">D101-D102</f>
        <v>0</v>
      </c>
      <c r="F101" s="109" t="n">
        <f aca="false">E101-E102</f>
        <v>0</v>
      </c>
      <c r="G101" s="109" t="n">
        <f aca="false">F101-F102</f>
        <v>0</v>
      </c>
      <c r="H101" s="109" t="n">
        <f aca="false">G101-G102</f>
        <v>0</v>
      </c>
      <c r="I101" s="109" t="n">
        <f aca="false">H101-H102</f>
        <v>0</v>
      </c>
      <c r="J101" s="109" t="n">
        <f aca="false">I101-I102</f>
        <v>0</v>
      </c>
      <c r="K101" s="109" t="n">
        <f aca="false">J101-J102</f>
        <v>0</v>
      </c>
      <c r="L101" s="109" t="n">
        <f aca="false">K101-K102</f>
        <v>0</v>
      </c>
      <c r="M101" s="109" t="n">
        <f aca="false">L101-L102</f>
        <v>0</v>
      </c>
      <c r="N101" s="109" t="n">
        <f aca="false">M101-M102</f>
        <v>0</v>
      </c>
      <c r="O101" s="109" t="n">
        <f aca="false">N101-N102</f>
        <v>0</v>
      </c>
      <c r="P101" s="109" t="n">
        <f aca="false">O101-O102</f>
        <v>0</v>
      </c>
      <c r="Q101" s="109" t="n">
        <f aca="false">P101-P102</f>
        <v>0</v>
      </c>
      <c r="R101" s="109" t="n">
        <f aca="false">Q101-Q102</f>
        <v>0</v>
      </c>
      <c r="S101" s="109" t="n">
        <f aca="false">R101-R102</f>
        <v>0</v>
      </c>
      <c r="T101" s="109" t="n">
        <f aca="false">S101-S102</f>
        <v>0</v>
      </c>
      <c r="U101" s="109" t="n">
        <f aca="false">T101-T102</f>
        <v>0</v>
      </c>
      <c r="V101" s="109" t="n">
        <f aca="false">U101-U102</f>
        <v>0</v>
      </c>
      <c r="W101" s="109" t="n">
        <f aca="false">V101-V102</f>
        <v>0</v>
      </c>
      <c r="X101" s="109" t="n">
        <f aca="false">W101-W102</f>
        <v>0</v>
      </c>
      <c r="Y101" s="109" t="n">
        <f aca="false">X101-X102</f>
        <v>0</v>
      </c>
      <c r="Z101" s="109" t="n">
        <f aca="false">Y101-Y102</f>
        <v>0</v>
      </c>
      <c r="AA101" s="109" t="n">
        <f aca="false">Z101-Z102</f>
        <v>0</v>
      </c>
      <c r="AB101" s="109" t="n">
        <f aca="false">AA101-AA102</f>
        <v>0</v>
      </c>
      <c r="AC101" s="109" t="n">
        <f aca="false">AB101-AB102</f>
        <v>0</v>
      </c>
      <c r="AD101" s="109" t="n">
        <f aca="false">AC101-AC102</f>
        <v>0</v>
      </c>
      <c r="AE101" s="109" t="n">
        <f aca="false">AD101-AD102</f>
        <v>0</v>
      </c>
      <c r="AF101" s="109" t="n">
        <f aca="false">AE101-AE102</f>
        <v>0</v>
      </c>
      <c r="AG101" s="109" t="n">
        <f aca="false">AF101-AF102</f>
        <v>0</v>
      </c>
      <c r="AH101" s="109" t="n">
        <f aca="false">AG101-AG102</f>
        <v>0</v>
      </c>
      <c r="AI101" s="109" t="n">
        <f aca="false">AH101-AH102</f>
        <v>0</v>
      </c>
      <c r="AJ101" s="109" t="n">
        <f aca="false">AI101-AI102</f>
        <v>0</v>
      </c>
      <c r="AK101" s="109" t="n">
        <f aca="false">AJ101-AJ102</f>
        <v>0</v>
      </c>
      <c r="AL101" s="109" t="n">
        <f aca="false">AK101-AK102</f>
        <v>0</v>
      </c>
      <c r="AM101" s="109" t="n">
        <f aca="false">AL101-AL102</f>
        <v>0</v>
      </c>
      <c r="AN101" s="109" t="n">
        <f aca="false">AM101-AM102</f>
        <v>0</v>
      </c>
      <c r="AO101" s="109" t="n">
        <f aca="false">AN101-AN102</f>
        <v>0</v>
      </c>
      <c r="AP101" s="109" t="n">
        <f aca="false">AO101-AO102</f>
        <v>0</v>
      </c>
      <c r="AQ101" s="109" t="n">
        <f aca="false">AP101-AP102</f>
        <v>0</v>
      </c>
      <c r="AR101" s="109" t="n">
        <f aca="false">AQ101-AQ102</f>
        <v>0</v>
      </c>
      <c r="AS101" s="109" t="n">
        <f aca="false">AR101-AR102</f>
        <v>0</v>
      </c>
      <c r="AT101" s="109" t="n">
        <f aca="false">AS101-AS102</f>
        <v>0</v>
      </c>
      <c r="AU101" s="109" t="n">
        <f aca="false">AT101-AT102</f>
        <v>0</v>
      </c>
      <c r="AV101" s="109" t="n">
        <f aca="false">AU101-AU102</f>
        <v>0</v>
      </c>
      <c r="AW101" s="109" t="n">
        <f aca="false">AV101-AV102</f>
        <v>0</v>
      </c>
      <c r="AX101" s="109" t="n">
        <f aca="false">AW101-AW102</f>
        <v>0</v>
      </c>
      <c r="AY101" s="109" t="n">
        <f aca="false">AX101-AX102</f>
        <v>0</v>
      </c>
      <c r="AZ101" s="109" t="n">
        <f aca="false">AY101-AY102</f>
        <v>0</v>
      </c>
      <c r="BA101" s="109" t="n">
        <f aca="false">AZ101-AZ102</f>
        <v>0</v>
      </c>
      <c r="BB101" s="109" t="n">
        <f aca="false">BA101-BA102</f>
        <v>0</v>
      </c>
      <c r="BC101" s="109" t="n">
        <f aca="false">BB101-BB102</f>
        <v>0</v>
      </c>
      <c r="BD101" s="109" t="n">
        <f aca="false">BC101-BC102</f>
        <v>0</v>
      </c>
      <c r="BE101" s="109" t="n">
        <f aca="false">BD101-BD102</f>
        <v>0</v>
      </c>
      <c r="BF101" s="109" t="n">
        <f aca="false">BE101-BE102</f>
        <v>0</v>
      </c>
      <c r="BG101" s="109" t="n">
        <f aca="false">BF101-BF102</f>
        <v>0</v>
      </c>
      <c r="BH101" s="109" t="n">
        <f aca="false">BG101-BG102</f>
        <v>0</v>
      </c>
      <c r="BI101" s="109" t="n">
        <f aca="false">BH101-BH102</f>
        <v>0</v>
      </c>
      <c r="BJ101" s="109" t="n">
        <f aca="false">BI101-BI102</f>
        <v>0</v>
      </c>
      <c r="BK101" s="109" t="n">
        <f aca="false">BJ101-BJ102</f>
        <v>0</v>
      </c>
      <c r="BL101" s="109" t="n">
        <f aca="false">BK101-BK102</f>
        <v>0</v>
      </c>
      <c r="BM101" s="109" t="n">
        <f aca="false">BL101-BL102</f>
        <v>0</v>
      </c>
      <c r="BN101" s="109" t="n">
        <f aca="false">BM101-BM102</f>
        <v>0</v>
      </c>
      <c r="BO101" s="109" t="n">
        <f aca="false">BN101-BN102</f>
        <v>0</v>
      </c>
      <c r="BP101" s="109" t="n">
        <f aca="false">BO101-BO102</f>
        <v>0</v>
      </c>
      <c r="BQ101" s="109" t="n">
        <f aca="false">BP101-BP102</f>
        <v>0</v>
      </c>
      <c r="BR101" s="109" t="n">
        <f aca="false">BQ101-BQ102</f>
        <v>0</v>
      </c>
      <c r="BS101" s="109" t="n">
        <f aca="false">BR101-BR102</f>
        <v>0</v>
      </c>
      <c r="BT101" s="109" t="n">
        <f aca="false">BS101-BS102</f>
        <v>0</v>
      </c>
      <c r="BU101" s="109" t="n">
        <f aca="false">BT101-BT102</f>
        <v>0</v>
      </c>
      <c r="BV101" s="109" t="n">
        <f aca="false">BU101-BU102</f>
        <v>0</v>
      </c>
      <c r="BW101" s="109" t="n">
        <f aca="false">BV101-BV102</f>
        <v>0</v>
      </c>
      <c r="BX101" s="109" t="n">
        <f aca="false">BW101-BW102</f>
        <v>0</v>
      </c>
      <c r="BY101" s="109" t="n">
        <f aca="false">BX101-BX102</f>
        <v>0</v>
      </c>
      <c r="BZ101" s="109" t="n">
        <f aca="false">BY101-BY102</f>
        <v>0</v>
      </c>
      <c r="CA101" s="109" t="n">
        <f aca="false">BZ101-BZ102</f>
        <v>0</v>
      </c>
      <c r="CB101" s="109" t="n">
        <f aca="false">CA101-CA102</f>
        <v>0</v>
      </c>
      <c r="CC101" s="109" t="n">
        <f aca="false">CB101-CB102</f>
        <v>0</v>
      </c>
      <c r="CD101" s="109" t="n">
        <f aca="false">CC101-CC102</f>
        <v>0</v>
      </c>
      <c r="CE101" s="109" t="n">
        <f aca="false">CD101-CD102</f>
        <v>0</v>
      </c>
      <c r="CF101" s="109" t="n">
        <f aca="false">CE101-CE102</f>
        <v>0</v>
      </c>
      <c r="CG101" s="109" t="n">
        <f aca="false">CF101-CF102</f>
        <v>0</v>
      </c>
      <c r="CH101" s="109" t="n">
        <f aca="false">CG101-CG102</f>
        <v>0</v>
      </c>
    </row>
    <row r="102" customFormat="false" ht="13.5" hidden="false" customHeight="true" outlineLevel="0" collapsed="false">
      <c r="A102" s="6" t="s">
        <v>601</v>
      </c>
      <c r="C102" s="109" t="n">
        <f aca="false">IF(1&lt;=Hipótesis!$D$116,0,IF(C101&gt;0,MIN(C101,Hipótesis!$D$113*(1-Hipótesis!$D$117)/MAX(Hipótesis!$D$115-Hipótesis!$D$116,1)),0))</f>
        <v>0</v>
      </c>
      <c r="D102" s="109" t="n">
        <f aca="false">IF(2&lt;=Hipótesis!$D$116,0,IF(D101&gt;0,MIN(D101,Hipótesis!$D$113*(1-Hipótesis!$D$117)/MAX(Hipótesis!$D$115-Hipótesis!$D$116,1)),0))</f>
        <v>0</v>
      </c>
      <c r="E102" s="109" t="n">
        <f aca="false">IF(3&lt;=Hipótesis!$D$116,0,IF(E101&gt;0,MIN(E101,Hipótesis!$D$113*(1-Hipótesis!$D$117)/MAX(Hipótesis!$D$115-Hipótesis!$D$116,1)),0))</f>
        <v>0</v>
      </c>
      <c r="F102" s="109" t="n">
        <f aca="false">IF(4&lt;=Hipótesis!$D$116,0,IF(F101&gt;0,MIN(F101,Hipótesis!$D$113*(1-Hipótesis!$D$117)/MAX(Hipótesis!$D$115-Hipótesis!$D$116,1)),0))</f>
        <v>0</v>
      </c>
      <c r="G102" s="109" t="n">
        <f aca="false">IF(5&lt;=Hipótesis!$D$116,0,IF(G101&gt;0,MIN(G101,Hipótesis!$D$113*(1-Hipótesis!$D$117)/MAX(Hipótesis!$D$115-Hipótesis!$D$116,1)),0))</f>
        <v>0</v>
      </c>
      <c r="H102" s="109" t="n">
        <f aca="false">IF(6&lt;=Hipótesis!$D$116,0,IF(H101&gt;0,MIN(H101,Hipótesis!$D$113*(1-Hipótesis!$D$117)/MAX(Hipótesis!$D$115-Hipótesis!$D$116,1)),0))</f>
        <v>0</v>
      </c>
      <c r="I102" s="109" t="n">
        <f aca="false">IF(7&lt;=Hipótesis!$D$116,0,IF(I101&gt;0,MIN(I101,Hipótesis!$D$113*(1-Hipótesis!$D$117)/MAX(Hipótesis!$D$115-Hipótesis!$D$116,1)),0))</f>
        <v>0</v>
      </c>
      <c r="J102" s="109" t="n">
        <f aca="false">IF(8&lt;=Hipótesis!$D$116,0,IF(J101&gt;0,MIN(J101,Hipótesis!$D$113*(1-Hipótesis!$D$117)/MAX(Hipótesis!$D$115-Hipótesis!$D$116,1)),0))</f>
        <v>0</v>
      </c>
      <c r="K102" s="109" t="n">
        <f aca="false">IF(9&lt;=Hipótesis!$D$116,0,IF(K101&gt;0,MIN(K101,Hipótesis!$D$113*(1-Hipótesis!$D$117)/MAX(Hipótesis!$D$115-Hipótesis!$D$116,1)),0))</f>
        <v>0</v>
      </c>
      <c r="L102" s="109" t="n">
        <f aca="false">IF(10&lt;=Hipótesis!$D$116,0,IF(L101&gt;0,MIN(L101,Hipótesis!$D$113*(1-Hipótesis!$D$117)/MAX(Hipótesis!$D$115-Hipótesis!$D$116,1)),0))</f>
        <v>0</v>
      </c>
      <c r="M102" s="109" t="n">
        <f aca="false">IF(11&lt;=Hipótesis!$D$116,0,IF(M101&gt;0,MIN(M101,Hipótesis!$D$113*(1-Hipótesis!$D$117)/MAX(Hipótesis!$D$115-Hipótesis!$D$116,1)),0))</f>
        <v>0</v>
      </c>
      <c r="N102" s="109" t="n">
        <f aca="false">IF(12&lt;=Hipótesis!$D$116,0,IF(N101&gt;0,MIN(N101,Hipótesis!$D$113*(1-Hipótesis!$D$117)/MAX(Hipótesis!$D$115-Hipótesis!$D$116,1)),0))</f>
        <v>0</v>
      </c>
      <c r="O102" s="109" t="n">
        <f aca="false">IF(13&lt;=Hipótesis!$D$116,0,IF(O101&gt;0,MIN(O101,Hipótesis!$D$113*(1-Hipótesis!$D$117)/MAX(Hipótesis!$D$115-Hipótesis!$D$116,1)),0))</f>
        <v>0</v>
      </c>
      <c r="P102" s="109" t="n">
        <f aca="false">IF(14&lt;=Hipótesis!$D$116,0,IF(P101&gt;0,MIN(P101,Hipótesis!$D$113*(1-Hipótesis!$D$117)/MAX(Hipótesis!$D$115-Hipótesis!$D$116,1)),0))</f>
        <v>0</v>
      </c>
      <c r="Q102" s="109" t="n">
        <f aca="false">IF(15&lt;=Hipótesis!$D$116,0,IF(Q101&gt;0,MIN(Q101,Hipótesis!$D$113*(1-Hipótesis!$D$117)/MAX(Hipótesis!$D$115-Hipótesis!$D$116,1)),0))</f>
        <v>0</v>
      </c>
      <c r="R102" s="109" t="n">
        <f aca="false">IF(16&lt;=Hipótesis!$D$116,0,IF(R101&gt;0,MIN(R101,Hipótesis!$D$113*(1-Hipótesis!$D$117)/MAX(Hipótesis!$D$115-Hipótesis!$D$116,1)),0))</f>
        <v>0</v>
      </c>
      <c r="S102" s="109" t="n">
        <f aca="false">IF(17&lt;=Hipótesis!$D$116,0,IF(S101&gt;0,MIN(S101,Hipótesis!$D$113*(1-Hipótesis!$D$117)/MAX(Hipótesis!$D$115-Hipótesis!$D$116,1)),0))</f>
        <v>0</v>
      </c>
      <c r="T102" s="109" t="n">
        <f aca="false">IF(18&lt;=Hipótesis!$D$116,0,IF(T101&gt;0,MIN(T101,Hipótesis!$D$113*(1-Hipótesis!$D$117)/MAX(Hipótesis!$D$115-Hipótesis!$D$116,1)),0))</f>
        <v>0</v>
      </c>
      <c r="U102" s="109" t="n">
        <f aca="false">IF(19&lt;=Hipótesis!$D$116,0,IF(U101&gt;0,MIN(U101,Hipótesis!$D$113*(1-Hipótesis!$D$117)/MAX(Hipótesis!$D$115-Hipótesis!$D$116,1)),0))</f>
        <v>0</v>
      </c>
      <c r="V102" s="109" t="n">
        <f aca="false">IF(20&lt;=Hipótesis!$D$116,0,IF(V101&gt;0,MIN(V101,Hipótesis!$D$113*(1-Hipótesis!$D$117)/MAX(Hipótesis!$D$115-Hipótesis!$D$116,1)),0))</f>
        <v>0</v>
      </c>
      <c r="W102" s="109" t="n">
        <f aca="false">IF(21&lt;=Hipótesis!$D$116,0,IF(W101&gt;0,MIN(W101,Hipótesis!$D$113*(1-Hipótesis!$D$117)/MAX(Hipótesis!$D$115-Hipótesis!$D$116,1)),0))</f>
        <v>0</v>
      </c>
      <c r="X102" s="109" t="n">
        <f aca="false">IF(22&lt;=Hipótesis!$D$116,0,IF(X101&gt;0,MIN(X101,Hipótesis!$D$113*(1-Hipótesis!$D$117)/MAX(Hipótesis!$D$115-Hipótesis!$D$116,1)),0))</f>
        <v>0</v>
      </c>
      <c r="Y102" s="109" t="n">
        <f aca="false">IF(23&lt;=Hipótesis!$D$116,0,IF(Y101&gt;0,MIN(Y101,Hipótesis!$D$113*(1-Hipótesis!$D$117)/MAX(Hipótesis!$D$115-Hipótesis!$D$116,1)),0))</f>
        <v>0</v>
      </c>
      <c r="Z102" s="109" t="n">
        <f aca="false">IF(24&lt;=Hipótesis!$D$116,0,IF(Z101&gt;0,MIN(Z101,Hipótesis!$D$113*(1-Hipótesis!$D$117)/MAX(Hipótesis!$D$115-Hipótesis!$D$116,1)),0))</f>
        <v>0</v>
      </c>
      <c r="AA102" s="109" t="n">
        <f aca="false">IF(25&lt;=Hipótesis!$D$116,0,IF(AA101&gt;0,MIN(AA101,Hipótesis!$D$113*(1-Hipótesis!$D$117)/MAX(Hipótesis!$D$115-Hipótesis!$D$116,1)),0))</f>
        <v>0</v>
      </c>
      <c r="AB102" s="109" t="n">
        <f aca="false">IF(26&lt;=Hipótesis!$D$116,0,IF(AB101&gt;0,MIN(AB101,Hipótesis!$D$113*(1-Hipótesis!$D$117)/MAX(Hipótesis!$D$115-Hipótesis!$D$116,1)),0))</f>
        <v>0</v>
      </c>
      <c r="AC102" s="109" t="n">
        <f aca="false">IF(27&lt;=Hipótesis!$D$116,0,IF(AC101&gt;0,MIN(AC101,Hipótesis!$D$113*(1-Hipótesis!$D$117)/MAX(Hipótesis!$D$115-Hipótesis!$D$116,1)),0))</f>
        <v>0</v>
      </c>
      <c r="AD102" s="109" t="n">
        <f aca="false">IF(28&lt;=Hipótesis!$D$116,0,IF(AD101&gt;0,MIN(AD101,Hipótesis!$D$113*(1-Hipótesis!$D$117)/MAX(Hipótesis!$D$115-Hipótesis!$D$116,1)),0))</f>
        <v>0</v>
      </c>
      <c r="AE102" s="109" t="n">
        <f aca="false">IF(29&lt;=Hipótesis!$D$116,0,IF(AE101&gt;0,MIN(AE101,Hipótesis!$D$113*(1-Hipótesis!$D$117)/MAX(Hipótesis!$D$115-Hipótesis!$D$116,1)),0))</f>
        <v>0</v>
      </c>
      <c r="AF102" s="109" t="n">
        <f aca="false">IF(30&lt;=Hipótesis!$D$116,0,IF(AF101&gt;0,MIN(AF101,Hipótesis!$D$113*(1-Hipótesis!$D$117)/MAX(Hipótesis!$D$115-Hipótesis!$D$116,1)),0))</f>
        <v>0</v>
      </c>
      <c r="AG102" s="109" t="n">
        <f aca="false">IF(31&lt;=Hipótesis!$D$116,0,IF(AG101&gt;0,MIN(AG101,Hipótesis!$D$113*(1-Hipótesis!$D$117)/MAX(Hipótesis!$D$115-Hipótesis!$D$116,1)),0))</f>
        <v>0</v>
      </c>
      <c r="AH102" s="109" t="n">
        <f aca="false">IF(32&lt;=Hipótesis!$D$116,0,IF(AH101&gt;0,MIN(AH101,Hipótesis!$D$113*(1-Hipótesis!$D$117)/MAX(Hipótesis!$D$115-Hipótesis!$D$116,1)),0))</f>
        <v>0</v>
      </c>
      <c r="AI102" s="109" t="n">
        <f aca="false">IF(33&lt;=Hipótesis!$D$116,0,IF(AI101&gt;0,MIN(AI101,Hipótesis!$D$113*(1-Hipótesis!$D$117)/MAX(Hipótesis!$D$115-Hipótesis!$D$116,1)),0))</f>
        <v>0</v>
      </c>
      <c r="AJ102" s="109" t="n">
        <f aca="false">IF(34&lt;=Hipótesis!$D$116,0,IF(AJ101&gt;0,MIN(AJ101,Hipótesis!$D$113*(1-Hipótesis!$D$117)/MAX(Hipótesis!$D$115-Hipótesis!$D$116,1)),0))</f>
        <v>0</v>
      </c>
      <c r="AK102" s="109" t="n">
        <f aca="false">IF(35&lt;=Hipótesis!$D$116,0,IF(AK101&gt;0,MIN(AK101,Hipótesis!$D$113*(1-Hipótesis!$D$117)/MAX(Hipótesis!$D$115-Hipótesis!$D$116,1)),0))</f>
        <v>0</v>
      </c>
      <c r="AL102" s="109" t="n">
        <f aca="false">IF(36&lt;=Hipótesis!$D$116,0,IF(AL101&gt;0,MIN(AL101,Hipótesis!$D$113*(1-Hipótesis!$D$117)/MAX(Hipótesis!$D$115-Hipótesis!$D$116,1)),0))</f>
        <v>0</v>
      </c>
      <c r="AM102" s="109" t="n">
        <f aca="false">IF(37&lt;=Hipótesis!$D$116,0,IF(AM101&gt;0,MIN(AM101,Hipótesis!$D$113*(1-Hipótesis!$D$117)/MAX(Hipótesis!$D$115-Hipótesis!$D$116,1)),0))</f>
        <v>0</v>
      </c>
      <c r="AN102" s="109" t="n">
        <f aca="false">IF(38&lt;=Hipótesis!$D$116,0,IF(AN101&gt;0,MIN(AN101,Hipótesis!$D$113*(1-Hipótesis!$D$117)/MAX(Hipótesis!$D$115-Hipótesis!$D$116,1)),0))</f>
        <v>0</v>
      </c>
      <c r="AO102" s="109" t="n">
        <f aca="false">IF(39&lt;=Hipótesis!$D$116,0,IF(AO101&gt;0,MIN(AO101,Hipótesis!$D$113*(1-Hipótesis!$D$117)/MAX(Hipótesis!$D$115-Hipótesis!$D$116,1)),0))</f>
        <v>0</v>
      </c>
      <c r="AP102" s="109" t="n">
        <f aca="false">IF(40&lt;=Hipótesis!$D$116,0,IF(AP101&gt;0,MIN(AP101,Hipótesis!$D$113*(1-Hipótesis!$D$117)/MAX(Hipótesis!$D$115-Hipótesis!$D$116,1)),0))</f>
        <v>0</v>
      </c>
      <c r="AQ102" s="109" t="n">
        <f aca="false">IF(41&lt;=Hipótesis!$D$116,0,IF(AQ101&gt;0,MIN(AQ101,Hipótesis!$D$113*(1-Hipótesis!$D$117)/MAX(Hipótesis!$D$115-Hipótesis!$D$116,1)),0))</f>
        <v>0</v>
      </c>
      <c r="AR102" s="109" t="n">
        <f aca="false">IF(42&lt;=Hipótesis!$D$116,0,IF(AR101&gt;0,MIN(AR101,Hipótesis!$D$113*(1-Hipótesis!$D$117)/MAX(Hipótesis!$D$115-Hipótesis!$D$116,1)),0))</f>
        <v>0</v>
      </c>
      <c r="AS102" s="109" t="n">
        <f aca="false">IF(43&lt;=Hipótesis!$D$116,0,IF(AS101&gt;0,MIN(AS101,Hipótesis!$D$113*(1-Hipótesis!$D$117)/MAX(Hipótesis!$D$115-Hipótesis!$D$116,1)),0))</f>
        <v>0</v>
      </c>
      <c r="AT102" s="109" t="n">
        <f aca="false">IF(44&lt;=Hipótesis!$D$116,0,IF(AT101&gt;0,MIN(AT101,Hipótesis!$D$113*(1-Hipótesis!$D$117)/MAX(Hipótesis!$D$115-Hipótesis!$D$116,1)),0))</f>
        <v>0</v>
      </c>
      <c r="AU102" s="109" t="n">
        <f aca="false">IF(45&lt;=Hipótesis!$D$116,0,IF(AU101&gt;0,MIN(AU101,Hipótesis!$D$113*(1-Hipótesis!$D$117)/MAX(Hipótesis!$D$115-Hipótesis!$D$116,1)),0))</f>
        <v>0</v>
      </c>
      <c r="AV102" s="109" t="n">
        <f aca="false">IF(46&lt;=Hipótesis!$D$116,0,IF(AV101&gt;0,MIN(AV101,Hipótesis!$D$113*(1-Hipótesis!$D$117)/MAX(Hipótesis!$D$115-Hipótesis!$D$116,1)),0))</f>
        <v>0</v>
      </c>
      <c r="AW102" s="109" t="n">
        <f aca="false">IF(47&lt;=Hipótesis!$D$116,0,IF(AW101&gt;0,MIN(AW101,Hipótesis!$D$113*(1-Hipótesis!$D$117)/MAX(Hipótesis!$D$115-Hipótesis!$D$116,1)),0))</f>
        <v>0</v>
      </c>
      <c r="AX102" s="109" t="n">
        <f aca="false">IF(48&lt;=Hipótesis!$D$116,0,IF(AX101&gt;0,MIN(AX101,Hipótesis!$D$113*(1-Hipótesis!$D$117)/MAX(Hipótesis!$D$115-Hipótesis!$D$116,1)),0))</f>
        <v>0</v>
      </c>
      <c r="AY102" s="109" t="n">
        <f aca="false">IF(49&lt;=Hipótesis!$D$116,0,IF(AY101&gt;0,MIN(AY101,Hipótesis!$D$113*(1-Hipótesis!$D$117)/MAX(Hipótesis!$D$115-Hipótesis!$D$116,1)),0))</f>
        <v>0</v>
      </c>
      <c r="AZ102" s="109" t="n">
        <f aca="false">IF(50&lt;=Hipótesis!$D$116,0,IF(AZ101&gt;0,MIN(AZ101,Hipótesis!$D$113*(1-Hipótesis!$D$117)/MAX(Hipótesis!$D$115-Hipótesis!$D$116,1)),0))</f>
        <v>0</v>
      </c>
      <c r="BA102" s="109" t="n">
        <f aca="false">IF(51&lt;=Hipótesis!$D$116,0,IF(BA101&gt;0,MIN(BA101,Hipótesis!$D$113*(1-Hipótesis!$D$117)/MAX(Hipótesis!$D$115-Hipótesis!$D$116,1)),0))</f>
        <v>0</v>
      </c>
      <c r="BB102" s="109" t="n">
        <f aca="false">IF(52&lt;=Hipótesis!$D$116,0,IF(BB101&gt;0,MIN(BB101,Hipótesis!$D$113*(1-Hipótesis!$D$117)/MAX(Hipótesis!$D$115-Hipótesis!$D$116,1)),0))</f>
        <v>0</v>
      </c>
      <c r="BC102" s="109" t="n">
        <f aca="false">IF(53&lt;=Hipótesis!$D$116,0,IF(BC101&gt;0,MIN(BC101,Hipótesis!$D$113*(1-Hipótesis!$D$117)/MAX(Hipótesis!$D$115-Hipótesis!$D$116,1)),0))</f>
        <v>0</v>
      </c>
      <c r="BD102" s="109" t="n">
        <f aca="false">IF(54&lt;=Hipótesis!$D$116,0,IF(BD101&gt;0,MIN(BD101,Hipótesis!$D$113*(1-Hipótesis!$D$117)/MAX(Hipótesis!$D$115-Hipótesis!$D$116,1)),0))</f>
        <v>0</v>
      </c>
      <c r="BE102" s="109" t="n">
        <f aca="false">IF(55&lt;=Hipótesis!$D$116,0,IF(BE101&gt;0,MIN(BE101,Hipótesis!$D$113*(1-Hipótesis!$D$117)/MAX(Hipótesis!$D$115-Hipótesis!$D$116,1)),0))</f>
        <v>0</v>
      </c>
      <c r="BF102" s="109" t="n">
        <f aca="false">IF(56&lt;=Hipótesis!$D$116,0,IF(BF101&gt;0,MIN(BF101,Hipótesis!$D$113*(1-Hipótesis!$D$117)/MAX(Hipótesis!$D$115-Hipótesis!$D$116,1)),0))</f>
        <v>0</v>
      </c>
      <c r="BG102" s="109" t="n">
        <f aca="false">IF(57&lt;=Hipótesis!$D$116,0,IF(BG101&gt;0,MIN(BG101,Hipótesis!$D$113*(1-Hipótesis!$D$117)/MAX(Hipótesis!$D$115-Hipótesis!$D$116,1)),0))</f>
        <v>0</v>
      </c>
      <c r="BH102" s="109" t="n">
        <f aca="false">IF(58&lt;=Hipótesis!$D$116,0,IF(BH101&gt;0,MIN(BH101,Hipótesis!$D$113*(1-Hipótesis!$D$117)/MAX(Hipótesis!$D$115-Hipótesis!$D$116,1)),0))</f>
        <v>0</v>
      </c>
      <c r="BI102" s="109" t="n">
        <f aca="false">IF(59&lt;=Hipótesis!$D$116,0,IF(BI101&gt;0,MIN(BI101,Hipótesis!$D$113*(1-Hipótesis!$D$117)/MAX(Hipótesis!$D$115-Hipótesis!$D$116,1)),0))</f>
        <v>0</v>
      </c>
      <c r="BJ102" s="109" t="n">
        <f aca="false">IF(60&lt;=Hipótesis!$D$116,0,IF(BJ101&gt;0,MIN(BJ101,Hipótesis!$D$113*(1-Hipótesis!$D$117)/MAX(Hipótesis!$D$115-Hipótesis!$D$116,1)),0))</f>
        <v>0</v>
      </c>
      <c r="BK102" s="109" t="n">
        <f aca="false">IF(61&lt;=Hipótesis!$D$116,0,IF(BK101&gt;0,MIN(BK101,Hipótesis!$D$113*(1-Hipótesis!$D$117)/MAX(Hipótesis!$D$115-Hipótesis!$D$116,1)),0))</f>
        <v>0</v>
      </c>
      <c r="BL102" s="109" t="n">
        <f aca="false">IF(62&lt;=Hipótesis!$D$116,0,IF(BL101&gt;0,MIN(BL101,Hipótesis!$D$113*(1-Hipótesis!$D$117)/MAX(Hipótesis!$D$115-Hipótesis!$D$116,1)),0))</f>
        <v>0</v>
      </c>
      <c r="BM102" s="109" t="n">
        <f aca="false">IF(63&lt;=Hipótesis!$D$116,0,IF(BM101&gt;0,MIN(BM101,Hipótesis!$D$113*(1-Hipótesis!$D$117)/MAX(Hipótesis!$D$115-Hipótesis!$D$116,1)),0))</f>
        <v>0</v>
      </c>
      <c r="BN102" s="109" t="n">
        <f aca="false">IF(64&lt;=Hipótesis!$D$116,0,IF(BN101&gt;0,MIN(BN101,Hipótesis!$D$113*(1-Hipótesis!$D$117)/MAX(Hipótesis!$D$115-Hipótesis!$D$116,1)),0))</f>
        <v>0</v>
      </c>
      <c r="BO102" s="109" t="n">
        <f aca="false">IF(65&lt;=Hipótesis!$D$116,0,IF(BO101&gt;0,MIN(BO101,Hipótesis!$D$113*(1-Hipótesis!$D$117)/MAX(Hipótesis!$D$115-Hipótesis!$D$116,1)),0))</f>
        <v>0</v>
      </c>
      <c r="BP102" s="109" t="n">
        <f aca="false">IF(66&lt;=Hipótesis!$D$116,0,IF(BP101&gt;0,MIN(BP101,Hipótesis!$D$113*(1-Hipótesis!$D$117)/MAX(Hipótesis!$D$115-Hipótesis!$D$116,1)),0))</f>
        <v>0</v>
      </c>
      <c r="BQ102" s="109" t="n">
        <f aca="false">IF(67&lt;=Hipótesis!$D$116,0,IF(BQ101&gt;0,MIN(BQ101,Hipótesis!$D$113*(1-Hipótesis!$D$117)/MAX(Hipótesis!$D$115-Hipótesis!$D$116,1)),0))</f>
        <v>0</v>
      </c>
      <c r="BR102" s="109" t="n">
        <f aca="false">IF(68&lt;=Hipótesis!$D$116,0,IF(BR101&gt;0,MIN(BR101,Hipótesis!$D$113*(1-Hipótesis!$D$117)/MAX(Hipótesis!$D$115-Hipótesis!$D$116,1)),0))</f>
        <v>0</v>
      </c>
      <c r="BS102" s="109" t="n">
        <f aca="false">IF(69&lt;=Hipótesis!$D$116,0,IF(BS101&gt;0,MIN(BS101,Hipótesis!$D$113*(1-Hipótesis!$D$117)/MAX(Hipótesis!$D$115-Hipótesis!$D$116,1)),0))</f>
        <v>0</v>
      </c>
      <c r="BT102" s="109" t="n">
        <f aca="false">IF(70&lt;=Hipótesis!$D$116,0,IF(BT101&gt;0,MIN(BT101,Hipótesis!$D$113*(1-Hipótesis!$D$117)/MAX(Hipótesis!$D$115-Hipótesis!$D$116,1)),0))</f>
        <v>0</v>
      </c>
      <c r="BU102" s="109" t="n">
        <f aca="false">IF(71&lt;=Hipótesis!$D$116,0,IF(BU101&gt;0,MIN(BU101,Hipótesis!$D$113*(1-Hipótesis!$D$117)/MAX(Hipótesis!$D$115-Hipótesis!$D$116,1)),0))</f>
        <v>0</v>
      </c>
      <c r="BV102" s="109" t="n">
        <f aca="false">IF(72&lt;=Hipótesis!$D$116,0,IF(BV101&gt;0,MIN(BV101,Hipótesis!$D$113*(1-Hipótesis!$D$117)/MAX(Hipótesis!$D$115-Hipótesis!$D$116,1)),0))</f>
        <v>0</v>
      </c>
      <c r="BW102" s="109" t="n">
        <f aca="false">IF(73&lt;=Hipótesis!$D$116,0,IF(BW101&gt;0,MIN(BW101,Hipótesis!$D$113*(1-Hipótesis!$D$117)/MAX(Hipótesis!$D$115-Hipótesis!$D$116,1)),0))</f>
        <v>0</v>
      </c>
      <c r="BX102" s="109" t="n">
        <f aca="false">IF(74&lt;=Hipótesis!$D$116,0,IF(BX101&gt;0,MIN(BX101,Hipótesis!$D$113*(1-Hipótesis!$D$117)/MAX(Hipótesis!$D$115-Hipótesis!$D$116,1)),0))</f>
        <v>0</v>
      </c>
      <c r="BY102" s="109" t="n">
        <f aca="false">IF(75&lt;=Hipótesis!$D$116,0,IF(BY101&gt;0,MIN(BY101,Hipótesis!$D$113*(1-Hipótesis!$D$117)/MAX(Hipótesis!$D$115-Hipótesis!$D$116,1)),0))</f>
        <v>0</v>
      </c>
      <c r="BZ102" s="109" t="n">
        <f aca="false">IF(76&lt;=Hipótesis!$D$116,0,IF(BZ101&gt;0,MIN(BZ101,Hipótesis!$D$113*(1-Hipótesis!$D$117)/MAX(Hipótesis!$D$115-Hipótesis!$D$116,1)),0))</f>
        <v>0</v>
      </c>
      <c r="CA102" s="109" t="n">
        <f aca="false">IF(77&lt;=Hipótesis!$D$116,0,IF(CA101&gt;0,MIN(CA101,Hipótesis!$D$113*(1-Hipótesis!$D$117)/MAX(Hipótesis!$D$115-Hipótesis!$D$116,1)),0))</f>
        <v>0</v>
      </c>
      <c r="CB102" s="109" t="n">
        <f aca="false">IF(78&lt;=Hipótesis!$D$116,0,IF(CB101&gt;0,MIN(CB101,Hipótesis!$D$113*(1-Hipótesis!$D$117)/MAX(Hipótesis!$D$115-Hipótesis!$D$116,1)),0))</f>
        <v>0</v>
      </c>
      <c r="CC102" s="109" t="n">
        <f aca="false">IF(79&lt;=Hipótesis!$D$116,0,IF(CC101&gt;0,MIN(CC101,Hipótesis!$D$113*(1-Hipótesis!$D$117)/MAX(Hipótesis!$D$115-Hipótesis!$D$116,1)),0))</f>
        <v>0</v>
      </c>
      <c r="CD102" s="109" t="n">
        <f aca="false">IF(80&lt;=Hipótesis!$D$116,0,IF(CD101&gt;0,MIN(CD101,Hipótesis!$D$113*(1-Hipótesis!$D$117)/MAX(Hipótesis!$D$115-Hipótesis!$D$116,1)),0))</f>
        <v>0</v>
      </c>
      <c r="CE102" s="109" t="n">
        <f aca="false">IF(81&lt;=Hipótesis!$D$116,0,IF(CE101&gt;0,MIN(CE101,Hipótesis!$D$113*(1-Hipótesis!$D$117)/MAX(Hipótesis!$D$115-Hipótesis!$D$116,1)),0))</f>
        <v>0</v>
      </c>
      <c r="CF102" s="109" t="n">
        <f aca="false">IF(82&lt;=Hipótesis!$D$116,0,IF(CF101&gt;0,MIN(CF101,Hipótesis!$D$113*(1-Hipótesis!$D$117)/MAX(Hipótesis!$D$115-Hipótesis!$D$116,1)),0))</f>
        <v>0</v>
      </c>
      <c r="CG102" s="109" t="n">
        <f aca="false">IF(83&lt;=Hipótesis!$D$116,0,IF(CG101&gt;0,MIN(CG101,Hipótesis!$D$113*(1-Hipótesis!$D$117)/MAX(Hipótesis!$D$115-Hipótesis!$D$116,1)),0))</f>
        <v>0</v>
      </c>
      <c r="CH102" s="109" t="n">
        <f aca="false">IF(84&lt;=Hipótesis!$D$116,0,IF(CH101&gt;0,MIN(CH101,Hipótesis!$D$113*(1-Hipótesis!$D$117)/MAX(Hipótesis!$D$115-Hipótesis!$D$116,1)),0))</f>
        <v>0</v>
      </c>
    </row>
    <row r="103" customFormat="false" ht="13.5" hidden="false" customHeight="true" outlineLevel="0" collapsed="false">
      <c r="A103" s="6" t="s">
        <v>602</v>
      </c>
      <c r="C103" s="109" t="n">
        <f aca="false">C101*Hipótesis!$D$114/12</f>
        <v>0</v>
      </c>
      <c r="D103" s="109" t="n">
        <f aca="false">D101*Hipótesis!$D$114/12</f>
        <v>0</v>
      </c>
      <c r="E103" s="109" t="n">
        <f aca="false">E101*Hipótesis!$D$114/12</f>
        <v>0</v>
      </c>
      <c r="F103" s="109" t="n">
        <f aca="false">F101*Hipótesis!$D$114/12</f>
        <v>0</v>
      </c>
      <c r="G103" s="109" t="n">
        <f aca="false">G101*Hipótesis!$D$114/12</f>
        <v>0</v>
      </c>
      <c r="H103" s="109" t="n">
        <f aca="false">H101*Hipótesis!$D$114/12</f>
        <v>0</v>
      </c>
      <c r="I103" s="109" t="n">
        <f aca="false">I101*Hipótesis!$D$114/12</f>
        <v>0</v>
      </c>
      <c r="J103" s="109" t="n">
        <f aca="false">J101*Hipótesis!$D$114/12</f>
        <v>0</v>
      </c>
      <c r="K103" s="109" t="n">
        <f aca="false">K101*Hipótesis!$D$114/12</f>
        <v>0</v>
      </c>
      <c r="L103" s="109" t="n">
        <f aca="false">L101*Hipótesis!$D$114/12</f>
        <v>0</v>
      </c>
      <c r="M103" s="109" t="n">
        <f aca="false">M101*Hipótesis!$D$114/12</f>
        <v>0</v>
      </c>
      <c r="N103" s="109" t="n">
        <f aca="false">N101*Hipótesis!$D$114/12</f>
        <v>0</v>
      </c>
      <c r="O103" s="109" t="n">
        <f aca="false">O101*Hipótesis!$D$114/12</f>
        <v>0</v>
      </c>
      <c r="P103" s="109" t="n">
        <f aca="false">P101*Hipótesis!$D$114/12</f>
        <v>0</v>
      </c>
      <c r="Q103" s="109" t="n">
        <f aca="false">Q101*Hipótesis!$D$114/12</f>
        <v>0</v>
      </c>
      <c r="R103" s="109" t="n">
        <f aca="false">R101*Hipótesis!$D$114/12</f>
        <v>0</v>
      </c>
      <c r="S103" s="109" t="n">
        <f aca="false">S101*Hipótesis!$D$114/12</f>
        <v>0</v>
      </c>
      <c r="T103" s="109" t="n">
        <f aca="false">T101*Hipótesis!$D$114/12</f>
        <v>0</v>
      </c>
      <c r="U103" s="109" t="n">
        <f aca="false">U101*Hipótesis!$D$114/12</f>
        <v>0</v>
      </c>
      <c r="V103" s="109" t="n">
        <f aca="false">V101*Hipótesis!$D$114/12</f>
        <v>0</v>
      </c>
      <c r="W103" s="109" t="n">
        <f aca="false">W101*Hipótesis!$D$114/12</f>
        <v>0</v>
      </c>
      <c r="X103" s="109" t="n">
        <f aca="false">X101*Hipótesis!$D$114/12</f>
        <v>0</v>
      </c>
      <c r="Y103" s="109" t="n">
        <f aca="false">Y101*Hipótesis!$D$114/12</f>
        <v>0</v>
      </c>
      <c r="Z103" s="109" t="n">
        <f aca="false">Z101*Hipótesis!$D$114/12</f>
        <v>0</v>
      </c>
      <c r="AA103" s="109" t="n">
        <f aca="false">AA101*Hipótesis!$D$114/12</f>
        <v>0</v>
      </c>
      <c r="AB103" s="109" t="n">
        <f aca="false">AB101*Hipótesis!$D$114/12</f>
        <v>0</v>
      </c>
      <c r="AC103" s="109" t="n">
        <f aca="false">AC101*Hipótesis!$D$114/12</f>
        <v>0</v>
      </c>
      <c r="AD103" s="109" t="n">
        <f aca="false">AD101*Hipótesis!$D$114/12</f>
        <v>0</v>
      </c>
      <c r="AE103" s="109" t="n">
        <f aca="false">AE101*Hipótesis!$D$114/12</f>
        <v>0</v>
      </c>
      <c r="AF103" s="109" t="n">
        <f aca="false">AF101*Hipótesis!$D$114/12</f>
        <v>0</v>
      </c>
      <c r="AG103" s="109" t="n">
        <f aca="false">AG101*Hipótesis!$D$114/12</f>
        <v>0</v>
      </c>
      <c r="AH103" s="109" t="n">
        <f aca="false">AH101*Hipótesis!$D$114/12</f>
        <v>0</v>
      </c>
      <c r="AI103" s="109" t="n">
        <f aca="false">AI101*Hipótesis!$D$114/12</f>
        <v>0</v>
      </c>
      <c r="AJ103" s="109" t="n">
        <f aca="false">AJ101*Hipótesis!$D$114/12</f>
        <v>0</v>
      </c>
      <c r="AK103" s="109" t="n">
        <f aca="false">AK101*Hipótesis!$D$114/12</f>
        <v>0</v>
      </c>
      <c r="AL103" s="109" t="n">
        <f aca="false">AL101*Hipótesis!$D$114/12</f>
        <v>0</v>
      </c>
      <c r="AM103" s="109" t="n">
        <f aca="false">AM101*Hipótesis!$D$114/12</f>
        <v>0</v>
      </c>
      <c r="AN103" s="109" t="n">
        <f aca="false">AN101*Hipótesis!$D$114/12</f>
        <v>0</v>
      </c>
      <c r="AO103" s="109" t="n">
        <f aca="false">AO101*Hipótesis!$D$114/12</f>
        <v>0</v>
      </c>
      <c r="AP103" s="109" t="n">
        <f aca="false">AP101*Hipótesis!$D$114/12</f>
        <v>0</v>
      </c>
      <c r="AQ103" s="109" t="n">
        <f aca="false">AQ101*Hipótesis!$D$114/12</f>
        <v>0</v>
      </c>
      <c r="AR103" s="109" t="n">
        <f aca="false">AR101*Hipótesis!$D$114/12</f>
        <v>0</v>
      </c>
      <c r="AS103" s="109" t="n">
        <f aca="false">AS101*Hipótesis!$D$114/12</f>
        <v>0</v>
      </c>
      <c r="AT103" s="109" t="n">
        <f aca="false">AT101*Hipótesis!$D$114/12</f>
        <v>0</v>
      </c>
      <c r="AU103" s="109" t="n">
        <f aca="false">AU101*Hipótesis!$D$114/12</f>
        <v>0</v>
      </c>
      <c r="AV103" s="109" t="n">
        <f aca="false">AV101*Hipótesis!$D$114/12</f>
        <v>0</v>
      </c>
      <c r="AW103" s="109" t="n">
        <f aca="false">AW101*Hipótesis!$D$114/12</f>
        <v>0</v>
      </c>
      <c r="AX103" s="109" t="n">
        <f aca="false">AX101*Hipótesis!$D$114/12</f>
        <v>0</v>
      </c>
      <c r="AY103" s="109" t="n">
        <f aca="false">AY101*Hipótesis!$D$114/12</f>
        <v>0</v>
      </c>
      <c r="AZ103" s="109" t="n">
        <f aca="false">AZ101*Hipótesis!$D$114/12</f>
        <v>0</v>
      </c>
      <c r="BA103" s="109" t="n">
        <f aca="false">BA101*Hipótesis!$D$114/12</f>
        <v>0</v>
      </c>
      <c r="BB103" s="109" t="n">
        <f aca="false">BB101*Hipótesis!$D$114/12</f>
        <v>0</v>
      </c>
      <c r="BC103" s="109" t="n">
        <f aca="false">BC101*Hipótesis!$D$114/12</f>
        <v>0</v>
      </c>
      <c r="BD103" s="109" t="n">
        <f aca="false">BD101*Hipótesis!$D$114/12</f>
        <v>0</v>
      </c>
      <c r="BE103" s="109" t="n">
        <f aca="false">BE101*Hipótesis!$D$114/12</f>
        <v>0</v>
      </c>
      <c r="BF103" s="109" t="n">
        <f aca="false">BF101*Hipótesis!$D$114/12</f>
        <v>0</v>
      </c>
      <c r="BG103" s="109" t="n">
        <f aca="false">BG101*Hipótesis!$D$114/12</f>
        <v>0</v>
      </c>
      <c r="BH103" s="109" t="n">
        <f aca="false">BH101*Hipótesis!$D$114/12</f>
        <v>0</v>
      </c>
      <c r="BI103" s="109" t="n">
        <f aca="false">BI101*Hipótesis!$D$114/12</f>
        <v>0</v>
      </c>
      <c r="BJ103" s="109" t="n">
        <f aca="false">BJ101*Hipótesis!$D$114/12</f>
        <v>0</v>
      </c>
      <c r="BK103" s="109" t="n">
        <f aca="false">BK101*Hipótesis!$D$114/12</f>
        <v>0</v>
      </c>
      <c r="BL103" s="109" t="n">
        <f aca="false">BL101*Hipótesis!$D$114/12</f>
        <v>0</v>
      </c>
      <c r="BM103" s="109" t="n">
        <f aca="false">BM101*Hipótesis!$D$114/12</f>
        <v>0</v>
      </c>
      <c r="BN103" s="109" t="n">
        <f aca="false">BN101*Hipótesis!$D$114/12</f>
        <v>0</v>
      </c>
      <c r="BO103" s="109" t="n">
        <f aca="false">BO101*Hipótesis!$D$114/12</f>
        <v>0</v>
      </c>
      <c r="BP103" s="109" t="n">
        <f aca="false">BP101*Hipótesis!$D$114/12</f>
        <v>0</v>
      </c>
      <c r="BQ103" s="109" t="n">
        <f aca="false">BQ101*Hipótesis!$D$114/12</f>
        <v>0</v>
      </c>
      <c r="BR103" s="109" t="n">
        <f aca="false">BR101*Hipótesis!$D$114/12</f>
        <v>0</v>
      </c>
      <c r="BS103" s="109" t="n">
        <f aca="false">BS101*Hipótesis!$D$114/12</f>
        <v>0</v>
      </c>
      <c r="BT103" s="109" t="n">
        <f aca="false">BT101*Hipótesis!$D$114/12</f>
        <v>0</v>
      </c>
      <c r="BU103" s="109" t="n">
        <f aca="false">BU101*Hipótesis!$D$114/12</f>
        <v>0</v>
      </c>
      <c r="BV103" s="109" t="n">
        <f aca="false">BV101*Hipótesis!$D$114/12</f>
        <v>0</v>
      </c>
      <c r="BW103" s="109" t="n">
        <f aca="false">BW101*Hipótesis!$D$114/12</f>
        <v>0</v>
      </c>
      <c r="BX103" s="109" t="n">
        <f aca="false">BX101*Hipótesis!$D$114/12</f>
        <v>0</v>
      </c>
      <c r="BY103" s="109" t="n">
        <f aca="false">BY101*Hipótesis!$D$114/12</f>
        <v>0</v>
      </c>
      <c r="BZ103" s="109" t="n">
        <f aca="false">BZ101*Hipótesis!$D$114/12</f>
        <v>0</v>
      </c>
      <c r="CA103" s="109" t="n">
        <f aca="false">CA101*Hipótesis!$D$114/12</f>
        <v>0</v>
      </c>
      <c r="CB103" s="109" t="n">
        <f aca="false">CB101*Hipótesis!$D$114/12</f>
        <v>0</v>
      </c>
      <c r="CC103" s="109" t="n">
        <f aca="false">CC101*Hipótesis!$D$114/12</f>
        <v>0</v>
      </c>
      <c r="CD103" s="109" t="n">
        <f aca="false">CD101*Hipótesis!$D$114/12</f>
        <v>0</v>
      </c>
      <c r="CE103" s="109" t="n">
        <f aca="false">CE101*Hipótesis!$D$114/12</f>
        <v>0</v>
      </c>
      <c r="CF103" s="109" t="n">
        <f aca="false">CF101*Hipótesis!$D$114/12</f>
        <v>0</v>
      </c>
      <c r="CG103" s="109" t="n">
        <f aca="false">CG101*Hipótesis!$D$114/12</f>
        <v>0</v>
      </c>
      <c r="CH103" s="109" t="n">
        <f aca="false">CH101*Hipótesis!$D$114/12</f>
        <v>0</v>
      </c>
    </row>
    <row r="104" customFormat="false" ht="13.5" hidden="false" customHeight="true" outlineLevel="0" collapsed="false">
      <c r="A104" s="6" t="s">
        <v>603</v>
      </c>
      <c r="C104" s="109" t="n">
        <f aca="false">C102+C103</f>
        <v>0</v>
      </c>
      <c r="D104" s="109" t="n">
        <f aca="false">D102+D103</f>
        <v>0</v>
      </c>
      <c r="E104" s="109" t="n">
        <f aca="false">E102+E103</f>
        <v>0</v>
      </c>
      <c r="F104" s="109" t="n">
        <f aca="false">F102+F103</f>
        <v>0</v>
      </c>
      <c r="G104" s="109" t="n">
        <f aca="false">G102+G103</f>
        <v>0</v>
      </c>
      <c r="H104" s="109" t="n">
        <f aca="false">H102+H103</f>
        <v>0</v>
      </c>
      <c r="I104" s="109" t="n">
        <f aca="false">I102+I103</f>
        <v>0</v>
      </c>
      <c r="J104" s="109" t="n">
        <f aca="false">J102+J103</f>
        <v>0</v>
      </c>
      <c r="K104" s="109" t="n">
        <f aca="false">K102+K103</f>
        <v>0</v>
      </c>
      <c r="L104" s="109" t="n">
        <f aca="false">L102+L103</f>
        <v>0</v>
      </c>
      <c r="M104" s="109" t="n">
        <f aca="false">M102+M103</f>
        <v>0</v>
      </c>
      <c r="N104" s="109" t="n">
        <f aca="false">N102+N103</f>
        <v>0</v>
      </c>
      <c r="O104" s="109" t="n">
        <f aca="false">O102+O103</f>
        <v>0</v>
      </c>
      <c r="P104" s="109" t="n">
        <f aca="false">P102+P103</f>
        <v>0</v>
      </c>
      <c r="Q104" s="109" t="n">
        <f aca="false">Q102+Q103</f>
        <v>0</v>
      </c>
      <c r="R104" s="109" t="n">
        <f aca="false">R102+R103</f>
        <v>0</v>
      </c>
      <c r="S104" s="109" t="n">
        <f aca="false">S102+S103</f>
        <v>0</v>
      </c>
      <c r="T104" s="109" t="n">
        <f aca="false">T102+T103</f>
        <v>0</v>
      </c>
      <c r="U104" s="109" t="n">
        <f aca="false">U102+U103</f>
        <v>0</v>
      </c>
      <c r="V104" s="109" t="n">
        <f aca="false">V102+V103</f>
        <v>0</v>
      </c>
      <c r="W104" s="109" t="n">
        <f aca="false">W102+W103</f>
        <v>0</v>
      </c>
      <c r="X104" s="109" t="n">
        <f aca="false">X102+X103</f>
        <v>0</v>
      </c>
      <c r="Y104" s="109" t="n">
        <f aca="false">Y102+Y103</f>
        <v>0</v>
      </c>
      <c r="Z104" s="109" t="n">
        <f aca="false">Z102+Z103</f>
        <v>0</v>
      </c>
      <c r="AA104" s="109" t="n">
        <f aca="false">AA102+AA103</f>
        <v>0</v>
      </c>
      <c r="AB104" s="109" t="n">
        <f aca="false">AB102+AB103</f>
        <v>0</v>
      </c>
      <c r="AC104" s="109" t="n">
        <f aca="false">AC102+AC103</f>
        <v>0</v>
      </c>
      <c r="AD104" s="109" t="n">
        <f aca="false">AD102+AD103</f>
        <v>0</v>
      </c>
      <c r="AE104" s="109" t="n">
        <f aca="false">AE102+AE103</f>
        <v>0</v>
      </c>
      <c r="AF104" s="109" t="n">
        <f aca="false">AF102+AF103</f>
        <v>0</v>
      </c>
      <c r="AG104" s="109" t="n">
        <f aca="false">AG102+AG103</f>
        <v>0</v>
      </c>
      <c r="AH104" s="109" t="n">
        <f aca="false">AH102+AH103</f>
        <v>0</v>
      </c>
      <c r="AI104" s="109" t="n">
        <f aca="false">AI102+AI103</f>
        <v>0</v>
      </c>
      <c r="AJ104" s="109" t="n">
        <f aca="false">AJ102+AJ103</f>
        <v>0</v>
      </c>
      <c r="AK104" s="109" t="n">
        <f aca="false">AK102+AK103</f>
        <v>0</v>
      </c>
      <c r="AL104" s="109" t="n">
        <f aca="false">AL102+AL103</f>
        <v>0</v>
      </c>
      <c r="AM104" s="109" t="n">
        <f aca="false">AM102+AM103</f>
        <v>0</v>
      </c>
      <c r="AN104" s="109" t="n">
        <f aca="false">AN102+AN103</f>
        <v>0</v>
      </c>
      <c r="AO104" s="109" t="n">
        <f aca="false">AO102+AO103</f>
        <v>0</v>
      </c>
      <c r="AP104" s="109" t="n">
        <f aca="false">AP102+AP103</f>
        <v>0</v>
      </c>
      <c r="AQ104" s="109" t="n">
        <f aca="false">AQ102+AQ103</f>
        <v>0</v>
      </c>
      <c r="AR104" s="109" t="n">
        <f aca="false">AR102+AR103</f>
        <v>0</v>
      </c>
      <c r="AS104" s="109" t="n">
        <f aca="false">AS102+AS103</f>
        <v>0</v>
      </c>
      <c r="AT104" s="109" t="n">
        <f aca="false">AT102+AT103</f>
        <v>0</v>
      </c>
      <c r="AU104" s="109" t="n">
        <f aca="false">AU102+AU103</f>
        <v>0</v>
      </c>
      <c r="AV104" s="109" t="n">
        <f aca="false">AV102+AV103</f>
        <v>0</v>
      </c>
      <c r="AW104" s="109" t="n">
        <f aca="false">AW102+AW103</f>
        <v>0</v>
      </c>
      <c r="AX104" s="109" t="n">
        <f aca="false">AX102+AX103</f>
        <v>0</v>
      </c>
      <c r="AY104" s="109" t="n">
        <f aca="false">AY102+AY103</f>
        <v>0</v>
      </c>
      <c r="AZ104" s="109" t="n">
        <f aca="false">AZ102+AZ103</f>
        <v>0</v>
      </c>
      <c r="BA104" s="109" t="n">
        <f aca="false">BA102+BA103</f>
        <v>0</v>
      </c>
      <c r="BB104" s="109" t="n">
        <f aca="false">BB102+BB103</f>
        <v>0</v>
      </c>
      <c r="BC104" s="109" t="n">
        <f aca="false">BC102+BC103</f>
        <v>0</v>
      </c>
      <c r="BD104" s="109" t="n">
        <f aca="false">BD102+BD103</f>
        <v>0</v>
      </c>
      <c r="BE104" s="109" t="n">
        <f aca="false">BE102+BE103</f>
        <v>0</v>
      </c>
      <c r="BF104" s="109" t="n">
        <f aca="false">BF102+BF103</f>
        <v>0</v>
      </c>
      <c r="BG104" s="109" t="n">
        <f aca="false">BG102+BG103</f>
        <v>0</v>
      </c>
      <c r="BH104" s="109" t="n">
        <f aca="false">BH102+BH103</f>
        <v>0</v>
      </c>
      <c r="BI104" s="109" t="n">
        <f aca="false">BI102+BI103</f>
        <v>0</v>
      </c>
      <c r="BJ104" s="109" t="n">
        <f aca="false">BJ102+BJ103</f>
        <v>0</v>
      </c>
      <c r="BK104" s="109" t="n">
        <f aca="false">BK102+BK103</f>
        <v>0</v>
      </c>
      <c r="BL104" s="109" t="n">
        <f aca="false">BL102+BL103</f>
        <v>0</v>
      </c>
      <c r="BM104" s="109" t="n">
        <f aca="false">BM102+BM103</f>
        <v>0</v>
      </c>
      <c r="BN104" s="109" t="n">
        <f aca="false">BN102+BN103</f>
        <v>0</v>
      </c>
      <c r="BO104" s="109" t="n">
        <f aca="false">BO102+BO103</f>
        <v>0</v>
      </c>
      <c r="BP104" s="109" t="n">
        <f aca="false">BP102+BP103</f>
        <v>0</v>
      </c>
      <c r="BQ104" s="109" t="n">
        <f aca="false">BQ102+BQ103</f>
        <v>0</v>
      </c>
      <c r="BR104" s="109" t="n">
        <f aca="false">BR102+BR103</f>
        <v>0</v>
      </c>
      <c r="BS104" s="109" t="n">
        <f aca="false">BS102+BS103</f>
        <v>0</v>
      </c>
      <c r="BT104" s="109" t="n">
        <f aca="false">BT102+BT103</f>
        <v>0</v>
      </c>
      <c r="BU104" s="109" t="n">
        <f aca="false">BU102+BU103</f>
        <v>0</v>
      </c>
      <c r="BV104" s="109" t="n">
        <f aca="false">BV102+BV103</f>
        <v>0</v>
      </c>
      <c r="BW104" s="109" t="n">
        <f aca="false">BW102+BW103</f>
        <v>0</v>
      </c>
      <c r="BX104" s="109" t="n">
        <f aca="false">BX102+BX103</f>
        <v>0</v>
      </c>
      <c r="BY104" s="109" t="n">
        <f aca="false">BY102+BY103</f>
        <v>0</v>
      </c>
      <c r="BZ104" s="109" t="n">
        <f aca="false">BZ102+BZ103</f>
        <v>0</v>
      </c>
      <c r="CA104" s="109" t="n">
        <f aca="false">CA102+CA103</f>
        <v>0</v>
      </c>
      <c r="CB104" s="109" t="n">
        <f aca="false">CB102+CB103</f>
        <v>0</v>
      </c>
      <c r="CC104" s="109" t="n">
        <f aca="false">CC102+CC103</f>
        <v>0</v>
      </c>
      <c r="CD104" s="109" t="n">
        <f aca="false">CD102+CD103</f>
        <v>0</v>
      </c>
      <c r="CE104" s="109" t="n">
        <f aca="false">CE102+CE103</f>
        <v>0</v>
      </c>
      <c r="CF104" s="109" t="n">
        <f aca="false">CF102+CF103</f>
        <v>0</v>
      </c>
      <c r="CG104" s="109" t="n">
        <f aca="false">CG102+CG103</f>
        <v>0</v>
      </c>
      <c r="CH104" s="109" t="n">
        <f aca="false">CH102+CH103</f>
        <v>0</v>
      </c>
    </row>
    <row r="105" customFormat="false" ht="13.5" hidden="false" customHeight="true" outlineLevel="0" collapsed="false"/>
    <row r="106" customFormat="false" ht="13.5" hidden="false" customHeight="true" outlineLevel="0" collapsed="false">
      <c r="A106" s="47" t="s">
        <v>604</v>
      </c>
      <c r="C106" s="71" t="n">
        <f aca="false">C93+C99+C104</f>
        <v>333.333333333333</v>
      </c>
      <c r="D106" s="71" t="n">
        <f aca="false">D93+D99+D104</f>
        <v>333.333333333333</v>
      </c>
      <c r="E106" s="71" t="n">
        <f aca="false">E93+E99+E104</f>
        <v>333.333333333333</v>
      </c>
      <c r="F106" s="71" t="n">
        <f aca="false">F93+F99+F104</f>
        <v>333.333333333333</v>
      </c>
      <c r="G106" s="71" t="n">
        <f aca="false">G93+G99+G104</f>
        <v>333.333333333333</v>
      </c>
      <c r="H106" s="71" t="n">
        <f aca="false">H93+H99+H104</f>
        <v>333.333333333333</v>
      </c>
      <c r="I106" s="71" t="n">
        <f aca="false">I93+I99+I104</f>
        <v>333.333333333333</v>
      </c>
      <c r="J106" s="71" t="n">
        <f aca="false">J93+J99+J104</f>
        <v>333.333333333333</v>
      </c>
      <c r="K106" s="71" t="n">
        <f aca="false">K93+K99+K104</f>
        <v>375.439900315389</v>
      </c>
      <c r="L106" s="71" t="n">
        <f aca="false">L93+L99+L104</f>
        <v>440.884673092289</v>
      </c>
      <c r="M106" s="71" t="n">
        <f aca="false">M93+M99+M104</f>
        <v>485.148360863772</v>
      </c>
      <c r="N106" s="71" t="n">
        <f aca="false">N93+N99+N104</f>
        <v>545.220722726882</v>
      </c>
      <c r="O106" s="71" t="n">
        <f aca="false">O93+O99+O104</f>
        <v>500.749084589993</v>
      </c>
      <c r="P106" s="71" t="n">
        <f aca="false">P93+P99+P104</f>
        <v>508.51733015176</v>
      </c>
      <c r="Q106" s="71" t="n">
        <f aca="false">Q93+Q99+Q104</f>
        <v>562.511975713528</v>
      </c>
      <c r="R106" s="71" t="n">
        <f aca="false">R93+R99+R104</f>
        <v>616.506621275295</v>
      </c>
      <c r="S106" s="71" t="n">
        <f aca="false">S93+S99+S104</f>
        <v>670.501266837063</v>
      </c>
      <c r="T106" s="71" t="n">
        <f aca="false">T93+T99+T104</f>
        <v>724.495912398831</v>
      </c>
      <c r="U106" s="71" t="n">
        <f aca="false">U93+U99+U104</f>
        <v>732.264157960599</v>
      </c>
      <c r="V106" s="71" t="n">
        <f aca="false">V93+V99+V104</f>
        <v>731.874803522366</v>
      </c>
      <c r="W106" s="71" t="n">
        <f aca="false">W93+W99+W104</f>
        <v>785.869449084133</v>
      </c>
      <c r="X106" s="71" t="n">
        <f aca="false">X93+X99+X104</f>
        <v>824.055420554274</v>
      </c>
      <c r="Y106" s="71" t="n">
        <f aca="false">Y93+Y99+Y104</f>
        <v>862.241392024414</v>
      </c>
      <c r="Z106" s="71" t="n">
        <f aca="false">Z93+Z99+Z104</f>
        <v>894.667653857903</v>
      </c>
      <c r="AA106" s="71" t="n">
        <f aca="false">AA93+AA99+AA104</f>
        <v>2548.12395835806</v>
      </c>
      <c r="AB106" s="71" t="n">
        <f aca="false">AB93+AB99+AB104</f>
        <v>2527.38147263599</v>
      </c>
      <c r="AC106" s="71" t="n">
        <f aca="false">AC93+AC99+AC104</f>
        <v>2554.25217891393</v>
      </c>
      <c r="AD106" s="71" t="n">
        <f aca="false">AD93+AD99+AD104</f>
        <v>2581.12288519186</v>
      </c>
      <c r="AE106" s="71" t="n">
        <f aca="false">AE93+AE99+AE104</f>
        <v>2607.99359146979</v>
      </c>
      <c r="AF106" s="71" t="n">
        <f aca="false">AF93+AF99+AF104</f>
        <v>2634.86429774773</v>
      </c>
      <c r="AG106" s="71" t="n">
        <f aca="false">AG93+AG99+AG104</f>
        <v>2661.73500402566</v>
      </c>
      <c r="AH106" s="71" t="n">
        <f aca="false">AH93+AH99+AH104</f>
        <v>2688.6057103036</v>
      </c>
      <c r="AI106" s="71" t="n">
        <f aca="false">AI93+AI99+AI104</f>
        <v>2715.47641658153</v>
      </c>
      <c r="AJ106" s="71" t="n">
        <f aca="false">AJ93+AJ99+AJ104</f>
        <v>2742.34712285946</v>
      </c>
      <c r="AK106" s="71" t="n">
        <f aca="false">AK93+AK99+AK104</f>
        <v>2769.2178291374</v>
      </c>
      <c r="AL106" s="71" t="n">
        <f aca="false">AL93+AL99+AL104</f>
        <v>2796.08853541533</v>
      </c>
      <c r="AM106" s="71" t="n">
        <f aca="false">AM93+AM99+AM104</f>
        <v>2726.67153545326</v>
      </c>
      <c r="AN106" s="71" t="n">
        <f aca="false">AN93+AN99+AN104</f>
        <v>2753.5422417312</v>
      </c>
      <c r="AO106" s="71" t="n">
        <f aca="false">AO93+AO99+AO104</f>
        <v>2780.41294800913</v>
      </c>
      <c r="AP106" s="71" t="n">
        <f aca="false">AP93+AP99+AP104</f>
        <v>2807.28365428706</v>
      </c>
      <c r="AQ106" s="71" t="n">
        <f aca="false">AQ93+AQ99+AQ104</f>
        <v>2834.154360565</v>
      </c>
      <c r="AR106" s="71" t="n">
        <f aca="false">AR93+AR99+AR104</f>
        <v>2861.02506684293</v>
      </c>
      <c r="AS106" s="71" t="n">
        <f aca="false">AS93+AS99+AS104</f>
        <v>2855.46951128738</v>
      </c>
      <c r="AT106" s="71" t="n">
        <f aca="false">AT93+AT99+AT104</f>
        <v>2849.91395573182</v>
      </c>
      <c r="AU106" s="71" t="n">
        <f aca="false">AU93+AU99+AU104</f>
        <v>2844.35840017627</v>
      </c>
      <c r="AV106" s="71" t="n">
        <f aca="false">AV93+AV99+AV104</f>
        <v>2838.80284462071</v>
      </c>
      <c r="AW106" s="71" t="n">
        <f aca="false">AW93+AW99+AW104</f>
        <v>2833.24728906515</v>
      </c>
      <c r="AX106" s="71" t="n">
        <f aca="false">AX93+AX99+AX104</f>
        <v>2827.6917335096</v>
      </c>
      <c r="AY106" s="71" t="n">
        <f aca="false">AY93+AY99+AY104</f>
        <v>2773.18942828684</v>
      </c>
      <c r="AZ106" s="71" t="n">
        <f aca="false">AZ93+AZ99+AZ104</f>
        <v>2767.63387273129</v>
      </c>
      <c r="BA106" s="71" t="n">
        <f aca="false">BA93+BA99+BA104</f>
        <v>2762.07831717573</v>
      </c>
      <c r="BB106" s="71" t="n">
        <f aca="false">BB93+BB99+BB104</f>
        <v>2756.52276162018</v>
      </c>
      <c r="BC106" s="71" t="n">
        <f aca="false">BC93+BC99+BC104</f>
        <v>2750.96720606462</v>
      </c>
      <c r="BD106" s="71" t="n">
        <f aca="false">BD93+BD99+BD104</f>
        <v>2745.41165050907</v>
      </c>
      <c r="BE106" s="71" t="n">
        <f aca="false">BE93+BE99+BE104</f>
        <v>2739.85609495351</v>
      </c>
      <c r="BF106" s="71" t="n">
        <f aca="false">BF93+BF99+BF104</f>
        <v>2734.30053939795</v>
      </c>
      <c r="BG106" s="71" t="n">
        <f aca="false">BG93+BG99+BG104</f>
        <v>2728.7449838424</v>
      </c>
      <c r="BH106" s="71" t="n">
        <f aca="false">BH93+BH99+BH104</f>
        <v>2723.18942828684</v>
      </c>
      <c r="BI106" s="71" t="n">
        <f aca="false">BI93+BI99+BI104</f>
        <v>2717.63387273129</v>
      </c>
      <c r="BJ106" s="71" t="n">
        <f aca="false">BJ93+BJ99+BJ104</f>
        <v>2712.07831717573</v>
      </c>
      <c r="BK106" s="71" t="n">
        <f aca="false">BK93+BK99+BK104</f>
        <v>2657.29560946296</v>
      </c>
      <c r="BL106" s="71" t="n">
        <f aca="false">BL93+BL99+BL104</f>
        <v>2651.74005390741</v>
      </c>
      <c r="BM106" s="71" t="n">
        <f aca="false">BM93+BM99+BM104</f>
        <v>2646.18449835185</v>
      </c>
      <c r="BN106" s="71" t="n">
        <f aca="false">BN93+BN99+BN104</f>
        <v>2640.62894279629</v>
      </c>
      <c r="BO106" s="71" t="n">
        <f aca="false">BO93+BO99+BO104</f>
        <v>2635.07338724074</v>
      </c>
      <c r="BP106" s="71" t="n">
        <f aca="false">BP93+BP99+BP104</f>
        <v>2629.51783168518</v>
      </c>
      <c r="BQ106" s="71" t="n">
        <f aca="false">BQ93+BQ99+BQ104</f>
        <v>2623.96227612963</v>
      </c>
      <c r="BR106" s="71" t="n">
        <f aca="false">BR93+BR99+BR104</f>
        <v>2618.40672057407</v>
      </c>
      <c r="BS106" s="71" t="n">
        <f aca="false">BS93+BS99+BS104</f>
        <v>2612.85116501852</v>
      </c>
      <c r="BT106" s="71" t="n">
        <f aca="false">BT93+BT99+BT104</f>
        <v>2607.29560946296</v>
      </c>
      <c r="BU106" s="71" t="n">
        <f aca="false">BU93+BU99+BU104</f>
        <v>2601.74005390741</v>
      </c>
      <c r="BV106" s="71" t="n">
        <f aca="false">BV93+BV99+BV104</f>
        <v>2596.18449835185</v>
      </c>
      <c r="BW106" s="71" t="n">
        <f aca="false">BW93+BW99+BW104</f>
        <v>2541.11297607436</v>
      </c>
      <c r="BX106" s="71" t="n">
        <f aca="false">BX93+BX99+BX104</f>
        <v>2535.55742051881</v>
      </c>
      <c r="BY106" s="71" t="n">
        <f aca="false">BY93+BY99+BY104</f>
        <v>2530.00186496325</v>
      </c>
      <c r="BZ106" s="71" t="n">
        <f aca="false">BZ93+BZ99+BZ104</f>
        <v>2524.44630940769</v>
      </c>
      <c r="CA106" s="71" t="n">
        <f aca="false">CA93+CA99+CA104</f>
        <v>2518.89075385214</v>
      </c>
      <c r="CB106" s="71" t="n">
        <f aca="false">CB93+CB99+CB104</f>
        <v>2513.33519829658</v>
      </c>
      <c r="CC106" s="71" t="n">
        <f aca="false">CC93+CC99+CC104</f>
        <v>2507.77964274103</v>
      </c>
      <c r="CD106" s="71" t="n">
        <f aca="false">CD93+CD99+CD104</f>
        <v>2502.22408718547</v>
      </c>
      <c r="CE106" s="71" t="n">
        <f aca="false">CE93+CE99+CE104</f>
        <v>2496.66853162992</v>
      </c>
      <c r="CF106" s="71" t="n">
        <f aca="false">CF93+CF99+CF104</f>
        <v>2491.11297607436</v>
      </c>
      <c r="CG106" s="71" t="n">
        <f aca="false">CG93+CG99+CG104</f>
        <v>2485.55742051881</v>
      </c>
      <c r="CH106" s="71" t="n">
        <f aca="false">CH93+CH99+CH104</f>
        <v>2480.00186496319</v>
      </c>
    </row>
    <row r="107" customFormat="false" ht="13.5" hidden="false" customHeight="true" outlineLevel="0" collapsed="false">
      <c r="A107" s="6" t="s">
        <v>605</v>
      </c>
      <c r="C107" s="109" t="n">
        <f aca="false">C106</f>
        <v>333.333333333333</v>
      </c>
      <c r="D107" s="109" t="n">
        <f aca="false">C107+D106</f>
        <v>666.666666666667</v>
      </c>
      <c r="E107" s="109" t="n">
        <f aca="false">D107+E106</f>
        <v>1000</v>
      </c>
      <c r="F107" s="109" t="n">
        <f aca="false">E107+F106</f>
        <v>1333.33333333333</v>
      </c>
      <c r="G107" s="109" t="n">
        <f aca="false">F107+G106</f>
        <v>1666.66666666667</v>
      </c>
      <c r="H107" s="109" t="n">
        <f aca="false">G107+H106</f>
        <v>2000</v>
      </c>
      <c r="I107" s="109" t="n">
        <f aca="false">H107+I106</f>
        <v>2333.33333333333</v>
      </c>
      <c r="J107" s="109" t="n">
        <f aca="false">I107+J106</f>
        <v>2666.66666666667</v>
      </c>
      <c r="K107" s="109" t="n">
        <f aca="false">J107+K106</f>
        <v>3042.10656698206</v>
      </c>
      <c r="L107" s="109" t="n">
        <f aca="false">K107+L106</f>
        <v>3482.99124007434</v>
      </c>
      <c r="M107" s="109" t="n">
        <f aca="false">L107+M106</f>
        <v>3968.13960093812</v>
      </c>
      <c r="N107" s="109" t="n">
        <f aca="false">M107+N106</f>
        <v>4513.360323665</v>
      </c>
      <c r="O107" s="109" t="n">
        <f aca="false">N107+O106</f>
        <v>5014.10940825499</v>
      </c>
      <c r="P107" s="109" t="n">
        <f aca="false">O107+P106</f>
        <v>5522.62673840675</v>
      </c>
      <c r="Q107" s="109" t="n">
        <f aca="false">P107+Q106</f>
        <v>6085.13871412028</v>
      </c>
      <c r="R107" s="109" t="n">
        <f aca="false">Q107+R106</f>
        <v>6701.64533539558</v>
      </c>
      <c r="S107" s="109" t="n">
        <f aca="false">R107+S106</f>
        <v>7372.14660223264</v>
      </c>
      <c r="T107" s="109" t="n">
        <f aca="false">S107+T106</f>
        <v>8096.64251463147</v>
      </c>
      <c r="U107" s="109" t="n">
        <f aca="false">T107+U106</f>
        <v>8828.90667259207</v>
      </c>
      <c r="V107" s="109" t="n">
        <f aca="false">U107+V106</f>
        <v>9560.78147611443</v>
      </c>
      <c r="W107" s="109" t="n">
        <f aca="false">V107+W106</f>
        <v>10346.6509251986</v>
      </c>
      <c r="X107" s="109" t="n">
        <f aca="false">W107+X106</f>
        <v>11170.7063457528</v>
      </c>
      <c r="Y107" s="109" t="n">
        <f aca="false">X107+Y106</f>
        <v>12032.9477377773</v>
      </c>
      <c r="Z107" s="109" t="n">
        <f aca="false">Y107+Z106</f>
        <v>12927.6153916352</v>
      </c>
      <c r="AA107" s="109" t="n">
        <f aca="false">Z107+AA106</f>
        <v>15475.7393499932</v>
      </c>
      <c r="AB107" s="109" t="n">
        <f aca="false">AA107+AB106</f>
        <v>18003.1208226292</v>
      </c>
      <c r="AC107" s="109" t="n">
        <f aca="false">AB107+AC106</f>
        <v>20557.3730015431</v>
      </c>
      <c r="AD107" s="109" t="n">
        <f aca="false">AC107+AD106</f>
        <v>23138.495886735</v>
      </c>
      <c r="AE107" s="109" t="n">
        <f aca="false">AD107+AE106</f>
        <v>25746.4894782048</v>
      </c>
      <c r="AF107" s="109" t="n">
        <f aca="false">AE107+AF106</f>
        <v>28381.3537759525</v>
      </c>
      <c r="AG107" s="109" t="n">
        <f aca="false">AF107+AG106</f>
        <v>31043.0887799782</v>
      </c>
      <c r="AH107" s="109" t="n">
        <f aca="false">AG107+AH106</f>
        <v>33731.6944902818</v>
      </c>
      <c r="AI107" s="109" t="n">
        <f aca="false">AH107+AI106</f>
        <v>36447.1709068633</v>
      </c>
      <c r="AJ107" s="109" t="n">
        <f aca="false">AI107+AJ106</f>
        <v>39189.5180297228</v>
      </c>
      <c r="AK107" s="109" t="n">
        <f aca="false">AJ107+AK106</f>
        <v>41958.7358588602</v>
      </c>
      <c r="AL107" s="109" t="n">
        <f aca="false">AK107+AL106</f>
        <v>44754.8243942755</v>
      </c>
      <c r="AM107" s="109" t="n">
        <f aca="false">AL107+AM106</f>
        <v>47481.4959297288</v>
      </c>
      <c r="AN107" s="109" t="n">
        <f aca="false">AM107+AN106</f>
        <v>50235.03817146</v>
      </c>
      <c r="AO107" s="109" t="n">
        <f aca="false">AN107+AO106</f>
        <v>53015.4511194691</v>
      </c>
      <c r="AP107" s="109" t="n">
        <f aca="false">AO107+AP106</f>
        <v>55822.7347737561</v>
      </c>
      <c r="AQ107" s="109" t="n">
        <f aca="false">AP107+AQ106</f>
        <v>58656.8891343211</v>
      </c>
      <c r="AR107" s="109" t="n">
        <f aca="false">AQ107+AR106</f>
        <v>61517.9142011641</v>
      </c>
      <c r="AS107" s="109" t="n">
        <f aca="false">AR107+AS106</f>
        <v>64373.3837124515</v>
      </c>
      <c r="AT107" s="109" t="n">
        <f aca="false">AS107+AT106</f>
        <v>67223.2976681833</v>
      </c>
      <c r="AU107" s="109" t="n">
        <f aca="false">AT107+AU106</f>
        <v>70067.6560683595</v>
      </c>
      <c r="AV107" s="109" t="n">
        <f aca="false">AU107+AV106</f>
        <v>72906.4589129803</v>
      </c>
      <c r="AW107" s="109" t="n">
        <f aca="false">AV107+AW106</f>
        <v>75739.7062020454</v>
      </c>
      <c r="AX107" s="109" t="n">
        <f aca="false">AW107+AX106</f>
        <v>78567.397935555</v>
      </c>
      <c r="AY107" s="109" t="n">
        <f aca="false">AX107+AY106</f>
        <v>81340.5873638418</v>
      </c>
      <c r="AZ107" s="109" t="n">
        <f aca="false">AY107+AZ106</f>
        <v>84108.2212365731</v>
      </c>
      <c r="BA107" s="109" t="n">
        <f aca="false">AZ107+BA106</f>
        <v>86870.2995537489</v>
      </c>
      <c r="BB107" s="109" t="n">
        <f aca="false">BA107+BB106</f>
        <v>89626.822315369</v>
      </c>
      <c r="BC107" s="109" t="n">
        <f aca="false">BB107+BC106</f>
        <v>92377.7895214337</v>
      </c>
      <c r="BD107" s="109" t="n">
        <f aca="false">BC107+BD106</f>
        <v>95123.2011719427</v>
      </c>
      <c r="BE107" s="109" t="n">
        <f aca="false">BD107+BE106</f>
        <v>97863.0572668962</v>
      </c>
      <c r="BF107" s="109" t="n">
        <f aca="false">BE107+BF106</f>
        <v>100597.357806294</v>
      </c>
      <c r="BG107" s="109" t="n">
        <f aca="false">BF107+BG106</f>
        <v>103326.102790137</v>
      </c>
      <c r="BH107" s="109" t="n">
        <f aca="false">BG107+BH106</f>
        <v>106049.292218423</v>
      </c>
      <c r="BI107" s="109" t="n">
        <f aca="false">BH107+BI106</f>
        <v>108766.926091155</v>
      </c>
      <c r="BJ107" s="109" t="n">
        <f aca="false">BI107+BJ106</f>
        <v>111479.00440833</v>
      </c>
      <c r="BK107" s="109" t="n">
        <f aca="false">BJ107+BK106</f>
        <v>114136.300017793</v>
      </c>
      <c r="BL107" s="109" t="n">
        <f aca="false">BK107+BL106</f>
        <v>116788.040071701</v>
      </c>
      <c r="BM107" s="109" t="n">
        <f aca="false">BL107+BM106</f>
        <v>119434.224570053</v>
      </c>
      <c r="BN107" s="109" t="n">
        <f aca="false">BM107+BN106</f>
        <v>122074.853512849</v>
      </c>
      <c r="BO107" s="109" t="n">
        <f aca="false">BN107+BO106</f>
        <v>124709.92690009</v>
      </c>
      <c r="BP107" s="109" t="n">
        <f aca="false">BO107+BP106</f>
        <v>127339.444731775</v>
      </c>
      <c r="BQ107" s="109" t="n">
        <f aca="false">BP107+BQ106</f>
        <v>129963.407007905</v>
      </c>
      <c r="BR107" s="109" t="n">
        <f aca="false">BQ107+BR106</f>
        <v>132581.813728479</v>
      </c>
      <c r="BS107" s="109" t="n">
        <f aca="false">BR107+BS106</f>
        <v>135194.664893497</v>
      </c>
      <c r="BT107" s="109" t="n">
        <f aca="false">BS107+BT106</f>
        <v>137801.96050296</v>
      </c>
      <c r="BU107" s="109" t="n">
        <f aca="false">BT107+BU106</f>
        <v>140403.700556867</v>
      </c>
      <c r="BV107" s="109" t="n">
        <f aca="false">BU107+BV106</f>
        <v>142999.885055219</v>
      </c>
      <c r="BW107" s="109" t="n">
        <f aca="false">BV107+BW106</f>
        <v>145540.998031294</v>
      </c>
      <c r="BX107" s="109" t="n">
        <f aca="false">BW107+BX106</f>
        <v>148076.555451812</v>
      </c>
      <c r="BY107" s="109" t="n">
        <f aca="false">BX107+BY106</f>
        <v>150606.557316776</v>
      </c>
      <c r="BZ107" s="109" t="n">
        <f aca="false">BY107+BZ106</f>
        <v>153131.003626183</v>
      </c>
      <c r="CA107" s="109" t="n">
        <f aca="false">BZ107+CA106</f>
        <v>155649.894380036</v>
      </c>
      <c r="CB107" s="109" t="n">
        <f aca="false">CA107+CB106</f>
        <v>158163.229578332</v>
      </c>
      <c r="CC107" s="109" t="n">
        <f aca="false">CB107+CC106</f>
        <v>160671.009221073</v>
      </c>
      <c r="CD107" s="109" t="n">
        <f aca="false">CC107+CD106</f>
        <v>163173.233308259</v>
      </c>
      <c r="CE107" s="109" t="n">
        <f aca="false">CD107+CE106</f>
        <v>165669.901839889</v>
      </c>
      <c r="CF107" s="109" t="n">
        <f aca="false">CE107+CF106</f>
        <v>168161.014815963</v>
      </c>
      <c r="CG107" s="109" t="n">
        <f aca="false">CF107+CG106</f>
        <v>170646.572236482</v>
      </c>
      <c r="CH107" s="109" t="n">
        <f aca="false">CG107+CH106</f>
        <v>173126.574101445</v>
      </c>
    </row>
    <row r="108" customFormat="false" ht="13.5" hidden="false" customHeight="true" outlineLevel="0" collapsed="false"/>
    <row r="109" customFormat="false" ht="12.75" hidden="false" customHeight="true" outlineLevel="0" collapsed="false">
      <c r="A109" s="9" t="s">
        <v>606</v>
      </c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  <c r="BP109" s="9"/>
      <c r="BQ109" s="9"/>
      <c r="BR109" s="9"/>
      <c r="BS109" s="9"/>
      <c r="BT109" s="9"/>
      <c r="BU109" s="9"/>
      <c r="BV109" s="9"/>
      <c r="BW109" s="9"/>
      <c r="BX109" s="9"/>
      <c r="BY109" s="9"/>
      <c r="BZ109" s="9"/>
      <c r="CA109" s="9"/>
      <c r="CB109" s="9"/>
      <c r="CC109" s="9"/>
      <c r="CD109" s="9"/>
      <c r="CE109" s="9"/>
      <c r="CF109" s="9"/>
      <c r="CG109" s="9"/>
      <c r="CH109" s="9"/>
    </row>
    <row r="110" customFormat="false" ht="13.5" hidden="false" customHeight="true" outlineLevel="0" collapsed="false">
      <c r="A110" s="6" t="s">
        <v>607</v>
      </c>
      <c r="C110" s="109" t="n">
        <f aca="false">C63</f>
        <v>-16195.1077466394</v>
      </c>
      <c r="D110" s="109" t="n">
        <f aca="false">C113+D63</f>
        <v>-31357.0971421672</v>
      </c>
      <c r="E110" s="109" t="n">
        <f aca="false">D113+E63</f>
        <v>-44431.6871777188</v>
      </c>
      <c r="F110" s="109" t="n">
        <f aca="false">E113+F63</f>
        <v>-56383.7462971309</v>
      </c>
      <c r="G110" s="109" t="n">
        <f aca="false">F113+G63</f>
        <v>-67281.5244076784</v>
      </c>
      <c r="H110" s="109" t="n">
        <f aca="false">G113+H63</f>
        <v>-76536.0570999617</v>
      </c>
      <c r="I110" s="109" t="n">
        <f aca="false">H113+I63</f>
        <v>-82533.410379297</v>
      </c>
      <c r="J110" s="109" t="n">
        <f aca="false">I113+J63</f>
        <v>-85273.5842456843</v>
      </c>
      <c r="K110" s="109" t="n">
        <f aca="false">J113+K63</f>
        <v>-84869.9201130425</v>
      </c>
      <c r="L110" s="109" t="n">
        <f aca="false">K113+L63</f>
        <v>-81765.0538747032</v>
      </c>
      <c r="M110" s="109" t="n">
        <f aca="false">L113+M63</f>
        <v>-76825.7832324783</v>
      </c>
      <c r="N110" s="109" t="n">
        <f aca="false">M113+N63</f>
        <v>-69384.9861082167</v>
      </c>
      <c r="O110" s="109" t="n">
        <f aca="false">N113+O63</f>
        <v>-63807.9627467515</v>
      </c>
      <c r="P110" s="109" t="n">
        <f aca="false">O113+P63</f>
        <v>-57918.2914264558</v>
      </c>
      <c r="Q110" s="109" t="n">
        <f aca="false">P113+Q63</f>
        <v>-49790.6425873296</v>
      </c>
      <c r="R110" s="109" t="n">
        <f aca="false">Q113+R63</f>
        <v>-39425.016229373</v>
      </c>
      <c r="S110" s="109" t="n">
        <f aca="false">R113+S63</f>
        <v>-26821.4123525858</v>
      </c>
      <c r="T110" s="109" t="n">
        <f aca="false">S113+T63</f>
        <v>-11979.8309569682</v>
      </c>
      <c r="U110" s="109" t="n">
        <f aca="false">T113+U63</f>
        <v>3174.39839747998</v>
      </c>
      <c r="V110" s="109" t="n">
        <f aca="false">U113+V63</f>
        <v>18301.5116707586</v>
      </c>
      <c r="W110" s="109" t="n">
        <f aca="false">V113+W63</f>
        <v>35666.6024628677</v>
      </c>
      <c r="X110" s="109" t="n">
        <f aca="false">W113+X63</f>
        <v>54614.608844766</v>
      </c>
      <c r="Y110" s="109" t="n">
        <f aca="false">X113+Y63</f>
        <v>75145.5308164536</v>
      </c>
      <c r="Z110" s="109" t="n">
        <f aca="false">Y113+Z63</f>
        <v>97020.7343610638</v>
      </c>
      <c r="AA110" s="109" t="n">
        <f aca="false">Z113+AA63</f>
        <v>118339.454088997</v>
      </c>
      <c r="AB110" s="109" t="n">
        <f aca="false">AA113+AB63</f>
        <v>139024.088165275</v>
      </c>
      <c r="AC110" s="109" t="n">
        <f aca="false">AB113+AC63</f>
        <v>161057.726036697</v>
      </c>
      <c r="AD110" s="109" t="n">
        <f aca="false">AC113+AD63</f>
        <v>184440.367703265</v>
      </c>
      <c r="AE110" s="109" t="n">
        <f aca="false">AD113+AE63</f>
        <v>209172.013164978</v>
      </c>
      <c r="AF110" s="109" t="n">
        <f aca="false">AE113+AF63</f>
        <v>235252.662421835</v>
      </c>
      <c r="AG110" s="109" t="n">
        <f aca="false">AF113+AG63</f>
        <v>262682.315473838</v>
      </c>
      <c r="AH110" s="109" t="n">
        <f aca="false">AG113+AH63</f>
        <v>291460.972320985</v>
      </c>
      <c r="AI110" s="109" t="n">
        <f aca="false">AH113+AI63</f>
        <v>321588.632963278</v>
      </c>
      <c r="AJ110" s="109" t="n">
        <f aca="false">AI113+AJ63</f>
        <v>353065.297400715</v>
      </c>
      <c r="AK110" s="109" t="n">
        <f aca="false">AJ113+AK63</f>
        <v>385890.965633297</v>
      </c>
      <c r="AL110" s="109" t="n">
        <f aca="false">AK113+AL63</f>
        <v>420065.637661024</v>
      </c>
      <c r="AM110" s="109" t="n">
        <f aca="false">AL113+AM63</f>
        <v>447871.484300415</v>
      </c>
      <c r="AN110" s="109" t="n">
        <f aca="false">AM113+AN63</f>
        <v>476867.628406109</v>
      </c>
      <c r="AO110" s="109" t="n">
        <f aca="false">AN113+AO63</f>
        <v>507054.069978109</v>
      </c>
      <c r="AP110" s="109" t="n">
        <f aca="false">AO113+AP63</f>
        <v>538430.809016412</v>
      </c>
      <c r="AQ110" s="109" t="n">
        <f aca="false">AP113+AQ63</f>
        <v>570997.84552102</v>
      </c>
      <c r="AR110" s="109" t="n">
        <f aca="false">AQ113+AR63</f>
        <v>604755.179491933</v>
      </c>
      <c r="AS110" s="109" t="n">
        <f aca="false">AR113+AS63</f>
        <v>638516.680129512</v>
      </c>
      <c r="AT110" s="109" t="n">
        <f aca="false">AS113+AT63</f>
        <v>672282.347433757</v>
      </c>
      <c r="AU110" s="109" t="n">
        <f aca="false">AT113+AU63</f>
        <v>706052.181404669</v>
      </c>
      <c r="AV110" s="109" t="n">
        <f aca="false">AU113+AV63</f>
        <v>739826.182042248</v>
      </c>
      <c r="AW110" s="109" t="n">
        <f aca="false">AV113+AW63</f>
        <v>773604.349346494</v>
      </c>
      <c r="AX110" s="109" t="n">
        <f aca="false">AW113+AX63</f>
        <v>807386.683317406</v>
      </c>
      <c r="AY110" s="109" t="n">
        <f aca="false">AX113+AY63</f>
        <v>839374.390904716</v>
      </c>
      <c r="AZ110" s="109" t="n">
        <f aca="false">AY113+AZ63</f>
        <v>871366.265158692</v>
      </c>
      <c r="BA110" s="109" t="n">
        <f aca="false">AZ113+BA63</f>
        <v>903362.306079334</v>
      </c>
      <c r="BB110" s="109" t="n">
        <f aca="false">BA113+BB63</f>
        <v>935362.513666644</v>
      </c>
      <c r="BC110" s="109" t="n">
        <f aca="false">BB113+BC63</f>
        <v>967366.88792062</v>
      </c>
      <c r="BD110" s="109" t="n">
        <f aca="false">BC113+BD63</f>
        <v>999375.428841262</v>
      </c>
      <c r="BE110" s="109" t="n">
        <f aca="false">BD113+BE63</f>
        <v>1031388.13642857</v>
      </c>
      <c r="BF110" s="109" t="n">
        <f aca="false">BE113+BF63</f>
        <v>1063405.01068255</v>
      </c>
      <c r="BG110" s="109" t="n">
        <f aca="false">BF113+BG63</f>
        <v>1095426.05160319</v>
      </c>
      <c r="BH110" s="109" t="n">
        <f aca="false">BG113+BH63</f>
        <v>1127451.2591905</v>
      </c>
      <c r="BI110" s="109" t="n">
        <f aca="false">BH113+BI63</f>
        <v>1159480.63344448</v>
      </c>
      <c r="BJ110" s="109" t="n">
        <f aca="false">BI113+BJ63</f>
        <v>1191514.17436512</v>
      </c>
      <c r="BK110" s="109" t="n">
        <f aca="false">BJ113+BK63</f>
        <v>1221742.78411065</v>
      </c>
      <c r="BL110" s="109" t="n">
        <f aca="false">BK113+BL63</f>
        <v>1251975.56052285</v>
      </c>
      <c r="BM110" s="109" t="n">
        <f aca="false">BL113+BM63</f>
        <v>1282212.50360171</v>
      </c>
      <c r="BN110" s="109" t="n">
        <f aca="false">BM113+BN63</f>
        <v>1312453.61334724</v>
      </c>
      <c r="BO110" s="109" t="n">
        <f aca="false">BN113+BO63</f>
        <v>1342698.88975944</v>
      </c>
      <c r="BP110" s="109" t="n">
        <f aca="false">BO113+BP63</f>
        <v>1372948.33283831</v>
      </c>
      <c r="BQ110" s="109" t="n">
        <f aca="false">BP113+BQ63</f>
        <v>1403201.94258384</v>
      </c>
      <c r="BR110" s="109" t="n">
        <f aca="false">BQ113+BR63</f>
        <v>1433459.71899604</v>
      </c>
      <c r="BS110" s="109" t="n">
        <f aca="false">BR113+BS63</f>
        <v>1463721.6620749</v>
      </c>
      <c r="BT110" s="109" t="n">
        <f aca="false">BS113+BT63</f>
        <v>1493987.77182043</v>
      </c>
      <c r="BU110" s="109" t="n">
        <f aca="false">BT113+BU63</f>
        <v>1524258.04823263</v>
      </c>
      <c r="BV110" s="109" t="n">
        <f aca="false">BU113+BV63</f>
        <v>1554532.4913115</v>
      </c>
      <c r="BW110" s="109" t="n">
        <f aca="false">BV113+BW63</f>
        <v>1582991.38928</v>
      </c>
      <c r="BX110" s="109" t="n">
        <f aca="false">BW113+BX63</f>
        <v>1611454.45391517</v>
      </c>
      <c r="BY110" s="109" t="n">
        <f aca="false">BX113+BY63</f>
        <v>1639921.685217</v>
      </c>
      <c r="BZ110" s="109" t="n">
        <f aca="false">BY113+BZ63</f>
        <v>1668393.0831855</v>
      </c>
      <c r="CA110" s="109" t="n">
        <f aca="false">BZ113+CA63</f>
        <v>1696868.64782067</v>
      </c>
      <c r="CB110" s="109" t="n">
        <f aca="false">CA113+CB63</f>
        <v>1725348.3791225</v>
      </c>
      <c r="CC110" s="109" t="n">
        <f aca="false">CB113+CC63</f>
        <v>1753832.277091</v>
      </c>
      <c r="CD110" s="109" t="n">
        <f aca="false">CC113+CD63</f>
        <v>1782320.34172617</v>
      </c>
      <c r="CE110" s="109" t="n">
        <f aca="false">CD113+CE63</f>
        <v>1810812.573028</v>
      </c>
      <c r="CF110" s="109" t="n">
        <f aca="false">CE113+CF63</f>
        <v>1839308.9709965</v>
      </c>
      <c r="CG110" s="109" t="n">
        <f aca="false">CF113+CG63</f>
        <v>1867809.53563167</v>
      </c>
      <c r="CH110" s="109" t="n">
        <f aca="false">CG113+CH63</f>
        <v>1896314.26693351</v>
      </c>
    </row>
    <row r="111" customFormat="false" ht="13.5" hidden="false" customHeight="true" outlineLevel="0" collapsed="false">
      <c r="A111" s="6" t="s">
        <v>608</v>
      </c>
      <c r="C111" s="109" t="n">
        <f aca="false">MIN(0.2*Hipótesis!$D$81,MAX(0,C110)*0.1)</f>
        <v>0</v>
      </c>
      <c r="D111" s="109" t="n">
        <f aca="false">MIN(0.2*Hipótesis!$D$81,MAX(0,D110)*0.1)</f>
        <v>0</v>
      </c>
      <c r="E111" s="109" t="n">
        <f aca="false">MIN(0.2*Hipótesis!$D$81,MAX(0,E110)*0.1)</f>
        <v>0</v>
      </c>
      <c r="F111" s="109" t="n">
        <f aca="false">MIN(0.2*Hipótesis!$D$81,MAX(0,F110)*0.1)</f>
        <v>0</v>
      </c>
      <c r="G111" s="109" t="n">
        <f aca="false">MIN(0.2*Hipótesis!$D$81,MAX(0,G110)*0.1)</f>
        <v>0</v>
      </c>
      <c r="H111" s="109" t="n">
        <f aca="false">MIN(0.2*Hipótesis!$D$81,MAX(0,H110)*0.1)</f>
        <v>0</v>
      </c>
      <c r="I111" s="109" t="n">
        <f aca="false">MIN(0.2*Hipótesis!$D$81,MAX(0,I110)*0.1)</f>
        <v>0</v>
      </c>
      <c r="J111" s="109" t="n">
        <f aca="false">MIN(0.2*Hipótesis!$D$81,MAX(0,J110)*0.1)</f>
        <v>0</v>
      </c>
      <c r="K111" s="109" t="n">
        <f aca="false">MIN(0.2*Hipótesis!$D$81,MAX(0,K110)*0.1)</f>
        <v>0</v>
      </c>
      <c r="L111" s="109" t="n">
        <f aca="false">MIN(0.2*Hipótesis!$D$81,MAX(0,L110)*0.1)</f>
        <v>0</v>
      </c>
      <c r="M111" s="109" t="n">
        <f aca="false">MIN(0.2*Hipótesis!$D$81,MAX(0,M110)*0.1)</f>
        <v>0</v>
      </c>
      <c r="N111" s="109" t="n">
        <f aca="false">MIN(0.2*Hipótesis!$D$81,MAX(0,N110)*0.1)</f>
        <v>0</v>
      </c>
      <c r="O111" s="109" t="n">
        <f aca="false">MIN(0.2*Hipótesis!$D$81,MAX(0,O110)*0.1)</f>
        <v>0</v>
      </c>
      <c r="P111" s="109" t="n">
        <f aca="false">MIN(0.2*Hipótesis!$D$81,MAX(0,P110)*0.1)</f>
        <v>0</v>
      </c>
      <c r="Q111" s="109" t="n">
        <f aca="false">MIN(0.2*Hipótesis!$D$81,MAX(0,Q110)*0.1)</f>
        <v>0</v>
      </c>
      <c r="R111" s="109" t="n">
        <f aca="false">MIN(0.2*Hipótesis!$D$81,MAX(0,R110)*0.1)</f>
        <v>0</v>
      </c>
      <c r="S111" s="109" t="n">
        <f aca="false">MIN(0.2*Hipótesis!$D$81,MAX(0,S110)*0.1)</f>
        <v>0</v>
      </c>
      <c r="T111" s="109" t="n">
        <f aca="false">MIN(0.2*Hipótesis!$D$81,MAX(0,T110)*0.1)</f>
        <v>0</v>
      </c>
      <c r="U111" s="109" t="n">
        <f aca="false">MIN(0.2*Hipótesis!$D$81,MAX(0,U110)*0.1)</f>
        <v>317.439839747998</v>
      </c>
      <c r="V111" s="109" t="n">
        <f aca="false">MIN(0.2*Hipótesis!$D$81,MAX(0,V110)*0.1)</f>
        <v>1830.15116707586</v>
      </c>
      <c r="W111" s="109" t="n">
        <f aca="false">MIN(0.2*Hipótesis!$D$81,MAX(0,W110)*0.1)</f>
        <v>3566.66024628677</v>
      </c>
      <c r="X111" s="109" t="n">
        <f aca="false">MIN(0.2*Hipótesis!$D$81,MAX(0,X110)*0.1)</f>
        <v>5461.4608844766</v>
      </c>
      <c r="Y111" s="109" t="n">
        <f aca="false">MIN(0.2*Hipótesis!$D$81,MAX(0,Y110)*0.1)</f>
        <v>7514.55308164536</v>
      </c>
      <c r="Z111" s="109" t="n">
        <f aca="false">MIN(0.2*Hipótesis!$D$81,MAX(0,Z110)*0.1)</f>
        <v>9702.07343610638</v>
      </c>
      <c r="AA111" s="109" t="n">
        <f aca="false">MIN(0.2*Hipótesis!$D$81,MAX(0,AA110)*0.1)</f>
        <v>11833.9454088997</v>
      </c>
      <c r="AB111" s="109" t="n">
        <f aca="false">MIN(0.2*Hipótesis!$D$81,MAX(0,AB110)*0.1)</f>
        <v>13902.4088165275</v>
      </c>
      <c r="AC111" s="109" t="n">
        <f aca="false">MIN(0.2*Hipótesis!$D$81,MAX(0,AC110)*0.1)</f>
        <v>16105.7726036697</v>
      </c>
      <c r="AD111" s="109" t="n">
        <f aca="false">MIN(0.2*Hipótesis!$D$81,MAX(0,AD110)*0.1)</f>
        <v>18444.0367703265</v>
      </c>
      <c r="AE111" s="109" t="n">
        <f aca="false">MIN(0.2*Hipótesis!$D$81,MAX(0,AE110)*0.1)</f>
        <v>20006</v>
      </c>
      <c r="AF111" s="109" t="n">
        <f aca="false">MIN(0.2*Hipótesis!$D$81,MAX(0,AF110)*0.1)</f>
        <v>20006</v>
      </c>
      <c r="AG111" s="109" t="n">
        <f aca="false">MIN(0.2*Hipótesis!$D$81,MAX(0,AG110)*0.1)</f>
        <v>20006</v>
      </c>
      <c r="AH111" s="109" t="n">
        <f aca="false">MIN(0.2*Hipótesis!$D$81,MAX(0,AH110)*0.1)</f>
        <v>20006</v>
      </c>
      <c r="AI111" s="109" t="n">
        <f aca="false">MIN(0.2*Hipótesis!$D$81,MAX(0,AI110)*0.1)</f>
        <v>20006</v>
      </c>
      <c r="AJ111" s="109" t="n">
        <f aca="false">MIN(0.2*Hipótesis!$D$81,MAX(0,AJ110)*0.1)</f>
        <v>20006</v>
      </c>
      <c r="AK111" s="109" t="n">
        <f aca="false">MIN(0.2*Hipótesis!$D$81,MAX(0,AK110)*0.1)</f>
        <v>20006</v>
      </c>
      <c r="AL111" s="109" t="n">
        <f aca="false">MIN(0.2*Hipótesis!$D$81,MAX(0,AL110)*0.1)</f>
        <v>20006</v>
      </c>
      <c r="AM111" s="109" t="n">
        <f aca="false">MIN(0.2*Hipótesis!$D$81,MAX(0,AM110)*0.1)</f>
        <v>20006</v>
      </c>
      <c r="AN111" s="109" t="n">
        <f aca="false">MIN(0.2*Hipótesis!$D$81,MAX(0,AN110)*0.1)</f>
        <v>20006</v>
      </c>
      <c r="AO111" s="109" t="n">
        <f aca="false">MIN(0.2*Hipótesis!$D$81,MAX(0,AO110)*0.1)</f>
        <v>20006</v>
      </c>
      <c r="AP111" s="109" t="n">
        <f aca="false">MIN(0.2*Hipótesis!$D$81,MAX(0,AP110)*0.1)</f>
        <v>20006</v>
      </c>
      <c r="AQ111" s="109" t="n">
        <f aca="false">MIN(0.2*Hipótesis!$D$81,MAX(0,AQ110)*0.1)</f>
        <v>20006</v>
      </c>
      <c r="AR111" s="109" t="n">
        <f aca="false">MIN(0.2*Hipótesis!$D$81,MAX(0,AR110)*0.1)</f>
        <v>20006</v>
      </c>
      <c r="AS111" s="109" t="n">
        <f aca="false">MIN(0.2*Hipótesis!$D$81,MAX(0,AS110)*0.1)</f>
        <v>20006</v>
      </c>
      <c r="AT111" s="109" t="n">
        <f aca="false">MIN(0.2*Hipótesis!$D$81,MAX(0,AT110)*0.1)</f>
        <v>20006</v>
      </c>
      <c r="AU111" s="109" t="n">
        <f aca="false">MIN(0.2*Hipótesis!$D$81,MAX(0,AU110)*0.1)</f>
        <v>20006</v>
      </c>
      <c r="AV111" s="109" t="n">
        <f aca="false">MIN(0.2*Hipótesis!$D$81,MAX(0,AV110)*0.1)</f>
        <v>20006</v>
      </c>
      <c r="AW111" s="109" t="n">
        <f aca="false">MIN(0.2*Hipótesis!$D$81,MAX(0,AW110)*0.1)</f>
        <v>20006</v>
      </c>
      <c r="AX111" s="109" t="n">
        <f aca="false">MIN(0.2*Hipótesis!$D$81,MAX(0,AX110)*0.1)</f>
        <v>20006</v>
      </c>
      <c r="AY111" s="109" t="n">
        <f aca="false">MIN(0.2*Hipótesis!$D$81,MAX(0,AY110)*0.1)</f>
        <v>20006</v>
      </c>
      <c r="AZ111" s="109" t="n">
        <f aca="false">MIN(0.2*Hipótesis!$D$81,MAX(0,AZ110)*0.1)</f>
        <v>20006</v>
      </c>
      <c r="BA111" s="109" t="n">
        <f aca="false">MIN(0.2*Hipótesis!$D$81,MAX(0,BA110)*0.1)</f>
        <v>20006</v>
      </c>
      <c r="BB111" s="109" t="n">
        <f aca="false">MIN(0.2*Hipótesis!$D$81,MAX(0,BB110)*0.1)</f>
        <v>20006</v>
      </c>
      <c r="BC111" s="109" t="n">
        <f aca="false">MIN(0.2*Hipótesis!$D$81,MAX(0,BC110)*0.1)</f>
        <v>20006</v>
      </c>
      <c r="BD111" s="109" t="n">
        <f aca="false">MIN(0.2*Hipótesis!$D$81,MAX(0,BD110)*0.1)</f>
        <v>20006</v>
      </c>
      <c r="BE111" s="109" t="n">
        <f aca="false">MIN(0.2*Hipótesis!$D$81,MAX(0,BE110)*0.1)</f>
        <v>20006</v>
      </c>
      <c r="BF111" s="109" t="n">
        <f aca="false">MIN(0.2*Hipótesis!$D$81,MAX(0,BF110)*0.1)</f>
        <v>20006</v>
      </c>
      <c r="BG111" s="109" t="n">
        <f aca="false">MIN(0.2*Hipótesis!$D$81,MAX(0,BG110)*0.1)</f>
        <v>20006</v>
      </c>
      <c r="BH111" s="109" t="n">
        <f aca="false">MIN(0.2*Hipótesis!$D$81,MAX(0,BH110)*0.1)</f>
        <v>20006</v>
      </c>
      <c r="BI111" s="109" t="n">
        <f aca="false">MIN(0.2*Hipótesis!$D$81,MAX(0,BI110)*0.1)</f>
        <v>20006</v>
      </c>
      <c r="BJ111" s="109" t="n">
        <f aca="false">MIN(0.2*Hipótesis!$D$81,MAX(0,BJ110)*0.1)</f>
        <v>20006</v>
      </c>
      <c r="BK111" s="109" t="n">
        <f aca="false">MIN(0.2*Hipótesis!$D$81,MAX(0,BK110)*0.1)</f>
        <v>20006</v>
      </c>
      <c r="BL111" s="109" t="n">
        <f aca="false">MIN(0.2*Hipótesis!$D$81,MAX(0,BL110)*0.1)</f>
        <v>20006</v>
      </c>
      <c r="BM111" s="109" t="n">
        <f aca="false">MIN(0.2*Hipótesis!$D$81,MAX(0,BM110)*0.1)</f>
        <v>20006</v>
      </c>
      <c r="BN111" s="109" t="n">
        <f aca="false">MIN(0.2*Hipótesis!$D$81,MAX(0,BN110)*0.1)</f>
        <v>20006</v>
      </c>
      <c r="BO111" s="109" t="n">
        <f aca="false">MIN(0.2*Hipótesis!$D$81,MAX(0,BO110)*0.1)</f>
        <v>20006</v>
      </c>
      <c r="BP111" s="109" t="n">
        <f aca="false">MIN(0.2*Hipótesis!$D$81,MAX(0,BP110)*0.1)</f>
        <v>20006</v>
      </c>
      <c r="BQ111" s="109" t="n">
        <f aca="false">MIN(0.2*Hipótesis!$D$81,MAX(0,BQ110)*0.1)</f>
        <v>20006</v>
      </c>
      <c r="BR111" s="109" t="n">
        <f aca="false">MIN(0.2*Hipótesis!$D$81,MAX(0,BR110)*0.1)</f>
        <v>20006</v>
      </c>
      <c r="BS111" s="109" t="n">
        <f aca="false">MIN(0.2*Hipótesis!$D$81,MAX(0,BS110)*0.1)</f>
        <v>20006</v>
      </c>
      <c r="BT111" s="109" t="n">
        <f aca="false">MIN(0.2*Hipótesis!$D$81,MAX(0,BT110)*0.1)</f>
        <v>20006</v>
      </c>
      <c r="BU111" s="109" t="n">
        <f aca="false">MIN(0.2*Hipótesis!$D$81,MAX(0,BU110)*0.1)</f>
        <v>20006</v>
      </c>
      <c r="BV111" s="109" t="n">
        <f aca="false">MIN(0.2*Hipótesis!$D$81,MAX(0,BV110)*0.1)</f>
        <v>20006</v>
      </c>
      <c r="BW111" s="109" t="n">
        <f aca="false">MIN(0.2*Hipótesis!$D$81,MAX(0,BW110)*0.1)</f>
        <v>20006</v>
      </c>
      <c r="BX111" s="109" t="n">
        <f aca="false">MIN(0.2*Hipótesis!$D$81,MAX(0,BX110)*0.1)</f>
        <v>20006</v>
      </c>
      <c r="BY111" s="109" t="n">
        <f aca="false">MIN(0.2*Hipótesis!$D$81,MAX(0,BY110)*0.1)</f>
        <v>20006</v>
      </c>
      <c r="BZ111" s="109" t="n">
        <f aca="false">MIN(0.2*Hipótesis!$D$81,MAX(0,BZ110)*0.1)</f>
        <v>20006</v>
      </c>
      <c r="CA111" s="109" t="n">
        <f aca="false">MIN(0.2*Hipótesis!$D$81,MAX(0,CA110)*0.1)</f>
        <v>20006</v>
      </c>
      <c r="CB111" s="109" t="n">
        <f aca="false">MIN(0.2*Hipótesis!$D$81,MAX(0,CB110)*0.1)</f>
        <v>20006</v>
      </c>
      <c r="CC111" s="109" t="n">
        <f aca="false">MIN(0.2*Hipótesis!$D$81,MAX(0,CC110)*0.1)</f>
        <v>20006</v>
      </c>
      <c r="CD111" s="109" t="n">
        <f aca="false">MIN(0.2*Hipótesis!$D$81,MAX(0,CD110)*0.1)</f>
        <v>20006</v>
      </c>
      <c r="CE111" s="109" t="n">
        <f aca="false">MIN(0.2*Hipótesis!$D$81,MAX(0,CE110)*0.1)</f>
        <v>20006</v>
      </c>
      <c r="CF111" s="109" t="n">
        <f aca="false">MIN(0.2*Hipótesis!$D$81,MAX(0,CF110)*0.1)</f>
        <v>20006</v>
      </c>
      <c r="CG111" s="109" t="n">
        <f aca="false">MIN(0.2*Hipótesis!$D$81,MAX(0,CG110)*0.1)</f>
        <v>20006</v>
      </c>
      <c r="CH111" s="109" t="n">
        <f aca="false">MIN(0.2*Hipótesis!$D$81,MAX(0,CH110)*0.1)</f>
        <v>20006</v>
      </c>
    </row>
    <row r="112" customFormat="false" ht="13.5" hidden="false" customHeight="true" outlineLevel="0" collapsed="false">
      <c r="A112" s="22" t="s">
        <v>609</v>
      </c>
      <c r="C112" s="109" t="n">
        <f aca="false">MAX(0,C110-C111)</f>
        <v>0</v>
      </c>
      <c r="D112" s="109" t="n">
        <f aca="false">MAX(0,D110-D111)</f>
        <v>0</v>
      </c>
      <c r="E112" s="109" t="n">
        <f aca="false">MAX(0,E110-E111)</f>
        <v>0</v>
      </c>
      <c r="F112" s="109" t="n">
        <f aca="false">MAX(0,F110-F111)</f>
        <v>0</v>
      </c>
      <c r="G112" s="109" t="n">
        <f aca="false">MAX(0,G110-G111)</f>
        <v>0</v>
      </c>
      <c r="H112" s="109" t="n">
        <f aca="false">MAX(0,H110-H111)</f>
        <v>0</v>
      </c>
      <c r="I112" s="109" t="n">
        <f aca="false">MAX(0,I110-I111)</f>
        <v>0</v>
      </c>
      <c r="J112" s="109" t="n">
        <f aca="false">MAX(0,J110-J111)</f>
        <v>0</v>
      </c>
      <c r="K112" s="109" t="n">
        <f aca="false">MAX(0,K110-K111)</f>
        <v>0</v>
      </c>
      <c r="L112" s="109" t="n">
        <f aca="false">MAX(0,L110-L111)</f>
        <v>0</v>
      </c>
      <c r="M112" s="109" t="n">
        <f aca="false">MAX(0,M110-M111)</f>
        <v>0</v>
      </c>
      <c r="N112" s="109" t="n">
        <f aca="false">MAX(0,N110-N111)</f>
        <v>0</v>
      </c>
      <c r="O112" s="109" t="n">
        <f aca="false">MAX(0,O110-O111)</f>
        <v>0</v>
      </c>
      <c r="P112" s="109" t="n">
        <f aca="false">MAX(0,P110-P111)</f>
        <v>0</v>
      </c>
      <c r="Q112" s="109" t="n">
        <f aca="false">MAX(0,Q110-Q111)</f>
        <v>0</v>
      </c>
      <c r="R112" s="109" t="n">
        <f aca="false">MAX(0,R110-R111)</f>
        <v>0</v>
      </c>
      <c r="S112" s="109" t="n">
        <f aca="false">MAX(0,S110-S111)</f>
        <v>0</v>
      </c>
      <c r="T112" s="109" t="n">
        <f aca="false">MAX(0,T110-T111)</f>
        <v>0</v>
      </c>
      <c r="U112" s="109" t="n">
        <f aca="false">MAX(0,U110-U111)</f>
        <v>2856.95855773198</v>
      </c>
      <c r="V112" s="109" t="n">
        <f aca="false">MAX(0,V110-V111)</f>
        <v>16471.3605036827</v>
      </c>
      <c r="W112" s="109" t="n">
        <f aca="false">MAX(0,W110-W111)</f>
        <v>32099.9422165809</v>
      </c>
      <c r="X112" s="109" t="n">
        <f aca="false">MAX(0,X110-X111)</f>
        <v>49153.1479602894</v>
      </c>
      <c r="Y112" s="109" t="n">
        <f aca="false">MAX(0,Y110-Y111)</f>
        <v>67630.9777348082</v>
      </c>
      <c r="Z112" s="109" t="n">
        <f aca="false">MAX(0,Z110-Z111)</f>
        <v>87318.6609249575</v>
      </c>
      <c r="AA112" s="109" t="n">
        <f aca="false">MAX(0,AA110-AA111)</f>
        <v>106505.508680097</v>
      </c>
      <c r="AB112" s="109" t="n">
        <f aca="false">MAX(0,AB110-AB111)</f>
        <v>125121.679348747</v>
      </c>
      <c r="AC112" s="109" t="n">
        <f aca="false">MAX(0,AC110-AC111)</f>
        <v>144951.953433028</v>
      </c>
      <c r="AD112" s="109" t="n">
        <f aca="false">MAX(0,AD110-AD111)</f>
        <v>165996.330932939</v>
      </c>
      <c r="AE112" s="109" t="n">
        <f aca="false">MAX(0,AE110-AE111)</f>
        <v>189166.013164978</v>
      </c>
      <c r="AF112" s="109" t="n">
        <f aca="false">MAX(0,AF110-AF111)</f>
        <v>215246.662421835</v>
      </c>
      <c r="AG112" s="109" t="n">
        <f aca="false">MAX(0,AG110-AG111)</f>
        <v>242676.315473838</v>
      </c>
      <c r="AH112" s="109" t="n">
        <f aca="false">MAX(0,AH110-AH111)</f>
        <v>271454.972320985</v>
      </c>
      <c r="AI112" s="109" t="n">
        <f aca="false">MAX(0,AI110-AI111)</f>
        <v>301582.632963278</v>
      </c>
      <c r="AJ112" s="109" t="n">
        <f aca="false">MAX(0,AJ110-AJ111)</f>
        <v>333059.297400715</v>
      </c>
      <c r="AK112" s="109" t="n">
        <f aca="false">MAX(0,AK110-AK111)</f>
        <v>365884.965633297</v>
      </c>
      <c r="AL112" s="109" t="n">
        <f aca="false">MAX(0,AL110-AL111)</f>
        <v>400059.637661024</v>
      </c>
      <c r="AM112" s="109" t="n">
        <f aca="false">MAX(0,AM110-AM111)</f>
        <v>427865.484300415</v>
      </c>
      <c r="AN112" s="109" t="n">
        <f aca="false">MAX(0,AN110-AN111)</f>
        <v>456861.628406109</v>
      </c>
      <c r="AO112" s="109" t="n">
        <f aca="false">MAX(0,AO110-AO111)</f>
        <v>487048.069978109</v>
      </c>
      <c r="AP112" s="109" t="n">
        <f aca="false">MAX(0,AP110-AP111)</f>
        <v>518424.809016412</v>
      </c>
      <c r="AQ112" s="109" t="n">
        <f aca="false">MAX(0,AQ110-AQ111)</f>
        <v>550991.84552102</v>
      </c>
      <c r="AR112" s="109" t="n">
        <f aca="false">MAX(0,AR110-AR111)</f>
        <v>584749.179491933</v>
      </c>
      <c r="AS112" s="109" t="n">
        <f aca="false">MAX(0,AS110-AS111)</f>
        <v>618510.680129512</v>
      </c>
      <c r="AT112" s="109" t="n">
        <f aca="false">MAX(0,AT110-AT111)</f>
        <v>652276.347433757</v>
      </c>
      <c r="AU112" s="109" t="n">
        <f aca="false">MAX(0,AU110-AU111)</f>
        <v>686046.181404669</v>
      </c>
      <c r="AV112" s="109" t="n">
        <f aca="false">MAX(0,AV110-AV111)</f>
        <v>719820.182042248</v>
      </c>
      <c r="AW112" s="109" t="n">
        <f aca="false">MAX(0,AW110-AW111)</f>
        <v>753598.349346494</v>
      </c>
      <c r="AX112" s="109" t="n">
        <f aca="false">MAX(0,AX110-AX111)</f>
        <v>787380.683317406</v>
      </c>
      <c r="AY112" s="109" t="n">
        <f aca="false">MAX(0,AY110-AY111)</f>
        <v>819368.390904716</v>
      </c>
      <c r="AZ112" s="109" t="n">
        <f aca="false">MAX(0,AZ110-AZ111)</f>
        <v>851360.265158692</v>
      </c>
      <c r="BA112" s="109" t="n">
        <f aca="false">MAX(0,BA110-BA111)</f>
        <v>883356.306079334</v>
      </c>
      <c r="BB112" s="109" t="n">
        <f aca="false">MAX(0,BB110-BB111)</f>
        <v>915356.513666644</v>
      </c>
      <c r="BC112" s="109" t="n">
        <f aca="false">MAX(0,BC110-BC111)</f>
        <v>947360.88792062</v>
      </c>
      <c r="BD112" s="109" t="n">
        <f aca="false">MAX(0,BD110-BD111)</f>
        <v>979369.428841262</v>
      </c>
      <c r="BE112" s="109" t="n">
        <f aca="false">MAX(0,BE110-BE111)</f>
        <v>1011382.13642857</v>
      </c>
      <c r="BF112" s="109" t="n">
        <f aca="false">MAX(0,BF110-BF111)</f>
        <v>1043399.01068255</v>
      </c>
      <c r="BG112" s="109" t="n">
        <f aca="false">MAX(0,BG110-BG111)</f>
        <v>1075420.05160319</v>
      </c>
      <c r="BH112" s="109" t="n">
        <f aca="false">MAX(0,BH110-BH111)</f>
        <v>1107445.2591905</v>
      </c>
      <c r="BI112" s="109" t="n">
        <f aca="false">MAX(0,BI110-BI111)</f>
        <v>1139474.63344448</v>
      </c>
      <c r="BJ112" s="109" t="n">
        <f aca="false">MAX(0,BJ110-BJ111)</f>
        <v>1171508.17436512</v>
      </c>
      <c r="BK112" s="109" t="n">
        <f aca="false">MAX(0,BK110-BK111)</f>
        <v>1201736.78411065</v>
      </c>
      <c r="BL112" s="109" t="n">
        <f aca="false">MAX(0,BL110-BL111)</f>
        <v>1231969.56052285</v>
      </c>
      <c r="BM112" s="109" t="n">
        <f aca="false">MAX(0,BM110-BM111)</f>
        <v>1262206.50360171</v>
      </c>
      <c r="BN112" s="109" t="n">
        <f aca="false">MAX(0,BN110-BN111)</f>
        <v>1292447.61334724</v>
      </c>
      <c r="BO112" s="109" t="n">
        <f aca="false">MAX(0,BO110-BO111)</f>
        <v>1322692.88975944</v>
      </c>
      <c r="BP112" s="109" t="n">
        <f aca="false">MAX(0,BP110-BP111)</f>
        <v>1352942.33283831</v>
      </c>
      <c r="BQ112" s="109" t="n">
        <f aca="false">MAX(0,BQ110-BQ111)</f>
        <v>1383195.94258384</v>
      </c>
      <c r="BR112" s="109" t="n">
        <f aca="false">MAX(0,BR110-BR111)</f>
        <v>1413453.71899604</v>
      </c>
      <c r="BS112" s="109" t="n">
        <f aca="false">MAX(0,BS110-BS111)</f>
        <v>1443715.6620749</v>
      </c>
      <c r="BT112" s="109" t="n">
        <f aca="false">MAX(0,BT110-BT111)</f>
        <v>1473981.77182043</v>
      </c>
      <c r="BU112" s="109" t="n">
        <f aca="false">MAX(0,BU110-BU111)</f>
        <v>1504252.04823263</v>
      </c>
      <c r="BV112" s="109" t="n">
        <f aca="false">MAX(0,BV110-BV111)</f>
        <v>1534526.4913115</v>
      </c>
      <c r="BW112" s="109" t="n">
        <f aca="false">MAX(0,BW110-BW111)</f>
        <v>1562985.38928</v>
      </c>
      <c r="BX112" s="109" t="n">
        <f aca="false">MAX(0,BX110-BX111)</f>
        <v>1591448.45391517</v>
      </c>
      <c r="BY112" s="109" t="n">
        <f aca="false">MAX(0,BY110-BY111)</f>
        <v>1619915.685217</v>
      </c>
      <c r="BZ112" s="109" t="n">
        <f aca="false">MAX(0,BZ110-BZ111)</f>
        <v>1648387.0831855</v>
      </c>
      <c r="CA112" s="109" t="n">
        <f aca="false">MAX(0,CA110-CA111)</f>
        <v>1676862.64782067</v>
      </c>
      <c r="CB112" s="109" t="n">
        <f aca="false">MAX(0,CB110-CB111)</f>
        <v>1705342.3791225</v>
      </c>
      <c r="CC112" s="109" t="n">
        <f aca="false">MAX(0,CC110-CC111)</f>
        <v>1733826.277091</v>
      </c>
      <c r="CD112" s="109" t="n">
        <f aca="false">MAX(0,CD110-CD111)</f>
        <v>1762314.34172617</v>
      </c>
      <c r="CE112" s="109" t="n">
        <f aca="false">MAX(0,CE110-CE111)</f>
        <v>1790806.573028</v>
      </c>
      <c r="CF112" s="109" t="n">
        <f aca="false">MAX(0,CF110-CF111)</f>
        <v>1819302.9709965</v>
      </c>
      <c r="CG112" s="109" t="n">
        <f aca="false">MAX(0,CG110-CG111)</f>
        <v>1847803.53563167</v>
      </c>
      <c r="CH112" s="109" t="n">
        <f aca="false">MAX(0,CH110-CH111)</f>
        <v>1876308.26693351</v>
      </c>
    </row>
    <row r="113" customFormat="false" ht="13.5" hidden="false" customHeight="true" outlineLevel="0" collapsed="false">
      <c r="A113" s="6" t="s">
        <v>610</v>
      </c>
      <c r="C113" s="109" t="n">
        <f aca="false">C110+C84</f>
        <v>-16195.1077466394</v>
      </c>
      <c r="D113" s="109" t="n">
        <f aca="false">D110+D84</f>
        <v>-31357.0971421672</v>
      </c>
      <c r="E113" s="109" t="n">
        <f aca="false">E110+E84</f>
        <v>-44431.6871777188</v>
      </c>
      <c r="F113" s="109" t="n">
        <f aca="false">F110+F84</f>
        <v>-56383.7462971309</v>
      </c>
      <c r="G113" s="109" t="n">
        <f aca="false">G110+G84</f>
        <v>-67281.5244076784</v>
      </c>
      <c r="H113" s="109" t="n">
        <f aca="false">H110+H84</f>
        <v>-76536.0570999617</v>
      </c>
      <c r="I113" s="109" t="n">
        <f aca="false">I110+I84</f>
        <v>-82533.410379297</v>
      </c>
      <c r="J113" s="109" t="n">
        <f aca="false">J110+J84</f>
        <v>-85273.5842456843</v>
      </c>
      <c r="K113" s="109" t="n">
        <f aca="false">K110+K84</f>
        <v>-84869.9201130425</v>
      </c>
      <c r="L113" s="109" t="n">
        <f aca="false">L110+L84</f>
        <v>-81765.0538747032</v>
      </c>
      <c r="M113" s="109" t="n">
        <f aca="false">M110+M84</f>
        <v>-76825.7832324783</v>
      </c>
      <c r="N113" s="109" t="n">
        <f aca="false">N110+N84</f>
        <v>-69384.9861082167</v>
      </c>
      <c r="O113" s="109" t="n">
        <f aca="false">O110+O84</f>
        <v>-63807.9627467515</v>
      </c>
      <c r="P113" s="109" t="n">
        <f aca="false">P110+P84</f>
        <v>-57918.2914264558</v>
      </c>
      <c r="Q113" s="109" t="n">
        <f aca="false">Q110+Q84</f>
        <v>-49790.6425873296</v>
      </c>
      <c r="R113" s="109" t="n">
        <f aca="false">R110+R84</f>
        <v>-39425.016229373</v>
      </c>
      <c r="S113" s="109" t="n">
        <f aca="false">S110+S84</f>
        <v>-26821.4123525858</v>
      </c>
      <c r="T113" s="109" t="n">
        <f aca="false">T110+T84</f>
        <v>-11979.8309569682</v>
      </c>
      <c r="U113" s="109" t="n">
        <f aca="false">U110+U84</f>
        <v>3174.39839747998</v>
      </c>
      <c r="V113" s="109" t="n">
        <f aca="false">V110+V84</f>
        <v>18301.5116707586</v>
      </c>
      <c r="W113" s="109" t="n">
        <f aca="false">W110+W84</f>
        <v>35666.6024628677</v>
      </c>
      <c r="X113" s="109" t="n">
        <f aca="false">X110+X84</f>
        <v>54614.608844766</v>
      </c>
      <c r="Y113" s="109" t="n">
        <f aca="false">Y110+Y84</f>
        <v>75145.5308164536</v>
      </c>
      <c r="Z113" s="109" t="n">
        <f aca="false">Z110+Z84</f>
        <v>97020.7343610638</v>
      </c>
      <c r="AA113" s="109" t="n">
        <f aca="false">AA110+AA84</f>
        <v>118339.454088997</v>
      </c>
      <c r="AB113" s="109" t="n">
        <f aca="false">AB110+AB84</f>
        <v>139024.088165275</v>
      </c>
      <c r="AC113" s="109" t="n">
        <f aca="false">AC110+AC84</f>
        <v>161057.726036697</v>
      </c>
      <c r="AD113" s="109" t="n">
        <f aca="false">AD110+AD84</f>
        <v>184440.367703265</v>
      </c>
      <c r="AE113" s="109" t="n">
        <f aca="false">AE110+AE84</f>
        <v>209172.013164978</v>
      </c>
      <c r="AF113" s="109" t="n">
        <f aca="false">AF110+AF84</f>
        <v>235252.662421835</v>
      </c>
      <c r="AG113" s="109" t="n">
        <f aca="false">AG110+AG84</f>
        <v>262682.315473838</v>
      </c>
      <c r="AH113" s="109" t="n">
        <f aca="false">AH110+AH84</f>
        <v>291460.972320985</v>
      </c>
      <c r="AI113" s="109" t="n">
        <f aca="false">AI110+AI84</f>
        <v>321588.632963278</v>
      </c>
      <c r="AJ113" s="109" t="n">
        <f aca="false">AJ110+AJ84</f>
        <v>353065.297400715</v>
      </c>
      <c r="AK113" s="109" t="n">
        <f aca="false">AK110+AK84</f>
        <v>385890.965633297</v>
      </c>
      <c r="AL113" s="109" t="n">
        <f aca="false">AL110+AL84</f>
        <v>420065.637661024</v>
      </c>
      <c r="AM113" s="109" t="n">
        <f aca="false">AM110+AM84</f>
        <v>447871.484300415</v>
      </c>
      <c r="AN113" s="109" t="n">
        <f aca="false">AN110+AN84</f>
        <v>476867.628406109</v>
      </c>
      <c r="AO113" s="109" t="n">
        <f aca="false">AO110+AO84</f>
        <v>507054.069978109</v>
      </c>
      <c r="AP113" s="109" t="n">
        <f aca="false">AP110+AP84</f>
        <v>538430.809016412</v>
      </c>
      <c r="AQ113" s="109" t="n">
        <f aca="false">AQ110+AQ84</f>
        <v>570997.84552102</v>
      </c>
      <c r="AR113" s="109" t="n">
        <f aca="false">AR110+AR84</f>
        <v>604755.179491933</v>
      </c>
      <c r="AS113" s="109" t="n">
        <f aca="false">AS110+AS84</f>
        <v>638516.680129512</v>
      </c>
      <c r="AT113" s="109" t="n">
        <f aca="false">AT110+AT84</f>
        <v>672282.347433757</v>
      </c>
      <c r="AU113" s="109" t="n">
        <f aca="false">AU110+AU84</f>
        <v>706052.181404669</v>
      </c>
      <c r="AV113" s="109" t="n">
        <f aca="false">AV110+AV84</f>
        <v>739826.182042248</v>
      </c>
      <c r="AW113" s="109" t="n">
        <f aca="false">AW110+AW84</f>
        <v>773604.349346494</v>
      </c>
      <c r="AX113" s="109" t="n">
        <f aca="false">AX110+AX84</f>
        <v>807386.683317406</v>
      </c>
      <c r="AY113" s="109" t="n">
        <f aca="false">AY110+AY84</f>
        <v>839374.390904716</v>
      </c>
      <c r="AZ113" s="109" t="n">
        <f aca="false">AZ110+AZ84</f>
        <v>871366.265158692</v>
      </c>
      <c r="BA113" s="109" t="n">
        <f aca="false">BA110+BA84</f>
        <v>903362.306079334</v>
      </c>
      <c r="BB113" s="109" t="n">
        <f aca="false">BB110+BB84</f>
        <v>935362.513666644</v>
      </c>
      <c r="BC113" s="109" t="n">
        <f aca="false">BC110+BC84</f>
        <v>967366.88792062</v>
      </c>
      <c r="BD113" s="109" t="n">
        <f aca="false">BD110+BD84</f>
        <v>999375.428841262</v>
      </c>
      <c r="BE113" s="109" t="n">
        <f aca="false">BE110+BE84</f>
        <v>1031388.13642857</v>
      </c>
      <c r="BF113" s="109" t="n">
        <f aca="false">BF110+BF84</f>
        <v>1063405.01068255</v>
      </c>
      <c r="BG113" s="109" t="n">
        <f aca="false">BG110+BG84</f>
        <v>1095426.05160319</v>
      </c>
      <c r="BH113" s="109" t="n">
        <f aca="false">BH110+BH84</f>
        <v>1127451.2591905</v>
      </c>
      <c r="BI113" s="109" t="n">
        <f aca="false">BI110+BI84</f>
        <v>1159480.63344448</v>
      </c>
      <c r="BJ113" s="109" t="n">
        <f aca="false">BJ110+BJ84</f>
        <v>1191514.17436512</v>
      </c>
      <c r="BK113" s="109" t="n">
        <f aca="false">BK110+BK84</f>
        <v>1221742.78411065</v>
      </c>
      <c r="BL113" s="109" t="n">
        <f aca="false">BL110+BL84</f>
        <v>1251975.56052285</v>
      </c>
      <c r="BM113" s="109" t="n">
        <f aca="false">BM110+BM84</f>
        <v>1282212.50360171</v>
      </c>
      <c r="BN113" s="109" t="n">
        <f aca="false">BN110+BN84</f>
        <v>1312453.61334724</v>
      </c>
      <c r="BO113" s="109" t="n">
        <f aca="false">BO110+BO84</f>
        <v>1342698.88975944</v>
      </c>
      <c r="BP113" s="109" t="n">
        <f aca="false">BP110+BP84</f>
        <v>1372948.33283831</v>
      </c>
      <c r="BQ113" s="109" t="n">
        <f aca="false">BQ110+BQ84</f>
        <v>1403201.94258384</v>
      </c>
      <c r="BR113" s="109" t="n">
        <f aca="false">BR110+BR84</f>
        <v>1433459.71899604</v>
      </c>
      <c r="BS113" s="109" t="n">
        <f aca="false">BS110+BS84</f>
        <v>1463721.6620749</v>
      </c>
      <c r="BT113" s="109" t="n">
        <f aca="false">BT110+BT84</f>
        <v>1493987.77182043</v>
      </c>
      <c r="BU113" s="109" t="n">
        <f aca="false">BU110+BU84</f>
        <v>1524258.04823263</v>
      </c>
      <c r="BV113" s="109" t="n">
        <f aca="false">BV110+BV84</f>
        <v>1554532.4913115</v>
      </c>
      <c r="BW113" s="109" t="n">
        <f aca="false">BW110+BW84</f>
        <v>1582991.38928</v>
      </c>
      <c r="BX113" s="109" t="n">
        <f aca="false">BX110+BX84</f>
        <v>1611454.45391517</v>
      </c>
      <c r="BY113" s="109" t="n">
        <f aca="false">BY110+BY84</f>
        <v>1639921.685217</v>
      </c>
      <c r="BZ113" s="109" t="n">
        <f aca="false">BZ110+BZ84</f>
        <v>1668393.0831855</v>
      </c>
      <c r="CA113" s="109" t="n">
        <f aca="false">CA110+CA84</f>
        <v>1696868.64782067</v>
      </c>
      <c r="CB113" s="109" t="n">
        <f aca="false">CB110+CB84</f>
        <v>1725348.3791225</v>
      </c>
      <c r="CC113" s="109" t="n">
        <f aca="false">CC110+CC84</f>
        <v>1753832.277091</v>
      </c>
      <c r="CD113" s="109" t="n">
        <f aca="false">CD110+CD84</f>
        <v>1782320.34172617</v>
      </c>
      <c r="CE113" s="109" t="n">
        <f aca="false">CE110+CE84</f>
        <v>1810812.573028</v>
      </c>
      <c r="CF113" s="109" t="n">
        <f aca="false">CF110+CF84</f>
        <v>1839308.9709965</v>
      </c>
      <c r="CG113" s="109" t="n">
        <f aca="false">CG110+CG84</f>
        <v>1867809.53563167</v>
      </c>
      <c r="CH113" s="109" t="n">
        <f aca="false">CH110+CH84</f>
        <v>1896314.26693351</v>
      </c>
    </row>
    <row r="114" customFormat="false" ht="13.5" hidden="false" customHeight="true" outlineLevel="0" collapsed="false">
      <c r="A114" s="6" t="s">
        <v>611</v>
      </c>
      <c r="C114" s="109" t="n">
        <f aca="false">-C84</f>
        <v>0</v>
      </c>
      <c r="D114" s="109" t="n">
        <f aca="false">C114-D84</f>
        <v>0</v>
      </c>
      <c r="E114" s="109" t="n">
        <f aca="false">D114-E84</f>
        <v>0</v>
      </c>
      <c r="F114" s="109" t="n">
        <f aca="false">E114-F84</f>
        <v>0</v>
      </c>
      <c r="G114" s="109" t="n">
        <f aca="false">F114-G84</f>
        <v>0</v>
      </c>
      <c r="H114" s="109" t="n">
        <f aca="false">G114-H84</f>
        <v>0</v>
      </c>
      <c r="I114" s="109" t="n">
        <f aca="false">H114-I84</f>
        <v>0</v>
      </c>
      <c r="J114" s="109" t="n">
        <f aca="false">I114-J84</f>
        <v>0</v>
      </c>
      <c r="K114" s="109" t="n">
        <f aca="false">J114-K84</f>
        <v>0</v>
      </c>
      <c r="L114" s="109" t="n">
        <f aca="false">K114-L84</f>
        <v>0</v>
      </c>
      <c r="M114" s="109" t="n">
        <f aca="false">L114-M84</f>
        <v>0</v>
      </c>
      <c r="N114" s="109" t="n">
        <f aca="false">M114-N84</f>
        <v>0</v>
      </c>
      <c r="O114" s="109" t="n">
        <f aca="false">N114-O84</f>
        <v>0</v>
      </c>
      <c r="P114" s="109" t="n">
        <f aca="false">O114-P84</f>
        <v>0</v>
      </c>
      <c r="Q114" s="109" t="n">
        <f aca="false">P114-Q84</f>
        <v>0</v>
      </c>
      <c r="R114" s="109" t="n">
        <f aca="false">Q114-R84</f>
        <v>0</v>
      </c>
      <c r="S114" s="109" t="n">
        <f aca="false">R114-S84</f>
        <v>0</v>
      </c>
      <c r="T114" s="109" t="n">
        <f aca="false">S114-T84</f>
        <v>0</v>
      </c>
      <c r="U114" s="109" t="n">
        <f aca="false">T114-U84</f>
        <v>0</v>
      </c>
      <c r="V114" s="109" t="n">
        <f aca="false">U114-V84</f>
        <v>0</v>
      </c>
      <c r="W114" s="109" t="n">
        <f aca="false">V114-W84</f>
        <v>0</v>
      </c>
      <c r="X114" s="109" t="n">
        <f aca="false">W114-X84</f>
        <v>0</v>
      </c>
      <c r="Y114" s="109" t="n">
        <f aca="false">X114-Y84</f>
        <v>0</v>
      </c>
      <c r="Z114" s="109" t="n">
        <f aca="false">Y114-Z84</f>
        <v>0</v>
      </c>
      <c r="AA114" s="109" t="n">
        <f aca="false">Z114-AA84</f>
        <v>0</v>
      </c>
      <c r="AB114" s="109" t="n">
        <f aca="false">AA114-AB84</f>
        <v>0</v>
      </c>
      <c r="AC114" s="109" t="n">
        <f aca="false">AB114-AC84</f>
        <v>0</v>
      </c>
      <c r="AD114" s="109" t="n">
        <f aca="false">AC114-AD84</f>
        <v>0</v>
      </c>
      <c r="AE114" s="109" t="n">
        <f aca="false">AD114-AE84</f>
        <v>0</v>
      </c>
      <c r="AF114" s="109" t="n">
        <f aca="false">AE114-AF84</f>
        <v>0</v>
      </c>
      <c r="AG114" s="109" t="n">
        <f aca="false">AF114-AG84</f>
        <v>0</v>
      </c>
      <c r="AH114" s="109" t="n">
        <f aca="false">AG114-AH84</f>
        <v>0</v>
      </c>
      <c r="AI114" s="109" t="n">
        <f aca="false">AH114-AI84</f>
        <v>0</v>
      </c>
      <c r="AJ114" s="109" t="n">
        <f aca="false">AI114-AJ84</f>
        <v>0</v>
      </c>
      <c r="AK114" s="109" t="n">
        <f aca="false">AJ114-AK84</f>
        <v>0</v>
      </c>
      <c r="AL114" s="109" t="n">
        <f aca="false">AK114-AL84</f>
        <v>0</v>
      </c>
      <c r="AM114" s="109" t="n">
        <f aca="false">AL114-AM84</f>
        <v>0</v>
      </c>
      <c r="AN114" s="109" t="n">
        <f aca="false">AM114-AN84</f>
        <v>0</v>
      </c>
      <c r="AO114" s="109" t="n">
        <f aca="false">AN114-AO84</f>
        <v>0</v>
      </c>
      <c r="AP114" s="109" t="n">
        <f aca="false">AO114-AP84</f>
        <v>0</v>
      </c>
      <c r="AQ114" s="109" t="n">
        <f aca="false">AP114-AQ84</f>
        <v>0</v>
      </c>
      <c r="AR114" s="109" t="n">
        <f aca="false">AQ114-AR84</f>
        <v>0</v>
      </c>
      <c r="AS114" s="109" t="n">
        <f aca="false">AR114-AS84</f>
        <v>0</v>
      </c>
      <c r="AT114" s="109" t="n">
        <f aca="false">AS114-AT84</f>
        <v>0</v>
      </c>
      <c r="AU114" s="109" t="n">
        <f aca="false">AT114-AU84</f>
        <v>0</v>
      </c>
      <c r="AV114" s="109" t="n">
        <f aca="false">AU114-AV84</f>
        <v>0</v>
      </c>
      <c r="AW114" s="109" t="n">
        <f aca="false">AV114-AW84</f>
        <v>0</v>
      </c>
      <c r="AX114" s="109" t="n">
        <f aca="false">AW114-AX84</f>
        <v>0</v>
      </c>
      <c r="AY114" s="109" t="n">
        <f aca="false">AX114-AY84</f>
        <v>0</v>
      </c>
      <c r="AZ114" s="109" t="n">
        <f aca="false">AY114-AZ84</f>
        <v>0</v>
      </c>
      <c r="BA114" s="109" t="n">
        <f aca="false">AZ114-BA84</f>
        <v>0</v>
      </c>
      <c r="BB114" s="109" t="n">
        <f aca="false">BA114-BB84</f>
        <v>0</v>
      </c>
      <c r="BC114" s="109" t="n">
        <f aca="false">BB114-BC84</f>
        <v>0</v>
      </c>
      <c r="BD114" s="109" t="n">
        <f aca="false">BC114-BD84</f>
        <v>0</v>
      </c>
      <c r="BE114" s="109" t="n">
        <f aca="false">BD114-BE84</f>
        <v>0</v>
      </c>
      <c r="BF114" s="109" t="n">
        <f aca="false">BE114-BF84</f>
        <v>0</v>
      </c>
      <c r="BG114" s="109" t="n">
        <f aca="false">BF114-BG84</f>
        <v>0</v>
      </c>
      <c r="BH114" s="109" t="n">
        <f aca="false">BG114-BH84</f>
        <v>0</v>
      </c>
      <c r="BI114" s="109" t="n">
        <f aca="false">BH114-BI84</f>
        <v>0</v>
      </c>
      <c r="BJ114" s="109" t="n">
        <f aca="false">BI114-BJ84</f>
        <v>0</v>
      </c>
      <c r="BK114" s="109" t="n">
        <f aca="false">BJ114-BK84</f>
        <v>0</v>
      </c>
      <c r="BL114" s="109" t="n">
        <f aca="false">BK114-BL84</f>
        <v>0</v>
      </c>
      <c r="BM114" s="109" t="n">
        <f aca="false">BL114-BM84</f>
        <v>0</v>
      </c>
      <c r="BN114" s="109" t="n">
        <f aca="false">BM114-BN84</f>
        <v>0</v>
      </c>
      <c r="BO114" s="109" t="n">
        <f aca="false">BN114-BO84</f>
        <v>0</v>
      </c>
      <c r="BP114" s="109" t="n">
        <f aca="false">BO114-BP84</f>
        <v>0</v>
      </c>
      <c r="BQ114" s="109" t="n">
        <f aca="false">BP114-BQ84</f>
        <v>0</v>
      </c>
      <c r="BR114" s="109" t="n">
        <f aca="false">BQ114-BR84</f>
        <v>0</v>
      </c>
      <c r="BS114" s="109" t="n">
        <f aca="false">BR114-BS84</f>
        <v>0</v>
      </c>
      <c r="BT114" s="109" t="n">
        <f aca="false">BS114-BT84</f>
        <v>0</v>
      </c>
      <c r="BU114" s="109" t="n">
        <f aca="false">BT114-BU84</f>
        <v>0</v>
      </c>
      <c r="BV114" s="109" t="n">
        <f aca="false">BU114-BV84</f>
        <v>0</v>
      </c>
      <c r="BW114" s="109" t="n">
        <f aca="false">BV114-BW84</f>
        <v>0</v>
      </c>
      <c r="BX114" s="109" t="n">
        <f aca="false">BW114-BX84</f>
        <v>0</v>
      </c>
      <c r="BY114" s="109" t="n">
        <f aca="false">BX114-BY84</f>
        <v>0</v>
      </c>
      <c r="BZ114" s="109" t="n">
        <f aca="false">BY114-BZ84</f>
        <v>0</v>
      </c>
      <c r="CA114" s="109" t="n">
        <f aca="false">BZ114-CA84</f>
        <v>0</v>
      </c>
      <c r="CB114" s="109" t="n">
        <f aca="false">CA114-CB84</f>
        <v>0</v>
      </c>
      <c r="CC114" s="109" t="n">
        <f aca="false">CB114-CC84</f>
        <v>0</v>
      </c>
      <c r="CD114" s="109" t="n">
        <f aca="false">CC114-CD84</f>
        <v>0</v>
      </c>
      <c r="CE114" s="109" t="n">
        <f aca="false">CD114-CE84</f>
        <v>0</v>
      </c>
      <c r="CF114" s="109" t="n">
        <f aca="false">CE114-CF84</f>
        <v>0</v>
      </c>
      <c r="CG114" s="109" t="n">
        <f aca="false">CF114-CG84</f>
        <v>0</v>
      </c>
      <c r="CH114" s="109" t="n">
        <f aca="false">CG114-CH84</f>
        <v>0</v>
      </c>
    </row>
    <row r="115" customFormat="false" ht="13.5" hidden="false" customHeight="true" outlineLevel="0" collapsed="false">
      <c r="A115" s="6" t="s">
        <v>612</v>
      </c>
      <c r="C115" s="109" t="n">
        <f aca="false">-C83</f>
        <v>0</v>
      </c>
      <c r="D115" s="109" t="n">
        <f aca="false">C115-D83</f>
        <v>0</v>
      </c>
      <c r="E115" s="109" t="n">
        <f aca="false">D115-E83</f>
        <v>0</v>
      </c>
      <c r="F115" s="109" t="n">
        <f aca="false">E115-F83</f>
        <v>0</v>
      </c>
      <c r="G115" s="109" t="n">
        <f aca="false">F115-G83</f>
        <v>0</v>
      </c>
      <c r="H115" s="109" t="n">
        <f aca="false">G115-H83</f>
        <v>0</v>
      </c>
      <c r="I115" s="109" t="n">
        <f aca="false">H115-I83</f>
        <v>0</v>
      </c>
      <c r="J115" s="109" t="n">
        <f aca="false">I115-J83</f>
        <v>0</v>
      </c>
      <c r="K115" s="109" t="n">
        <f aca="false">J115-K83</f>
        <v>0</v>
      </c>
      <c r="L115" s="109" t="n">
        <f aca="false">K115-L83</f>
        <v>0</v>
      </c>
      <c r="M115" s="109" t="n">
        <f aca="false">L115-M83</f>
        <v>0</v>
      </c>
      <c r="N115" s="109" t="n">
        <f aca="false">M115-N83</f>
        <v>0</v>
      </c>
      <c r="O115" s="109" t="n">
        <f aca="false">N115-O83</f>
        <v>0</v>
      </c>
      <c r="P115" s="109" t="n">
        <f aca="false">O115-P83</f>
        <v>0</v>
      </c>
      <c r="Q115" s="109" t="n">
        <f aca="false">P115-Q83</f>
        <v>0</v>
      </c>
      <c r="R115" s="109" t="n">
        <f aca="false">Q115-R83</f>
        <v>0</v>
      </c>
      <c r="S115" s="109" t="n">
        <f aca="false">R115-S83</f>
        <v>0</v>
      </c>
      <c r="T115" s="109" t="n">
        <f aca="false">S115-T83</f>
        <v>0</v>
      </c>
      <c r="U115" s="109" t="n">
        <f aca="false">T115-U83</f>
        <v>0</v>
      </c>
      <c r="V115" s="109" t="n">
        <f aca="false">U115-V83</f>
        <v>0</v>
      </c>
      <c r="W115" s="109" t="n">
        <f aca="false">V115-W83</f>
        <v>0</v>
      </c>
      <c r="X115" s="109" t="n">
        <f aca="false">W115-X83</f>
        <v>0</v>
      </c>
      <c r="Y115" s="109" t="n">
        <f aca="false">X115-Y83</f>
        <v>0</v>
      </c>
      <c r="Z115" s="109" t="n">
        <f aca="false">Y115-Z83</f>
        <v>0</v>
      </c>
      <c r="AA115" s="109" t="n">
        <f aca="false">Z115-AA83</f>
        <v>0</v>
      </c>
      <c r="AB115" s="109" t="n">
        <f aca="false">AA115-AB83</f>
        <v>0</v>
      </c>
      <c r="AC115" s="109" t="n">
        <f aca="false">AB115-AC83</f>
        <v>0</v>
      </c>
      <c r="AD115" s="109" t="n">
        <f aca="false">AC115-AD83</f>
        <v>0</v>
      </c>
      <c r="AE115" s="109" t="n">
        <f aca="false">AD115-AE83</f>
        <v>0</v>
      </c>
      <c r="AF115" s="109" t="n">
        <f aca="false">AE115-AF83</f>
        <v>0</v>
      </c>
      <c r="AG115" s="109" t="n">
        <f aca="false">AF115-AG83</f>
        <v>0</v>
      </c>
      <c r="AH115" s="109" t="n">
        <f aca="false">AG115-AH83</f>
        <v>0</v>
      </c>
      <c r="AI115" s="109" t="n">
        <f aca="false">AH115-AI83</f>
        <v>0</v>
      </c>
      <c r="AJ115" s="109" t="n">
        <f aca="false">AI115-AJ83</f>
        <v>0</v>
      </c>
      <c r="AK115" s="109" t="n">
        <f aca="false">AJ115-AK83</f>
        <v>0</v>
      </c>
      <c r="AL115" s="109" t="n">
        <f aca="false">AK115-AL83</f>
        <v>0</v>
      </c>
      <c r="AM115" s="109" t="n">
        <f aca="false">AL115-AM83</f>
        <v>0</v>
      </c>
      <c r="AN115" s="109" t="n">
        <f aca="false">AM115-AN83</f>
        <v>0</v>
      </c>
      <c r="AO115" s="109" t="n">
        <f aca="false">AN115-AO83</f>
        <v>0</v>
      </c>
      <c r="AP115" s="109" t="n">
        <f aca="false">AO115-AP83</f>
        <v>0</v>
      </c>
      <c r="AQ115" s="109" t="n">
        <f aca="false">AP115-AQ83</f>
        <v>0</v>
      </c>
      <c r="AR115" s="109" t="n">
        <f aca="false">AQ115-AR83</f>
        <v>0</v>
      </c>
      <c r="AS115" s="109" t="n">
        <f aca="false">AR115-AS83</f>
        <v>0</v>
      </c>
      <c r="AT115" s="109" t="n">
        <f aca="false">AS115-AT83</f>
        <v>0</v>
      </c>
      <c r="AU115" s="109" t="n">
        <f aca="false">AT115-AU83</f>
        <v>0</v>
      </c>
      <c r="AV115" s="109" t="n">
        <f aca="false">AU115-AV83</f>
        <v>0</v>
      </c>
      <c r="AW115" s="109" t="n">
        <f aca="false">AV115-AW83</f>
        <v>0</v>
      </c>
      <c r="AX115" s="109" t="n">
        <f aca="false">AW115-AX83</f>
        <v>154928.418262553</v>
      </c>
      <c r="AY115" s="109" t="n">
        <f aca="false">AX115-AY83</f>
        <v>154928.418262553</v>
      </c>
      <c r="AZ115" s="109" t="n">
        <f aca="false">AY115-AZ83</f>
        <v>154928.418262553</v>
      </c>
      <c r="BA115" s="109" t="n">
        <f aca="false">AZ115-BA83</f>
        <v>154928.418262553</v>
      </c>
      <c r="BB115" s="109" t="n">
        <f aca="false">BA115-BB83</f>
        <v>154928.418262553</v>
      </c>
      <c r="BC115" s="109" t="n">
        <f aca="false">BB115-BC83</f>
        <v>154928.418262553</v>
      </c>
      <c r="BD115" s="109" t="n">
        <f aca="false">BC115-BD83</f>
        <v>154928.418262553</v>
      </c>
      <c r="BE115" s="109" t="n">
        <f aca="false">BD115-BE83</f>
        <v>154928.418262553</v>
      </c>
      <c r="BF115" s="109" t="n">
        <f aca="false">BE115-BF83</f>
        <v>154928.418262553</v>
      </c>
      <c r="BG115" s="109" t="n">
        <f aca="false">BF115-BG83</f>
        <v>154928.418262553</v>
      </c>
      <c r="BH115" s="109" t="n">
        <f aca="false">BG115-BH83</f>
        <v>154928.418262553</v>
      </c>
      <c r="BI115" s="109" t="n">
        <f aca="false">BH115-BI83</f>
        <v>154928.418262553</v>
      </c>
      <c r="BJ115" s="109" t="n">
        <f aca="false">BI115-BJ83</f>
        <v>308579.414681638</v>
      </c>
      <c r="BK115" s="109" t="n">
        <f aca="false">BJ115-BK83</f>
        <v>308579.414681638</v>
      </c>
      <c r="BL115" s="109" t="n">
        <f aca="false">BK115-BL83</f>
        <v>308579.414681638</v>
      </c>
      <c r="BM115" s="109" t="n">
        <f aca="false">BL115-BM83</f>
        <v>308579.414681638</v>
      </c>
      <c r="BN115" s="109" t="n">
        <f aca="false">BM115-BN83</f>
        <v>308579.414681638</v>
      </c>
      <c r="BO115" s="109" t="n">
        <f aca="false">BN115-BO83</f>
        <v>308579.414681638</v>
      </c>
      <c r="BP115" s="109" t="n">
        <f aca="false">BO115-BP83</f>
        <v>308579.414681638</v>
      </c>
      <c r="BQ115" s="109" t="n">
        <f aca="false">BP115-BQ83</f>
        <v>308579.414681638</v>
      </c>
      <c r="BR115" s="109" t="n">
        <f aca="false">BQ115-BR83</f>
        <v>308579.414681638</v>
      </c>
      <c r="BS115" s="109" t="n">
        <f aca="false">BR115-BS83</f>
        <v>308579.414681638</v>
      </c>
      <c r="BT115" s="109" t="n">
        <f aca="false">BS115-BT83</f>
        <v>308579.414681638</v>
      </c>
      <c r="BU115" s="109" t="n">
        <f aca="false">BT115-BU83</f>
        <v>308579.414681638</v>
      </c>
      <c r="BV115" s="109" t="n">
        <f aca="false">BU115-BV83</f>
        <v>453786.74146019</v>
      </c>
      <c r="BW115" s="109" t="n">
        <f aca="false">BV115-BW83</f>
        <v>453786.74146019</v>
      </c>
      <c r="BX115" s="109" t="n">
        <f aca="false">BW115-BX83</f>
        <v>453786.74146019</v>
      </c>
      <c r="BY115" s="109" t="n">
        <f aca="false">BX115-BY83</f>
        <v>453786.74146019</v>
      </c>
      <c r="BZ115" s="109" t="n">
        <f aca="false">BY115-BZ83</f>
        <v>453786.74146019</v>
      </c>
      <c r="CA115" s="109" t="n">
        <f aca="false">BZ115-CA83</f>
        <v>453786.74146019</v>
      </c>
      <c r="CB115" s="109" t="n">
        <f aca="false">CA115-CB83</f>
        <v>453786.74146019</v>
      </c>
      <c r="CC115" s="109" t="n">
        <f aca="false">CB115-CC83</f>
        <v>453786.74146019</v>
      </c>
      <c r="CD115" s="109" t="n">
        <f aca="false">CC115-CD83</f>
        <v>453786.74146019</v>
      </c>
      <c r="CE115" s="109" t="n">
        <f aca="false">CD115-CE83</f>
        <v>453786.74146019</v>
      </c>
      <c r="CF115" s="109" t="n">
        <f aca="false">CE115-CF83</f>
        <v>453786.74146019</v>
      </c>
      <c r="CG115" s="109" t="n">
        <f aca="false">CF115-CG83</f>
        <v>453786.74146019</v>
      </c>
      <c r="CH115" s="109" t="n">
        <f aca="false">CG115-CH83</f>
        <v>590499.451708993</v>
      </c>
    </row>
    <row r="116" customFormat="false" ht="13.5" hidden="false" customHeight="true" outlineLevel="0" collapsed="false">
      <c r="A116" s="6" t="s">
        <v>613</v>
      </c>
      <c r="C116" s="109" t="n">
        <f aca="false">Hipótesis!$C$44*(1-Hipótesis!$D$83)</f>
        <v>1540</v>
      </c>
      <c r="D116" s="109" t="n">
        <f aca="false">Hipótesis!$C$44*(1-Hipótesis!$D$83)</f>
        <v>1540</v>
      </c>
      <c r="E116" s="109" t="n">
        <f aca="false">Hipótesis!$C$44*(1-Hipótesis!$D$83)</f>
        <v>1540</v>
      </c>
      <c r="F116" s="109" t="n">
        <f aca="false">Hipótesis!$C$44*(1-Hipótesis!$D$83)</f>
        <v>1540</v>
      </c>
      <c r="G116" s="109" t="n">
        <f aca="false">Hipótesis!$C$44*(1-Hipótesis!$D$83)</f>
        <v>1540</v>
      </c>
      <c r="H116" s="109" t="n">
        <f aca="false">Hipótesis!$C$44*(1-Hipótesis!$D$83)</f>
        <v>1540</v>
      </c>
      <c r="I116" s="109" t="n">
        <f aca="false">Hipótesis!$C$44*(1-Hipótesis!$D$83)</f>
        <v>1540</v>
      </c>
      <c r="J116" s="109" t="n">
        <f aca="false">Hipótesis!$C$44*(1-Hipótesis!$D$83)</f>
        <v>1540</v>
      </c>
      <c r="K116" s="109" t="n">
        <f aca="false">Hipótesis!$C$44*(1-Hipótesis!$D$83)</f>
        <v>1540</v>
      </c>
      <c r="L116" s="109" t="n">
        <f aca="false">Hipótesis!$C$44*(1-Hipótesis!$D$83)</f>
        <v>1540</v>
      </c>
      <c r="M116" s="109" t="n">
        <f aca="false">Hipótesis!$C$44*(1-Hipótesis!$D$83)</f>
        <v>1540</v>
      </c>
      <c r="N116" s="109" t="n">
        <f aca="false">Hipótesis!$C$44*(1-Hipótesis!$D$83)</f>
        <v>1540</v>
      </c>
      <c r="O116" s="109" t="n">
        <f aca="false">Hipótesis!$D$44*(1-Hipótesis!$D$83)</f>
        <v>2450</v>
      </c>
      <c r="P116" s="109" t="n">
        <f aca="false">Hipótesis!$D$44*(1-Hipótesis!$D$83)</f>
        <v>2450</v>
      </c>
      <c r="Q116" s="109" t="n">
        <f aca="false">Hipótesis!$D$44*(1-Hipótesis!$D$83)</f>
        <v>2450</v>
      </c>
      <c r="R116" s="109" t="n">
        <f aca="false">Hipótesis!$D$44*(1-Hipótesis!$D$83)</f>
        <v>2450</v>
      </c>
      <c r="S116" s="109" t="n">
        <f aca="false">Hipótesis!$D$44*(1-Hipótesis!$D$83)</f>
        <v>2450</v>
      </c>
      <c r="T116" s="109" t="n">
        <f aca="false">Hipótesis!$D$44*(1-Hipótesis!$D$83)</f>
        <v>2450</v>
      </c>
      <c r="U116" s="109" t="n">
        <f aca="false">Hipótesis!$D$44*(1-Hipótesis!$D$83)</f>
        <v>2450</v>
      </c>
      <c r="V116" s="109" t="n">
        <f aca="false">Hipótesis!$D$44*(1-Hipótesis!$D$83)</f>
        <v>2450</v>
      </c>
      <c r="W116" s="109" t="n">
        <f aca="false">Hipótesis!$D$44*(1-Hipótesis!$D$83)</f>
        <v>2450</v>
      </c>
      <c r="X116" s="109" t="n">
        <f aca="false">Hipótesis!$D$44*(1-Hipótesis!$D$83)</f>
        <v>2450</v>
      </c>
      <c r="Y116" s="109" t="n">
        <f aca="false">Hipótesis!$D$44*(1-Hipótesis!$D$83)</f>
        <v>2450</v>
      </c>
      <c r="Z116" s="109" t="n">
        <f aca="false">Hipótesis!$D$44*(1-Hipótesis!$D$83)</f>
        <v>2450</v>
      </c>
      <c r="AA116" s="109" t="n">
        <f aca="false">Hipótesis!$E$44*(1-Hipótesis!$D$83)</f>
        <v>2800</v>
      </c>
      <c r="AB116" s="109" t="n">
        <f aca="false">Hipótesis!$E$44*(1-Hipótesis!$D$83)</f>
        <v>2800</v>
      </c>
      <c r="AC116" s="109" t="n">
        <f aca="false">Hipótesis!$E$44*(1-Hipótesis!$D$83)</f>
        <v>2800</v>
      </c>
      <c r="AD116" s="109" t="n">
        <f aca="false">Hipótesis!$E$44*(1-Hipótesis!$D$83)</f>
        <v>2800</v>
      </c>
      <c r="AE116" s="109" t="n">
        <f aca="false">Hipótesis!$E$44*(1-Hipótesis!$D$83)</f>
        <v>2800</v>
      </c>
      <c r="AF116" s="109" t="n">
        <f aca="false">Hipótesis!$E$44*(1-Hipótesis!$D$83)</f>
        <v>2800</v>
      </c>
      <c r="AG116" s="109" t="n">
        <f aca="false">Hipótesis!$E$44*(1-Hipótesis!$D$83)</f>
        <v>2800</v>
      </c>
      <c r="AH116" s="109" t="n">
        <f aca="false">Hipótesis!$E$44*(1-Hipótesis!$D$83)</f>
        <v>2800</v>
      </c>
      <c r="AI116" s="109" t="n">
        <f aca="false">Hipótesis!$E$44*(1-Hipótesis!$D$83)</f>
        <v>2800</v>
      </c>
      <c r="AJ116" s="109" t="n">
        <f aca="false">Hipótesis!$E$44*(1-Hipótesis!$D$83)</f>
        <v>2800</v>
      </c>
      <c r="AK116" s="109" t="n">
        <f aca="false">Hipótesis!$E$44*(1-Hipótesis!$D$83)</f>
        <v>2800</v>
      </c>
      <c r="AL116" s="109" t="n">
        <f aca="false">Hipótesis!$E$44*(1-Hipótesis!$D$83)</f>
        <v>2800</v>
      </c>
      <c r="AM116" s="109" t="n">
        <f aca="false">Hipótesis!$F$44*(1-Hipótesis!$D$83)</f>
        <v>3150</v>
      </c>
      <c r="AN116" s="109" t="n">
        <f aca="false">Hipótesis!$F$44*(1-Hipótesis!$D$83)</f>
        <v>3150</v>
      </c>
      <c r="AO116" s="109" t="n">
        <f aca="false">Hipótesis!$F$44*(1-Hipótesis!$D$83)</f>
        <v>3150</v>
      </c>
      <c r="AP116" s="109" t="n">
        <f aca="false">Hipótesis!$F$44*(1-Hipótesis!$D$83)</f>
        <v>3150</v>
      </c>
      <c r="AQ116" s="109" t="n">
        <f aca="false">Hipótesis!$F$44*(1-Hipótesis!$D$83)</f>
        <v>3150</v>
      </c>
      <c r="AR116" s="109" t="n">
        <f aca="false">Hipótesis!$F$44*(1-Hipótesis!$D$83)</f>
        <v>3150</v>
      </c>
      <c r="AS116" s="109" t="n">
        <f aca="false">Hipótesis!$F$44*(1-Hipótesis!$D$83)</f>
        <v>3150</v>
      </c>
      <c r="AT116" s="109" t="n">
        <f aca="false">Hipótesis!$F$44*(1-Hipótesis!$D$83)</f>
        <v>3150</v>
      </c>
      <c r="AU116" s="109" t="n">
        <f aca="false">Hipótesis!$F$44*(1-Hipótesis!$D$83)</f>
        <v>3150</v>
      </c>
      <c r="AV116" s="109" t="n">
        <f aca="false">Hipótesis!$F$44*(1-Hipótesis!$D$83)</f>
        <v>3150</v>
      </c>
      <c r="AW116" s="109" t="n">
        <f aca="false">Hipótesis!$F$44*(1-Hipótesis!$D$83)</f>
        <v>3150</v>
      </c>
      <c r="AX116" s="109" t="n">
        <f aca="false">Hipótesis!$F$44*(1-Hipótesis!$D$83)</f>
        <v>3150</v>
      </c>
      <c r="AY116" s="109" t="n">
        <f aca="false">Hipótesis!$G$44*(1-Hipótesis!$D$83)</f>
        <v>3500</v>
      </c>
      <c r="AZ116" s="109" t="n">
        <f aca="false">Hipótesis!$G$44*(1-Hipótesis!$D$83)</f>
        <v>3500</v>
      </c>
      <c r="BA116" s="109" t="n">
        <f aca="false">Hipótesis!$G$44*(1-Hipótesis!$D$83)</f>
        <v>3500</v>
      </c>
      <c r="BB116" s="109" t="n">
        <f aca="false">Hipótesis!$G$44*(1-Hipótesis!$D$83)</f>
        <v>3500</v>
      </c>
      <c r="BC116" s="109" t="n">
        <f aca="false">Hipótesis!$G$44*(1-Hipótesis!$D$83)</f>
        <v>3500</v>
      </c>
      <c r="BD116" s="109" t="n">
        <f aca="false">Hipótesis!$G$44*(1-Hipótesis!$D$83)</f>
        <v>3500</v>
      </c>
      <c r="BE116" s="109" t="n">
        <f aca="false">Hipótesis!$G$44*(1-Hipótesis!$D$83)</f>
        <v>3500</v>
      </c>
      <c r="BF116" s="109" t="n">
        <f aca="false">Hipótesis!$G$44*(1-Hipótesis!$D$83)</f>
        <v>3500</v>
      </c>
      <c r="BG116" s="109" t="n">
        <f aca="false">Hipótesis!$G$44*(1-Hipótesis!$D$83)</f>
        <v>3500</v>
      </c>
      <c r="BH116" s="109" t="n">
        <f aca="false">Hipótesis!$G$44*(1-Hipótesis!$D$83)</f>
        <v>3500</v>
      </c>
      <c r="BI116" s="109" t="n">
        <f aca="false">Hipótesis!$G$44*(1-Hipótesis!$D$83)</f>
        <v>3500</v>
      </c>
      <c r="BJ116" s="109" t="n">
        <f aca="false">Hipótesis!$G$44*(1-Hipótesis!$D$83)</f>
        <v>3500</v>
      </c>
      <c r="BK116" s="109" t="n">
        <f aca="false">Hipótesis!$H$44*(1-Hipótesis!$D$83)</f>
        <v>3850</v>
      </c>
      <c r="BL116" s="109" t="n">
        <f aca="false">Hipótesis!$H$44*(1-Hipótesis!$D$83)</f>
        <v>3850</v>
      </c>
      <c r="BM116" s="109" t="n">
        <f aca="false">Hipótesis!$H$44*(1-Hipótesis!$D$83)</f>
        <v>3850</v>
      </c>
      <c r="BN116" s="109" t="n">
        <f aca="false">Hipótesis!$H$44*(1-Hipótesis!$D$83)</f>
        <v>3850</v>
      </c>
      <c r="BO116" s="109" t="n">
        <f aca="false">Hipótesis!$H$44*(1-Hipótesis!$D$83)</f>
        <v>3850</v>
      </c>
      <c r="BP116" s="109" t="n">
        <f aca="false">Hipótesis!$H$44*(1-Hipótesis!$D$83)</f>
        <v>3850</v>
      </c>
      <c r="BQ116" s="109" t="n">
        <f aca="false">Hipótesis!$H$44*(1-Hipótesis!$D$83)</f>
        <v>3850</v>
      </c>
      <c r="BR116" s="109" t="n">
        <f aca="false">Hipótesis!$H$44*(1-Hipótesis!$D$83)</f>
        <v>3850</v>
      </c>
      <c r="BS116" s="109" t="n">
        <f aca="false">Hipótesis!$H$44*(1-Hipótesis!$D$83)</f>
        <v>3850</v>
      </c>
      <c r="BT116" s="109" t="n">
        <f aca="false">Hipótesis!$H$44*(1-Hipótesis!$D$83)</f>
        <v>3850</v>
      </c>
      <c r="BU116" s="109" t="n">
        <f aca="false">Hipótesis!$H$44*(1-Hipótesis!$D$83)</f>
        <v>3850</v>
      </c>
      <c r="BV116" s="109" t="n">
        <f aca="false">Hipótesis!$H$44*(1-Hipótesis!$D$83)</f>
        <v>3850</v>
      </c>
      <c r="BW116" s="109" t="n">
        <f aca="false">Hipótesis!$I$44*(1-Hipótesis!$D$83)</f>
        <v>4200</v>
      </c>
      <c r="BX116" s="109" t="n">
        <f aca="false">Hipótesis!$I$44*(1-Hipótesis!$D$83)</f>
        <v>4200</v>
      </c>
      <c r="BY116" s="109" t="n">
        <f aca="false">Hipótesis!$I$44*(1-Hipótesis!$D$83)</f>
        <v>4200</v>
      </c>
      <c r="BZ116" s="109" t="n">
        <f aca="false">Hipótesis!$I$44*(1-Hipótesis!$D$83)</f>
        <v>4200</v>
      </c>
      <c r="CA116" s="109" t="n">
        <f aca="false">Hipótesis!$I$44*(1-Hipótesis!$D$83)</f>
        <v>4200</v>
      </c>
      <c r="CB116" s="109" t="n">
        <f aca="false">Hipótesis!$I$44*(1-Hipótesis!$D$83)</f>
        <v>4200</v>
      </c>
      <c r="CC116" s="109" t="n">
        <f aca="false">Hipótesis!$I$44*(1-Hipótesis!$D$83)</f>
        <v>4200</v>
      </c>
      <c r="CD116" s="109" t="n">
        <f aca="false">Hipótesis!$I$44*(1-Hipótesis!$D$83)</f>
        <v>4200</v>
      </c>
      <c r="CE116" s="109" t="n">
        <f aca="false">Hipótesis!$I$44*(1-Hipótesis!$D$83)</f>
        <v>4200</v>
      </c>
      <c r="CF116" s="109" t="n">
        <f aca="false">Hipótesis!$I$44*(1-Hipótesis!$D$83)</f>
        <v>4200</v>
      </c>
      <c r="CG116" s="109" t="n">
        <f aca="false">Hipótesis!$I$44*(1-Hipótesis!$D$83)</f>
        <v>4200</v>
      </c>
      <c r="CH116" s="109" t="n">
        <f aca="false">Hipótesis!$I$44*(1-Hipótesis!$D$83)</f>
        <v>4200</v>
      </c>
    </row>
    <row r="117" customFormat="false" ht="13.5" hidden="false" customHeight="true" outlineLevel="0" collapsed="false">
      <c r="A117" s="6" t="s">
        <v>614</v>
      </c>
      <c r="C117" s="109" t="n">
        <f aca="false">-C84*Hipótesis!$D$82*(1-Hipótesis!$D$84)</f>
        <v>0</v>
      </c>
      <c r="D117" s="109" t="n">
        <f aca="false">-D84*Hipótesis!$D$82*(1-Hipótesis!$D$84)</f>
        <v>0</v>
      </c>
      <c r="E117" s="109" t="n">
        <f aca="false">-E84*Hipótesis!$D$82*(1-Hipótesis!$D$84)</f>
        <v>0</v>
      </c>
      <c r="F117" s="109" t="n">
        <f aca="false">-F84*Hipótesis!$D$82*(1-Hipótesis!$D$84)</f>
        <v>0</v>
      </c>
      <c r="G117" s="109" t="n">
        <f aca="false">-G84*Hipótesis!$D$82*(1-Hipótesis!$D$84)</f>
        <v>0</v>
      </c>
      <c r="H117" s="109" t="n">
        <f aca="false">-H84*Hipótesis!$D$82*(1-Hipótesis!$D$84)</f>
        <v>0</v>
      </c>
      <c r="I117" s="109" t="n">
        <f aca="false">-I84*Hipótesis!$D$82*(1-Hipótesis!$D$84)</f>
        <v>0</v>
      </c>
      <c r="J117" s="109" t="n">
        <f aca="false">-J84*Hipótesis!$D$82*(1-Hipótesis!$D$84)</f>
        <v>0</v>
      </c>
      <c r="K117" s="109" t="n">
        <f aca="false">-K84*Hipótesis!$D$82*(1-Hipótesis!$D$84)</f>
        <v>0</v>
      </c>
      <c r="L117" s="109" t="n">
        <f aca="false">-L84*Hipótesis!$D$82*(1-Hipótesis!$D$84)</f>
        <v>0</v>
      </c>
      <c r="M117" s="109" t="n">
        <f aca="false">-M84*Hipótesis!$D$82*(1-Hipótesis!$D$84)</f>
        <v>0</v>
      </c>
      <c r="N117" s="109" t="n">
        <f aca="false">-N84*Hipótesis!$D$82*(1-Hipótesis!$D$84)</f>
        <v>0</v>
      </c>
      <c r="O117" s="109" t="n">
        <f aca="false">-O84*Hipótesis!$D$82*(1-Hipótesis!$D$84)</f>
        <v>0</v>
      </c>
      <c r="P117" s="109" t="n">
        <f aca="false">-P84*Hipótesis!$D$82*(1-Hipótesis!$D$84)</f>
        <v>0</v>
      </c>
      <c r="Q117" s="109" t="n">
        <f aca="false">-Q84*Hipótesis!$D$82*(1-Hipótesis!$D$84)</f>
        <v>0</v>
      </c>
      <c r="R117" s="109" t="n">
        <f aca="false">-R84*Hipótesis!$D$82*(1-Hipótesis!$D$84)</f>
        <v>0</v>
      </c>
      <c r="S117" s="109" t="n">
        <f aca="false">-S84*Hipótesis!$D$82*(1-Hipótesis!$D$84)</f>
        <v>0</v>
      </c>
      <c r="T117" s="109" t="n">
        <f aca="false">-T84*Hipótesis!$D$82*(1-Hipótesis!$D$84)</f>
        <v>0</v>
      </c>
      <c r="U117" s="109" t="n">
        <f aca="false">-U84*Hipótesis!$D$82*(1-Hipótesis!$D$84)</f>
        <v>0</v>
      </c>
      <c r="V117" s="109" t="n">
        <f aca="false">-V84*Hipótesis!$D$82*(1-Hipótesis!$D$84)</f>
        <v>0</v>
      </c>
      <c r="W117" s="109" t="n">
        <f aca="false">-W84*Hipótesis!$D$82*(1-Hipótesis!$D$84)</f>
        <v>0</v>
      </c>
      <c r="X117" s="109" t="n">
        <f aca="false">-X84*Hipótesis!$D$82*(1-Hipótesis!$D$84)</f>
        <v>0</v>
      </c>
      <c r="Y117" s="109" t="n">
        <f aca="false">-Y84*Hipótesis!$D$82*(1-Hipótesis!$D$84)</f>
        <v>0</v>
      </c>
      <c r="Z117" s="109" t="n">
        <f aca="false">-Z84*Hipótesis!$D$82*(1-Hipótesis!$D$84)</f>
        <v>0</v>
      </c>
      <c r="AA117" s="109" t="n">
        <f aca="false">-AA84*Hipótesis!$D$82*(1-Hipótesis!$D$84)</f>
        <v>0</v>
      </c>
      <c r="AB117" s="109" t="n">
        <f aca="false">-AB84*Hipótesis!$D$82*(1-Hipótesis!$D$84)</f>
        <v>0</v>
      </c>
      <c r="AC117" s="109" t="n">
        <f aca="false">-AC84*Hipótesis!$D$82*(1-Hipótesis!$D$84)</f>
        <v>0</v>
      </c>
      <c r="AD117" s="109" t="n">
        <f aca="false">-AD84*Hipótesis!$D$82*(1-Hipótesis!$D$84)</f>
        <v>0</v>
      </c>
      <c r="AE117" s="109" t="n">
        <f aca="false">-AE84*Hipótesis!$D$82*(1-Hipótesis!$D$84)</f>
        <v>0</v>
      </c>
      <c r="AF117" s="109" t="n">
        <f aca="false">-AF84*Hipótesis!$D$82*(1-Hipótesis!$D$84)</f>
        <v>0</v>
      </c>
      <c r="AG117" s="109" t="n">
        <f aca="false">-AG84*Hipótesis!$D$82*(1-Hipótesis!$D$84)</f>
        <v>0</v>
      </c>
      <c r="AH117" s="109" t="n">
        <f aca="false">-AH84*Hipótesis!$D$82*(1-Hipótesis!$D$84)</f>
        <v>0</v>
      </c>
      <c r="AI117" s="109" t="n">
        <f aca="false">-AI84*Hipótesis!$D$82*(1-Hipótesis!$D$84)</f>
        <v>0</v>
      </c>
      <c r="AJ117" s="109" t="n">
        <f aca="false">-AJ84*Hipótesis!$D$82*(1-Hipótesis!$D$84)</f>
        <v>0</v>
      </c>
      <c r="AK117" s="109" t="n">
        <f aca="false">-AK84*Hipótesis!$D$82*(1-Hipótesis!$D$84)</f>
        <v>0</v>
      </c>
      <c r="AL117" s="109" t="n">
        <f aca="false">-AL84*Hipótesis!$D$82*(1-Hipótesis!$D$84)</f>
        <v>0</v>
      </c>
      <c r="AM117" s="109" t="n">
        <f aca="false">-AM84*Hipótesis!$D$82*(1-Hipótesis!$D$84)</f>
        <v>0</v>
      </c>
      <c r="AN117" s="109" t="n">
        <f aca="false">-AN84*Hipótesis!$D$82*(1-Hipótesis!$D$84)</f>
        <v>0</v>
      </c>
      <c r="AO117" s="109" t="n">
        <f aca="false">-AO84*Hipótesis!$D$82*(1-Hipótesis!$D$84)</f>
        <v>0</v>
      </c>
      <c r="AP117" s="109" t="n">
        <f aca="false">-AP84*Hipótesis!$D$82*(1-Hipótesis!$D$84)</f>
        <v>0</v>
      </c>
      <c r="AQ117" s="109" t="n">
        <f aca="false">-AQ84*Hipótesis!$D$82*(1-Hipótesis!$D$84)</f>
        <v>0</v>
      </c>
      <c r="AR117" s="109" t="n">
        <f aca="false">-AR84*Hipótesis!$D$82*(1-Hipótesis!$D$84)</f>
        <v>0</v>
      </c>
      <c r="AS117" s="109" t="n">
        <f aca="false">-AS84*Hipótesis!$D$82*(1-Hipótesis!$D$84)</f>
        <v>0</v>
      </c>
      <c r="AT117" s="109" t="n">
        <f aca="false">-AT84*Hipótesis!$D$82*(1-Hipótesis!$D$84)</f>
        <v>0</v>
      </c>
      <c r="AU117" s="109" t="n">
        <f aca="false">-AU84*Hipótesis!$D$82*(1-Hipótesis!$D$84)</f>
        <v>0</v>
      </c>
      <c r="AV117" s="109" t="n">
        <f aca="false">-AV84*Hipótesis!$D$82*(1-Hipótesis!$D$84)</f>
        <v>0</v>
      </c>
      <c r="AW117" s="109" t="n">
        <f aca="false">-AW84*Hipótesis!$D$82*(1-Hipótesis!$D$84)</f>
        <v>0</v>
      </c>
      <c r="AX117" s="109" t="n">
        <f aca="false">-AX84*Hipótesis!$D$82*(1-Hipótesis!$D$84)</f>
        <v>0</v>
      </c>
      <c r="AY117" s="109" t="n">
        <f aca="false">-AY84*Hipótesis!$D$82*(1-Hipótesis!$D$84)</f>
        <v>0</v>
      </c>
      <c r="AZ117" s="109" t="n">
        <f aca="false">-AZ84*Hipótesis!$D$82*(1-Hipótesis!$D$84)</f>
        <v>0</v>
      </c>
      <c r="BA117" s="109" t="n">
        <f aca="false">-BA84*Hipótesis!$D$82*(1-Hipótesis!$D$84)</f>
        <v>0</v>
      </c>
      <c r="BB117" s="109" t="n">
        <f aca="false">-BB84*Hipótesis!$D$82*(1-Hipótesis!$D$84)</f>
        <v>0</v>
      </c>
      <c r="BC117" s="109" t="n">
        <f aca="false">-BC84*Hipótesis!$D$82*(1-Hipótesis!$D$84)</f>
        <v>0</v>
      </c>
      <c r="BD117" s="109" t="n">
        <f aca="false">-BD84*Hipótesis!$D$82*(1-Hipótesis!$D$84)</f>
        <v>0</v>
      </c>
      <c r="BE117" s="109" t="n">
        <f aca="false">-BE84*Hipótesis!$D$82*(1-Hipótesis!$D$84)</f>
        <v>0</v>
      </c>
      <c r="BF117" s="109" t="n">
        <f aca="false">-BF84*Hipótesis!$D$82*(1-Hipótesis!$D$84)</f>
        <v>0</v>
      </c>
      <c r="BG117" s="109" t="n">
        <f aca="false">-BG84*Hipótesis!$D$82*(1-Hipótesis!$D$84)</f>
        <v>0</v>
      </c>
      <c r="BH117" s="109" t="n">
        <f aca="false">-BH84*Hipótesis!$D$82*(1-Hipótesis!$D$84)</f>
        <v>0</v>
      </c>
      <c r="BI117" s="109" t="n">
        <f aca="false">-BI84*Hipótesis!$D$82*(1-Hipótesis!$D$84)</f>
        <v>0</v>
      </c>
      <c r="BJ117" s="109" t="n">
        <f aca="false">-BJ84*Hipótesis!$D$82*(1-Hipótesis!$D$84)</f>
        <v>0</v>
      </c>
      <c r="BK117" s="109" t="n">
        <f aca="false">-BK84*Hipótesis!$D$82*(1-Hipótesis!$D$84)</f>
        <v>0</v>
      </c>
      <c r="BL117" s="109" t="n">
        <f aca="false">-BL84*Hipótesis!$D$82*(1-Hipótesis!$D$84)</f>
        <v>0</v>
      </c>
      <c r="BM117" s="109" t="n">
        <f aca="false">-BM84*Hipótesis!$D$82*(1-Hipótesis!$D$84)</f>
        <v>0</v>
      </c>
      <c r="BN117" s="109" t="n">
        <f aca="false">-BN84*Hipótesis!$D$82*(1-Hipótesis!$D$84)</f>
        <v>0</v>
      </c>
      <c r="BO117" s="109" t="n">
        <f aca="false">-BO84*Hipótesis!$D$82*(1-Hipótesis!$D$84)</f>
        <v>0</v>
      </c>
      <c r="BP117" s="109" t="n">
        <f aca="false">-BP84*Hipótesis!$D$82*(1-Hipótesis!$D$84)</f>
        <v>0</v>
      </c>
      <c r="BQ117" s="109" t="n">
        <f aca="false">-BQ84*Hipótesis!$D$82*(1-Hipótesis!$D$84)</f>
        <v>0</v>
      </c>
      <c r="BR117" s="109" t="n">
        <f aca="false">-BR84*Hipótesis!$D$82*(1-Hipótesis!$D$84)</f>
        <v>0</v>
      </c>
      <c r="BS117" s="109" t="n">
        <f aca="false">-BS84*Hipótesis!$D$82*(1-Hipótesis!$D$84)</f>
        <v>0</v>
      </c>
      <c r="BT117" s="109" t="n">
        <f aca="false">-BT84*Hipótesis!$D$82*(1-Hipótesis!$D$84)</f>
        <v>0</v>
      </c>
      <c r="BU117" s="109" t="n">
        <f aca="false">-BU84*Hipótesis!$D$82*(1-Hipótesis!$D$84)</f>
        <v>0</v>
      </c>
      <c r="BV117" s="109" t="n">
        <f aca="false">-BV84*Hipótesis!$D$82*(1-Hipótesis!$D$84)</f>
        <v>0</v>
      </c>
      <c r="BW117" s="109" t="n">
        <f aca="false">-BW84*Hipótesis!$D$82*(1-Hipótesis!$D$84)</f>
        <v>0</v>
      </c>
      <c r="BX117" s="109" t="n">
        <f aca="false">-BX84*Hipótesis!$D$82*(1-Hipótesis!$D$84)</f>
        <v>0</v>
      </c>
      <c r="BY117" s="109" t="n">
        <f aca="false">-BY84*Hipótesis!$D$82*(1-Hipótesis!$D$84)</f>
        <v>0</v>
      </c>
      <c r="BZ117" s="109" t="n">
        <f aca="false">-BZ84*Hipótesis!$D$82*(1-Hipótesis!$D$84)</f>
        <v>0</v>
      </c>
      <c r="CA117" s="109" t="n">
        <f aca="false">-CA84*Hipótesis!$D$82*(1-Hipótesis!$D$84)</f>
        <v>0</v>
      </c>
      <c r="CB117" s="109" t="n">
        <f aca="false">-CB84*Hipótesis!$D$82*(1-Hipótesis!$D$84)</f>
        <v>0</v>
      </c>
      <c r="CC117" s="109" t="n">
        <f aca="false">-CC84*Hipótesis!$D$82*(1-Hipótesis!$D$84)</f>
        <v>0</v>
      </c>
      <c r="CD117" s="109" t="n">
        <f aca="false">-CD84*Hipótesis!$D$82*(1-Hipótesis!$D$84)</f>
        <v>0</v>
      </c>
      <c r="CE117" s="109" t="n">
        <f aca="false">-CE84*Hipótesis!$D$82*(1-Hipótesis!$D$84)</f>
        <v>0</v>
      </c>
      <c r="CF117" s="109" t="n">
        <f aca="false">-CF84*Hipótesis!$D$82*(1-Hipótesis!$D$84)</f>
        <v>0</v>
      </c>
      <c r="CG117" s="109" t="n">
        <f aca="false">-CG84*Hipótesis!$D$82*(1-Hipótesis!$D$84)</f>
        <v>0</v>
      </c>
      <c r="CH117" s="109" t="n">
        <f aca="false">-CH84*Hipótesis!$D$82*(1-Hipótesis!$D$84)</f>
        <v>0</v>
      </c>
    </row>
    <row r="118" customFormat="false" ht="13.5" hidden="false" customHeight="true" outlineLevel="0" collapsed="false">
      <c r="A118" s="22" t="s">
        <v>615</v>
      </c>
      <c r="C118" s="109" t="n">
        <f aca="false">C116+C117</f>
        <v>1540</v>
      </c>
      <c r="D118" s="109" t="n">
        <f aca="false">D116+D117</f>
        <v>1540</v>
      </c>
      <c r="E118" s="109" t="n">
        <f aca="false">E116+E117</f>
        <v>1540</v>
      </c>
      <c r="F118" s="109" t="n">
        <f aca="false">F116+F117</f>
        <v>1540</v>
      </c>
      <c r="G118" s="109" t="n">
        <f aca="false">G116+G117</f>
        <v>1540</v>
      </c>
      <c r="H118" s="109" t="n">
        <f aca="false">H116+H117</f>
        <v>1540</v>
      </c>
      <c r="I118" s="109" t="n">
        <f aca="false">I116+I117</f>
        <v>1540</v>
      </c>
      <c r="J118" s="109" t="n">
        <f aca="false">J116+J117</f>
        <v>1540</v>
      </c>
      <c r="K118" s="109" t="n">
        <f aca="false">K116+K117</f>
        <v>1540</v>
      </c>
      <c r="L118" s="109" t="n">
        <f aca="false">L116+L117</f>
        <v>1540</v>
      </c>
      <c r="M118" s="109" t="n">
        <f aca="false">M116+M117</f>
        <v>1540</v>
      </c>
      <c r="N118" s="109" t="n">
        <f aca="false">N116+N117</f>
        <v>1540</v>
      </c>
      <c r="O118" s="109" t="n">
        <f aca="false">O116+O117</f>
        <v>2450</v>
      </c>
      <c r="P118" s="109" t="n">
        <f aca="false">P116+P117</f>
        <v>2450</v>
      </c>
      <c r="Q118" s="109" t="n">
        <f aca="false">Q116+Q117</f>
        <v>2450</v>
      </c>
      <c r="R118" s="109" t="n">
        <f aca="false">R116+R117</f>
        <v>2450</v>
      </c>
      <c r="S118" s="109" t="n">
        <f aca="false">S116+S117</f>
        <v>2450</v>
      </c>
      <c r="T118" s="109" t="n">
        <f aca="false">T116+T117</f>
        <v>2450</v>
      </c>
      <c r="U118" s="109" t="n">
        <f aca="false">U116+U117</f>
        <v>2450</v>
      </c>
      <c r="V118" s="109" t="n">
        <f aca="false">V116+V117</f>
        <v>2450</v>
      </c>
      <c r="W118" s="109" t="n">
        <f aca="false">W116+W117</f>
        <v>2450</v>
      </c>
      <c r="X118" s="109" t="n">
        <f aca="false">X116+X117</f>
        <v>2450</v>
      </c>
      <c r="Y118" s="109" t="n">
        <f aca="false">Y116+Y117</f>
        <v>2450</v>
      </c>
      <c r="Z118" s="109" t="n">
        <f aca="false">Z116+Z117</f>
        <v>2450</v>
      </c>
      <c r="AA118" s="109" t="n">
        <f aca="false">AA116+AA117</f>
        <v>2800</v>
      </c>
      <c r="AB118" s="109" t="n">
        <f aca="false">AB116+AB117</f>
        <v>2800</v>
      </c>
      <c r="AC118" s="109" t="n">
        <f aca="false">AC116+AC117</f>
        <v>2800</v>
      </c>
      <c r="AD118" s="109" t="n">
        <f aca="false">AD116+AD117</f>
        <v>2800</v>
      </c>
      <c r="AE118" s="109" t="n">
        <f aca="false">AE116+AE117</f>
        <v>2800</v>
      </c>
      <c r="AF118" s="109" t="n">
        <f aca="false">AF116+AF117</f>
        <v>2800</v>
      </c>
      <c r="AG118" s="109" t="n">
        <f aca="false">AG116+AG117</f>
        <v>2800</v>
      </c>
      <c r="AH118" s="109" t="n">
        <f aca="false">AH116+AH117</f>
        <v>2800</v>
      </c>
      <c r="AI118" s="109" t="n">
        <f aca="false">AI116+AI117</f>
        <v>2800</v>
      </c>
      <c r="AJ118" s="109" t="n">
        <f aca="false">AJ116+AJ117</f>
        <v>2800</v>
      </c>
      <c r="AK118" s="109" t="n">
        <f aca="false">AK116+AK117</f>
        <v>2800</v>
      </c>
      <c r="AL118" s="109" t="n">
        <f aca="false">AL116+AL117</f>
        <v>2800</v>
      </c>
      <c r="AM118" s="109" t="n">
        <f aca="false">AM116+AM117</f>
        <v>3150</v>
      </c>
      <c r="AN118" s="109" t="n">
        <f aca="false">AN116+AN117</f>
        <v>3150</v>
      </c>
      <c r="AO118" s="109" t="n">
        <f aca="false">AO116+AO117</f>
        <v>3150</v>
      </c>
      <c r="AP118" s="109" t="n">
        <f aca="false">AP116+AP117</f>
        <v>3150</v>
      </c>
      <c r="AQ118" s="109" t="n">
        <f aca="false">AQ116+AQ117</f>
        <v>3150</v>
      </c>
      <c r="AR118" s="109" t="n">
        <f aca="false">AR116+AR117</f>
        <v>3150</v>
      </c>
      <c r="AS118" s="109" t="n">
        <f aca="false">AS116+AS117</f>
        <v>3150</v>
      </c>
      <c r="AT118" s="109" t="n">
        <f aca="false">AT116+AT117</f>
        <v>3150</v>
      </c>
      <c r="AU118" s="109" t="n">
        <f aca="false">AU116+AU117</f>
        <v>3150</v>
      </c>
      <c r="AV118" s="109" t="n">
        <f aca="false">AV116+AV117</f>
        <v>3150</v>
      </c>
      <c r="AW118" s="109" t="n">
        <f aca="false">AW116+AW117</f>
        <v>3150</v>
      </c>
      <c r="AX118" s="109" t="n">
        <f aca="false">AX116+AX117</f>
        <v>3150</v>
      </c>
      <c r="AY118" s="109" t="n">
        <f aca="false">AY116+AY117</f>
        <v>3500</v>
      </c>
      <c r="AZ118" s="109" t="n">
        <f aca="false">AZ116+AZ117</f>
        <v>3500</v>
      </c>
      <c r="BA118" s="109" t="n">
        <f aca="false">BA116+BA117</f>
        <v>3500</v>
      </c>
      <c r="BB118" s="109" t="n">
        <f aca="false">BB116+BB117</f>
        <v>3500</v>
      </c>
      <c r="BC118" s="109" t="n">
        <f aca="false">BC116+BC117</f>
        <v>3500</v>
      </c>
      <c r="BD118" s="109" t="n">
        <f aca="false">BD116+BD117</f>
        <v>3500</v>
      </c>
      <c r="BE118" s="109" t="n">
        <f aca="false">BE116+BE117</f>
        <v>3500</v>
      </c>
      <c r="BF118" s="109" t="n">
        <f aca="false">BF116+BF117</f>
        <v>3500</v>
      </c>
      <c r="BG118" s="109" t="n">
        <f aca="false">BG116+BG117</f>
        <v>3500</v>
      </c>
      <c r="BH118" s="109" t="n">
        <f aca="false">BH116+BH117</f>
        <v>3500</v>
      </c>
      <c r="BI118" s="109" t="n">
        <f aca="false">BI116+BI117</f>
        <v>3500</v>
      </c>
      <c r="BJ118" s="109" t="n">
        <f aca="false">BJ116+BJ117</f>
        <v>3500</v>
      </c>
      <c r="BK118" s="109" t="n">
        <f aca="false">BK116+BK117</f>
        <v>3850</v>
      </c>
      <c r="BL118" s="109" t="n">
        <f aca="false">BL116+BL117</f>
        <v>3850</v>
      </c>
      <c r="BM118" s="109" t="n">
        <f aca="false">BM116+BM117</f>
        <v>3850</v>
      </c>
      <c r="BN118" s="109" t="n">
        <f aca="false">BN116+BN117</f>
        <v>3850</v>
      </c>
      <c r="BO118" s="109" t="n">
        <f aca="false">BO116+BO117</f>
        <v>3850</v>
      </c>
      <c r="BP118" s="109" t="n">
        <f aca="false">BP116+BP117</f>
        <v>3850</v>
      </c>
      <c r="BQ118" s="109" t="n">
        <f aca="false">BQ116+BQ117</f>
        <v>3850</v>
      </c>
      <c r="BR118" s="109" t="n">
        <f aca="false">BR116+BR117</f>
        <v>3850</v>
      </c>
      <c r="BS118" s="109" t="n">
        <f aca="false">BS116+BS117</f>
        <v>3850</v>
      </c>
      <c r="BT118" s="109" t="n">
        <f aca="false">BT116+BT117</f>
        <v>3850</v>
      </c>
      <c r="BU118" s="109" t="n">
        <f aca="false">BU116+BU117</f>
        <v>3850</v>
      </c>
      <c r="BV118" s="109" t="n">
        <f aca="false">BV116+BV117</f>
        <v>3850</v>
      </c>
      <c r="BW118" s="109" t="n">
        <f aca="false">BW116+BW117</f>
        <v>4200</v>
      </c>
      <c r="BX118" s="109" t="n">
        <f aca="false">BX116+BX117</f>
        <v>4200</v>
      </c>
      <c r="BY118" s="109" t="n">
        <f aca="false">BY116+BY117</f>
        <v>4200</v>
      </c>
      <c r="BZ118" s="109" t="n">
        <f aca="false">BZ116+BZ117</f>
        <v>4200</v>
      </c>
      <c r="CA118" s="109" t="n">
        <f aca="false">CA116+CA117</f>
        <v>4200</v>
      </c>
      <c r="CB118" s="109" t="n">
        <f aca="false">CB116+CB117</f>
        <v>4200</v>
      </c>
      <c r="CC118" s="109" t="n">
        <f aca="false">CC116+CC117</f>
        <v>4200</v>
      </c>
      <c r="CD118" s="109" t="n">
        <f aca="false">CD116+CD117</f>
        <v>4200</v>
      </c>
      <c r="CE118" s="109" t="n">
        <f aca="false">CE116+CE117</f>
        <v>4200</v>
      </c>
      <c r="CF118" s="109" t="n">
        <f aca="false">CF116+CF117</f>
        <v>4200</v>
      </c>
      <c r="CG118" s="109" t="n">
        <f aca="false">CG116+CG117</f>
        <v>4200</v>
      </c>
      <c r="CH118" s="109" t="n">
        <f aca="false">CH116+CH117</f>
        <v>4200</v>
      </c>
    </row>
    <row r="119" customFormat="false" ht="13.5" hidden="false" customHeight="true" outlineLevel="0" collapsed="false"/>
    <row r="120" customFormat="false" ht="12.75" hidden="false" customHeight="true" outlineLevel="0" collapsed="false">
      <c r="A120" s="9" t="s">
        <v>616</v>
      </c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  <c r="BP120" s="9"/>
      <c r="BQ120" s="9"/>
      <c r="BR120" s="9"/>
      <c r="BS120" s="9"/>
      <c r="BT120" s="9"/>
      <c r="BU120" s="9"/>
      <c r="BV120" s="9"/>
      <c r="BW120" s="9"/>
      <c r="BX120" s="9"/>
      <c r="BY120" s="9"/>
      <c r="BZ120" s="9"/>
      <c r="CA120" s="9"/>
      <c r="CB120" s="9"/>
      <c r="CC120" s="9"/>
      <c r="CD120" s="9"/>
      <c r="CE120" s="9"/>
      <c r="CF120" s="9"/>
      <c r="CG120" s="9"/>
      <c r="CH120" s="9"/>
    </row>
    <row r="121" customFormat="false" ht="12.75" hidden="false" customHeight="true" outlineLevel="0" collapsed="false">
      <c r="A121" s="22" t="s">
        <v>617</v>
      </c>
      <c r="B121" s="121" t="n">
        <f aca="false">-Hipótesis!$D$93</f>
        <v>-100000</v>
      </c>
      <c r="C121" s="121" t="n">
        <f aca="false">C93+IF(Hipótesis!$D$94=5,IF(C$3=Hipótesis!$D$124,$C$158,0),IF(C$3=84,$C$134,0))</f>
        <v>0</v>
      </c>
      <c r="D121" s="121" t="n">
        <f aca="false">D93+IF(Hipótesis!$D$94=5,IF(D$3=Hipótesis!$D$124,$C$158,0),IF(D$3=84,$C$134,0))</f>
        <v>0</v>
      </c>
      <c r="E121" s="121" t="n">
        <f aca="false">E93+IF(Hipótesis!$D$94=5,IF(E$3=Hipótesis!$D$124,$C$158,0),IF(E$3=84,$C$134,0))</f>
        <v>0</v>
      </c>
      <c r="F121" s="121" t="n">
        <f aca="false">F93+IF(Hipótesis!$D$94=5,IF(F$3=Hipótesis!$D$124,$C$158,0),IF(F$3=84,$C$134,0))</f>
        <v>0</v>
      </c>
      <c r="G121" s="121" t="n">
        <f aca="false">G93+IF(Hipótesis!$D$94=5,IF(G$3=Hipótesis!$D$124,$C$158,0),IF(G$3=84,$C$134,0))</f>
        <v>0</v>
      </c>
      <c r="H121" s="121" t="n">
        <f aca="false">H93+IF(Hipótesis!$D$94=5,IF(H$3=Hipótesis!$D$124,$C$158,0),IF(H$3=84,$C$134,0))</f>
        <v>0</v>
      </c>
      <c r="I121" s="121" t="n">
        <f aca="false">I93+IF(Hipótesis!$D$94=5,IF(I$3=Hipótesis!$D$124,$C$158,0),IF(I$3=84,$C$134,0))</f>
        <v>0</v>
      </c>
      <c r="J121" s="121" t="n">
        <f aca="false">J93+IF(Hipótesis!$D$94=5,IF(J$3=Hipótesis!$D$124,$C$158,0),IF(J$3=84,$C$134,0))</f>
        <v>0</v>
      </c>
      <c r="K121" s="121" t="n">
        <f aca="false">K93+IF(Hipótesis!$D$94=5,IF(K$3=Hipótesis!$D$124,$C$158,0),IF(K$3=84,$C$134,0))</f>
        <v>0</v>
      </c>
      <c r="L121" s="121" t="n">
        <f aca="false">L93+IF(Hipótesis!$D$94=5,IF(L$3=Hipótesis!$D$124,$C$158,0),IF(L$3=84,$C$134,0))</f>
        <v>0</v>
      </c>
      <c r="M121" s="121" t="n">
        <f aca="false">M93+IF(Hipótesis!$D$94=5,IF(M$3=Hipótesis!$D$124,$C$158,0),IF(M$3=84,$C$134,0))</f>
        <v>0</v>
      </c>
      <c r="N121" s="121" t="n">
        <f aca="false">N93+IF(Hipótesis!$D$94=5,IF(N$3=Hipótesis!$D$124,$C$158,0),IF(N$3=84,$C$134,0))</f>
        <v>0</v>
      </c>
      <c r="O121" s="121" t="n">
        <f aca="false">O93+IF(Hipótesis!$D$94=5,IF(O$3=Hipótesis!$D$124,$C$158,0),IF(O$3=84,$C$134,0))</f>
        <v>0</v>
      </c>
      <c r="P121" s="121" t="n">
        <f aca="false">P93+IF(Hipótesis!$D$94=5,IF(P$3=Hipótesis!$D$124,$C$158,0),IF(P$3=84,$C$134,0))</f>
        <v>0</v>
      </c>
      <c r="Q121" s="121" t="n">
        <f aca="false">Q93+IF(Hipótesis!$D$94=5,IF(Q$3=Hipótesis!$D$124,$C$158,0),IF(Q$3=84,$C$134,0))</f>
        <v>0</v>
      </c>
      <c r="R121" s="121" t="n">
        <f aca="false">R93+IF(Hipótesis!$D$94=5,IF(R$3=Hipótesis!$D$124,$C$158,0),IF(R$3=84,$C$134,0))</f>
        <v>0</v>
      </c>
      <c r="S121" s="121" t="n">
        <f aca="false">S93+IF(Hipótesis!$D$94=5,IF(S$3=Hipótesis!$D$124,$C$158,0),IF(S$3=84,$C$134,0))</f>
        <v>0</v>
      </c>
      <c r="T121" s="121" t="n">
        <f aca="false">T93+IF(Hipótesis!$D$94=5,IF(T$3=Hipótesis!$D$124,$C$158,0),IF(T$3=84,$C$134,0))</f>
        <v>0</v>
      </c>
      <c r="U121" s="121" t="n">
        <f aca="false">U93+IF(Hipótesis!$D$94=5,IF(U$3=Hipótesis!$D$124,$C$158,0),IF(U$3=84,$C$134,0))</f>
        <v>0</v>
      </c>
      <c r="V121" s="121" t="n">
        <f aca="false">V93+IF(Hipótesis!$D$94=5,IF(V$3=Hipótesis!$D$124,$C$158,0),IF(V$3=84,$C$134,0))</f>
        <v>0</v>
      </c>
      <c r="W121" s="121" t="n">
        <f aca="false">W93+IF(Hipótesis!$D$94=5,IF(W$3=Hipótesis!$D$124,$C$158,0),IF(W$3=84,$C$134,0))</f>
        <v>0</v>
      </c>
      <c r="X121" s="121" t="n">
        <f aca="false">X93+IF(Hipótesis!$D$94=5,IF(X$3=Hipótesis!$D$124,$C$158,0),IF(X$3=84,$C$134,0))</f>
        <v>0</v>
      </c>
      <c r="Y121" s="121" t="n">
        <f aca="false">Y93+IF(Hipótesis!$D$94=5,IF(Y$3=Hipótesis!$D$124,$C$158,0),IF(Y$3=84,$C$134,0))</f>
        <v>0</v>
      </c>
      <c r="Z121" s="121" t="n">
        <f aca="false">Z93+IF(Hipótesis!$D$94=5,IF(Z$3=Hipótesis!$D$124,$C$158,0),IF(Z$3=84,$C$134,0))</f>
        <v>0</v>
      </c>
      <c r="AA121" s="121" t="n">
        <f aca="false">AA93+IF(Hipótesis!$D$94=5,IF(AA$3=Hipótesis!$D$124,$C$158,0),IF(AA$3=84,$C$134,0))</f>
        <v>0</v>
      </c>
      <c r="AB121" s="121" t="n">
        <f aca="false">AB93+IF(Hipótesis!$D$94=5,IF(AB$3=Hipótesis!$D$124,$C$158,0),IF(AB$3=84,$C$134,0))</f>
        <v>0</v>
      </c>
      <c r="AC121" s="121" t="n">
        <f aca="false">AC93+IF(Hipótesis!$D$94=5,IF(AC$3=Hipótesis!$D$124,$C$158,0),IF(AC$3=84,$C$134,0))</f>
        <v>0</v>
      </c>
      <c r="AD121" s="121" t="n">
        <f aca="false">AD93+IF(Hipótesis!$D$94=5,IF(AD$3=Hipótesis!$D$124,$C$158,0),IF(AD$3=84,$C$134,0))</f>
        <v>0</v>
      </c>
      <c r="AE121" s="121" t="n">
        <f aca="false">AE93+IF(Hipótesis!$D$94=5,IF(AE$3=Hipótesis!$D$124,$C$158,0),IF(AE$3=84,$C$134,0))</f>
        <v>0</v>
      </c>
      <c r="AF121" s="121" t="n">
        <f aca="false">AF93+IF(Hipótesis!$D$94=5,IF(AF$3=Hipótesis!$D$124,$C$158,0),IF(AF$3=84,$C$134,0))</f>
        <v>0</v>
      </c>
      <c r="AG121" s="121" t="n">
        <f aca="false">AG93+IF(Hipótesis!$D$94=5,IF(AG$3=Hipótesis!$D$124,$C$158,0),IF(AG$3=84,$C$134,0))</f>
        <v>0</v>
      </c>
      <c r="AH121" s="121" t="n">
        <f aca="false">AH93+IF(Hipótesis!$D$94=5,IF(AH$3=Hipótesis!$D$124,$C$158,0),IF(AH$3=84,$C$134,0))</f>
        <v>0</v>
      </c>
      <c r="AI121" s="121" t="n">
        <f aca="false">AI93+IF(Hipótesis!$D$94=5,IF(AI$3=Hipótesis!$D$124,$C$158,0),IF(AI$3=84,$C$134,0))</f>
        <v>0</v>
      </c>
      <c r="AJ121" s="121" t="n">
        <f aca="false">AJ93+IF(Hipótesis!$D$94=5,IF(AJ$3=Hipótesis!$D$124,$C$158,0),IF(AJ$3=84,$C$134,0))</f>
        <v>0</v>
      </c>
      <c r="AK121" s="121" t="n">
        <f aca="false">AK93+IF(Hipótesis!$D$94=5,IF(AK$3=Hipótesis!$D$124,$C$158,0),IF(AK$3=84,$C$134,0))</f>
        <v>0</v>
      </c>
      <c r="AL121" s="121" t="n">
        <f aca="false">AL93+IF(Hipótesis!$D$94=5,IF(AL$3=Hipótesis!$D$124,$C$158,0),IF(AL$3=84,$C$134,0))</f>
        <v>0</v>
      </c>
      <c r="AM121" s="121" t="n">
        <f aca="false">AM93+IF(Hipótesis!$D$94=5,IF(AM$3=Hipótesis!$D$124,$C$158,0),IF(AM$3=84,$C$134,0))</f>
        <v>0</v>
      </c>
      <c r="AN121" s="121" t="n">
        <f aca="false">AN93+IF(Hipótesis!$D$94=5,IF(AN$3=Hipótesis!$D$124,$C$158,0),IF(AN$3=84,$C$134,0))</f>
        <v>0</v>
      </c>
      <c r="AO121" s="121" t="n">
        <f aca="false">AO93+IF(Hipótesis!$D$94=5,IF(AO$3=Hipótesis!$D$124,$C$158,0),IF(AO$3=84,$C$134,0))</f>
        <v>0</v>
      </c>
      <c r="AP121" s="121" t="n">
        <f aca="false">AP93+IF(Hipótesis!$D$94=5,IF(AP$3=Hipótesis!$D$124,$C$158,0),IF(AP$3=84,$C$134,0))</f>
        <v>0</v>
      </c>
      <c r="AQ121" s="121" t="n">
        <f aca="false">AQ93+IF(Hipótesis!$D$94=5,IF(AQ$3=Hipótesis!$D$124,$C$158,0),IF(AQ$3=84,$C$134,0))</f>
        <v>0</v>
      </c>
      <c r="AR121" s="121" t="n">
        <f aca="false">AR93+IF(Hipótesis!$D$94=5,IF(AR$3=Hipótesis!$D$124,$C$158,0),IF(AR$3=84,$C$134,0))</f>
        <v>0</v>
      </c>
      <c r="AS121" s="121" t="n">
        <f aca="false">AS93+IF(Hipótesis!$D$94=5,IF(AS$3=Hipótesis!$D$124,$C$158,0),IF(AS$3=84,$C$134,0))</f>
        <v>0</v>
      </c>
      <c r="AT121" s="121" t="n">
        <f aca="false">AT93+IF(Hipótesis!$D$94=5,IF(AT$3=Hipótesis!$D$124,$C$158,0),IF(AT$3=84,$C$134,0))</f>
        <v>0</v>
      </c>
      <c r="AU121" s="121" t="n">
        <f aca="false">AU93+IF(Hipótesis!$D$94=5,IF(AU$3=Hipótesis!$D$124,$C$158,0),IF(AU$3=84,$C$134,0))</f>
        <v>0</v>
      </c>
      <c r="AV121" s="121" t="n">
        <f aca="false">AV93+IF(Hipótesis!$D$94=5,IF(AV$3=Hipótesis!$D$124,$C$158,0),IF(AV$3=84,$C$134,0))</f>
        <v>0</v>
      </c>
      <c r="AW121" s="121" t="n">
        <f aca="false">AW93+IF(Hipótesis!$D$94=5,IF(AW$3=Hipótesis!$D$124,$C$158,0),IF(AW$3=84,$C$134,0))</f>
        <v>0</v>
      </c>
      <c r="AX121" s="121" t="n">
        <f aca="false">AX93+IF(Hipótesis!$D$94=5,IF(AX$3=Hipótesis!$D$124,$C$158,0),IF(AX$3=84,$C$134,0))</f>
        <v>392115.052923805</v>
      </c>
      <c r="AY121" s="121" t="n">
        <f aca="false">AY93+IF(Hipótesis!$D$94=5,IF(AY$3=Hipótesis!$D$124,$C$158,0),IF(AY$3=84,$C$134,0))</f>
        <v>0</v>
      </c>
      <c r="AZ121" s="121" t="n">
        <f aca="false">AZ93+IF(Hipótesis!$D$94=5,IF(AZ$3=Hipótesis!$D$124,$C$158,0),IF(AZ$3=84,$C$134,0))</f>
        <v>0</v>
      </c>
      <c r="BA121" s="121" t="n">
        <f aca="false">BA93+IF(Hipótesis!$D$94=5,IF(BA$3=Hipótesis!$D$124,$C$158,0),IF(BA$3=84,$C$134,0))</f>
        <v>0</v>
      </c>
      <c r="BB121" s="121" t="n">
        <f aca="false">BB93+IF(Hipótesis!$D$94=5,IF(BB$3=Hipótesis!$D$124,$C$158,0),IF(BB$3=84,$C$134,0))</f>
        <v>0</v>
      </c>
      <c r="BC121" s="121" t="n">
        <f aca="false">BC93+IF(Hipótesis!$D$94=5,IF(BC$3=Hipótesis!$D$124,$C$158,0),IF(BC$3=84,$C$134,0))</f>
        <v>0</v>
      </c>
      <c r="BD121" s="121" t="n">
        <f aca="false">BD93+IF(Hipótesis!$D$94=5,IF(BD$3=Hipótesis!$D$124,$C$158,0),IF(BD$3=84,$C$134,0))</f>
        <v>0</v>
      </c>
      <c r="BE121" s="121" t="n">
        <f aca="false">BE93+IF(Hipótesis!$D$94=5,IF(BE$3=Hipótesis!$D$124,$C$158,0),IF(BE$3=84,$C$134,0))</f>
        <v>0</v>
      </c>
      <c r="BF121" s="121" t="n">
        <f aca="false">BF93+IF(Hipótesis!$D$94=5,IF(BF$3=Hipótesis!$D$124,$C$158,0),IF(BF$3=84,$C$134,0))</f>
        <v>0</v>
      </c>
      <c r="BG121" s="121" t="n">
        <f aca="false">BG93+IF(Hipótesis!$D$94=5,IF(BG$3=Hipótesis!$D$124,$C$158,0),IF(BG$3=84,$C$134,0))</f>
        <v>0</v>
      </c>
      <c r="BH121" s="121" t="n">
        <f aca="false">BH93+IF(Hipótesis!$D$94=5,IF(BH$3=Hipótesis!$D$124,$C$158,0),IF(BH$3=84,$C$134,0))</f>
        <v>0</v>
      </c>
      <c r="BI121" s="121" t="n">
        <f aca="false">BI93+IF(Hipótesis!$D$94=5,IF(BI$3=Hipótesis!$D$124,$C$158,0),IF(BI$3=84,$C$134,0))</f>
        <v>0</v>
      </c>
      <c r="BJ121" s="121" t="n">
        <f aca="false">BJ93+IF(Hipótesis!$D$94=5,IF(BJ$3=Hipótesis!$D$124,$C$158,0),IF(BJ$3=84,$C$134,0))</f>
        <v>0</v>
      </c>
      <c r="BK121" s="121" t="n">
        <f aca="false">BK93+IF(Hipótesis!$D$94=5,IF(BK$3=Hipótesis!$D$124,$C$158,0),IF(BK$3=84,$C$134,0))</f>
        <v>0</v>
      </c>
      <c r="BL121" s="121" t="n">
        <f aca="false">BL93+IF(Hipótesis!$D$94=5,IF(BL$3=Hipótesis!$D$124,$C$158,0),IF(BL$3=84,$C$134,0))</f>
        <v>0</v>
      </c>
      <c r="BM121" s="121" t="n">
        <f aca="false">BM93+IF(Hipótesis!$D$94=5,IF(BM$3=Hipótesis!$D$124,$C$158,0),IF(BM$3=84,$C$134,0))</f>
        <v>0</v>
      </c>
      <c r="BN121" s="121" t="n">
        <f aca="false">BN93+IF(Hipótesis!$D$94=5,IF(BN$3=Hipótesis!$D$124,$C$158,0),IF(BN$3=84,$C$134,0))</f>
        <v>0</v>
      </c>
      <c r="BO121" s="121" t="n">
        <f aca="false">BO93+IF(Hipótesis!$D$94=5,IF(BO$3=Hipótesis!$D$124,$C$158,0),IF(BO$3=84,$C$134,0))</f>
        <v>0</v>
      </c>
      <c r="BP121" s="121" t="n">
        <f aca="false">BP93+IF(Hipótesis!$D$94=5,IF(BP$3=Hipótesis!$D$124,$C$158,0),IF(BP$3=84,$C$134,0))</f>
        <v>0</v>
      </c>
      <c r="BQ121" s="121" t="n">
        <f aca="false">BQ93+IF(Hipótesis!$D$94=5,IF(BQ$3=Hipótesis!$D$124,$C$158,0),IF(BQ$3=84,$C$134,0))</f>
        <v>0</v>
      </c>
      <c r="BR121" s="121" t="n">
        <f aca="false">BR93+IF(Hipótesis!$D$94=5,IF(BR$3=Hipótesis!$D$124,$C$158,0),IF(BR$3=84,$C$134,0))</f>
        <v>0</v>
      </c>
      <c r="BS121" s="121" t="n">
        <f aca="false">BS93+IF(Hipótesis!$D$94=5,IF(BS$3=Hipótesis!$D$124,$C$158,0),IF(BS$3=84,$C$134,0))</f>
        <v>0</v>
      </c>
      <c r="BT121" s="121" t="n">
        <f aca="false">BT93+IF(Hipótesis!$D$94=5,IF(BT$3=Hipótesis!$D$124,$C$158,0),IF(BT$3=84,$C$134,0))</f>
        <v>0</v>
      </c>
      <c r="BU121" s="121" t="n">
        <f aca="false">BU93+IF(Hipótesis!$D$94=5,IF(BU$3=Hipótesis!$D$124,$C$158,0),IF(BU$3=84,$C$134,0))</f>
        <v>0</v>
      </c>
      <c r="BV121" s="121" t="n">
        <f aca="false">BV93+IF(Hipótesis!$D$94=5,IF(BV$3=Hipótesis!$D$124,$C$158,0),IF(BV$3=84,$C$134,0))</f>
        <v>0</v>
      </c>
      <c r="BW121" s="121" t="n">
        <f aca="false">BW93+IF(Hipótesis!$D$94=5,IF(BW$3=Hipótesis!$D$124,$C$158,0),IF(BW$3=84,$C$134,0))</f>
        <v>0</v>
      </c>
      <c r="BX121" s="121" t="n">
        <f aca="false">BX93+IF(Hipótesis!$D$94=5,IF(BX$3=Hipótesis!$D$124,$C$158,0),IF(BX$3=84,$C$134,0))</f>
        <v>0</v>
      </c>
      <c r="BY121" s="121" t="n">
        <f aca="false">BY93+IF(Hipótesis!$D$94=5,IF(BY$3=Hipótesis!$D$124,$C$158,0),IF(BY$3=84,$C$134,0))</f>
        <v>0</v>
      </c>
      <c r="BZ121" s="121" t="n">
        <f aca="false">BZ93+IF(Hipótesis!$D$94=5,IF(BZ$3=Hipótesis!$D$124,$C$158,0),IF(BZ$3=84,$C$134,0))</f>
        <v>0</v>
      </c>
      <c r="CA121" s="121" t="n">
        <f aca="false">CA93+IF(Hipótesis!$D$94=5,IF(CA$3=Hipótesis!$D$124,$C$158,0),IF(CA$3=84,$C$134,0))</f>
        <v>0</v>
      </c>
      <c r="CB121" s="121" t="n">
        <f aca="false">CB93+IF(Hipótesis!$D$94=5,IF(CB$3=Hipótesis!$D$124,$C$158,0),IF(CB$3=84,$C$134,0))</f>
        <v>0</v>
      </c>
      <c r="CC121" s="121" t="n">
        <f aca="false">CC93+IF(Hipótesis!$D$94=5,IF(CC$3=Hipótesis!$D$124,$C$158,0),IF(CC$3=84,$C$134,0))</f>
        <v>0</v>
      </c>
      <c r="CD121" s="121" t="n">
        <f aca="false">CD93+IF(Hipótesis!$D$94=5,IF(CD$3=Hipótesis!$D$124,$C$158,0),IF(CD$3=84,$C$134,0))</f>
        <v>0</v>
      </c>
      <c r="CE121" s="121" t="n">
        <f aca="false">CE93+IF(Hipótesis!$D$94=5,IF(CE$3=Hipótesis!$D$124,$C$158,0),IF(CE$3=84,$C$134,0))</f>
        <v>0</v>
      </c>
      <c r="CF121" s="121" t="n">
        <f aca="false">CF93+IF(Hipótesis!$D$94=5,IF(CF$3=Hipótesis!$D$124,$C$158,0),IF(CF$3=84,$C$134,0))</f>
        <v>0</v>
      </c>
      <c r="CG121" s="121" t="n">
        <f aca="false">CG93+IF(Hipótesis!$D$94=5,IF(CG$3=Hipótesis!$D$124,$C$158,0),IF(CG$3=84,$C$134,0))</f>
        <v>0</v>
      </c>
      <c r="CH121" s="121" t="n">
        <f aca="false">CH93+IF(Hipótesis!$D$94=5,IF(CH$3=Hipótesis!$D$124,$C$158,0),IF(CH$3=84,$C$134,0))</f>
        <v>0</v>
      </c>
    </row>
    <row r="122" customFormat="false" ht="12.75" hidden="false" customHeight="true" outlineLevel="0" collapsed="false">
      <c r="A122" s="6" t="s">
        <v>618</v>
      </c>
      <c r="B122" s="109" t="n">
        <f aca="false">Hipótesis!$D$122</f>
        <v>200000</v>
      </c>
      <c r="C122" s="109" t="n">
        <f aca="false">-C106-IF(Hipótesis!$D$94=5,IF(C$3=Hipótesis!$D$124,$C$158,0),IF(C$3=84,$C$134,0))</f>
        <v>-333.333333333333</v>
      </c>
      <c r="D122" s="109" t="n">
        <f aca="false">-D106-IF(Hipótesis!$D$94=5,IF(D$3=Hipótesis!$D$124,$C$158,0),IF(D$3=84,$C$134,0))</f>
        <v>-333.333333333333</v>
      </c>
      <c r="E122" s="109" t="n">
        <f aca="false">-E106-IF(Hipótesis!$D$94=5,IF(E$3=Hipótesis!$D$124,$C$158,0),IF(E$3=84,$C$134,0))</f>
        <v>-333.333333333333</v>
      </c>
      <c r="F122" s="109" t="n">
        <f aca="false">-F106-IF(Hipótesis!$D$94=5,IF(F$3=Hipótesis!$D$124,$C$158,0),IF(F$3=84,$C$134,0))</f>
        <v>-333.333333333333</v>
      </c>
      <c r="G122" s="109" t="n">
        <f aca="false">-G106-IF(Hipótesis!$D$94=5,IF(G$3=Hipótesis!$D$124,$C$158,0),IF(G$3=84,$C$134,0))</f>
        <v>-333.333333333333</v>
      </c>
      <c r="H122" s="109" t="n">
        <f aca="false">-H106-IF(Hipótesis!$D$94=5,IF(H$3=Hipótesis!$D$124,$C$158,0),IF(H$3=84,$C$134,0))</f>
        <v>-333.333333333333</v>
      </c>
      <c r="I122" s="109" t="n">
        <f aca="false">-I106-IF(Hipótesis!$D$94=5,IF(I$3=Hipótesis!$D$124,$C$158,0),IF(I$3=84,$C$134,0))</f>
        <v>-333.333333333333</v>
      </c>
      <c r="J122" s="109" t="n">
        <f aca="false">-J106-IF(Hipótesis!$D$94=5,IF(J$3=Hipótesis!$D$124,$C$158,0),IF(J$3=84,$C$134,0))</f>
        <v>-333.333333333333</v>
      </c>
      <c r="K122" s="109" t="n">
        <f aca="false">-K106-IF(Hipótesis!$D$94=5,IF(K$3=Hipótesis!$D$124,$C$158,0),IF(K$3=84,$C$134,0))</f>
        <v>-375.439900315389</v>
      </c>
      <c r="L122" s="109" t="n">
        <f aca="false">-L106-IF(Hipótesis!$D$94=5,IF(L$3=Hipótesis!$D$124,$C$158,0),IF(L$3=84,$C$134,0))</f>
        <v>-440.884673092289</v>
      </c>
      <c r="M122" s="109" t="n">
        <f aca="false">-M106-IF(Hipótesis!$D$94=5,IF(M$3=Hipótesis!$D$124,$C$158,0),IF(M$3=84,$C$134,0))</f>
        <v>-485.148360863772</v>
      </c>
      <c r="N122" s="109" t="n">
        <f aca="false">-N106-IF(Hipótesis!$D$94=5,IF(N$3=Hipótesis!$D$124,$C$158,0),IF(N$3=84,$C$134,0))</f>
        <v>-545.220722726882</v>
      </c>
      <c r="O122" s="109" t="n">
        <f aca="false">-O106-IF(Hipótesis!$D$94=5,IF(O$3=Hipótesis!$D$124,$C$158,0),IF(O$3=84,$C$134,0))</f>
        <v>-500.749084589993</v>
      </c>
      <c r="P122" s="109" t="n">
        <f aca="false">-P106-IF(Hipótesis!$D$94=5,IF(P$3=Hipótesis!$D$124,$C$158,0),IF(P$3=84,$C$134,0))</f>
        <v>-508.51733015176</v>
      </c>
      <c r="Q122" s="109" t="n">
        <f aca="false">-Q106-IF(Hipótesis!$D$94=5,IF(Q$3=Hipótesis!$D$124,$C$158,0),IF(Q$3=84,$C$134,0))</f>
        <v>-562.511975713528</v>
      </c>
      <c r="R122" s="109" t="n">
        <f aca="false">-R106-IF(Hipótesis!$D$94=5,IF(R$3=Hipótesis!$D$124,$C$158,0),IF(R$3=84,$C$134,0))</f>
        <v>-616.506621275295</v>
      </c>
      <c r="S122" s="109" t="n">
        <f aca="false">-S106-IF(Hipótesis!$D$94=5,IF(S$3=Hipótesis!$D$124,$C$158,0),IF(S$3=84,$C$134,0))</f>
        <v>-670.501266837063</v>
      </c>
      <c r="T122" s="109" t="n">
        <f aca="false">-T106-IF(Hipótesis!$D$94=5,IF(T$3=Hipótesis!$D$124,$C$158,0),IF(T$3=84,$C$134,0))</f>
        <v>-724.495912398831</v>
      </c>
      <c r="U122" s="109" t="n">
        <f aca="false">-U106-IF(Hipótesis!$D$94=5,IF(U$3=Hipótesis!$D$124,$C$158,0),IF(U$3=84,$C$134,0))</f>
        <v>-732.264157960599</v>
      </c>
      <c r="V122" s="109" t="n">
        <f aca="false">-V106-IF(Hipótesis!$D$94=5,IF(V$3=Hipótesis!$D$124,$C$158,0),IF(V$3=84,$C$134,0))</f>
        <v>-731.874803522366</v>
      </c>
      <c r="W122" s="109" t="n">
        <f aca="false">-W106-IF(Hipótesis!$D$94=5,IF(W$3=Hipótesis!$D$124,$C$158,0),IF(W$3=84,$C$134,0))</f>
        <v>-785.869449084133</v>
      </c>
      <c r="X122" s="109" t="n">
        <f aca="false">-X106-IF(Hipótesis!$D$94=5,IF(X$3=Hipótesis!$D$124,$C$158,0),IF(X$3=84,$C$134,0))</f>
        <v>-824.055420554274</v>
      </c>
      <c r="Y122" s="109" t="n">
        <f aca="false">-Y106-IF(Hipótesis!$D$94=5,IF(Y$3=Hipótesis!$D$124,$C$158,0),IF(Y$3=84,$C$134,0))</f>
        <v>-862.241392024414</v>
      </c>
      <c r="Z122" s="109" t="n">
        <f aca="false">-Z106-IF(Hipótesis!$D$94=5,IF(Z$3=Hipótesis!$D$124,$C$158,0),IF(Z$3=84,$C$134,0))</f>
        <v>-894.667653857903</v>
      </c>
      <c r="AA122" s="109" t="n">
        <f aca="false">-AA106-IF(Hipótesis!$D$94=5,IF(AA$3=Hipótesis!$D$124,$C$158,0),IF(AA$3=84,$C$134,0))</f>
        <v>-2548.12395835806</v>
      </c>
      <c r="AB122" s="109" t="n">
        <f aca="false">-AB106-IF(Hipótesis!$D$94=5,IF(AB$3=Hipótesis!$D$124,$C$158,0),IF(AB$3=84,$C$134,0))</f>
        <v>-2527.38147263599</v>
      </c>
      <c r="AC122" s="109" t="n">
        <f aca="false">-AC106-IF(Hipótesis!$D$94=5,IF(AC$3=Hipótesis!$D$124,$C$158,0),IF(AC$3=84,$C$134,0))</f>
        <v>-2554.25217891393</v>
      </c>
      <c r="AD122" s="109" t="n">
        <f aca="false">-AD106-IF(Hipótesis!$D$94=5,IF(AD$3=Hipótesis!$D$124,$C$158,0),IF(AD$3=84,$C$134,0))</f>
        <v>-2581.12288519186</v>
      </c>
      <c r="AE122" s="109" t="n">
        <f aca="false">-AE106-IF(Hipótesis!$D$94=5,IF(AE$3=Hipótesis!$D$124,$C$158,0),IF(AE$3=84,$C$134,0))</f>
        <v>-2607.99359146979</v>
      </c>
      <c r="AF122" s="109" t="n">
        <f aca="false">-AF106-IF(Hipótesis!$D$94=5,IF(AF$3=Hipótesis!$D$124,$C$158,0),IF(AF$3=84,$C$134,0))</f>
        <v>-2634.86429774773</v>
      </c>
      <c r="AG122" s="109" t="n">
        <f aca="false">-AG106-IF(Hipótesis!$D$94=5,IF(AG$3=Hipótesis!$D$124,$C$158,0),IF(AG$3=84,$C$134,0))</f>
        <v>-2661.73500402566</v>
      </c>
      <c r="AH122" s="109" t="n">
        <f aca="false">-AH106-IF(Hipótesis!$D$94=5,IF(AH$3=Hipótesis!$D$124,$C$158,0),IF(AH$3=84,$C$134,0))</f>
        <v>-2688.6057103036</v>
      </c>
      <c r="AI122" s="109" t="n">
        <f aca="false">-AI106-IF(Hipótesis!$D$94=5,IF(AI$3=Hipótesis!$D$124,$C$158,0),IF(AI$3=84,$C$134,0))</f>
        <v>-2715.47641658153</v>
      </c>
      <c r="AJ122" s="109" t="n">
        <f aca="false">-AJ106-IF(Hipótesis!$D$94=5,IF(AJ$3=Hipótesis!$D$124,$C$158,0),IF(AJ$3=84,$C$134,0))</f>
        <v>-2742.34712285946</v>
      </c>
      <c r="AK122" s="109" t="n">
        <f aca="false">-AK106-IF(Hipótesis!$D$94=5,IF(AK$3=Hipótesis!$D$124,$C$158,0),IF(AK$3=84,$C$134,0))</f>
        <v>-2769.2178291374</v>
      </c>
      <c r="AL122" s="109" t="n">
        <f aca="false">-AL106-IF(Hipótesis!$D$94=5,IF(AL$3=Hipótesis!$D$124,$C$158,0),IF(AL$3=84,$C$134,0))</f>
        <v>-2796.08853541533</v>
      </c>
      <c r="AM122" s="109" t="n">
        <f aca="false">-AM106-IF(Hipótesis!$D$94=5,IF(AM$3=Hipótesis!$D$124,$C$158,0),IF(AM$3=84,$C$134,0))</f>
        <v>-2726.67153545326</v>
      </c>
      <c r="AN122" s="109" t="n">
        <f aca="false">-AN106-IF(Hipótesis!$D$94=5,IF(AN$3=Hipótesis!$D$124,$C$158,0),IF(AN$3=84,$C$134,0))</f>
        <v>-2753.5422417312</v>
      </c>
      <c r="AO122" s="109" t="n">
        <f aca="false">-AO106-IF(Hipótesis!$D$94=5,IF(AO$3=Hipótesis!$D$124,$C$158,0),IF(AO$3=84,$C$134,0))</f>
        <v>-2780.41294800913</v>
      </c>
      <c r="AP122" s="109" t="n">
        <f aca="false">-AP106-IF(Hipótesis!$D$94=5,IF(AP$3=Hipótesis!$D$124,$C$158,0),IF(AP$3=84,$C$134,0))</f>
        <v>-2807.28365428706</v>
      </c>
      <c r="AQ122" s="109" t="n">
        <f aca="false">-AQ106-IF(Hipótesis!$D$94=5,IF(AQ$3=Hipótesis!$D$124,$C$158,0),IF(AQ$3=84,$C$134,0))</f>
        <v>-2834.154360565</v>
      </c>
      <c r="AR122" s="109" t="n">
        <f aca="false">-AR106-IF(Hipótesis!$D$94=5,IF(AR$3=Hipótesis!$D$124,$C$158,0),IF(AR$3=84,$C$134,0))</f>
        <v>-2861.02506684293</v>
      </c>
      <c r="AS122" s="109" t="n">
        <f aca="false">-AS106-IF(Hipótesis!$D$94=5,IF(AS$3=Hipótesis!$D$124,$C$158,0),IF(AS$3=84,$C$134,0))</f>
        <v>-2855.46951128738</v>
      </c>
      <c r="AT122" s="109" t="n">
        <f aca="false">-AT106-IF(Hipótesis!$D$94=5,IF(AT$3=Hipótesis!$D$124,$C$158,0),IF(AT$3=84,$C$134,0))</f>
        <v>-2849.91395573182</v>
      </c>
      <c r="AU122" s="109" t="n">
        <f aca="false">-AU106-IF(Hipótesis!$D$94=5,IF(AU$3=Hipótesis!$D$124,$C$158,0),IF(AU$3=84,$C$134,0))</f>
        <v>-2844.35840017627</v>
      </c>
      <c r="AV122" s="109" t="n">
        <f aca="false">-AV106-IF(Hipótesis!$D$94=5,IF(AV$3=Hipótesis!$D$124,$C$158,0),IF(AV$3=84,$C$134,0))</f>
        <v>-2838.80284462071</v>
      </c>
      <c r="AW122" s="109" t="n">
        <f aca="false">-AW106-IF(Hipótesis!$D$94=5,IF(AW$3=Hipótesis!$D$124,$C$158,0),IF(AW$3=84,$C$134,0))</f>
        <v>-2833.24728906515</v>
      </c>
      <c r="AX122" s="109" t="n">
        <f aca="false">-AX106-IF(Hipótesis!$D$94=5,IF(AX$3=Hipótesis!$D$124,$C$158,0),IF(AX$3=84,$C$134,0))</f>
        <v>-394942.744657314</v>
      </c>
      <c r="AY122" s="109" t="n">
        <f aca="false">-AY106-IF(Hipótesis!$D$94=5,IF(AY$3=Hipótesis!$D$124,$C$158,0),IF(AY$3=84,$C$134,0))</f>
        <v>-2773.18942828684</v>
      </c>
      <c r="AZ122" s="109" t="n">
        <f aca="false">-AZ106-IF(Hipótesis!$D$94=5,IF(AZ$3=Hipótesis!$D$124,$C$158,0),IF(AZ$3=84,$C$134,0))</f>
        <v>-2767.63387273129</v>
      </c>
      <c r="BA122" s="109" t="n">
        <f aca="false">-BA106-IF(Hipótesis!$D$94=5,IF(BA$3=Hipótesis!$D$124,$C$158,0),IF(BA$3=84,$C$134,0))</f>
        <v>-2762.07831717573</v>
      </c>
      <c r="BB122" s="109" t="n">
        <f aca="false">-BB106-IF(Hipótesis!$D$94=5,IF(BB$3=Hipótesis!$D$124,$C$158,0),IF(BB$3=84,$C$134,0))</f>
        <v>-2756.52276162018</v>
      </c>
      <c r="BC122" s="109" t="n">
        <f aca="false">-BC106-IF(Hipótesis!$D$94=5,IF(BC$3=Hipótesis!$D$124,$C$158,0),IF(BC$3=84,$C$134,0))</f>
        <v>-2750.96720606462</v>
      </c>
      <c r="BD122" s="109" t="n">
        <f aca="false">-BD106-IF(Hipótesis!$D$94=5,IF(BD$3=Hipótesis!$D$124,$C$158,0),IF(BD$3=84,$C$134,0))</f>
        <v>-2745.41165050907</v>
      </c>
      <c r="BE122" s="109" t="n">
        <f aca="false">-BE106-IF(Hipótesis!$D$94=5,IF(BE$3=Hipótesis!$D$124,$C$158,0),IF(BE$3=84,$C$134,0))</f>
        <v>-2739.85609495351</v>
      </c>
      <c r="BF122" s="109" t="n">
        <f aca="false">-BF106-IF(Hipótesis!$D$94=5,IF(BF$3=Hipótesis!$D$124,$C$158,0),IF(BF$3=84,$C$134,0))</f>
        <v>-2734.30053939795</v>
      </c>
      <c r="BG122" s="109" t="n">
        <f aca="false">-BG106-IF(Hipótesis!$D$94=5,IF(BG$3=Hipótesis!$D$124,$C$158,0),IF(BG$3=84,$C$134,0))</f>
        <v>-2728.7449838424</v>
      </c>
      <c r="BH122" s="109" t="n">
        <f aca="false">-BH106-IF(Hipótesis!$D$94=5,IF(BH$3=Hipótesis!$D$124,$C$158,0),IF(BH$3=84,$C$134,0))</f>
        <v>-2723.18942828684</v>
      </c>
      <c r="BI122" s="109" t="n">
        <f aca="false">-BI106-IF(Hipótesis!$D$94=5,IF(BI$3=Hipótesis!$D$124,$C$158,0),IF(BI$3=84,$C$134,0))</f>
        <v>-2717.63387273129</v>
      </c>
      <c r="BJ122" s="109" t="n">
        <f aca="false">-BJ106-IF(Hipótesis!$D$94=5,IF(BJ$3=Hipótesis!$D$124,$C$158,0),IF(BJ$3=84,$C$134,0))</f>
        <v>-2712.07831717573</v>
      </c>
      <c r="BK122" s="109" t="n">
        <f aca="false">-BK106-IF(Hipótesis!$D$94=5,IF(BK$3=Hipótesis!$D$124,$C$158,0),IF(BK$3=84,$C$134,0))</f>
        <v>-2657.29560946296</v>
      </c>
      <c r="BL122" s="109" t="n">
        <f aca="false">-BL106-IF(Hipótesis!$D$94=5,IF(BL$3=Hipótesis!$D$124,$C$158,0),IF(BL$3=84,$C$134,0))</f>
        <v>-2651.74005390741</v>
      </c>
      <c r="BM122" s="109" t="n">
        <f aca="false">-BM106-IF(Hipótesis!$D$94=5,IF(BM$3=Hipótesis!$D$124,$C$158,0),IF(BM$3=84,$C$134,0))</f>
        <v>-2646.18449835185</v>
      </c>
      <c r="BN122" s="109" t="n">
        <f aca="false">-BN106-IF(Hipótesis!$D$94=5,IF(BN$3=Hipótesis!$D$124,$C$158,0),IF(BN$3=84,$C$134,0))</f>
        <v>-2640.62894279629</v>
      </c>
      <c r="BO122" s="109" t="n">
        <f aca="false">-BO106-IF(Hipótesis!$D$94=5,IF(BO$3=Hipótesis!$D$124,$C$158,0),IF(BO$3=84,$C$134,0))</f>
        <v>-2635.07338724074</v>
      </c>
      <c r="BP122" s="109" t="n">
        <f aca="false">-BP106-IF(Hipótesis!$D$94=5,IF(BP$3=Hipótesis!$D$124,$C$158,0),IF(BP$3=84,$C$134,0))</f>
        <v>-2629.51783168518</v>
      </c>
      <c r="BQ122" s="109" t="n">
        <f aca="false">-BQ106-IF(Hipótesis!$D$94=5,IF(BQ$3=Hipótesis!$D$124,$C$158,0),IF(BQ$3=84,$C$134,0))</f>
        <v>-2623.96227612963</v>
      </c>
      <c r="BR122" s="109" t="n">
        <f aca="false">-BR106-IF(Hipótesis!$D$94=5,IF(BR$3=Hipótesis!$D$124,$C$158,0),IF(BR$3=84,$C$134,0))</f>
        <v>-2618.40672057407</v>
      </c>
      <c r="BS122" s="109" t="n">
        <f aca="false">-BS106-IF(Hipótesis!$D$94=5,IF(BS$3=Hipótesis!$D$124,$C$158,0),IF(BS$3=84,$C$134,0))</f>
        <v>-2612.85116501852</v>
      </c>
      <c r="BT122" s="109" t="n">
        <f aca="false">-BT106-IF(Hipótesis!$D$94=5,IF(BT$3=Hipótesis!$D$124,$C$158,0),IF(BT$3=84,$C$134,0))</f>
        <v>-2607.29560946296</v>
      </c>
      <c r="BU122" s="109" t="n">
        <f aca="false">-BU106-IF(Hipótesis!$D$94=5,IF(BU$3=Hipótesis!$D$124,$C$158,0),IF(BU$3=84,$C$134,0))</f>
        <v>-2601.74005390741</v>
      </c>
      <c r="BV122" s="109" t="n">
        <f aca="false">-BV106-IF(Hipótesis!$D$94=5,IF(BV$3=Hipótesis!$D$124,$C$158,0),IF(BV$3=84,$C$134,0))</f>
        <v>-2596.18449835185</v>
      </c>
      <c r="BW122" s="109" t="n">
        <f aca="false">-BW106-IF(Hipótesis!$D$94=5,IF(BW$3=Hipótesis!$D$124,$C$158,0),IF(BW$3=84,$C$134,0))</f>
        <v>-2541.11297607436</v>
      </c>
      <c r="BX122" s="109" t="n">
        <f aca="false">-BX106-IF(Hipótesis!$D$94=5,IF(BX$3=Hipótesis!$D$124,$C$158,0),IF(BX$3=84,$C$134,0))</f>
        <v>-2535.55742051881</v>
      </c>
      <c r="BY122" s="109" t="n">
        <f aca="false">-BY106-IF(Hipótesis!$D$94=5,IF(BY$3=Hipótesis!$D$124,$C$158,0),IF(BY$3=84,$C$134,0))</f>
        <v>-2530.00186496325</v>
      </c>
      <c r="BZ122" s="109" t="n">
        <f aca="false">-BZ106-IF(Hipótesis!$D$94=5,IF(BZ$3=Hipótesis!$D$124,$C$158,0),IF(BZ$3=84,$C$134,0))</f>
        <v>-2524.44630940769</v>
      </c>
      <c r="CA122" s="109" t="n">
        <f aca="false">-CA106-IF(Hipótesis!$D$94=5,IF(CA$3=Hipótesis!$D$124,$C$158,0),IF(CA$3=84,$C$134,0))</f>
        <v>-2518.89075385214</v>
      </c>
      <c r="CB122" s="109" t="n">
        <f aca="false">-CB106-IF(Hipótesis!$D$94=5,IF(CB$3=Hipótesis!$D$124,$C$158,0),IF(CB$3=84,$C$134,0))</f>
        <v>-2513.33519829658</v>
      </c>
      <c r="CC122" s="109" t="n">
        <f aca="false">-CC106-IF(Hipótesis!$D$94=5,IF(CC$3=Hipótesis!$D$124,$C$158,0),IF(CC$3=84,$C$134,0))</f>
        <v>-2507.77964274103</v>
      </c>
      <c r="CD122" s="109" t="n">
        <f aca="false">-CD106-IF(Hipótesis!$D$94=5,IF(CD$3=Hipótesis!$D$124,$C$158,0),IF(CD$3=84,$C$134,0))</f>
        <v>-2502.22408718547</v>
      </c>
      <c r="CE122" s="109" t="n">
        <f aca="false">-CE106-IF(Hipótesis!$D$94=5,IF(CE$3=Hipótesis!$D$124,$C$158,0),IF(CE$3=84,$C$134,0))</f>
        <v>-2496.66853162992</v>
      </c>
      <c r="CF122" s="109" t="n">
        <f aca="false">-CF106-IF(Hipótesis!$D$94=5,IF(CF$3=Hipótesis!$D$124,$C$158,0),IF(CF$3=84,$C$134,0))</f>
        <v>-2491.11297607436</v>
      </c>
      <c r="CG122" s="109" t="n">
        <f aca="false">-CG106-IF(Hipótesis!$D$94=5,IF(CG$3=Hipótesis!$D$124,$C$158,0),IF(CG$3=84,$C$134,0))</f>
        <v>-2485.55742051881</v>
      </c>
      <c r="CH122" s="109" t="n">
        <f aca="false">-CH106-IF(Hipótesis!$D$94=5,IF(CH$3=Hipótesis!$D$124,$C$158,0),IF(CH$3=84,$C$134,0))</f>
        <v>-2480.00186496319</v>
      </c>
    </row>
    <row r="123" customFormat="false" ht="12.75" hidden="false" customHeight="true" outlineLevel="0" collapsed="false">
      <c r="A123" s="6" t="s">
        <v>619</v>
      </c>
      <c r="B123" s="109" t="n">
        <f aca="false">-Hipótesis!$D$105</f>
        <v>-100000</v>
      </c>
      <c r="C123" s="109" t="n">
        <f aca="false">C99</f>
        <v>333.333333333333</v>
      </c>
      <c r="D123" s="109" t="n">
        <f aca="false">D99</f>
        <v>333.333333333333</v>
      </c>
      <c r="E123" s="109" t="n">
        <f aca="false">E99</f>
        <v>333.333333333333</v>
      </c>
      <c r="F123" s="109" t="n">
        <f aca="false">F99</f>
        <v>333.333333333333</v>
      </c>
      <c r="G123" s="109" t="n">
        <f aca="false">G99</f>
        <v>333.333333333333</v>
      </c>
      <c r="H123" s="109" t="n">
        <f aca="false">H99</f>
        <v>333.333333333333</v>
      </c>
      <c r="I123" s="109" t="n">
        <f aca="false">I99</f>
        <v>333.333333333333</v>
      </c>
      <c r="J123" s="109" t="n">
        <f aca="false">J99</f>
        <v>333.333333333333</v>
      </c>
      <c r="K123" s="109" t="n">
        <f aca="false">K99</f>
        <v>375.439900315389</v>
      </c>
      <c r="L123" s="109" t="n">
        <f aca="false">L99</f>
        <v>440.884673092289</v>
      </c>
      <c r="M123" s="109" t="n">
        <f aca="false">M99</f>
        <v>485.148360863772</v>
      </c>
      <c r="N123" s="109" t="n">
        <f aca="false">N99</f>
        <v>545.220722726882</v>
      </c>
      <c r="O123" s="109" t="n">
        <f aca="false">O99</f>
        <v>500.749084589993</v>
      </c>
      <c r="P123" s="109" t="n">
        <f aca="false">P99</f>
        <v>508.51733015176</v>
      </c>
      <c r="Q123" s="109" t="n">
        <f aca="false">Q99</f>
        <v>562.511975713528</v>
      </c>
      <c r="R123" s="109" t="n">
        <f aca="false">R99</f>
        <v>616.506621275295</v>
      </c>
      <c r="S123" s="109" t="n">
        <f aca="false">S99</f>
        <v>670.501266837063</v>
      </c>
      <c r="T123" s="109" t="n">
        <f aca="false">T99</f>
        <v>724.495912398831</v>
      </c>
      <c r="U123" s="109" t="n">
        <f aca="false">U99</f>
        <v>732.264157960599</v>
      </c>
      <c r="V123" s="109" t="n">
        <f aca="false">V99</f>
        <v>731.874803522366</v>
      </c>
      <c r="W123" s="109" t="n">
        <f aca="false">W99</f>
        <v>785.869449084133</v>
      </c>
      <c r="X123" s="109" t="n">
        <f aca="false">X99</f>
        <v>824.055420554274</v>
      </c>
      <c r="Y123" s="109" t="n">
        <f aca="false">Y99</f>
        <v>862.241392024414</v>
      </c>
      <c r="Z123" s="109" t="n">
        <f aca="false">Z99</f>
        <v>894.667653857903</v>
      </c>
      <c r="AA123" s="109" t="n">
        <f aca="false">AA99</f>
        <v>2548.12395835806</v>
      </c>
      <c r="AB123" s="109" t="n">
        <f aca="false">AB99</f>
        <v>2527.38147263599</v>
      </c>
      <c r="AC123" s="109" t="n">
        <f aca="false">AC99</f>
        <v>2554.25217891393</v>
      </c>
      <c r="AD123" s="109" t="n">
        <f aca="false">AD99</f>
        <v>2581.12288519186</v>
      </c>
      <c r="AE123" s="109" t="n">
        <f aca="false">AE99</f>
        <v>2607.99359146979</v>
      </c>
      <c r="AF123" s="109" t="n">
        <f aca="false">AF99</f>
        <v>2634.86429774773</v>
      </c>
      <c r="AG123" s="109" t="n">
        <f aca="false">AG99</f>
        <v>2661.73500402566</v>
      </c>
      <c r="AH123" s="109" t="n">
        <f aca="false">AH99</f>
        <v>2688.6057103036</v>
      </c>
      <c r="AI123" s="109" t="n">
        <f aca="false">AI99</f>
        <v>2715.47641658153</v>
      </c>
      <c r="AJ123" s="109" t="n">
        <f aca="false">AJ99</f>
        <v>2742.34712285946</v>
      </c>
      <c r="AK123" s="109" t="n">
        <f aca="false">AK99</f>
        <v>2769.2178291374</v>
      </c>
      <c r="AL123" s="109" t="n">
        <f aca="false">AL99</f>
        <v>2796.08853541533</v>
      </c>
      <c r="AM123" s="109" t="n">
        <f aca="false">AM99</f>
        <v>2726.67153545326</v>
      </c>
      <c r="AN123" s="109" t="n">
        <f aca="false">AN99</f>
        <v>2753.5422417312</v>
      </c>
      <c r="AO123" s="109" t="n">
        <f aca="false">AO99</f>
        <v>2780.41294800913</v>
      </c>
      <c r="AP123" s="109" t="n">
        <f aca="false">AP99</f>
        <v>2807.28365428706</v>
      </c>
      <c r="AQ123" s="109" t="n">
        <f aca="false">AQ99</f>
        <v>2834.154360565</v>
      </c>
      <c r="AR123" s="109" t="n">
        <f aca="false">AR99</f>
        <v>2861.02506684293</v>
      </c>
      <c r="AS123" s="109" t="n">
        <f aca="false">AS99</f>
        <v>2855.46951128738</v>
      </c>
      <c r="AT123" s="109" t="n">
        <f aca="false">AT99</f>
        <v>2849.91395573182</v>
      </c>
      <c r="AU123" s="109" t="n">
        <f aca="false">AU99</f>
        <v>2844.35840017627</v>
      </c>
      <c r="AV123" s="109" t="n">
        <f aca="false">AV99</f>
        <v>2838.80284462071</v>
      </c>
      <c r="AW123" s="109" t="n">
        <f aca="false">AW99</f>
        <v>2833.24728906515</v>
      </c>
      <c r="AX123" s="109" t="n">
        <f aca="false">AX99</f>
        <v>2827.6917335096</v>
      </c>
      <c r="AY123" s="109" t="n">
        <f aca="false">AY99</f>
        <v>2773.18942828684</v>
      </c>
      <c r="AZ123" s="109" t="n">
        <f aca="false">AZ99</f>
        <v>2767.63387273129</v>
      </c>
      <c r="BA123" s="109" t="n">
        <f aca="false">BA99</f>
        <v>2762.07831717573</v>
      </c>
      <c r="BB123" s="109" t="n">
        <f aca="false">BB99</f>
        <v>2756.52276162018</v>
      </c>
      <c r="BC123" s="109" t="n">
        <f aca="false">BC99</f>
        <v>2750.96720606462</v>
      </c>
      <c r="BD123" s="109" t="n">
        <f aca="false">BD99</f>
        <v>2745.41165050907</v>
      </c>
      <c r="BE123" s="109" t="n">
        <f aca="false">BE99</f>
        <v>2739.85609495351</v>
      </c>
      <c r="BF123" s="109" t="n">
        <f aca="false">BF99</f>
        <v>2734.30053939795</v>
      </c>
      <c r="BG123" s="109" t="n">
        <f aca="false">BG99</f>
        <v>2728.7449838424</v>
      </c>
      <c r="BH123" s="109" t="n">
        <f aca="false">BH99</f>
        <v>2723.18942828684</v>
      </c>
      <c r="BI123" s="109" t="n">
        <f aca="false">BI99</f>
        <v>2717.63387273129</v>
      </c>
      <c r="BJ123" s="109" t="n">
        <f aca="false">BJ99</f>
        <v>2712.07831717573</v>
      </c>
      <c r="BK123" s="109" t="n">
        <f aca="false">BK99</f>
        <v>2657.29560946296</v>
      </c>
      <c r="BL123" s="109" t="n">
        <f aca="false">BL99</f>
        <v>2651.74005390741</v>
      </c>
      <c r="BM123" s="109" t="n">
        <f aca="false">BM99</f>
        <v>2646.18449835185</v>
      </c>
      <c r="BN123" s="109" t="n">
        <f aca="false">BN99</f>
        <v>2640.62894279629</v>
      </c>
      <c r="BO123" s="109" t="n">
        <f aca="false">BO99</f>
        <v>2635.07338724074</v>
      </c>
      <c r="BP123" s="109" t="n">
        <f aca="false">BP99</f>
        <v>2629.51783168518</v>
      </c>
      <c r="BQ123" s="109" t="n">
        <f aca="false">BQ99</f>
        <v>2623.96227612963</v>
      </c>
      <c r="BR123" s="109" t="n">
        <f aca="false">BR99</f>
        <v>2618.40672057407</v>
      </c>
      <c r="BS123" s="109" t="n">
        <f aca="false">BS99</f>
        <v>2612.85116501852</v>
      </c>
      <c r="BT123" s="109" t="n">
        <f aca="false">BT99</f>
        <v>2607.29560946296</v>
      </c>
      <c r="BU123" s="109" t="n">
        <f aca="false">BU99</f>
        <v>2601.74005390741</v>
      </c>
      <c r="BV123" s="109" t="n">
        <f aca="false">BV99</f>
        <v>2596.18449835185</v>
      </c>
      <c r="BW123" s="109" t="n">
        <f aca="false">BW99</f>
        <v>2541.11297607436</v>
      </c>
      <c r="BX123" s="109" t="n">
        <f aca="false">BX99</f>
        <v>2535.55742051881</v>
      </c>
      <c r="BY123" s="109" t="n">
        <f aca="false">BY99</f>
        <v>2530.00186496325</v>
      </c>
      <c r="BZ123" s="109" t="n">
        <f aca="false">BZ99</f>
        <v>2524.44630940769</v>
      </c>
      <c r="CA123" s="109" t="n">
        <f aca="false">CA99</f>
        <v>2518.89075385214</v>
      </c>
      <c r="CB123" s="109" t="n">
        <f aca="false">CB99</f>
        <v>2513.33519829658</v>
      </c>
      <c r="CC123" s="109" t="n">
        <f aca="false">CC99</f>
        <v>2507.77964274103</v>
      </c>
      <c r="CD123" s="109" t="n">
        <f aca="false">CD99</f>
        <v>2502.22408718547</v>
      </c>
      <c r="CE123" s="109" t="n">
        <f aca="false">CE99</f>
        <v>2496.66853162992</v>
      </c>
      <c r="CF123" s="109" t="n">
        <f aca="false">CF99</f>
        <v>2491.11297607436</v>
      </c>
      <c r="CG123" s="109" t="n">
        <f aca="false">CG99</f>
        <v>2485.55742051881</v>
      </c>
      <c r="CH123" s="109" t="n">
        <f aca="false">CH99</f>
        <v>2480.00186496319</v>
      </c>
    </row>
    <row r="124" customFormat="false" ht="13.5" hidden="false" customHeight="true" outlineLevel="0" collapsed="false"/>
    <row r="125" customFormat="false" ht="13.5" hidden="false" customHeight="true" outlineLevel="0" collapsed="false">
      <c r="A125" s="9" t="s">
        <v>620</v>
      </c>
      <c r="B125" s="9"/>
    </row>
    <row r="126" customFormat="false" ht="13.5" hidden="false" customHeight="true" outlineLevel="0" collapsed="false">
      <c r="A126" s="6" t="s">
        <v>621</v>
      </c>
      <c r="C126" s="14" t="n">
        <f aca="false">Hipótesis!$D$93</f>
        <v>100000</v>
      </c>
    </row>
    <row r="127" customFormat="false" ht="13.5" hidden="false" customHeight="true" outlineLevel="0" collapsed="false">
      <c r="A127" s="6" t="s">
        <v>622</v>
      </c>
      <c r="C127" s="17" t="n">
        <f aca="false">IFERROR(IRR($B$121:$CH$121,0.02),"n.d.")</f>
        <v>0.0288753953061455</v>
      </c>
    </row>
    <row r="128" customFormat="false" ht="13.5" hidden="false" customHeight="true" outlineLevel="0" collapsed="false">
      <c r="A128" s="6" t="s">
        <v>85</v>
      </c>
      <c r="C128" s="17" t="n">
        <f aca="false">IFERROR((1+IRR($B$121:$CH$121,0.02))^12-1,"n.d.")</f>
        <v>0.407192068804255</v>
      </c>
    </row>
    <row r="129" customFormat="false" ht="13.5" hidden="false" customHeight="true" outlineLevel="0" collapsed="false">
      <c r="A129" s="6" t="s">
        <v>623</v>
      </c>
      <c r="C129" s="21" t="n">
        <f aca="false">IFERROR(SUM($C$121:$CH$121)/$C$126,0)</f>
        <v>3.92115052923805</v>
      </c>
    </row>
    <row r="130" customFormat="false" ht="13.5" hidden="false" customHeight="true" outlineLevel="0" collapsed="false">
      <c r="A130" s="6" t="s">
        <v>57</v>
      </c>
      <c r="C130" s="15" t="n">
        <f aca="false">IFERROR(COUNTIF($C$94:$CH$94,"&lt;"&amp;$C$126)+1,"n.d.")</f>
        <v>48</v>
      </c>
    </row>
    <row r="131" customFormat="false" ht="13.5" hidden="false" customHeight="true" outlineLevel="0" collapsed="false">
      <c r="A131" s="6" t="s">
        <v>624</v>
      </c>
      <c r="C131" s="14" t="n">
        <f aca="false">IFERROR($B$121+NPV((1+Hipótesis!$D$121)^(1/12)-1,$C$121:$CH$121),0)</f>
        <v>149196.204947744</v>
      </c>
    </row>
    <row r="132" customFormat="false" ht="13.5" hidden="false" customHeight="true" outlineLevel="0" collapsed="false">
      <c r="A132" s="6" t="s">
        <v>625</v>
      </c>
      <c r="C132" s="109" t="n">
        <f aca="false">SUM($AY$56:$BJ$56)</f>
        <v>543913.656972106</v>
      </c>
    </row>
    <row r="133" customFormat="false" ht="13.5" hidden="false" customHeight="true" outlineLevel="0" collapsed="false">
      <c r="A133" s="6" t="s">
        <v>626</v>
      </c>
      <c r="C133" s="109" t="n">
        <f aca="false">IF(Hipótesis!$D$94=5,$C$157,$C$132*Hipótesis!$D$120)</f>
        <v>3921150.52923805</v>
      </c>
    </row>
    <row r="134" customFormat="false" ht="13.5" hidden="false" customHeight="true" outlineLevel="0" collapsed="false">
      <c r="A134" s="6" t="s">
        <v>627</v>
      </c>
      <c r="C134" s="109" t="n">
        <f aca="false">MAX(0,$C$133)*Hipótesis!$D$119</f>
        <v>392115.052923805</v>
      </c>
    </row>
    <row r="135" customFormat="false" ht="13.5" hidden="false" customHeight="true" outlineLevel="0" collapsed="false">
      <c r="A135" s="6" t="s">
        <v>628</v>
      </c>
      <c r="C135" s="17" t="n">
        <f aca="false">IF(ISNUMBER($C$128),$C$128,"n.d.")</f>
        <v>0.407192068804255</v>
      </c>
    </row>
    <row r="136" customFormat="false" ht="13.5" hidden="false" customHeight="true" outlineLevel="0" collapsed="false">
      <c r="A136" s="6" t="s">
        <v>82</v>
      </c>
      <c r="C136" s="17" t="n">
        <f aca="false">IFERROR((1+IRR($B$123:$CH$123,0.01))^12-1,"n.d.")</f>
        <v>0.143813594071121</v>
      </c>
    </row>
    <row r="137" customFormat="false" ht="13.5" hidden="false" customHeight="true" outlineLevel="0" collapsed="false">
      <c r="A137" s="6" t="s">
        <v>629</v>
      </c>
      <c r="C137" s="17" t="n">
        <f aca="false">IFERROR((1+IRR($B$122:$CH$122,0.01))^12-1,"n.d.")</f>
        <v>0.298829455470941</v>
      </c>
    </row>
    <row r="138" customFormat="false" ht="13.5" hidden="false" customHeight="true" outlineLevel="0" collapsed="false">
      <c r="A138" s="6" t="s">
        <v>88</v>
      </c>
      <c r="C138" s="14" t="n">
        <f aca="false">Hipótesis!$D$122</f>
        <v>200000</v>
      </c>
    </row>
    <row r="139" customFormat="false" ht="13.5" hidden="false" customHeight="true" outlineLevel="0" collapsed="false">
      <c r="A139" s="6" t="s">
        <v>630</v>
      </c>
      <c r="C139" s="14" t="n">
        <f aca="false">Hipótesis!$D$113*Hipótesis!$D$117</f>
        <v>0</v>
      </c>
    </row>
    <row r="140" customFormat="false" ht="13.5" hidden="false" customHeight="true" outlineLevel="0" collapsed="false"/>
    <row r="141" customFormat="false" ht="13.5" hidden="false" customHeight="true" outlineLevel="0" collapsed="false">
      <c r="A141" s="115" t="s">
        <v>513</v>
      </c>
      <c r="C141" s="116" t="n">
        <v>1</v>
      </c>
      <c r="D141" s="116" t="n">
        <v>2</v>
      </c>
      <c r="E141" s="116" t="n">
        <v>3</v>
      </c>
      <c r="F141" s="116" t="n">
        <v>4</v>
      </c>
      <c r="G141" s="116" t="n">
        <v>5</v>
      </c>
      <c r="H141" s="116" t="n">
        <v>6</v>
      </c>
      <c r="I141" s="116" t="n">
        <v>7</v>
      </c>
    </row>
    <row r="142" customFormat="false" ht="13.5" hidden="false" customHeight="true" outlineLevel="0" collapsed="false">
      <c r="A142" s="6" t="s">
        <v>631</v>
      </c>
      <c r="C142" s="109" t="n">
        <f aca="false">SUM($C$56:$N$56)</f>
        <v>-47310.7096293714</v>
      </c>
      <c r="D142" s="109" t="n">
        <f aca="false">SUM($O$56:$Z$56)</f>
        <v>220712.753398508</v>
      </c>
      <c r="E142" s="109" t="n">
        <f aca="false">SUM($AA$56:$AL$56)</f>
        <v>409693.78346535</v>
      </c>
      <c r="F142" s="109" t="n">
        <f aca="false">SUM($AM$56:$AX$56)</f>
        <v>548962.010397309</v>
      </c>
      <c r="G142" s="109" t="n">
        <f aca="false">SUM($AY$56:$BJ$56)</f>
        <v>543913.656972106</v>
      </c>
      <c r="H142" s="109" t="n">
        <f aca="false">SUM($BK$56:$BV$56)</f>
        <v>514377.365677776</v>
      </c>
      <c r="I142" s="109" t="n">
        <f aca="false">SUM($BW$56:$CH$56)</f>
        <v>484667.785644617</v>
      </c>
    </row>
    <row r="143" customFormat="false" ht="13.5" hidden="false" customHeight="true" outlineLevel="0" collapsed="false">
      <c r="A143" s="6" t="s">
        <v>632</v>
      </c>
      <c r="C143" s="109" t="n">
        <f aca="false">SUM($C$106:$N$106)</f>
        <v>4513.360323665</v>
      </c>
      <c r="D143" s="109" t="n">
        <f aca="false">SUM($O$106:$Z$106)</f>
        <v>8414.25506797016</v>
      </c>
      <c r="E143" s="109" t="n">
        <f aca="false">SUM($AA$106:$AL$106)</f>
        <v>31827.2090026403</v>
      </c>
      <c r="F143" s="109" t="n">
        <f aca="false">SUM($AM$106:$AX$106)</f>
        <v>33812.5735412795</v>
      </c>
      <c r="G143" s="109" t="n">
        <f aca="false">SUM($AY$106:$BJ$106)</f>
        <v>32911.6064727755</v>
      </c>
      <c r="H143" s="109" t="n">
        <f aca="false">SUM($BK$106:$BV$106)</f>
        <v>31520.8806468889</v>
      </c>
      <c r="I143" s="109" t="n">
        <f aca="false">SUM($BW$106:$CH$106)</f>
        <v>30126.6890462256</v>
      </c>
    </row>
    <row r="144" customFormat="false" ht="13.5" hidden="false" customHeight="true" outlineLevel="0" collapsed="false">
      <c r="A144" s="22" t="s">
        <v>633</v>
      </c>
      <c r="C144" s="122" t="n">
        <f aca="false">IFERROR(C142/C143,0)</f>
        <v>-10.4823692850992</v>
      </c>
      <c r="D144" s="122" t="n">
        <f aca="false">IFERROR(D142/D143,0)</f>
        <v>26.2308132586421</v>
      </c>
      <c r="E144" s="122" t="n">
        <f aca="false">IFERROR(E142/E143,0)</f>
        <v>12.872438278561</v>
      </c>
      <c r="F144" s="122" t="n">
        <f aca="false">IFERROR(F142/F143,0)</f>
        <v>16.2354400420636</v>
      </c>
      <c r="G144" s="122" t="n">
        <f aca="false">IFERROR(G142/G143,0)</f>
        <v>16.5264997751487</v>
      </c>
      <c r="H144" s="122" t="n">
        <f aca="false">IFERROR(H142/H143,0)</f>
        <v>16.3186229293548</v>
      </c>
      <c r="I144" s="122" t="n">
        <f aca="false">IFERROR(I142/I143,0)</f>
        <v>16.0876551983842</v>
      </c>
    </row>
    <row r="145" customFormat="false" ht="13.5" hidden="false" customHeight="true" outlineLevel="0" collapsed="false">
      <c r="A145" s="22" t="s">
        <v>634</v>
      </c>
      <c r="C145" s="16" t="n">
        <f aca="false">MIN(D144:I144)</f>
        <v>12.872438278561</v>
      </c>
    </row>
    <row r="146" customFormat="false" ht="13.5" hidden="false" customHeight="true" outlineLevel="0" collapsed="false">
      <c r="A146" s="22" t="s">
        <v>635</v>
      </c>
      <c r="C146" s="14" t="n">
        <f aca="false">MIN($C$86:$CH$86)</f>
        <v>30000</v>
      </c>
    </row>
    <row r="147" customFormat="false" ht="13.5" hidden="false" customHeight="true" outlineLevel="0" collapsed="false">
      <c r="A147" s="22" t="s">
        <v>636</v>
      </c>
      <c r="C147" s="14" t="n">
        <f aca="false">SUM($C$36:$N$36)</f>
        <v>187388.126275719</v>
      </c>
    </row>
    <row r="148" customFormat="false" ht="13.5" hidden="false" customHeight="true" outlineLevel="0" collapsed="false">
      <c r="A148" s="22" t="s">
        <v>637</v>
      </c>
      <c r="C148" s="109" t="n">
        <f aca="false">-SUM($C$84:$N$84)</f>
        <v>-0</v>
      </c>
      <c r="D148" s="109" t="n">
        <f aca="false">-SUM($O$84:$Z$84)</f>
        <v>-0</v>
      </c>
      <c r="E148" s="109" t="n">
        <f aca="false">-SUM($AA$84:$AL$84)</f>
        <v>-0</v>
      </c>
      <c r="F148" s="109" t="n">
        <f aca="false">-SUM($AM$84:$AX$84)</f>
        <v>-0</v>
      </c>
      <c r="G148" s="109" t="n">
        <f aca="false">-SUM($AY$84:$BJ$84)</f>
        <v>-0</v>
      </c>
      <c r="H148" s="109" t="n">
        <f aca="false">-SUM($BK$84:$BV$84)</f>
        <v>-0</v>
      </c>
      <c r="I148" s="109" t="n">
        <f aca="false">-SUM($BW$84:$CH$84)</f>
        <v>-0</v>
      </c>
    </row>
    <row r="149" customFormat="false" ht="13.5" hidden="false" customHeight="true" outlineLevel="0" collapsed="false">
      <c r="A149" s="22" t="s">
        <v>638</v>
      </c>
      <c r="C149" s="14" t="n">
        <f aca="false">SUM($C$118:$N$118)/12</f>
        <v>1540</v>
      </c>
      <c r="D149" s="14" t="n">
        <f aca="false">SUM($O$118:$Z$118)/12</f>
        <v>2450</v>
      </c>
      <c r="E149" s="14" t="n">
        <f aca="false">SUM($AA$118:$AL$118)/12</f>
        <v>2800</v>
      </c>
      <c r="F149" s="14" t="n">
        <f aca="false">SUM($AM$118:$AX$118)/12</f>
        <v>3150</v>
      </c>
      <c r="G149" s="14" t="n">
        <f aca="false">SUM($AY$118:$BJ$118)/12</f>
        <v>3500</v>
      </c>
      <c r="H149" s="14" t="n">
        <f aca="false">SUM($BK$118:$BV$118)/12</f>
        <v>3850</v>
      </c>
      <c r="I149" s="14" t="n">
        <f aca="false">SUM($BW$118:$CH$118)/12</f>
        <v>4200</v>
      </c>
    </row>
    <row r="150" customFormat="false" ht="13.5" hidden="false" customHeight="true" outlineLevel="0" collapsed="false">
      <c r="A150" s="22" t="s">
        <v>639</v>
      </c>
      <c r="C150" s="14" t="n">
        <f aca="false">MAX($C$81:$CH$81)</f>
        <v>3133.46141452048</v>
      </c>
    </row>
    <row r="152" customFormat="false" ht="15" hidden="false" customHeight="true" outlineLevel="0" collapsed="false">
      <c r="A152" s="103" t="s">
        <v>640</v>
      </c>
    </row>
    <row r="153" customFormat="false" ht="15" hidden="false" customHeight="true" outlineLevel="0" collapsed="false">
      <c r="A153" s="1" t="s">
        <v>641</v>
      </c>
      <c r="C153" s="1" t="n">
        <f aca="false">SUMIFS($C$56:$CH$56,$C$3:$CH$3,"&gt;="&amp;Hipótesis!$D$124-11,$C$3:$CH$3,"&lt;="&amp;Hipótesis!$D$124)</f>
        <v>548962.010397309</v>
      </c>
    </row>
    <row r="154" customFormat="false" ht="15" hidden="false" customHeight="true" outlineLevel="0" collapsed="false">
      <c r="A154" s="1" t="s">
        <v>642</v>
      </c>
      <c r="C154" s="1" t="n">
        <f aca="false">$C$153*Hipótesis!$D$120</f>
        <v>3293772.06238385</v>
      </c>
    </row>
    <row r="155" customFormat="false" ht="15" hidden="false" customHeight="true" outlineLevel="0" collapsed="false">
      <c r="A155" s="1" t="s">
        <v>643</v>
      </c>
      <c r="C155" s="1" t="n">
        <f aca="false">SUMIFS($C$86:$CH$86,$C$3:$CH$3,"="&amp;Hipótesis!$D$124)</f>
        <v>689045.133520858</v>
      </c>
    </row>
    <row r="156" customFormat="false" ht="15" hidden="false" customHeight="true" outlineLevel="0" collapsed="false">
      <c r="A156" s="1" t="s">
        <v>644</v>
      </c>
      <c r="C156" s="1" t="n">
        <f aca="false">SUMIFS($C$96:$CH$96,$C$3:$CH$3,"="&amp;Hipótesis!$D$124)+SUMIFS($C$101:$CH$101,$C$3:$CH$3,"="&amp;Hipótesis!$D$124)+SUMIFS($C$89:$CH$89,$C$3:$CH$3,"="&amp;Hipótesis!$D$124)</f>
        <v>61666.6666666666</v>
      </c>
    </row>
    <row r="157" customFormat="false" ht="15" hidden="false" customHeight="true" outlineLevel="0" collapsed="false">
      <c r="A157" s="103" t="s">
        <v>645</v>
      </c>
      <c r="C157" s="1" t="n">
        <f aca="false">MAX(0,$C$154+Hipótesis!$D$125*($C$155-$C$156))</f>
        <v>3921150.52923805</v>
      </c>
    </row>
    <row r="158" customFormat="false" ht="15" hidden="false" customHeight="true" outlineLevel="0" collapsed="false">
      <c r="A158" s="1" t="s">
        <v>646</v>
      </c>
      <c r="C158" s="1" t="n">
        <f aca="false">MIN($C$157,MAX($C$157*Hipótesis!$D$119,Hipótesis!$D$127*Hipótesis!$D$93))</f>
        <v>392115.052923805</v>
      </c>
    </row>
    <row r="159" customFormat="false" ht="15" hidden="false" customHeight="true" outlineLevel="0" collapsed="false">
      <c r="A159" s="1" t="s">
        <v>647</v>
      </c>
      <c r="C159" s="1" t="n">
        <f aca="false">MAX(0,$C$158-$C$157*Hipótesis!$D$119)</f>
        <v>0</v>
      </c>
    </row>
    <row r="160" customFormat="false" ht="15" hidden="false" customHeight="true" outlineLevel="0" collapsed="false">
      <c r="A160" s="103" t="s">
        <v>648</v>
      </c>
    </row>
    <row r="161" customFormat="false" ht="15" hidden="false" customHeight="true" outlineLevel="0" collapsed="false">
      <c r="A161" s="1" t="s">
        <v>649</v>
      </c>
      <c r="C161" s="123" t="n">
        <f aca="false">IF(Hipótesis!$D$94=5,Hipótesis!$D$93,0)</f>
        <v>100000</v>
      </c>
    </row>
    <row r="162" customFormat="false" ht="15" hidden="false" customHeight="true" outlineLevel="0" collapsed="false">
      <c r="A162" s="1" t="s">
        <v>650</v>
      </c>
      <c r="C162" s="1" t="n">
        <f aca="false">SUMIFS($C$63:$CH$63,$C$3:$CH$3,"&lt;="&amp;Hipótesis!$D$126)</f>
        <v>0</v>
      </c>
    </row>
    <row r="163" customFormat="false" ht="15" hidden="false" customHeight="true" outlineLevel="0" collapsed="false">
      <c r="A163" s="103" t="s">
        <v>651</v>
      </c>
      <c r="C163" s="1" t="n">
        <f aca="false">$C$161+$C$162</f>
        <v>100000</v>
      </c>
    </row>
    <row r="164" customFormat="false" ht="15" hidden="false" customHeight="true" outlineLevel="0" collapsed="false">
      <c r="A164" s="1" t="s">
        <v>652</v>
      </c>
      <c r="C164" s="123" t="n">
        <f aca="false">Hipótesis!$D$105</f>
        <v>100000</v>
      </c>
    </row>
    <row r="165" customFormat="false" ht="15" hidden="false" customHeight="true" outlineLevel="0" collapsed="false">
      <c r="A165" s="103" t="s">
        <v>653</v>
      </c>
      <c r="C165" s="1" t="str">
        <f aca="false">IF($C$163&gt;=$C$164,"SI CUMPLE","NO CUMPLE - faltan "&amp;TEXT($C$164-$C$163,"#,##0")&amp;" EUR")</f>
        <v>SI CUMPLE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9" min="3" style="1" width="13"/>
  </cols>
  <sheetData>
    <row r="1" customFormat="false" ht="18" hidden="false" customHeight="true" outlineLevel="0" collapsed="false">
      <c r="A1" s="8" t="s">
        <v>654</v>
      </c>
    </row>
    <row r="2" customFormat="false" ht="13.5" hidden="false" customHeight="true" outlineLevel="0" collapsed="false">
      <c r="A2" s="4" t="s">
        <v>655</v>
      </c>
    </row>
    <row r="3" customFormat="false" ht="13.5" hidden="false" customHeight="true" outlineLevel="0" collapsed="false"/>
    <row r="4" customFormat="false" ht="13.5" hidden="false" customHeight="true" outlineLevel="0" collapsed="false">
      <c r="A4" s="10" t="s">
        <v>275</v>
      </c>
      <c r="C4" s="87" t="s">
        <v>332</v>
      </c>
      <c r="D4" s="87" t="s">
        <v>333</v>
      </c>
      <c r="E4" s="87" t="s">
        <v>334</v>
      </c>
      <c r="F4" s="87" t="s">
        <v>335</v>
      </c>
      <c r="G4" s="87" t="s">
        <v>336</v>
      </c>
      <c r="H4" s="87" t="s">
        <v>337</v>
      </c>
      <c r="I4" s="87" t="s">
        <v>338</v>
      </c>
    </row>
    <row r="5" customFormat="false" ht="13.5" hidden="false" customHeight="true" outlineLevel="0" collapsed="false">
      <c r="A5" s="6" t="s">
        <v>541</v>
      </c>
      <c r="C5" s="109" t="n">
        <f aca="false">SUM(Modelo_Mensual!$C$36:$N$36)</f>
        <v>187388.126275719</v>
      </c>
      <c r="D5" s="109" t="n">
        <f aca="false">SUM(Modelo_Mensual!$O$36:$Z$36)</f>
        <v>720399.466255135</v>
      </c>
      <c r="E5" s="109" t="n">
        <f aca="false">SUM(Modelo_Mensual!$AA$36:$AL$36)</f>
        <v>1101639.33786006</v>
      </c>
      <c r="F5" s="109" t="n">
        <f aca="false">SUM(Modelo_Mensual!$AM$36:$AX$36)</f>
        <v>1370566.42818928</v>
      </c>
      <c r="G5" s="109" t="n">
        <f aca="false">SUM(Modelo_Mensual!$AY$36:$BJ$36)</f>
        <v>1403362.41481479</v>
      </c>
      <c r="H5" s="109" t="n">
        <f aca="false">SUM(Modelo_Mensual!$BK$36:$BV$36)</f>
        <v>1403362.41481479</v>
      </c>
      <c r="I5" s="109" t="n">
        <f aca="false">SUM(Modelo_Mensual!$BW$36:$CH$36)</f>
        <v>1403362.41481479</v>
      </c>
    </row>
    <row r="6" customFormat="false" ht="13.5" hidden="false" customHeight="true" outlineLevel="0" collapsed="false">
      <c r="A6" s="6" t="s">
        <v>656</v>
      </c>
      <c r="C6" s="109" t="n">
        <f aca="false">SUM(Modelo_Mensual!$C$39:$N$39)</f>
        <v>-23997.9529314071</v>
      </c>
      <c r="D6" s="109" t="n">
        <f aca="false">SUM(Modelo_Mensual!$O$39:$Z$39)</f>
        <v>-107554.367843141</v>
      </c>
      <c r="E6" s="109" t="n">
        <f aca="false">SUM(Modelo_Mensual!$AA$39:$AL$39)</f>
        <v>-164433.624177455</v>
      </c>
      <c r="F6" s="109" t="n">
        <f aca="false">SUM(Modelo_Mensual!$AM$39:$AX$39)</f>
        <v>-201488.404588014</v>
      </c>
      <c r="G6" s="109" t="n">
        <f aca="false">SUM(Modelo_Mensual!$AY$39:$BJ$39)</f>
        <v>-206007.280247839</v>
      </c>
      <c r="H6" s="109" t="n">
        <f aca="false">SUM(Modelo_Mensual!$BK$39:$BV$39)</f>
        <v>-206007.280247839</v>
      </c>
      <c r="I6" s="109" t="n">
        <f aca="false">SUM(Modelo_Mensual!$BW$39:$CH$39)</f>
        <v>-206007.280247839</v>
      </c>
    </row>
    <row r="7" customFormat="false" ht="13.5" hidden="false" customHeight="true" outlineLevel="0" collapsed="false">
      <c r="A7" s="47" t="s">
        <v>545</v>
      </c>
      <c r="C7" s="71" t="n">
        <f aca="false">SUM(Modelo_Mensual!$C$40:$N$40)</f>
        <v>144651.36071674</v>
      </c>
      <c r="D7" s="71" t="n">
        <f aca="false">SUM(Modelo_Mensual!$O$40:$Z$40)</f>
        <v>540805.15178648</v>
      </c>
      <c r="E7" s="71" t="n">
        <f aca="false">SUM(Modelo_Mensual!$AA$40:$AL$40)</f>
        <v>827041.779896604</v>
      </c>
      <c r="F7" s="71" t="n">
        <f aca="false">SUM(Modelo_Mensual!$AM$40:$AX$40)</f>
        <v>1032021.38078233</v>
      </c>
      <c r="G7" s="71" t="n">
        <f aca="false">SUM(Modelo_Mensual!$AY$40:$BJ$40)</f>
        <v>1057018.89308547</v>
      </c>
      <c r="H7" s="71" t="n">
        <f aca="false">SUM(Modelo_Mensual!$BK$40:$BV$40)</f>
        <v>1057018.89308547</v>
      </c>
      <c r="I7" s="71" t="n">
        <f aca="false">SUM(Modelo_Mensual!$BW$40:$CH$40)</f>
        <v>1057018.89308547</v>
      </c>
    </row>
    <row r="8" customFormat="false" ht="13.5" hidden="false" customHeight="true" outlineLevel="0" collapsed="false">
      <c r="A8" s="6" t="s">
        <v>657</v>
      </c>
      <c r="C8" s="109" t="n">
        <f aca="false">SUM(Modelo_Mensual!$C$55:$N$55)</f>
        <v>-191962.070346111</v>
      </c>
      <c r="D8" s="109" t="n">
        <f aca="false">SUM(Modelo_Mensual!$O$55:$Z$55)</f>
        <v>-320092.398387973</v>
      </c>
      <c r="E8" s="109" t="n">
        <f aca="false">SUM(Modelo_Mensual!$AA$55:$AL$55)</f>
        <v>-417347.996431254</v>
      </c>
      <c r="F8" s="109" t="n">
        <f aca="false">SUM(Modelo_Mensual!$AM$55:$AX$55)</f>
        <v>-483059.370385025</v>
      </c>
      <c r="G8" s="109" t="n">
        <f aca="false">SUM(Modelo_Mensual!$AY$55:$BJ$55)</f>
        <v>-513105.236113366</v>
      </c>
      <c r="H8" s="109" t="n">
        <f aca="false">SUM(Modelo_Mensual!$BK$55:$BV$55)</f>
        <v>-542641.527407696</v>
      </c>
      <c r="I8" s="109" t="n">
        <f aca="false">SUM(Modelo_Mensual!$BW$55:$CH$55)</f>
        <v>-572351.107440855</v>
      </c>
    </row>
    <row r="9" customFormat="false" ht="13.5" hidden="false" customHeight="true" outlineLevel="0" collapsed="false">
      <c r="A9" s="47" t="s">
        <v>561</v>
      </c>
      <c r="C9" s="71" t="n">
        <f aca="false">SUM(Modelo_Mensual!$C$56:$N$56)</f>
        <v>-47310.7096293714</v>
      </c>
      <c r="D9" s="71" t="n">
        <f aca="false">SUM(Modelo_Mensual!$O$56:$Z$56)</f>
        <v>220712.753398508</v>
      </c>
      <c r="E9" s="71" t="n">
        <f aca="false">SUM(Modelo_Mensual!$AA$56:$AL$56)</f>
        <v>409693.78346535</v>
      </c>
      <c r="F9" s="71" t="n">
        <f aca="false">SUM(Modelo_Mensual!$AM$56:$AX$56)</f>
        <v>548962.010397309</v>
      </c>
      <c r="G9" s="71" t="n">
        <f aca="false">SUM(Modelo_Mensual!$AY$56:$BJ$56)</f>
        <v>543913.656972106</v>
      </c>
      <c r="H9" s="71" t="n">
        <f aca="false">SUM(Modelo_Mensual!$BK$56:$BV$56)</f>
        <v>514377.365677776</v>
      </c>
      <c r="I9" s="71" t="n">
        <f aca="false">SUM(Modelo_Mensual!$BW$56:$CH$56)</f>
        <v>484667.785644617</v>
      </c>
    </row>
    <row r="10" customFormat="false" ht="13.5" hidden="false" customHeight="true" outlineLevel="0" collapsed="false">
      <c r="A10" s="6" t="s">
        <v>562</v>
      </c>
      <c r="C10" s="109" t="n">
        <f aca="false">SUM(Modelo_Mensual!$C$58:$N$58)</f>
        <v>-14095.7142857143</v>
      </c>
      <c r="D10" s="109" t="n">
        <f aca="false">SUM(Modelo_Mensual!$O$58:$Z$58)</f>
        <v>-14095.7142857143</v>
      </c>
      <c r="E10" s="109" t="n">
        <f aca="false">SUM(Modelo_Mensual!$AA$58:$AL$58)</f>
        <v>-14095.7142857143</v>
      </c>
      <c r="F10" s="109" t="n">
        <f aca="false">SUM(Modelo_Mensual!$AM$58:$AX$58)</f>
        <v>-14095.7142857143</v>
      </c>
      <c r="G10" s="109" t="n">
        <f aca="false">SUM(Modelo_Mensual!$AY$58:$BJ$58)</f>
        <v>-14095.7142857143</v>
      </c>
      <c r="H10" s="109" t="n">
        <f aca="false">SUM(Modelo_Mensual!$BK$58:$BV$58)</f>
        <v>-14095.7142857143</v>
      </c>
      <c r="I10" s="109" t="n">
        <f aca="false">SUM(Modelo_Mensual!$BW$58:$CH$58)</f>
        <v>-14095.7142857143</v>
      </c>
    </row>
    <row r="11" customFormat="false" ht="13.5" hidden="false" customHeight="true" outlineLevel="0" collapsed="false">
      <c r="A11" s="6" t="s">
        <v>563</v>
      </c>
      <c r="C11" s="109" t="n">
        <f aca="false">SUM(Modelo_Mensual!$C$59:$N$59)</f>
        <v>-61406.4239150857</v>
      </c>
      <c r="D11" s="109" t="n">
        <f aca="false">SUM(Modelo_Mensual!$O$59:$Z$59)</f>
        <v>206617.039112794</v>
      </c>
      <c r="E11" s="109" t="n">
        <f aca="false">SUM(Modelo_Mensual!$AA$59:$AL$59)</f>
        <v>395598.069179636</v>
      </c>
      <c r="F11" s="109" t="n">
        <f aca="false">SUM(Modelo_Mensual!$AM$59:$AX$59)</f>
        <v>534866.296111595</v>
      </c>
      <c r="G11" s="109" t="n">
        <f aca="false">SUM(Modelo_Mensual!$AY$59:$BJ$59)</f>
        <v>529817.942686392</v>
      </c>
      <c r="H11" s="109" t="n">
        <f aca="false">SUM(Modelo_Mensual!$BK$59:$BV$59)</f>
        <v>500281.651392062</v>
      </c>
      <c r="I11" s="109" t="n">
        <f aca="false">SUM(Modelo_Mensual!$BW$59:$CH$59)</f>
        <v>470572.071358903</v>
      </c>
    </row>
    <row r="12" customFormat="false" ht="13.5" hidden="false" customHeight="true" outlineLevel="0" collapsed="false">
      <c r="A12" s="6" t="s">
        <v>569</v>
      </c>
      <c r="C12" s="109" t="n">
        <f aca="false">SUM(Modelo_Mensual!$C$62:$N$62)</f>
        <v>-2803.87025955311</v>
      </c>
      <c r="D12" s="109" t="n">
        <f aca="false">SUM(Modelo_Mensual!$O$62:$Z$62)</f>
        <v>-29365.7153769319</v>
      </c>
      <c r="E12" s="109" t="n">
        <f aca="false">SUM(Modelo_Mensual!$AA$62:$AL$62)</f>
        <v>-57007.9241117577</v>
      </c>
      <c r="F12" s="109" t="n">
        <f aca="false">SUM(Modelo_Mensual!$AM$62:$AX$62)</f>
        <v>-129107.015218794</v>
      </c>
      <c r="G12" s="109" t="n">
        <f aca="false">SUM(Modelo_Mensual!$AY$62:$BJ$62)</f>
        <v>-128042.497015904</v>
      </c>
      <c r="H12" s="109" t="n">
        <f aca="false">SUM(Modelo_Mensual!$BK$62:$BV$62)</f>
        <v>-121006.105648793</v>
      </c>
      <c r="I12" s="109" t="n">
        <f aca="false">SUM(Modelo_Mensual!$BW$62:$CH$62)</f>
        <v>-113927.258540669</v>
      </c>
    </row>
    <row r="13" customFormat="false" ht="13.5" hidden="false" customHeight="true" outlineLevel="0" collapsed="false">
      <c r="A13" s="47" t="s">
        <v>658</v>
      </c>
      <c r="C13" s="71" t="n">
        <f aca="false">SUM(Modelo_Mensual!$C$63:$N$63)</f>
        <v>-69384.9861082167</v>
      </c>
      <c r="D13" s="71" t="n">
        <f aca="false">SUM(Modelo_Mensual!$O$63:$Z$63)</f>
        <v>166405.720469281</v>
      </c>
      <c r="E13" s="71" t="n">
        <f aca="false">SUM(Modelo_Mensual!$AA$63:$AL$63)</f>
        <v>323044.90329996</v>
      </c>
      <c r="F13" s="71" t="n">
        <f aca="false">SUM(Modelo_Mensual!$AM$63:$AX$63)</f>
        <v>387321.045656382</v>
      </c>
      <c r="G13" s="71" t="n">
        <f aca="false">SUM(Modelo_Mensual!$AY$63:$BJ$63)</f>
        <v>384127.491047712</v>
      </c>
      <c r="H13" s="71" t="n">
        <f aca="false">SUM(Modelo_Mensual!$BK$63:$BV$63)</f>
        <v>363018.31694638</v>
      </c>
      <c r="I13" s="71" t="n">
        <f aca="false">SUM(Modelo_Mensual!$BW$63:$CH$63)</f>
        <v>341781.775622008</v>
      </c>
    </row>
    <row r="14" customFormat="false" ht="13.5" hidden="false" customHeight="true" outlineLevel="0" collapsed="false">
      <c r="A14" s="6"/>
    </row>
    <row r="15" customFormat="false" ht="13.5" hidden="false" customHeight="true" outlineLevel="0" collapsed="false">
      <c r="A15" s="6" t="s">
        <v>659</v>
      </c>
      <c r="C15" s="109" t="n">
        <f aca="false">SUM(Modelo_Mensual!$C$72:$N$72)</f>
        <v>-98670</v>
      </c>
      <c r="D15" s="109" t="n">
        <f aca="false">SUM(Modelo_Mensual!$O$72:$Z$72)</f>
        <v>0</v>
      </c>
      <c r="E15" s="109" t="n">
        <f aca="false">SUM(Modelo_Mensual!$AA$72:$AL$72)</f>
        <v>0</v>
      </c>
      <c r="F15" s="109" t="n">
        <f aca="false">SUM(Modelo_Mensual!$AM$72:$AX$72)</f>
        <v>0</v>
      </c>
      <c r="G15" s="109" t="n">
        <f aca="false">SUM(Modelo_Mensual!$AY$72:$BJ$72)</f>
        <v>0</v>
      </c>
      <c r="H15" s="109" t="n">
        <f aca="false">SUM(Modelo_Mensual!$BK$72:$BV$72)</f>
        <v>0</v>
      </c>
      <c r="I15" s="109" t="n">
        <f aca="false">SUM(Modelo_Mensual!$BW$72:$CH$72)</f>
        <v>0</v>
      </c>
    </row>
    <row r="16" customFormat="false" ht="13.5" hidden="false" customHeight="true" outlineLevel="0" collapsed="false">
      <c r="A16" s="6" t="s">
        <v>660</v>
      </c>
      <c r="C16" s="109" t="n">
        <f aca="false">SUM(Modelo_Mensual!$C$76:$N$76)</f>
        <v>-4513.360323665</v>
      </c>
      <c r="D16" s="109" t="n">
        <f aca="false">SUM(Modelo_Mensual!$O$76:$Z$76)</f>
        <v>-8414.25506797016</v>
      </c>
      <c r="E16" s="109" t="n">
        <f aca="false">SUM(Modelo_Mensual!$AA$76:$AL$76)</f>
        <v>-31827.2090026403</v>
      </c>
      <c r="F16" s="109" t="n">
        <f aca="false">SUM(Modelo_Mensual!$AM$76:$AX$76)</f>
        <v>-33812.5735412795</v>
      </c>
      <c r="G16" s="109" t="n">
        <f aca="false">SUM(Modelo_Mensual!$AY$76:$BJ$76)</f>
        <v>-32911.6064727755</v>
      </c>
      <c r="H16" s="109" t="n">
        <f aca="false">SUM(Modelo_Mensual!$BK$76:$BV$76)</f>
        <v>-31520.8806468889</v>
      </c>
      <c r="I16" s="109" t="n">
        <f aca="false">SUM(Modelo_Mensual!$BW$76:$CH$76)</f>
        <v>-30126.6890462256</v>
      </c>
    </row>
    <row r="17" customFormat="false" ht="13.5" hidden="false" customHeight="true" outlineLevel="0" collapsed="false">
      <c r="A17" s="47" t="s">
        <v>661</v>
      </c>
      <c r="C17" s="71" t="n">
        <f aca="false">SUM(Modelo_Mensual!$C$85:$N$85)</f>
        <v>35075.7131009277</v>
      </c>
      <c r="D17" s="71" t="n">
        <f aca="false">SUM(Modelo_Mensual!$O$85:$Z$85)</f>
        <v>160186.097445715</v>
      </c>
      <c r="E17" s="71" t="n">
        <f aca="false">SUM(Modelo_Mensual!$AA$85:$AL$85)</f>
        <v>292995.719973462</v>
      </c>
      <c r="F17" s="71" t="n">
        <f aca="false">SUM(Modelo_Mensual!$AM$85:$AX$85)</f>
        <v>200787.603000753</v>
      </c>
      <c r="G17" s="71" t="n">
        <f aca="false">SUM(Modelo_Mensual!$AY$85:$BJ$85)</f>
        <v>201241.308768046</v>
      </c>
      <c r="H17" s="71" t="n">
        <f aca="false">SUM(Modelo_Mensual!$BK$85:$BV$85)</f>
        <v>188575.804307246</v>
      </c>
      <c r="I17" s="71" t="n">
        <f aca="false">SUM(Modelo_Mensual!$BW$85:$CH$85)</f>
        <v>175833.879512623</v>
      </c>
    </row>
    <row r="18" customFormat="false" ht="13.5" hidden="false" customHeight="true" outlineLevel="0" collapsed="false">
      <c r="A18" s="6" t="s">
        <v>662</v>
      </c>
      <c r="C18" s="109" t="n">
        <f aca="false">Modelo_Mensual!$N$86</f>
        <v>35075.7131009277</v>
      </c>
      <c r="D18" s="109" t="n">
        <f aca="false">Modelo_Mensual!$Z$86</f>
        <v>195261.810546642</v>
      </c>
      <c r="E18" s="109" t="n">
        <f aca="false">Modelo_Mensual!$AL$86</f>
        <v>488257.530520105</v>
      </c>
      <c r="F18" s="109" t="n">
        <f aca="false">Modelo_Mensual!$AX$86</f>
        <v>689045.133520858</v>
      </c>
      <c r="G18" s="109" t="n">
        <f aca="false">Modelo_Mensual!$BJ$86</f>
        <v>890286.442288903</v>
      </c>
      <c r="H18" s="109" t="n">
        <f aca="false">Modelo_Mensual!$BV$86</f>
        <v>1078862.24659615</v>
      </c>
      <c r="I18" s="109" t="n">
        <f aca="false">Modelo_Mensual!$CH$86</f>
        <v>1254696.12610877</v>
      </c>
    </row>
    <row r="19" customFormat="false" ht="13.5" hidden="false" customHeight="true" outlineLevel="0" collapsed="false">
      <c r="A19" s="6"/>
    </row>
    <row r="20" customFormat="false" ht="13.5" hidden="false" customHeight="true" outlineLevel="0" collapsed="false">
      <c r="A20" s="6" t="s">
        <v>49</v>
      </c>
      <c r="C20" s="120" t="n">
        <f aca="false">IFERROR(C9/C5,0)</f>
        <v>-0.252474426046394</v>
      </c>
      <c r="D20" s="120" t="n">
        <f aca="false">IFERROR(D9/D5,0)</f>
        <v>0.306375509334901</v>
      </c>
      <c r="E20" s="120" t="n">
        <f aca="false">IFERROR(E9/E5,0)</f>
        <v>0.371894656795009</v>
      </c>
      <c r="F20" s="120" t="n">
        <f aca="false">IFERROR(F9/F5,0)</f>
        <v>0.400536595021206</v>
      </c>
      <c r="G20" s="120" t="n">
        <f aca="false">IFERROR(G9/G5,0)</f>
        <v>0.387578897104701</v>
      </c>
      <c r="H20" s="120" t="n">
        <f aca="false">IFERROR(H9/H5,0)</f>
        <v>0.36653209480864</v>
      </c>
      <c r="I20" s="120" t="n">
        <f aca="false">IFERROR(I9/I5,0)</f>
        <v>0.345361811409622</v>
      </c>
    </row>
    <row r="21" customFormat="false" ht="13.5" hidden="false" customHeight="true" outlineLevel="0" collapsed="false">
      <c r="A21" s="6" t="s">
        <v>546</v>
      </c>
      <c r="C21" s="120" t="n">
        <f aca="false">IFERROR(C7/C5,0)</f>
        <v>0.771934506159173</v>
      </c>
      <c r="D21" s="120" t="n">
        <f aca="false">IFERROR(D7/D5,0)</f>
        <v>0.75070176633772</v>
      </c>
      <c r="E21" s="120" t="n">
        <f aca="false">IFERROR(E7/E5,0)</f>
        <v>0.750737334328613</v>
      </c>
      <c r="F21" s="120" t="n">
        <f aca="false">IFERROR(F7/F5,0)</f>
        <v>0.752988953731918</v>
      </c>
      <c r="G21" s="120" t="n">
        <f aca="false">IFERROR(G7/G5,0)</f>
        <v>0.753204505070754</v>
      </c>
      <c r="H21" s="120" t="n">
        <f aca="false">IFERROR(H7/H5,0)</f>
        <v>0.753204505070754</v>
      </c>
      <c r="I21" s="120" t="n">
        <f aca="false">IFERROR(I7/I5,0)</f>
        <v>0.753204505070754</v>
      </c>
    </row>
    <row r="22" customFormat="false" ht="13.5" hidden="false" customHeight="true" outlineLevel="0" collapsed="false">
      <c r="A22" s="6" t="s">
        <v>663</v>
      </c>
      <c r="C22" s="110" t="n">
        <f aca="false">SUM(Modelo_Mensual!$C$26:$N$26)</f>
        <v>4241.72704572973</v>
      </c>
      <c r="D22" s="110" t="n">
        <f aca="false">SUM(Modelo_Mensual!$O$26:$Z$26)</f>
        <v>19555.2281837838</v>
      </c>
      <c r="E22" s="110" t="n">
        <f aca="false">SUM(Modelo_Mensual!$AA$26:$AL$26)</f>
        <v>29915.9736402162</v>
      </c>
      <c r="F22" s="110" t="n">
        <f aca="false">SUM(Modelo_Mensual!$AM$26:$AX$26)</f>
        <v>36610.7145509189</v>
      </c>
      <c r="G22" s="110" t="n">
        <f aca="false">SUM(Modelo_Mensual!$AY$26:$BJ$26)</f>
        <v>37427.1463692973</v>
      </c>
      <c r="H22" s="110" t="n">
        <f aca="false">SUM(Modelo_Mensual!$BK$26:$BV$26)</f>
        <v>37427.1463692973</v>
      </c>
      <c r="I22" s="110" t="n">
        <f aca="false">SUM(Modelo_Mensual!$BW$26:$CH$26)</f>
        <v>37427.1463692973</v>
      </c>
    </row>
    <row r="23" customFormat="false" ht="13.5" hidden="false" customHeight="true" outlineLevel="0" collapsed="false">
      <c r="A23" s="22" t="s">
        <v>664</v>
      </c>
      <c r="C23" s="122" t="n">
        <f aca="false">IFERROR(C9/-C16,0)</f>
        <v>-10.4823692850992</v>
      </c>
      <c r="D23" s="122" t="n">
        <f aca="false">IFERROR(D9/-D16,0)</f>
        <v>26.2308132586421</v>
      </c>
      <c r="E23" s="122" t="n">
        <f aca="false">IFERROR(E9/-E16,0)</f>
        <v>12.872438278561</v>
      </c>
      <c r="F23" s="122" t="n">
        <f aca="false">IFERROR(F9/-F16,0)</f>
        <v>16.2354400420636</v>
      </c>
      <c r="G23" s="122" t="n">
        <f aca="false">IFERROR(G9/-G16,0)</f>
        <v>16.5264997751487</v>
      </c>
      <c r="H23" s="122" t="n">
        <f aca="false">IFERROR(H9/-H16,0)</f>
        <v>16.3186229293548</v>
      </c>
      <c r="I23" s="122" t="n">
        <f aca="false">IFERROR(I9/-I16,0)</f>
        <v>16.0876551983842</v>
      </c>
    </row>
    <row r="24" customFormat="false" ht="13.5" hidden="false" customHeight="true" outlineLevel="0" collapsed="false">
      <c r="A24" s="6" t="s">
        <v>665</v>
      </c>
      <c r="C24" s="109" t="n">
        <f aca="false">SUM(Modelo_Mensual!$C$51:$N$51)</f>
        <v>-136224</v>
      </c>
      <c r="D24" s="109" t="n">
        <f aca="false">SUM(Modelo_Mensual!$O$51:$Z$51)</f>
        <v>-251838.84</v>
      </c>
      <c r="E24" s="109" t="n">
        <f aca="false">SUM(Modelo_Mensual!$AA$51:$AL$51)</f>
        <v>-340621.71</v>
      </c>
      <c r="F24" s="109" t="n">
        <f aca="false">SUM(Modelo_Mensual!$AM$51:$AX$51)</f>
        <v>-400774.993344</v>
      </c>
      <c r="G24" s="109" t="n">
        <f aca="false">SUM(Modelo_Mensual!$AY$51:$BJ$51)</f>
        <v>-430143.04314432</v>
      </c>
      <c r="H24" s="109" t="n">
        <f aca="false">SUM(Modelo_Mensual!$BK$51:$BV$51)</f>
        <v>-459679.33443865</v>
      </c>
      <c r="I24" s="109" t="n">
        <f aca="false">SUM(Modelo_Mensual!$BW$51:$CH$51)</f>
        <v>-489388.914471809</v>
      </c>
    </row>
    <row r="25" customFormat="false" ht="13.5" hidden="false" customHeight="true" outlineLevel="0" collapsed="false">
      <c r="A25" s="6" t="s">
        <v>666</v>
      </c>
      <c r="C25" s="109" t="n">
        <f aca="false">SUM(Modelo_Mensual!$C$52:$N$52)</f>
        <v>-1635.6090077002</v>
      </c>
      <c r="D25" s="109" t="n">
        <f aca="false">SUM(Modelo_Mensual!$O$52:$Z$52)</f>
        <v>-7540.49164885077</v>
      </c>
      <c r="E25" s="109" t="n">
        <f aca="false">SUM(Modelo_Mensual!$AA$52:$AL$52)</f>
        <v>-11535.5927980607</v>
      </c>
      <c r="F25" s="109" t="n">
        <f aca="false">SUM(Modelo_Mensual!$AM$52:$AX$52)</f>
        <v>-14117.083407832</v>
      </c>
      <c r="G25" s="109" t="n">
        <f aca="false">SUM(Modelo_Mensual!$AY$52:$BJ$52)</f>
        <v>-14431.8993358529</v>
      </c>
      <c r="H25" s="109" t="n">
        <f aca="false">SUM(Modelo_Mensual!$BK$52:$BV$52)</f>
        <v>-14431.8993358529</v>
      </c>
      <c r="I25" s="109" t="n">
        <f aca="false">SUM(Modelo_Mensual!$BW$52:$CH$52)</f>
        <v>-14431.8993358529</v>
      </c>
    </row>
    <row r="26" customFormat="false" ht="13.5" hidden="false" customHeight="true" outlineLevel="0" collapsed="false">
      <c r="A26" s="6" t="s">
        <v>667</v>
      </c>
      <c r="C26" s="109" t="n">
        <f aca="false">SUM(Modelo_Mensual!$C$34:$N$34)</f>
        <v>141473.745</v>
      </c>
      <c r="D26" s="109" t="n">
        <f aca="false">SUM(Modelo_Mensual!$O$34:$Z$34)</f>
        <v>392439.6</v>
      </c>
      <c r="E26" s="109" t="n">
        <f aca="false">SUM(Modelo_Mensual!$AA$34:$AL$34)</f>
        <v>458838</v>
      </c>
      <c r="F26" s="109" t="n">
        <f aca="false">SUM(Modelo_Mensual!$AM$34:$AX$34)</f>
        <v>458838</v>
      </c>
      <c r="G26" s="109" t="n">
        <f aca="false">SUM(Modelo_Mensual!$AY$34:$BJ$34)</f>
        <v>458838</v>
      </c>
      <c r="H26" s="109" t="n">
        <f aca="false">SUM(Modelo_Mensual!$BK$34:$BV$34)</f>
        <v>458838</v>
      </c>
      <c r="I26" s="109" t="n">
        <f aca="false">SUM(Modelo_Mensual!$BW$34:$CH$34)</f>
        <v>458838</v>
      </c>
    </row>
    <row r="27" customFormat="false" ht="13.5" hidden="false" customHeight="true" outlineLevel="0" collapsed="false">
      <c r="A27" s="6" t="s">
        <v>668</v>
      </c>
      <c r="C27" s="120" t="n">
        <f aca="false">IFERROR(C26/C5,0)</f>
        <v>0.754977104535634</v>
      </c>
      <c r="D27" s="120" t="n">
        <f aca="false">IFERROR(D26/D5,0)</f>
        <v>0.544752763407815</v>
      </c>
      <c r="E27" s="120" t="n">
        <f aca="false">IFERROR(E26/E5,0)</f>
        <v>0.416504734563395</v>
      </c>
      <c r="F27" s="120" t="n">
        <f aca="false">IFERROR(F26/F5,0)</f>
        <v>0.334779833040412</v>
      </c>
      <c r="G27" s="120" t="n">
        <f aca="false">IFERROR(G26/G5,0)</f>
        <v>0.326956169807751</v>
      </c>
      <c r="H27" s="120" t="n">
        <f aca="false">IFERROR(H26/H5,0)</f>
        <v>0.326956169807751</v>
      </c>
      <c r="I27" s="120" t="n">
        <f aca="false">IFERROR(I26/I5,0)</f>
        <v>0.326956169807751</v>
      </c>
    </row>
    <row r="28" customFormat="false" ht="13.5" hidden="false" customHeight="true" outlineLevel="0" collapsed="false">
      <c r="A28" s="6" t="s">
        <v>669</v>
      </c>
      <c r="C28" s="110" t="n">
        <f aca="false">Modelo_Mensual!$N$31</f>
        <v>4</v>
      </c>
      <c r="D28" s="110" t="n">
        <f aca="false">Modelo_Mensual!$Z$31</f>
        <v>7</v>
      </c>
      <c r="E28" s="110" t="n">
        <f aca="false">Modelo_Mensual!$AL$31</f>
        <v>8</v>
      </c>
      <c r="F28" s="110" t="n">
        <f aca="false">Modelo_Mensual!$AX$31</f>
        <v>9</v>
      </c>
      <c r="G28" s="110" t="n">
        <f aca="false">Modelo_Mensual!$BJ$31</f>
        <v>9</v>
      </c>
      <c r="H28" s="110" t="n">
        <f aca="false">Modelo_Mensual!$BV$31</f>
        <v>9</v>
      </c>
      <c r="I28" s="110" t="n">
        <f aca="false">Modelo_Mensual!$CH$31</f>
        <v>9</v>
      </c>
    </row>
    <row r="29" customFormat="false" ht="13.5" hidden="false" customHeight="true" outlineLevel="0" collapsed="false">
      <c r="A29" s="6" t="s">
        <v>670</v>
      </c>
      <c r="C29" s="110" t="n">
        <f aca="false">Modelo_Mensual!$N$30</f>
        <v>0</v>
      </c>
      <c r="D29" s="110" t="n">
        <f aca="false">Modelo_Mensual!$Z$30</f>
        <v>2</v>
      </c>
      <c r="E29" s="110" t="n">
        <f aca="false">Modelo_Mensual!$AL$30</f>
        <v>3</v>
      </c>
      <c r="F29" s="110" t="n">
        <f aca="false">Modelo_Mensual!$AX$30</f>
        <v>4</v>
      </c>
      <c r="G29" s="110" t="n">
        <f aca="false">Modelo_Mensual!$BJ$30</f>
        <v>4</v>
      </c>
      <c r="H29" s="110" t="n">
        <f aca="false">Modelo_Mensual!$BV$30</f>
        <v>4</v>
      </c>
      <c r="I29" s="110" t="n">
        <f aca="false">Modelo_Mensual!$CH$30</f>
        <v>4</v>
      </c>
    </row>
    <row r="30" customFormat="false" ht="13.5" hidden="false" customHeight="true" outlineLevel="0" collapsed="false">
      <c r="A30" s="6" t="s">
        <v>573</v>
      </c>
      <c r="C30" s="109" t="n">
        <f aca="false">SUM(Modelo_Mensual!$C$71:$N$71)</f>
        <v>-7849.68747723605</v>
      </c>
      <c r="D30" s="109" t="n">
        <f aca="false">SUM(Modelo_Mensual!$O$71:$Z$71)</f>
        <v>-8338.69618278844</v>
      </c>
      <c r="E30" s="109" t="n">
        <f aca="false">SUM(Modelo_Mensual!$AA$71:$AL$71)</f>
        <v>-5830.14362028843</v>
      </c>
      <c r="F30" s="109" t="n">
        <f aca="false">SUM(Modelo_Mensual!$AM$71:$AX$71)</f>
        <v>-2915.07181014422</v>
      </c>
      <c r="G30" s="109" t="n">
        <f aca="false">SUM(Modelo_Mensual!$AY$71:$BJ$71)</f>
        <v>0</v>
      </c>
      <c r="H30" s="109" t="n">
        <f aca="false">SUM(Modelo_Mensual!$BK$71:$BV$71)</f>
        <v>0</v>
      </c>
      <c r="I30" s="109" t="n">
        <f aca="false">SUM(Modelo_Mensual!$BW$71:$CH$71)</f>
        <v>0</v>
      </c>
    </row>
    <row r="31" customFormat="false" ht="13.5" hidden="false" customHeight="true" outlineLevel="0" collapsed="false">
      <c r="A31" s="6" t="s">
        <v>671</v>
      </c>
      <c r="C31" s="110" t="n">
        <f aca="false">Modelo_Mensual!$N$68</f>
        <v>31984.4651851849</v>
      </c>
      <c r="D31" s="110" t="n">
        <f aca="false">Modelo_Mensual!$Z$68</f>
        <v>69832.5155555546</v>
      </c>
      <c r="E31" s="110" t="n">
        <f aca="false">Modelo_Mensual!$AL$68</f>
        <v>93445.6259259243</v>
      </c>
      <c r="F31" s="110" t="n">
        <f aca="false">Modelo_Mensual!$AX$68</f>
        <v>105252.181111109</v>
      </c>
      <c r="G31" s="110" t="n">
        <f aca="false">Modelo_Mensual!$BJ$68</f>
        <v>105252.181111109</v>
      </c>
      <c r="H31" s="110" t="n">
        <f aca="false">Modelo_Mensual!$BV$68</f>
        <v>105252.181111109</v>
      </c>
      <c r="I31" s="110" t="n">
        <f aca="false">Modelo_Mensual!$CH$68</f>
        <v>105252.181111109</v>
      </c>
    </row>
    <row r="32" customFormat="false" ht="13.5" hidden="false" customHeight="true" outlineLevel="0" collapsed="false">
      <c r="A32" s="6" t="s">
        <v>672</v>
      </c>
      <c r="C32" s="109" t="n">
        <f aca="false">SUM(Modelo_Mensual!$C$83:$N$83)</f>
        <v>0</v>
      </c>
      <c r="D32" s="109" t="n">
        <f aca="false">SUM(Modelo_Mensual!$O$83:$Z$83)</f>
        <v>0</v>
      </c>
      <c r="E32" s="109" t="n">
        <f aca="false">SUM(Modelo_Mensual!$AA$83:$AL$83)</f>
        <v>0</v>
      </c>
      <c r="F32" s="109" t="n">
        <f aca="false">SUM(Modelo_Mensual!$AM$83:$AX$83)</f>
        <v>-154928.418262553</v>
      </c>
      <c r="G32" s="109" t="n">
        <f aca="false">SUM(Modelo_Mensual!$AY$83:$BJ$83)</f>
        <v>-153650.996419085</v>
      </c>
      <c r="H32" s="109" t="n">
        <f aca="false">SUM(Modelo_Mensual!$BK$83:$BV$83)</f>
        <v>-145207.326778552</v>
      </c>
      <c r="I32" s="109" t="n">
        <f aca="false">SUM(Modelo_Mensual!$BW$83:$CH$83)</f>
        <v>-136712.710248803</v>
      </c>
    </row>
    <row r="33" customFormat="false" ht="13.5" hidden="false" customHeight="true" outlineLevel="0" collapsed="false">
      <c r="A33" s="6" t="s">
        <v>673</v>
      </c>
      <c r="C33" s="109" t="n">
        <f aca="false">SUM(Modelo_Mensual!$C$84:$N$84)</f>
        <v>0</v>
      </c>
      <c r="D33" s="109" t="n">
        <f aca="false">SUM(Modelo_Mensual!$O$84:$Z$84)</f>
        <v>0</v>
      </c>
      <c r="E33" s="109" t="n">
        <f aca="false">SUM(Modelo_Mensual!$AA$84:$AL$84)</f>
        <v>0</v>
      </c>
      <c r="F33" s="109" t="n">
        <f aca="false">SUM(Modelo_Mensual!$AM$84:$AX$84)</f>
        <v>0</v>
      </c>
      <c r="G33" s="109" t="n">
        <f aca="false">SUM(Modelo_Mensual!$AY$84:$BJ$84)</f>
        <v>0</v>
      </c>
      <c r="H33" s="109" t="n">
        <f aca="false">SUM(Modelo_Mensual!$BK$84:$BV$84)</f>
        <v>0</v>
      </c>
      <c r="I33" s="109" t="n">
        <f aca="false">SUM(Modelo_Mensual!$BW$84:$CH$84)</f>
        <v>0</v>
      </c>
    </row>
    <row r="34" customFormat="false" ht="13.5" hidden="false" customHeight="true" outlineLevel="0" collapsed="false">
      <c r="A34" s="6" t="s">
        <v>674</v>
      </c>
      <c r="C34" s="109" t="n">
        <f aca="false">Modelo_Mensual!$N$112</f>
        <v>0</v>
      </c>
      <c r="D34" s="109" t="n">
        <f aca="false">Modelo_Mensual!$Z$112</f>
        <v>87318.6609249575</v>
      </c>
      <c r="E34" s="109" t="n">
        <f aca="false">Modelo_Mensual!$AL$112</f>
        <v>400059.637661024</v>
      </c>
      <c r="F34" s="109" t="n">
        <f aca="false">Modelo_Mensual!$AX$112</f>
        <v>787380.683317406</v>
      </c>
      <c r="G34" s="109" t="n">
        <f aca="false">Modelo_Mensual!$BJ$112</f>
        <v>1171508.17436512</v>
      </c>
      <c r="H34" s="109" t="n">
        <f aca="false">Modelo_Mensual!$BV$112</f>
        <v>1534526.4913115</v>
      </c>
      <c r="I34" s="109" t="n">
        <f aca="false">Modelo_Mensual!$CH$112</f>
        <v>1876308.26693351</v>
      </c>
    </row>
    <row r="35" customFormat="false" ht="13.5" hidden="false" customHeight="true" outlineLevel="0" collapsed="false">
      <c r="A35" s="6" t="s">
        <v>675</v>
      </c>
      <c r="C35" s="109" t="n">
        <f aca="false">Modelo_Mensual!$N$81</f>
        <v>0</v>
      </c>
      <c r="D35" s="109" t="n">
        <f aca="false">Modelo_Mensual!$Z$81</f>
        <v>0</v>
      </c>
      <c r="E35" s="109" t="n">
        <f aca="false">Modelo_Mensual!$AL$81</f>
        <v>0</v>
      </c>
      <c r="F35" s="109" t="n">
        <f aca="false">Modelo_Mensual!$AX$81</f>
        <v>0</v>
      </c>
      <c r="G35" s="109" t="n">
        <f aca="false">Modelo_Mensual!$BJ$81</f>
        <v>0</v>
      </c>
      <c r="H35" s="109" t="n">
        <f aca="false">Modelo_Mensual!$BV$81</f>
        <v>0</v>
      </c>
      <c r="I35" s="109" t="n">
        <f aca="false">Modelo_Mensual!$CH$81</f>
        <v>0</v>
      </c>
    </row>
    <row r="36" customFormat="false" ht="13.5" hidden="false" customHeight="true" outlineLevel="0" collapsed="false">
      <c r="A36" s="6" t="s">
        <v>676</v>
      </c>
      <c r="C36" s="109" t="n">
        <f aca="false">SUM(Modelo_Mensual!$C$60:$N$60)</f>
        <v>-5174.69193357792</v>
      </c>
      <c r="D36" s="109" t="n">
        <f aca="false">SUM(Modelo_Mensual!$O$60:$Z$60)</f>
        <v>-10845.6032665812</v>
      </c>
      <c r="E36" s="109" t="n">
        <f aca="false">SUM(Modelo_Mensual!$AA$60:$AL$60)</f>
        <v>-15545.2417679181</v>
      </c>
      <c r="F36" s="109" t="n">
        <f aca="false">SUM(Modelo_Mensual!$AM$60:$AX$60)</f>
        <v>-18438.2352364183</v>
      </c>
      <c r="G36" s="109" t="n">
        <f aca="false">SUM(Modelo_Mensual!$AY$60:$BJ$60)</f>
        <v>-17647.9546227754</v>
      </c>
      <c r="H36" s="109" t="n">
        <f aca="false">SUM(Modelo_Mensual!$BK$60:$BV$60)</f>
        <v>-16257.2287968888</v>
      </c>
      <c r="I36" s="109" t="n">
        <f aca="false">SUM(Modelo_Mensual!$BW$60:$CH$60)</f>
        <v>-14863.0371962256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10" min="2" style="1" width="13"/>
  </cols>
  <sheetData>
    <row r="1" customFormat="false" ht="18" hidden="false" customHeight="true" outlineLevel="0" collapsed="false">
      <c r="A1" s="8" t="s">
        <v>677</v>
      </c>
    </row>
    <row r="2" customFormat="false" ht="13.5" hidden="false" customHeight="true" outlineLevel="0" collapsed="false">
      <c r="A2" s="4" t="s">
        <v>678</v>
      </c>
    </row>
    <row r="3" customFormat="false" ht="13.5" hidden="false" customHeight="true" outlineLevel="0" collapsed="false"/>
    <row r="4" customFormat="false" ht="13.5" hidden="false" customHeight="true" outlineLevel="0" collapsed="false">
      <c r="A4" s="9" t="s">
        <v>679</v>
      </c>
      <c r="B4" s="9"/>
      <c r="C4" s="9"/>
      <c r="D4" s="9"/>
    </row>
    <row r="5" customFormat="false" ht="13.5" hidden="false" customHeight="true" outlineLevel="0" collapsed="false">
      <c r="A5" s="6" t="s">
        <v>680</v>
      </c>
      <c r="B5" s="85" t="n">
        <v>2880</v>
      </c>
    </row>
    <row r="6" customFormat="false" ht="13.5" hidden="false" customHeight="true" outlineLevel="0" collapsed="false">
      <c r="A6" s="6" t="s">
        <v>681</v>
      </c>
      <c r="B6" s="124" t="n">
        <f aca="false">Producto!$T$32</f>
        <v>49.386969017199</v>
      </c>
      <c r="C6" s="4" t="s">
        <v>682</v>
      </c>
    </row>
    <row r="7" customFormat="false" ht="13.5" hidden="false" customHeight="true" outlineLevel="0" collapsed="false">
      <c r="A7" s="6" t="s">
        <v>683</v>
      </c>
      <c r="B7" s="124" t="n">
        <f aca="false">Producto!$S$32</f>
        <v>8.05503682678133</v>
      </c>
    </row>
    <row r="8" customFormat="false" ht="13.5" hidden="false" customHeight="true" outlineLevel="0" collapsed="false">
      <c r="A8" s="6" t="s">
        <v>684</v>
      </c>
      <c r="B8" s="75" t="n">
        <v>0.1</v>
      </c>
    </row>
    <row r="9" customFormat="false" ht="13.5" hidden="false" customHeight="true" outlineLevel="0" collapsed="false">
      <c r="A9" s="6" t="s">
        <v>685</v>
      </c>
      <c r="B9" s="104" t="n">
        <f aca="false">Producto!$D$11</f>
        <v>3</v>
      </c>
    </row>
    <row r="10" customFormat="false" ht="13.5" hidden="false" customHeight="true" outlineLevel="0" collapsed="false">
      <c r="A10" s="6" t="s">
        <v>306</v>
      </c>
      <c r="B10" s="125" t="n">
        <f aca="false">Producto!$J$32</f>
        <v>6.85271683046683</v>
      </c>
    </row>
    <row r="11" customFormat="false" ht="13.5" hidden="false" customHeight="true" outlineLevel="0" collapsed="false">
      <c r="A11" s="6" t="s">
        <v>686</v>
      </c>
      <c r="B11" s="26" t="n">
        <v>7</v>
      </c>
    </row>
    <row r="12" customFormat="false" ht="13.5" hidden="false" customHeight="true" outlineLevel="0" collapsed="false">
      <c r="A12" s="6" t="s">
        <v>687</v>
      </c>
      <c r="B12" s="85" t="n">
        <v>160</v>
      </c>
    </row>
    <row r="13" customFormat="false" ht="13.5" hidden="false" customHeight="true" outlineLevel="0" collapsed="false">
      <c r="A13" s="6" t="s">
        <v>688</v>
      </c>
      <c r="B13" s="76" t="n">
        <v>12</v>
      </c>
    </row>
    <row r="14" customFormat="false" ht="13.5" hidden="false" customHeight="true" outlineLevel="0" collapsed="false">
      <c r="A14" s="6" t="s">
        <v>689</v>
      </c>
      <c r="B14" s="126" t="n">
        <f aca="false">-Modelo_Mensual!$CH$55+Modelo_Mensual!$CH$50+Modelo_Mensual!$CH$52</f>
        <v>35775.4539284392</v>
      </c>
    </row>
    <row r="15" customFormat="false" ht="13.5" hidden="false" customHeight="true" outlineLevel="0" collapsed="false"/>
    <row r="16" customFormat="false" ht="13.5" hidden="false" customHeight="true" outlineLevel="0" collapsed="false">
      <c r="A16" s="9" t="s">
        <v>690</v>
      </c>
      <c r="B16" s="9"/>
      <c r="C16" s="9"/>
      <c r="D16" s="9"/>
    </row>
    <row r="17" customFormat="false" ht="13.5" hidden="false" customHeight="true" outlineLevel="0" collapsed="false">
      <c r="A17" s="6" t="s">
        <v>447</v>
      </c>
      <c r="B17" s="106" t="n">
        <f aca="false">$B$5*$B$10</f>
        <v>19735.8244717445</v>
      </c>
    </row>
    <row r="18" customFormat="false" ht="13.5" hidden="false" customHeight="true" outlineLevel="0" collapsed="false">
      <c r="A18" s="6" t="s">
        <v>691</v>
      </c>
      <c r="B18" s="81" t="n">
        <f aca="false">$B$5*$B$6</f>
        <v>142234.470769533</v>
      </c>
    </row>
    <row r="19" customFormat="false" ht="13.5" hidden="false" customHeight="true" outlineLevel="0" collapsed="false">
      <c r="A19" s="6" t="s">
        <v>692</v>
      </c>
      <c r="B19" s="81" t="n">
        <f aca="false">B18*(1-$B$8)</f>
        <v>128011.02369258</v>
      </c>
    </row>
    <row r="20" customFormat="false" ht="13.5" hidden="false" customHeight="true" outlineLevel="0" collapsed="false">
      <c r="A20" s="6" t="s">
        <v>693</v>
      </c>
      <c r="B20" s="81" t="n">
        <f aca="false">$B$5*$B$7</f>
        <v>23198.5060611302</v>
      </c>
    </row>
    <row r="21" customFormat="false" ht="13.5" hidden="false" customHeight="true" outlineLevel="0" collapsed="false">
      <c r="A21" s="6" t="s">
        <v>694</v>
      </c>
      <c r="B21" s="81" t="n">
        <f aca="false">B19-B20</f>
        <v>104812.51763145</v>
      </c>
    </row>
    <row r="22" customFormat="false" ht="13.5" hidden="false" customHeight="true" outlineLevel="0" collapsed="false">
      <c r="A22" s="6" t="s">
        <v>695</v>
      </c>
      <c r="B22" s="105" t="n">
        <f aca="false">B17*$B$9/60</f>
        <v>986.791223587224</v>
      </c>
    </row>
    <row r="23" customFormat="false" ht="13.5" hidden="false" customHeight="true" outlineLevel="0" collapsed="false">
      <c r="A23" s="6" t="s">
        <v>696</v>
      </c>
      <c r="B23" s="106" t="n">
        <f aca="false">$B$11*$B$12</f>
        <v>1120</v>
      </c>
    </row>
    <row r="24" customFormat="false" ht="13.5" hidden="false" customHeight="true" outlineLevel="0" collapsed="false">
      <c r="A24" s="6" t="s">
        <v>697</v>
      </c>
      <c r="B24" s="81" t="n">
        <f aca="false">MAX(0,B22-B23)*$B$13</f>
        <v>0</v>
      </c>
    </row>
    <row r="25" customFormat="false" ht="13.5" hidden="false" customHeight="true" outlineLevel="0" collapsed="false">
      <c r="A25" s="6" t="s">
        <v>698</v>
      </c>
      <c r="B25" s="81" t="n">
        <f aca="false">B21-$B$14-B24</f>
        <v>69037.0637030104</v>
      </c>
    </row>
    <row r="26" customFormat="false" ht="13.5" hidden="false" customHeight="true" outlineLevel="0" collapsed="false">
      <c r="A26" s="6" t="s">
        <v>699</v>
      </c>
      <c r="B26" s="81" t="n">
        <f aca="false">B25*12</f>
        <v>828444.764436125</v>
      </c>
    </row>
    <row r="27" customFormat="false" ht="13.5" hidden="false" customHeight="true" outlineLevel="0" collapsed="false">
      <c r="A27" s="6" t="s">
        <v>49</v>
      </c>
      <c r="B27" s="127" t="n">
        <f aca="false">IFERROR(B25/B19,0)</f>
        <v>0.539305613779043</v>
      </c>
    </row>
    <row r="28" customFormat="false" ht="13.5" hidden="false" customHeight="true" outlineLevel="0" collapsed="false"/>
    <row r="29" customFormat="false" ht="12.75" hidden="false" customHeight="true" outlineLevel="0" collapsed="false">
      <c r="A29" s="9" t="s">
        <v>700</v>
      </c>
      <c r="B29" s="9"/>
      <c r="C29" s="9"/>
      <c r="D29" s="9"/>
      <c r="E29" s="9"/>
      <c r="F29" s="9"/>
      <c r="G29" s="9"/>
      <c r="H29" s="9"/>
      <c r="I29" s="9"/>
      <c r="J29" s="9"/>
    </row>
    <row r="30" customFormat="false" ht="13.5" hidden="false" customHeight="true" outlineLevel="0" collapsed="false">
      <c r="A30" s="115" t="s">
        <v>701</v>
      </c>
      <c r="B30" s="128" t="n">
        <v>5</v>
      </c>
      <c r="C30" s="128" t="n">
        <v>6</v>
      </c>
      <c r="D30" s="128" t="n">
        <v>7</v>
      </c>
      <c r="E30" s="128" t="n">
        <v>8</v>
      </c>
      <c r="F30" s="128" t="n">
        <v>9</v>
      </c>
      <c r="G30" s="128" t="n">
        <v>10</v>
      </c>
    </row>
    <row r="31" customFormat="false" ht="13.5" hidden="false" customHeight="true" outlineLevel="0" collapsed="false">
      <c r="A31" s="129" t="n">
        <v>3</v>
      </c>
      <c r="B31" s="98" t="n">
        <f aca="false">($B$5*$B$6*(1-$B$8)-$B$5*$B$7)-$B$14-MAX(0,$B$5*$B$10*3/60-5*$B$12)*$B$13</f>
        <v>66795.5690199638</v>
      </c>
      <c r="C31" s="98" t="n">
        <f aca="false">($B$5*$B$6*(1-$B$8)-$B$5*$B$7)-$B$14-MAX(0,$B$5*$B$10*3/60-6*$B$12)*$B$13</f>
        <v>68715.5690199638</v>
      </c>
      <c r="D31" s="98" t="n">
        <f aca="false">($B$5*$B$6*(1-$B$8)-$B$5*$B$7)-$B$14-MAX(0,$B$5*$B$10*3/60-7*$B$12)*$B$13</f>
        <v>69037.0637030104</v>
      </c>
      <c r="E31" s="98" t="n">
        <f aca="false">($B$5*$B$6*(1-$B$8)-$B$5*$B$7)-$B$14-MAX(0,$B$5*$B$10*3/60-8*$B$12)*$B$13</f>
        <v>69037.0637030104</v>
      </c>
      <c r="F31" s="98" t="n">
        <f aca="false">($B$5*$B$6*(1-$B$8)-$B$5*$B$7)-$B$14-MAX(0,$B$5*$B$10*3/60-9*$B$12)*$B$13</f>
        <v>69037.0637030104</v>
      </c>
      <c r="G31" s="98" t="n">
        <f aca="false">($B$5*$B$6*(1-$B$8)-$B$5*$B$7)-$B$14-MAX(0,$B$5*$B$10*3/60-10*$B$12)*$B$13</f>
        <v>69037.0637030104</v>
      </c>
    </row>
    <row r="32" customFormat="false" ht="13.5" hidden="false" customHeight="true" outlineLevel="0" collapsed="false">
      <c r="A32" s="129" t="n">
        <v>4</v>
      </c>
      <c r="B32" s="98" t="n">
        <f aca="false">($B$5*$B$6*(1-$B$8)-$B$5*$B$7)-$B$14-MAX(0,$B$5*$B$10*4/60-5*$B$12)*$B$13</f>
        <v>62848.4041256149</v>
      </c>
      <c r="C32" s="98" t="n">
        <f aca="false">($B$5*$B$6*(1-$B$8)-$B$5*$B$7)-$B$14-MAX(0,$B$5*$B$10*4/60-6*$B$12)*$B$13</f>
        <v>64768.4041256149</v>
      </c>
      <c r="D32" s="98" t="n">
        <f aca="false">($B$5*$B$6*(1-$B$8)-$B$5*$B$7)-$B$14-MAX(0,$B$5*$B$10*4/60-7*$B$12)*$B$13</f>
        <v>66688.4041256149</v>
      </c>
      <c r="E32" s="98" t="n">
        <f aca="false">($B$5*$B$6*(1-$B$8)-$B$5*$B$7)-$B$14-MAX(0,$B$5*$B$10*4/60-8*$B$12)*$B$13</f>
        <v>68608.4041256149</v>
      </c>
      <c r="F32" s="98" t="n">
        <f aca="false">($B$5*$B$6*(1-$B$8)-$B$5*$B$7)-$B$14-MAX(0,$B$5*$B$10*4/60-9*$B$12)*$B$13</f>
        <v>69037.0637030104</v>
      </c>
      <c r="G32" s="98" t="n">
        <f aca="false">($B$5*$B$6*(1-$B$8)-$B$5*$B$7)-$B$14-MAX(0,$B$5*$B$10*4/60-10*$B$12)*$B$13</f>
        <v>69037.0637030104</v>
      </c>
    </row>
    <row r="33" customFormat="false" ht="13.5" hidden="false" customHeight="true" outlineLevel="0" collapsed="false">
      <c r="A33" s="129" t="n">
        <v>5</v>
      </c>
      <c r="B33" s="98" t="n">
        <f aca="false">($B$5*$B$6*(1-$B$8)-$B$5*$B$7)-$B$14-MAX(0,$B$5*$B$10*5/60-5*$B$12)*$B$13</f>
        <v>58901.239231266</v>
      </c>
      <c r="C33" s="98" t="n">
        <f aca="false">($B$5*$B$6*(1-$B$8)-$B$5*$B$7)-$B$14-MAX(0,$B$5*$B$10*5/60-6*$B$12)*$B$13</f>
        <v>60821.239231266</v>
      </c>
      <c r="D33" s="98" t="n">
        <f aca="false">($B$5*$B$6*(1-$B$8)-$B$5*$B$7)-$B$14-MAX(0,$B$5*$B$10*5/60-7*$B$12)*$B$13</f>
        <v>62741.239231266</v>
      </c>
      <c r="E33" s="98" t="n">
        <f aca="false">($B$5*$B$6*(1-$B$8)-$B$5*$B$7)-$B$14-MAX(0,$B$5*$B$10*5/60-8*$B$12)*$B$13</f>
        <v>64661.239231266</v>
      </c>
      <c r="F33" s="98" t="n">
        <f aca="false">($B$5*$B$6*(1-$B$8)-$B$5*$B$7)-$B$14-MAX(0,$B$5*$B$10*5/60-9*$B$12)*$B$13</f>
        <v>66581.239231266</v>
      </c>
      <c r="G33" s="98" t="n">
        <f aca="false">($B$5*$B$6*(1-$B$8)-$B$5*$B$7)-$B$14-MAX(0,$B$5*$B$10*5/60-10*$B$12)*$B$13</f>
        <v>68501.239231266</v>
      </c>
    </row>
    <row r="34" customFormat="false" ht="13.5" hidden="false" customHeight="true" outlineLevel="0" collapsed="false">
      <c r="A34" s="129" t="n">
        <v>6</v>
      </c>
      <c r="B34" s="98" t="n">
        <f aca="false">($B$5*$B$6*(1-$B$8)-$B$5*$B$7)-$B$14-MAX(0,$B$5*$B$10*6/60-5*$B$12)*$B$13</f>
        <v>54954.0743369171</v>
      </c>
      <c r="C34" s="98" t="n">
        <f aca="false">($B$5*$B$6*(1-$B$8)-$B$5*$B$7)-$B$14-MAX(0,$B$5*$B$10*6/60-6*$B$12)*$B$13</f>
        <v>56874.0743369171</v>
      </c>
      <c r="D34" s="98" t="n">
        <f aca="false">($B$5*$B$6*(1-$B$8)-$B$5*$B$7)-$B$14-MAX(0,$B$5*$B$10*6/60-7*$B$12)*$B$13</f>
        <v>58794.0743369171</v>
      </c>
      <c r="E34" s="98" t="n">
        <f aca="false">($B$5*$B$6*(1-$B$8)-$B$5*$B$7)-$B$14-MAX(0,$B$5*$B$10*6/60-8*$B$12)*$B$13</f>
        <v>60714.0743369171</v>
      </c>
      <c r="F34" s="98" t="n">
        <f aca="false">($B$5*$B$6*(1-$B$8)-$B$5*$B$7)-$B$14-MAX(0,$B$5*$B$10*6/60-9*$B$12)*$B$13</f>
        <v>62634.0743369171</v>
      </c>
      <c r="G34" s="98" t="n">
        <f aca="false">($B$5*$B$6*(1-$B$8)-$B$5*$B$7)-$B$14-MAX(0,$B$5*$B$10*6/60-10*$B$12)*$B$13</f>
        <v>64554.0743369171</v>
      </c>
    </row>
    <row r="35" customFormat="false" ht="13.5" hidden="false" customHeight="true" outlineLevel="0" collapsed="false">
      <c r="A35" s="129" t="n">
        <v>8</v>
      </c>
      <c r="B35" s="98" t="n">
        <f aca="false">($B$5*$B$6*(1-$B$8)-$B$5*$B$7)-$B$14-MAX(0,$B$5*$B$10*8/60-5*$B$12)*$B$13</f>
        <v>47059.7445482193</v>
      </c>
      <c r="C35" s="98" t="n">
        <f aca="false">($B$5*$B$6*(1-$B$8)-$B$5*$B$7)-$B$14-MAX(0,$B$5*$B$10*8/60-6*$B$12)*$B$13</f>
        <v>48979.7445482193</v>
      </c>
      <c r="D35" s="98" t="n">
        <f aca="false">($B$5*$B$6*(1-$B$8)-$B$5*$B$7)-$B$14-MAX(0,$B$5*$B$10*8/60-7*$B$12)*$B$13</f>
        <v>50899.7445482193</v>
      </c>
      <c r="E35" s="98" t="n">
        <f aca="false">($B$5*$B$6*(1-$B$8)-$B$5*$B$7)-$B$14-MAX(0,$B$5*$B$10*8/60-8*$B$12)*$B$13</f>
        <v>52819.7445482193</v>
      </c>
      <c r="F35" s="98" t="n">
        <f aca="false">($B$5*$B$6*(1-$B$8)-$B$5*$B$7)-$B$14-MAX(0,$B$5*$B$10*8/60-9*$B$12)*$B$13</f>
        <v>54739.7445482193</v>
      </c>
      <c r="G35" s="98" t="n">
        <f aca="false">($B$5*$B$6*(1-$B$8)-$B$5*$B$7)-$B$14-MAX(0,$B$5*$B$10*8/60-10*$B$12)*$B$13</f>
        <v>56659.7445482193</v>
      </c>
    </row>
    <row r="36" customFormat="false" ht="13.5" hidden="false" customHeight="true" outlineLevel="0" collapsed="false">
      <c r="A36" s="129" t="n">
        <v>10</v>
      </c>
      <c r="B36" s="98" t="n">
        <f aca="false">($B$5*$B$6*(1-$B$8)-$B$5*$B$7)-$B$14-MAX(0,$B$5*$B$10*10/60-5*$B$12)*$B$13</f>
        <v>39165.4147595215</v>
      </c>
      <c r="C36" s="98" t="n">
        <f aca="false">($B$5*$B$6*(1-$B$8)-$B$5*$B$7)-$B$14-MAX(0,$B$5*$B$10*10/60-6*$B$12)*$B$13</f>
        <v>41085.4147595215</v>
      </c>
      <c r="D36" s="98" t="n">
        <f aca="false">($B$5*$B$6*(1-$B$8)-$B$5*$B$7)-$B$14-MAX(0,$B$5*$B$10*10/60-7*$B$12)*$B$13</f>
        <v>43005.4147595215</v>
      </c>
      <c r="E36" s="98" t="n">
        <f aca="false">($B$5*$B$6*(1-$B$8)-$B$5*$B$7)-$B$14-MAX(0,$B$5*$B$10*10/60-8*$B$12)*$B$13</f>
        <v>44925.4147595215</v>
      </c>
      <c r="F36" s="98" t="n">
        <f aca="false">($B$5*$B$6*(1-$B$8)-$B$5*$B$7)-$B$14-MAX(0,$B$5*$B$10*10/60-9*$B$12)*$B$13</f>
        <v>46845.4147595215</v>
      </c>
      <c r="G36" s="98" t="n">
        <f aca="false">($B$5*$B$6*(1-$B$8)-$B$5*$B$7)-$B$14-MAX(0,$B$5*$B$10*10/60-10*$B$12)*$B$13</f>
        <v>48765.4147595215</v>
      </c>
    </row>
    <row r="37" customFormat="false" ht="13.5" hidden="false" customHeight="true" outlineLevel="0" collapsed="false">
      <c r="A37" s="4" t="s">
        <v>702</v>
      </c>
    </row>
    <row r="38" customFormat="false" ht="13.5" hidden="false" customHeight="true" outlineLevel="0" collapsed="false"/>
    <row r="39" customFormat="false" ht="12.75" hidden="false" customHeight="true" outlineLevel="0" collapsed="false">
      <c r="A39" s="9" t="s">
        <v>703</v>
      </c>
      <c r="B39" s="9"/>
      <c r="C39" s="9"/>
      <c r="D39" s="9"/>
      <c r="E39" s="9"/>
      <c r="F39" s="9"/>
      <c r="G39" s="9"/>
      <c r="H39" s="9"/>
      <c r="I39" s="9"/>
      <c r="J39" s="9"/>
    </row>
    <row r="40" customFormat="false" ht="13.5" hidden="false" customHeight="true" outlineLevel="0" collapsed="false">
      <c r="A40" s="115" t="s">
        <v>704</v>
      </c>
      <c r="B40" s="130" t="n">
        <f aca="false">$B$6*0.6</f>
        <v>29.6321814103194</v>
      </c>
      <c r="C40" s="130" t="n">
        <f aca="false">$B$6*0.8</f>
        <v>39.5095752137592</v>
      </c>
      <c r="D40" s="130" t="n">
        <f aca="false">$B$6*1</f>
        <v>49.386969017199</v>
      </c>
      <c r="E40" s="130" t="n">
        <f aca="false">$B$6*1.2</f>
        <v>59.2643628206388</v>
      </c>
      <c r="F40" s="130" t="n">
        <f aca="false">$B$6*1.4</f>
        <v>69.1417566240786</v>
      </c>
    </row>
    <row r="41" customFormat="false" ht="13.5" hidden="false" customHeight="true" outlineLevel="0" collapsed="false">
      <c r="A41" s="128" t="n">
        <v>1000</v>
      </c>
      <c r="B41" s="98" t="n">
        <f aca="false">(1000*$B$6*0.6*(1-$B$8)-1000*$B$7)-$B$14-MAX(0,1000*$B$10*$B$9/60-$B$11*$B$12)*$B$13</f>
        <v>-17161.5274859331</v>
      </c>
      <c r="C41" s="98" t="n">
        <f aca="false">(1000*$B$6*0.8*(1-$B$8)-1000*$B$7)-$B$14-MAX(0,1000*$B$10*$B$9/60-$B$11*$B$12)*$B$13</f>
        <v>-8271.87306283723</v>
      </c>
      <c r="D41" s="98" t="n">
        <f aca="false">(1000*$B$6*1*(1-$B$8)-1000*$B$7)-$B$14-MAX(0,1000*$B$10*$B$9/60-$B$11*$B$12)*$B$13</f>
        <v>617.781360258596</v>
      </c>
      <c r="E41" s="98" t="n">
        <f aca="false">(1000*$B$6*1.2*(1-$B$8)-1000*$B$7)-$B$14-MAX(0,1000*$B$10*$B$9/60-$B$11*$B$12)*$B$13</f>
        <v>9507.43578335442</v>
      </c>
      <c r="F41" s="98" t="n">
        <f aca="false">(1000*$B$6*1.4*(1-$B$8)-1000*$B$7)-$B$14-MAX(0,1000*$B$10*$B$9/60-$B$11*$B$12)*$B$13</f>
        <v>18397.0902064502</v>
      </c>
    </row>
    <row r="42" customFormat="false" ht="13.5" hidden="false" customHeight="true" outlineLevel="0" collapsed="false">
      <c r="A42" s="128" t="n">
        <v>1500</v>
      </c>
      <c r="B42" s="98" t="n">
        <f aca="false">(1500*$B$6*0.6*(1-$B$8)-1500*$B$7)-$B$14-MAX(0,1500*$B$10*$B$9/60-$B$11*$B$12)*$B$13</f>
        <v>-7854.56426467999</v>
      </c>
      <c r="C42" s="98" t="n">
        <f aca="false">(1500*$B$6*0.8*(1-$B$8)-1500*$B$7)-$B$14-MAX(0,1500*$B$10*$B$9/60-$B$11*$B$12)*$B$13</f>
        <v>5479.91736996375</v>
      </c>
      <c r="D42" s="98" t="n">
        <f aca="false">(1500*$B$6*1*(1-$B$8)-1500*$B$7)-$B$14-MAX(0,1500*$B$10*$B$9/60-$B$11*$B$12)*$B$13</f>
        <v>18814.3990046075</v>
      </c>
      <c r="E42" s="98" t="n">
        <f aca="false">(1500*$B$6*1.2*(1-$B$8)-1500*$B$7)-$B$14-MAX(0,1500*$B$10*$B$9/60-$B$11*$B$12)*$B$13</f>
        <v>32148.8806392512</v>
      </c>
      <c r="F42" s="98" t="n">
        <f aca="false">(1500*$B$6*1.4*(1-$B$8)-1500*$B$7)-$B$14-MAX(0,1500*$B$10*$B$9/60-$B$11*$B$12)*$B$13</f>
        <v>45483.3622738949</v>
      </c>
    </row>
    <row r="43" customFormat="false" ht="13.5" hidden="false" customHeight="true" outlineLevel="0" collapsed="false">
      <c r="A43" s="128" t="n">
        <v>2000</v>
      </c>
      <c r="B43" s="98" t="n">
        <f aca="false">(2000*$B$6*0.6*(1-$B$8)-2000*$B$7)-$B$14-MAX(0,2000*$B$10*$B$9/60-$B$11*$B$12)*$B$13</f>
        <v>1452.39895657309</v>
      </c>
      <c r="C43" s="98" t="n">
        <f aca="false">(2000*$B$6*0.8*(1-$B$8)-2000*$B$7)-$B$14-MAX(0,2000*$B$10*$B$9/60-$B$11*$B$12)*$B$13</f>
        <v>19231.7078027647</v>
      </c>
      <c r="D43" s="98" t="n">
        <f aca="false">(2000*$B$6*1*(1-$B$8)-2000*$B$7)-$B$14-MAX(0,2000*$B$10*$B$9/60-$B$11*$B$12)*$B$13</f>
        <v>37011.0166489564</v>
      </c>
      <c r="E43" s="98" t="n">
        <f aca="false">(2000*$B$6*1.2*(1-$B$8)-2000*$B$7)-$B$14-MAX(0,2000*$B$10*$B$9/60-$B$11*$B$12)*$B$13</f>
        <v>54790.325495148</v>
      </c>
      <c r="F43" s="98" t="n">
        <f aca="false">(2000*$B$6*1.4*(1-$B$8)-2000*$B$7)-$B$14-MAX(0,2000*$B$10*$B$9/60-$B$11*$B$12)*$B$13</f>
        <v>72569.6343413397</v>
      </c>
    </row>
    <row r="44" customFormat="false" ht="13.5" hidden="false" customHeight="true" outlineLevel="0" collapsed="false">
      <c r="A44" s="128" t="n">
        <v>2500</v>
      </c>
      <c r="B44" s="98" t="n">
        <f aca="false">(2500*$B$6*0.6*(1-$B$8)-2500*$B$7)-$B$14-MAX(0,2500*$B$10*$B$9/60-$B$11*$B$12)*$B$13</f>
        <v>10759.3621778262</v>
      </c>
      <c r="C44" s="98" t="n">
        <f aca="false">(2500*$B$6*0.8*(1-$B$8)-2500*$B$7)-$B$14-MAX(0,2500*$B$10*$B$9/60-$B$11*$B$12)*$B$13</f>
        <v>32983.4982355657</v>
      </c>
      <c r="D44" s="98" t="n">
        <f aca="false">(2500*$B$6*1*(1-$B$8)-2500*$B$7)-$B$14-MAX(0,2500*$B$10*$B$9/60-$B$11*$B$12)*$B$13</f>
        <v>55207.6342933053</v>
      </c>
      <c r="E44" s="98" t="n">
        <f aca="false">(2500*$B$6*1.2*(1-$B$8)-2500*$B$7)-$B$14-MAX(0,2500*$B$10*$B$9/60-$B$11*$B$12)*$B$13</f>
        <v>77431.7703510448</v>
      </c>
      <c r="F44" s="98" t="n">
        <f aca="false">(2500*$B$6*1.4*(1-$B$8)-2500*$B$7)-$B$14-MAX(0,2500*$B$10*$B$9/60-$B$11*$B$12)*$B$13</f>
        <v>99655.9064087844</v>
      </c>
    </row>
    <row r="45" customFormat="false" ht="13.5" hidden="false" customHeight="true" outlineLevel="0" collapsed="false">
      <c r="A45" s="128" t="n">
        <v>2880</v>
      </c>
      <c r="B45" s="98" t="n">
        <f aca="false">(2880*$B$6*0.6*(1-$B$8)-2880*$B$7)-$B$14-MAX(0,2880*$B$10*$B$9/60-$B$11*$B$12)*$B$13</f>
        <v>17832.6542259785</v>
      </c>
      <c r="C45" s="98" t="n">
        <f aca="false">(2880*$B$6*0.8*(1-$B$8)-2880*$B$7)-$B$14-MAX(0,2880*$B$10*$B$9/60-$B$11*$B$12)*$B$13</f>
        <v>43434.8589644945</v>
      </c>
      <c r="D45" s="98" t="n">
        <f aca="false">(2880*$B$6*1*(1-$B$8)-2880*$B$7)-$B$14-MAX(0,2880*$B$10*$B$9/60-$B$11*$B$12)*$B$13</f>
        <v>69037.0637030104</v>
      </c>
      <c r="E45" s="98" t="n">
        <f aca="false">(2880*$B$6*1.2*(1-$B$8)-2880*$B$7)-$B$14-MAX(0,2880*$B$10*$B$9/60-$B$11*$B$12)*$B$13</f>
        <v>94639.2684415265</v>
      </c>
      <c r="F45" s="98" t="n">
        <f aca="false">(2880*$B$6*1.4*(1-$B$8)-2880*$B$7)-$B$14-MAX(0,2880*$B$10*$B$9/60-$B$11*$B$12)*$B$13</f>
        <v>120241.473180042</v>
      </c>
    </row>
    <row r="46" customFormat="false" ht="13.5" hidden="false" customHeight="true" outlineLevel="0" collapsed="false"/>
    <row r="47" customFormat="false" ht="13.5" hidden="false" customHeight="true" outlineLevel="0" collapsed="false">
      <c r="A47" s="4" t="s">
        <v>705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H1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8"/>
    <col collapsed="false" customWidth="true" hidden="false" outlineLevel="0" max="2" min="2" style="1" width="13"/>
    <col collapsed="false" customWidth="true" hidden="false" outlineLevel="0" max="86" min="3" style="1" width="11"/>
  </cols>
  <sheetData>
    <row r="1" customFormat="false" ht="18" hidden="false" customHeight="true" outlineLevel="0" collapsed="false">
      <c r="A1" s="8" t="s">
        <v>706</v>
      </c>
    </row>
    <row r="2" customFormat="false" ht="13.5" hidden="false" customHeight="true" outlineLevel="0" collapsed="false">
      <c r="A2" s="4" t="s">
        <v>707</v>
      </c>
    </row>
    <row r="3" customFormat="false" ht="13.5" hidden="false" customHeight="true" outlineLevel="0" collapsed="false">
      <c r="A3" s="115" t="s">
        <v>512</v>
      </c>
      <c r="C3" s="116" t="n">
        <v>1</v>
      </c>
      <c r="D3" s="116" t="n">
        <v>2</v>
      </c>
      <c r="E3" s="116" t="n">
        <v>3</v>
      </c>
      <c r="F3" s="116" t="n">
        <v>4</v>
      </c>
      <c r="G3" s="116" t="n">
        <v>5</v>
      </c>
      <c r="H3" s="116" t="n">
        <v>6</v>
      </c>
      <c r="I3" s="116" t="n">
        <v>7</v>
      </c>
      <c r="J3" s="116" t="n">
        <v>8</v>
      </c>
      <c r="K3" s="116" t="n">
        <v>9</v>
      </c>
      <c r="L3" s="116" t="n">
        <v>10</v>
      </c>
      <c r="M3" s="116" t="n">
        <v>11</v>
      </c>
      <c r="N3" s="116" t="n">
        <v>12</v>
      </c>
      <c r="O3" s="116" t="n">
        <v>13</v>
      </c>
      <c r="P3" s="116" t="n">
        <v>14</v>
      </c>
      <c r="Q3" s="116" t="n">
        <v>15</v>
      </c>
      <c r="R3" s="116" t="n">
        <v>16</v>
      </c>
      <c r="S3" s="116" t="n">
        <v>17</v>
      </c>
      <c r="T3" s="116" t="n">
        <v>18</v>
      </c>
      <c r="U3" s="116" t="n">
        <v>19</v>
      </c>
      <c r="V3" s="116" t="n">
        <v>20</v>
      </c>
      <c r="W3" s="116" t="n">
        <v>21</v>
      </c>
      <c r="X3" s="116" t="n">
        <v>22</v>
      </c>
      <c r="Y3" s="116" t="n">
        <v>23</v>
      </c>
      <c r="Z3" s="116" t="n">
        <v>24</v>
      </c>
      <c r="AA3" s="116" t="n">
        <v>25</v>
      </c>
      <c r="AB3" s="116" t="n">
        <v>26</v>
      </c>
      <c r="AC3" s="116" t="n">
        <v>27</v>
      </c>
      <c r="AD3" s="116" t="n">
        <v>28</v>
      </c>
      <c r="AE3" s="116" t="n">
        <v>29</v>
      </c>
      <c r="AF3" s="116" t="n">
        <v>30</v>
      </c>
      <c r="AG3" s="116" t="n">
        <v>31</v>
      </c>
      <c r="AH3" s="116" t="n">
        <v>32</v>
      </c>
      <c r="AI3" s="116" t="n">
        <v>33</v>
      </c>
      <c r="AJ3" s="116" t="n">
        <v>34</v>
      </c>
      <c r="AK3" s="116" t="n">
        <v>35</v>
      </c>
      <c r="AL3" s="116" t="n">
        <v>36</v>
      </c>
      <c r="AM3" s="116" t="n">
        <v>37</v>
      </c>
      <c r="AN3" s="116" t="n">
        <v>38</v>
      </c>
      <c r="AO3" s="116" t="n">
        <v>39</v>
      </c>
      <c r="AP3" s="116" t="n">
        <v>40</v>
      </c>
      <c r="AQ3" s="116" t="n">
        <v>41</v>
      </c>
      <c r="AR3" s="116" t="n">
        <v>42</v>
      </c>
      <c r="AS3" s="116" t="n">
        <v>43</v>
      </c>
      <c r="AT3" s="116" t="n">
        <v>44</v>
      </c>
      <c r="AU3" s="116" t="n">
        <v>45</v>
      </c>
      <c r="AV3" s="116" t="n">
        <v>46</v>
      </c>
      <c r="AW3" s="116" t="n">
        <v>47</v>
      </c>
      <c r="AX3" s="116" t="n">
        <v>48</v>
      </c>
      <c r="AY3" s="116" t="n">
        <v>49</v>
      </c>
      <c r="AZ3" s="116" t="n">
        <v>50</v>
      </c>
      <c r="BA3" s="116" t="n">
        <v>51</v>
      </c>
      <c r="BB3" s="116" t="n">
        <v>52</v>
      </c>
      <c r="BC3" s="116" t="n">
        <v>53</v>
      </c>
      <c r="BD3" s="116" t="n">
        <v>54</v>
      </c>
      <c r="BE3" s="116" t="n">
        <v>55</v>
      </c>
      <c r="BF3" s="116" t="n">
        <v>56</v>
      </c>
      <c r="BG3" s="116" t="n">
        <v>57</v>
      </c>
      <c r="BH3" s="116" t="n">
        <v>58</v>
      </c>
      <c r="BI3" s="116" t="n">
        <v>59</v>
      </c>
      <c r="BJ3" s="116" t="n">
        <v>60</v>
      </c>
      <c r="BK3" s="116" t="n">
        <v>61</v>
      </c>
      <c r="BL3" s="116" t="n">
        <v>62</v>
      </c>
      <c r="BM3" s="116" t="n">
        <v>63</v>
      </c>
      <c r="BN3" s="116" t="n">
        <v>64</v>
      </c>
      <c r="BO3" s="116" t="n">
        <v>65</v>
      </c>
      <c r="BP3" s="116" t="n">
        <v>66</v>
      </c>
      <c r="BQ3" s="116" t="n">
        <v>67</v>
      </c>
      <c r="BR3" s="116" t="n">
        <v>68</v>
      </c>
      <c r="BS3" s="116" t="n">
        <v>69</v>
      </c>
      <c r="BT3" s="116" t="n">
        <v>70</v>
      </c>
      <c r="BU3" s="116" t="n">
        <v>71</v>
      </c>
      <c r="BV3" s="116" t="n">
        <v>72</v>
      </c>
      <c r="BW3" s="116" t="n">
        <v>73</v>
      </c>
      <c r="BX3" s="116" t="n">
        <v>74</v>
      </c>
      <c r="BY3" s="116" t="n">
        <v>75</v>
      </c>
      <c r="BZ3" s="116" t="n">
        <v>76</v>
      </c>
      <c r="CA3" s="116" t="n">
        <v>77</v>
      </c>
      <c r="CB3" s="116" t="n">
        <v>78</v>
      </c>
      <c r="CC3" s="116" t="n">
        <v>79</v>
      </c>
      <c r="CD3" s="116" t="n">
        <v>80</v>
      </c>
      <c r="CE3" s="116" t="n">
        <v>81</v>
      </c>
      <c r="CF3" s="116" t="n">
        <v>82</v>
      </c>
      <c r="CG3" s="116" t="n">
        <v>83</v>
      </c>
      <c r="CH3" s="116" t="n">
        <v>84</v>
      </c>
    </row>
    <row r="4" customFormat="false" ht="13.5" hidden="false" customHeight="true" outlineLevel="0" collapsed="false">
      <c r="A4" s="115" t="s">
        <v>513</v>
      </c>
      <c r="C4" s="117" t="n">
        <f aca="false">INT((1-1)/12)+1</f>
        <v>1</v>
      </c>
      <c r="D4" s="117" t="n">
        <f aca="false">INT((2-1)/12)+1</f>
        <v>1</v>
      </c>
      <c r="E4" s="117" t="n">
        <f aca="false">INT((3-1)/12)+1</f>
        <v>1</v>
      </c>
      <c r="F4" s="117" t="n">
        <f aca="false">INT((4-1)/12)+1</f>
        <v>1</v>
      </c>
      <c r="G4" s="117" t="n">
        <f aca="false">INT((5-1)/12)+1</f>
        <v>1</v>
      </c>
      <c r="H4" s="117" t="n">
        <f aca="false">INT((6-1)/12)+1</f>
        <v>1</v>
      </c>
      <c r="I4" s="117" t="n">
        <f aca="false">INT((7-1)/12)+1</f>
        <v>1</v>
      </c>
      <c r="J4" s="117" t="n">
        <f aca="false">INT((8-1)/12)+1</f>
        <v>1</v>
      </c>
      <c r="K4" s="117" t="n">
        <f aca="false">INT((9-1)/12)+1</f>
        <v>1</v>
      </c>
      <c r="L4" s="117" t="n">
        <f aca="false">INT((10-1)/12)+1</f>
        <v>1</v>
      </c>
      <c r="M4" s="117" t="n">
        <f aca="false">INT((11-1)/12)+1</f>
        <v>1</v>
      </c>
      <c r="N4" s="117" t="n">
        <f aca="false">INT((12-1)/12)+1</f>
        <v>1</v>
      </c>
      <c r="O4" s="117" t="n">
        <f aca="false">INT((13-1)/12)+1</f>
        <v>2</v>
      </c>
      <c r="P4" s="117" t="n">
        <f aca="false">INT((14-1)/12)+1</f>
        <v>2</v>
      </c>
      <c r="Q4" s="117" t="n">
        <f aca="false">INT((15-1)/12)+1</f>
        <v>2</v>
      </c>
      <c r="R4" s="117" t="n">
        <f aca="false">INT((16-1)/12)+1</f>
        <v>2</v>
      </c>
      <c r="S4" s="117" t="n">
        <f aca="false">INT((17-1)/12)+1</f>
        <v>2</v>
      </c>
      <c r="T4" s="117" t="n">
        <f aca="false">INT((18-1)/12)+1</f>
        <v>2</v>
      </c>
      <c r="U4" s="117" t="n">
        <f aca="false">INT((19-1)/12)+1</f>
        <v>2</v>
      </c>
      <c r="V4" s="117" t="n">
        <f aca="false">INT((20-1)/12)+1</f>
        <v>2</v>
      </c>
      <c r="W4" s="117" t="n">
        <f aca="false">INT((21-1)/12)+1</f>
        <v>2</v>
      </c>
      <c r="X4" s="117" t="n">
        <f aca="false">INT((22-1)/12)+1</f>
        <v>2</v>
      </c>
      <c r="Y4" s="117" t="n">
        <f aca="false">INT((23-1)/12)+1</f>
        <v>2</v>
      </c>
      <c r="Z4" s="117" t="n">
        <f aca="false">INT((24-1)/12)+1</f>
        <v>2</v>
      </c>
      <c r="AA4" s="117" t="n">
        <f aca="false">INT((25-1)/12)+1</f>
        <v>3</v>
      </c>
      <c r="AB4" s="117" t="n">
        <f aca="false">INT((26-1)/12)+1</f>
        <v>3</v>
      </c>
      <c r="AC4" s="117" t="n">
        <f aca="false">INT((27-1)/12)+1</f>
        <v>3</v>
      </c>
      <c r="AD4" s="117" t="n">
        <f aca="false">INT((28-1)/12)+1</f>
        <v>3</v>
      </c>
      <c r="AE4" s="117" t="n">
        <f aca="false">INT((29-1)/12)+1</f>
        <v>3</v>
      </c>
      <c r="AF4" s="117" t="n">
        <f aca="false">INT((30-1)/12)+1</f>
        <v>3</v>
      </c>
      <c r="AG4" s="117" t="n">
        <f aca="false">INT((31-1)/12)+1</f>
        <v>3</v>
      </c>
      <c r="AH4" s="117" t="n">
        <f aca="false">INT((32-1)/12)+1</f>
        <v>3</v>
      </c>
      <c r="AI4" s="117" t="n">
        <f aca="false">INT((33-1)/12)+1</f>
        <v>3</v>
      </c>
      <c r="AJ4" s="117" t="n">
        <f aca="false">INT((34-1)/12)+1</f>
        <v>3</v>
      </c>
      <c r="AK4" s="117" t="n">
        <f aca="false">INT((35-1)/12)+1</f>
        <v>3</v>
      </c>
      <c r="AL4" s="117" t="n">
        <f aca="false">INT((36-1)/12)+1</f>
        <v>3</v>
      </c>
      <c r="AM4" s="117" t="n">
        <f aca="false">INT((37-1)/12)+1</f>
        <v>4</v>
      </c>
      <c r="AN4" s="117" t="n">
        <f aca="false">INT((38-1)/12)+1</f>
        <v>4</v>
      </c>
      <c r="AO4" s="117" t="n">
        <f aca="false">INT((39-1)/12)+1</f>
        <v>4</v>
      </c>
      <c r="AP4" s="117" t="n">
        <f aca="false">INT((40-1)/12)+1</f>
        <v>4</v>
      </c>
      <c r="AQ4" s="117" t="n">
        <f aca="false">INT((41-1)/12)+1</f>
        <v>4</v>
      </c>
      <c r="AR4" s="117" t="n">
        <f aca="false">INT((42-1)/12)+1</f>
        <v>4</v>
      </c>
      <c r="AS4" s="117" t="n">
        <f aca="false">INT((43-1)/12)+1</f>
        <v>4</v>
      </c>
      <c r="AT4" s="117" t="n">
        <f aca="false">INT((44-1)/12)+1</f>
        <v>4</v>
      </c>
      <c r="AU4" s="117" t="n">
        <f aca="false">INT((45-1)/12)+1</f>
        <v>4</v>
      </c>
      <c r="AV4" s="117" t="n">
        <f aca="false">INT((46-1)/12)+1</f>
        <v>4</v>
      </c>
      <c r="AW4" s="117" t="n">
        <f aca="false">INT((47-1)/12)+1</f>
        <v>4</v>
      </c>
      <c r="AX4" s="117" t="n">
        <f aca="false">INT((48-1)/12)+1</f>
        <v>4</v>
      </c>
      <c r="AY4" s="117" t="n">
        <f aca="false">INT((49-1)/12)+1</f>
        <v>5</v>
      </c>
      <c r="AZ4" s="117" t="n">
        <f aca="false">INT((50-1)/12)+1</f>
        <v>5</v>
      </c>
      <c r="BA4" s="117" t="n">
        <f aca="false">INT((51-1)/12)+1</f>
        <v>5</v>
      </c>
      <c r="BB4" s="117" t="n">
        <f aca="false">INT((52-1)/12)+1</f>
        <v>5</v>
      </c>
      <c r="BC4" s="117" t="n">
        <f aca="false">INT((53-1)/12)+1</f>
        <v>5</v>
      </c>
      <c r="BD4" s="117" t="n">
        <f aca="false">INT((54-1)/12)+1</f>
        <v>5</v>
      </c>
      <c r="BE4" s="117" t="n">
        <f aca="false">INT((55-1)/12)+1</f>
        <v>5</v>
      </c>
      <c r="BF4" s="117" t="n">
        <f aca="false">INT((56-1)/12)+1</f>
        <v>5</v>
      </c>
      <c r="BG4" s="117" t="n">
        <f aca="false">INT((57-1)/12)+1</f>
        <v>5</v>
      </c>
      <c r="BH4" s="117" t="n">
        <f aca="false">INT((58-1)/12)+1</f>
        <v>5</v>
      </c>
      <c r="BI4" s="117" t="n">
        <f aca="false">INT((59-1)/12)+1</f>
        <v>5</v>
      </c>
      <c r="BJ4" s="117" t="n">
        <f aca="false">INT((60-1)/12)+1</f>
        <v>5</v>
      </c>
      <c r="BK4" s="117" t="n">
        <f aca="false">INT((61-1)/12)+1</f>
        <v>6</v>
      </c>
      <c r="BL4" s="117" t="n">
        <f aca="false">INT((62-1)/12)+1</f>
        <v>6</v>
      </c>
      <c r="BM4" s="117" t="n">
        <f aca="false">INT((63-1)/12)+1</f>
        <v>6</v>
      </c>
      <c r="BN4" s="117" t="n">
        <f aca="false">INT((64-1)/12)+1</f>
        <v>6</v>
      </c>
      <c r="BO4" s="117" t="n">
        <f aca="false">INT((65-1)/12)+1</f>
        <v>6</v>
      </c>
      <c r="BP4" s="117" t="n">
        <f aca="false">INT((66-1)/12)+1</f>
        <v>6</v>
      </c>
      <c r="BQ4" s="117" t="n">
        <f aca="false">INT((67-1)/12)+1</f>
        <v>6</v>
      </c>
      <c r="BR4" s="117" t="n">
        <f aca="false">INT((68-1)/12)+1</f>
        <v>6</v>
      </c>
      <c r="BS4" s="117" t="n">
        <f aca="false">INT((69-1)/12)+1</f>
        <v>6</v>
      </c>
      <c r="BT4" s="117" t="n">
        <f aca="false">INT((70-1)/12)+1</f>
        <v>6</v>
      </c>
      <c r="BU4" s="117" t="n">
        <f aca="false">INT((71-1)/12)+1</f>
        <v>6</v>
      </c>
      <c r="BV4" s="117" t="n">
        <f aca="false">INT((72-1)/12)+1</f>
        <v>6</v>
      </c>
      <c r="BW4" s="117" t="n">
        <f aca="false">INT((73-1)/12)+1</f>
        <v>7</v>
      </c>
      <c r="BX4" s="117" t="n">
        <f aca="false">INT((74-1)/12)+1</f>
        <v>7</v>
      </c>
      <c r="BY4" s="117" t="n">
        <f aca="false">INT((75-1)/12)+1</f>
        <v>7</v>
      </c>
      <c r="BZ4" s="117" t="n">
        <f aca="false">INT((76-1)/12)+1</f>
        <v>7</v>
      </c>
      <c r="CA4" s="117" t="n">
        <f aca="false">INT((77-1)/12)+1</f>
        <v>7</v>
      </c>
      <c r="CB4" s="117" t="n">
        <f aca="false">INT((78-1)/12)+1</f>
        <v>7</v>
      </c>
      <c r="CC4" s="117" t="n">
        <f aca="false">INT((79-1)/12)+1</f>
        <v>7</v>
      </c>
      <c r="CD4" s="117" t="n">
        <f aca="false">INT((80-1)/12)+1</f>
        <v>7</v>
      </c>
      <c r="CE4" s="117" t="n">
        <f aca="false">INT((81-1)/12)+1</f>
        <v>7</v>
      </c>
      <c r="CF4" s="117" t="n">
        <f aca="false">INT((82-1)/12)+1</f>
        <v>7</v>
      </c>
      <c r="CG4" s="117" t="n">
        <f aca="false">INT((83-1)/12)+1</f>
        <v>7</v>
      </c>
      <c r="CH4" s="117" t="n">
        <f aca="false">INT((84-1)/12)+1</f>
        <v>7</v>
      </c>
    </row>
    <row r="5" customFormat="false" ht="13.5" hidden="false" customHeight="true" outlineLevel="0" collapsed="false"/>
    <row r="6" customFormat="false" ht="12.75" hidden="false" customHeight="true" outlineLevel="0" collapsed="false">
      <c r="A6" s="9" t="s">
        <v>514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</row>
    <row r="7" customFormat="false" ht="13.5" hidden="false" customHeight="true" outlineLevel="0" collapsed="false">
      <c r="A7" s="6" t="s">
        <v>515</v>
      </c>
      <c r="C7" s="118" t="n">
        <f aca="false">MIN(Hipótesis!$C$26,Hipótesis!$C$27+Hipótesis!$C$28*(1-1))</f>
        <v>1</v>
      </c>
      <c r="D7" s="118" t="n">
        <f aca="false">MIN(Hipótesis!$C$26,Hipótesis!$C$27+Hipótesis!$C$28*(2-1))</f>
        <v>1.5</v>
      </c>
      <c r="E7" s="118" t="n">
        <f aca="false">MIN(Hipótesis!$C$26,Hipótesis!$C$27+Hipótesis!$C$28*(3-1))</f>
        <v>2</v>
      </c>
      <c r="F7" s="118" t="n">
        <f aca="false">MIN(Hipótesis!$C$26,Hipótesis!$C$27+Hipótesis!$C$28*(4-1))</f>
        <v>2.5</v>
      </c>
      <c r="G7" s="118" t="n">
        <f aca="false">MIN(Hipótesis!$C$26,Hipótesis!$C$27+Hipótesis!$C$28*(5-1))</f>
        <v>3</v>
      </c>
      <c r="H7" s="118" t="n">
        <f aca="false">MIN(Hipótesis!$C$26,Hipótesis!$C$27+Hipótesis!$C$28*(6-1))</f>
        <v>3</v>
      </c>
      <c r="I7" s="118" t="n">
        <f aca="false">MIN(Hipótesis!$C$26,Hipótesis!$C$27+Hipótesis!$C$28*(7-1))</f>
        <v>3</v>
      </c>
      <c r="J7" s="118" t="n">
        <f aca="false">MIN(Hipótesis!$C$26,Hipótesis!$C$27+Hipótesis!$C$28*(8-1))</f>
        <v>3</v>
      </c>
      <c r="K7" s="118" t="n">
        <f aca="false">MIN(Hipótesis!$C$26,Hipótesis!$C$27+Hipótesis!$C$28*(9-1))</f>
        <v>3</v>
      </c>
      <c r="L7" s="118" t="n">
        <f aca="false">MIN(Hipótesis!$C$26,Hipótesis!$C$27+Hipótesis!$C$28*(10-1))</f>
        <v>3</v>
      </c>
      <c r="M7" s="118" t="n">
        <f aca="false">MIN(Hipótesis!$C$26,Hipótesis!$C$27+Hipótesis!$C$28*(11-1))</f>
        <v>3</v>
      </c>
      <c r="N7" s="118" t="n">
        <f aca="false">MIN(Hipótesis!$C$26,Hipótesis!$C$27+Hipótesis!$C$28*(12-1))</f>
        <v>3</v>
      </c>
      <c r="O7" s="118" t="n">
        <f aca="false">MIN(Hipótesis!$C$26,Hipótesis!$C$27+Hipótesis!$C$28*(13-1))</f>
        <v>3</v>
      </c>
      <c r="P7" s="118" t="n">
        <f aca="false">MIN(Hipótesis!$C$26,Hipótesis!$C$27+Hipótesis!$C$28*(14-1))</f>
        <v>3</v>
      </c>
      <c r="Q7" s="118" t="n">
        <f aca="false">MIN(Hipótesis!$C$26,Hipótesis!$C$27+Hipótesis!$C$28*(15-1))</f>
        <v>3</v>
      </c>
      <c r="R7" s="118" t="n">
        <f aca="false">MIN(Hipótesis!$C$26,Hipótesis!$C$27+Hipótesis!$C$28*(16-1))</f>
        <v>3</v>
      </c>
      <c r="S7" s="118" t="n">
        <f aca="false">MIN(Hipótesis!$C$26,Hipótesis!$C$27+Hipótesis!$C$28*(17-1))</f>
        <v>3</v>
      </c>
      <c r="T7" s="118" t="n">
        <f aca="false">MIN(Hipótesis!$C$26,Hipótesis!$C$27+Hipótesis!$C$28*(18-1))</f>
        <v>3</v>
      </c>
      <c r="U7" s="118" t="n">
        <f aca="false">MIN(Hipótesis!$C$26,Hipótesis!$C$27+Hipótesis!$C$28*(19-1))</f>
        <v>3</v>
      </c>
      <c r="V7" s="118" t="n">
        <f aca="false">MIN(Hipótesis!$C$26,Hipótesis!$C$27+Hipótesis!$C$28*(20-1))</f>
        <v>3</v>
      </c>
      <c r="W7" s="118" t="n">
        <f aca="false">MIN(Hipótesis!$C$26,Hipótesis!$C$27+Hipótesis!$C$28*(21-1))</f>
        <v>3</v>
      </c>
      <c r="X7" s="118" t="n">
        <f aca="false">MIN(Hipótesis!$C$26,Hipótesis!$C$27+Hipótesis!$C$28*(22-1))</f>
        <v>3</v>
      </c>
      <c r="Y7" s="118" t="n">
        <f aca="false">MIN(Hipótesis!$C$26,Hipótesis!$C$27+Hipótesis!$C$28*(23-1))</f>
        <v>3</v>
      </c>
      <c r="Z7" s="118" t="n">
        <f aca="false">MIN(Hipótesis!$C$26,Hipótesis!$C$27+Hipótesis!$C$28*(24-1))</f>
        <v>3</v>
      </c>
      <c r="AA7" s="118" t="n">
        <f aca="false">MIN(Hipótesis!$C$26,Hipótesis!$C$27+Hipótesis!$C$28*(25-1))</f>
        <v>3</v>
      </c>
      <c r="AB7" s="118" t="n">
        <f aca="false">MIN(Hipótesis!$C$26,Hipótesis!$C$27+Hipótesis!$C$28*(26-1))</f>
        <v>3</v>
      </c>
      <c r="AC7" s="118" t="n">
        <f aca="false">MIN(Hipótesis!$C$26,Hipótesis!$C$27+Hipótesis!$C$28*(27-1))</f>
        <v>3</v>
      </c>
      <c r="AD7" s="118" t="n">
        <f aca="false">MIN(Hipótesis!$C$26,Hipótesis!$C$27+Hipótesis!$C$28*(28-1))</f>
        <v>3</v>
      </c>
      <c r="AE7" s="118" t="n">
        <f aca="false">MIN(Hipótesis!$C$26,Hipótesis!$C$27+Hipótesis!$C$28*(29-1))</f>
        <v>3</v>
      </c>
      <c r="AF7" s="118" t="n">
        <f aca="false">MIN(Hipótesis!$C$26,Hipótesis!$C$27+Hipótesis!$C$28*(30-1))</f>
        <v>3</v>
      </c>
      <c r="AG7" s="118" t="n">
        <f aca="false">MIN(Hipótesis!$C$26,Hipótesis!$C$27+Hipótesis!$C$28*(31-1))</f>
        <v>3</v>
      </c>
      <c r="AH7" s="118" t="n">
        <f aca="false">MIN(Hipótesis!$C$26,Hipótesis!$C$27+Hipótesis!$C$28*(32-1))</f>
        <v>3</v>
      </c>
      <c r="AI7" s="118" t="n">
        <f aca="false">MIN(Hipótesis!$C$26,Hipótesis!$C$27+Hipótesis!$C$28*(33-1))</f>
        <v>3</v>
      </c>
      <c r="AJ7" s="118" t="n">
        <f aca="false">MIN(Hipótesis!$C$26,Hipótesis!$C$27+Hipótesis!$C$28*(34-1))</f>
        <v>3</v>
      </c>
      <c r="AK7" s="118" t="n">
        <f aca="false">MIN(Hipótesis!$C$26,Hipótesis!$C$27+Hipótesis!$C$28*(35-1))</f>
        <v>3</v>
      </c>
      <c r="AL7" s="118" t="n">
        <f aca="false">MIN(Hipótesis!$C$26,Hipótesis!$C$27+Hipótesis!$C$28*(36-1))</f>
        <v>3</v>
      </c>
      <c r="AM7" s="118" t="n">
        <f aca="false">MIN(Hipótesis!$C$26,Hipótesis!$C$27+Hipótesis!$C$28*(37-1))</f>
        <v>3</v>
      </c>
      <c r="AN7" s="118" t="n">
        <f aca="false">MIN(Hipótesis!$C$26,Hipótesis!$C$27+Hipótesis!$C$28*(38-1))</f>
        <v>3</v>
      </c>
      <c r="AO7" s="118" t="n">
        <f aca="false">MIN(Hipótesis!$C$26,Hipótesis!$C$27+Hipótesis!$C$28*(39-1))</f>
        <v>3</v>
      </c>
      <c r="AP7" s="118" t="n">
        <f aca="false">MIN(Hipótesis!$C$26,Hipótesis!$C$27+Hipótesis!$C$28*(40-1))</f>
        <v>3</v>
      </c>
      <c r="AQ7" s="118" t="n">
        <f aca="false">MIN(Hipótesis!$C$26,Hipótesis!$C$27+Hipótesis!$C$28*(41-1))</f>
        <v>3</v>
      </c>
      <c r="AR7" s="118" t="n">
        <f aca="false">MIN(Hipótesis!$C$26,Hipótesis!$C$27+Hipótesis!$C$28*(42-1))</f>
        <v>3</v>
      </c>
      <c r="AS7" s="118" t="n">
        <f aca="false">MIN(Hipótesis!$C$26,Hipótesis!$C$27+Hipótesis!$C$28*(43-1))</f>
        <v>3</v>
      </c>
      <c r="AT7" s="118" t="n">
        <f aca="false">MIN(Hipótesis!$C$26,Hipótesis!$C$27+Hipótesis!$C$28*(44-1))</f>
        <v>3</v>
      </c>
      <c r="AU7" s="118" t="n">
        <f aca="false">MIN(Hipótesis!$C$26,Hipótesis!$C$27+Hipótesis!$C$28*(45-1))</f>
        <v>3</v>
      </c>
      <c r="AV7" s="118" t="n">
        <f aca="false">MIN(Hipótesis!$C$26,Hipótesis!$C$27+Hipótesis!$C$28*(46-1))</f>
        <v>3</v>
      </c>
      <c r="AW7" s="118" t="n">
        <f aca="false">MIN(Hipótesis!$C$26,Hipótesis!$C$27+Hipótesis!$C$28*(47-1))</f>
        <v>3</v>
      </c>
      <c r="AX7" s="118" t="n">
        <f aca="false">MIN(Hipótesis!$C$26,Hipótesis!$C$27+Hipótesis!$C$28*(48-1))</f>
        <v>3</v>
      </c>
      <c r="AY7" s="118" t="n">
        <f aca="false">MIN(Hipótesis!$C$26,Hipótesis!$C$27+Hipótesis!$C$28*(49-1))</f>
        <v>3</v>
      </c>
      <c r="AZ7" s="118" t="n">
        <f aca="false">MIN(Hipótesis!$C$26,Hipótesis!$C$27+Hipótesis!$C$28*(50-1))</f>
        <v>3</v>
      </c>
      <c r="BA7" s="118" t="n">
        <f aca="false">MIN(Hipótesis!$C$26,Hipótesis!$C$27+Hipótesis!$C$28*(51-1))</f>
        <v>3</v>
      </c>
      <c r="BB7" s="118" t="n">
        <f aca="false">MIN(Hipótesis!$C$26,Hipótesis!$C$27+Hipótesis!$C$28*(52-1))</f>
        <v>3</v>
      </c>
      <c r="BC7" s="118" t="n">
        <f aca="false">MIN(Hipótesis!$C$26,Hipótesis!$C$27+Hipótesis!$C$28*(53-1))</f>
        <v>3</v>
      </c>
      <c r="BD7" s="118" t="n">
        <f aca="false">MIN(Hipótesis!$C$26,Hipótesis!$C$27+Hipótesis!$C$28*(54-1))</f>
        <v>3</v>
      </c>
      <c r="BE7" s="118" t="n">
        <f aca="false">MIN(Hipótesis!$C$26,Hipótesis!$C$27+Hipótesis!$C$28*(55-1))</f>
        <v>3</v>
      </c>
      <c r="BF7" s="118" t="n">
        <f aca="false">MIN(Hipótesis!$C$26,Hipótesis!$C$27+Hipótesis!$C$28*(56-1))</f>
        <v>3</v>
      </c>
      <c r="BG7" s="118" t="n">
        <f aca="false">MIN(Hipótesis!$C$26,Hipótesis!$C$27+Hipótesis!$C$28*(57-1))</f>
        <v>3</v>
      </c>
      <c r="BH7" s="118" t="n">
        <f aca="false">MIN(Hipótesis!$C$26,Hipótesis!$C$27+Hipótesis!$C$28*(58-1))</f>
        <v>3</v>
      </c>
      <c r="BI7" s="118" t="n">
        <f aca="false">MIN(Hipótesis!$C$26,Hipótesis!$C$27+Hipótesis!$C$28*(59-1))</f>
        <v>3</v>
      </c>
      <c r="BJ7" s="118" t="n">
        <f aca="false">MIN(Hipótesis!$C$26,Hipótesis!$C$27+Hipótesis!$C$28*(60-1))</f>
        <v>3</v>
      </c>
      <c r="BK7" s="118" t="n">
        <f aca="false">MIN(Hipótesis!$C$26,Hipótesis!$C$27+Hipótesis!$C$28*(61-1))</f>
        <v>3</v>
      </c>
      <c r="BL7" s="118" t="n">
        <f aca="false">MIN(Hipótesis!$C$26,Hipótesis!$C$27+Hipótesis!$C$28*(62-1))</f>
        <v>3</v>
      </c>
      <c r="BM7" s="118" t="n">
        <f aca="false">MIN(Hipótesis!$C$26,Hipótesis!$C$27+Hipótesis!$C$28*(63-1))</f>
        <v>3</v>
      </c>
      <c r="BN7" s="118" t="n">
        <f aca="false">MIN(Hipótesis!$C$26,Hipótesis!$C$27+Hipótesis!$C$28*(64-1))</f>
        <v>3</v>
      </c>
      <c r="BO7" s="118" t="n">
        <f aca="false">MIN(Hipótesis!$C$26,Hipótesis!$C$27+Hipótesis!$C$28*(65-1))</f>
        <v>3</v>
      </c>
      <c r="BP7" s="118" t="n">
        <f aca="false">MIN(Hipótesis!$C$26,Hipótesis!$C$27+Hipótesis!$C$28*(66-1))</f>
        <v>3</v>
      </c>
      <c r="BQ7" s="118" t="n">
        <f aca="false">MIN(Hipótesis!$C$26,Hipótesis!$C$27+Hipótesis!$C$28*(67-1))</f>
        <v>3</v>
      </c>
      <c r="BR7" s="118" t="n">
        <f aca="false">MIN(Hipótesis!$C$26,Hipótesis!$C$27+Hipótesis!$C$28*(68-1))</f>
        <v>3</v>
      </c>
      <c r="BS7" s="118" t="n">
        <f aca="false">MIN(Hipótesis!$C$26,Hipótesis!$C$27+Hipótesis!$C$28*(69-1))</f>
        <v>3</v>
      </c>
      <c r="BT7" s="118" t="n">
        <f aca="false">MIN(Hipótesis!$C$26,Hipótesis!$C$27+Hipótesis!$C$28*(70-1))</f>
        <v>3</v>
      </c>
      <c r="BU7" s="118" t="n">
        <f aca="false">MIN(Hipótesis!$C$26,Hipótesis!$C$27+Hipótesis!$C$28*(71-1))</f>
        <v>3</v>
      </c>
      <c r="BV7" s="118" t="n">
        <f aca="false">MIN(Hipótesis!$C$26,Hipótesis!$C$27+Hipótesis!$C$28*(72-1))</f>
        <v>3</v>
      </c>
      <c r="BW7" s="118" t="n">
        <f aca="false">MIN(Hipótesis!$C$26,Hipótesis!$C$27+Hipótesis!$C$28*(73-1))</f>
        <v>3</v>
      </c>
      <c r="BX7" s="118" t="n">
        <f aca="false">MIN(Hipótesis!$C$26,Hipótesis!$C$27+Hipótesis!$C$28*(74-1))</f>
        <v>3</v>
      </c>
      <c r="BY7" s="118" t="n">
        <f aca="false">MIN(Hipótesis!$C$26,Hipótesis!$C$27+Hipótesis!$C$28*(75-1))</f>
        <v>3</v>
      </c>
      <c r="BZ7" s="118" t="n">
        <f aca="false">MIN(Hipótesis!$C$26,Hipótesis!$C$27+Hipótesis!$C$28*(76-1))</f>
        <v>3</v>
      </c>
      <c r="CA7" s="118" t="n">
        <f aca="false">MIN(Hipótesis!$C$26,Hipótesis!$C$27+Hipótesis!$C$28*(77-1))</f>
        <v>3</v>
      </c>
      <c r="CB7" s="118" t="n">
        <f aca="false">MIN(Hipótesis!$C$26,Hipótesis!$C$27+Hipótesis!$C$28*(78-1))</f>
        <v>3</v>
      </c>
      <c r="CC7" s="118" t="n">
        <f aca="false">MIN(Hipótesis!$C$26,Hipótesis!$C$27+Hipótesis!$C$28*(79-1))</f>
        <v>3</v>
      </c>
      <c r="CD7" s="118" t="n">
        <f aca="false">MIN(Hipótesis!$C$26,Hipótesis!$C$27+Hipótesis!$C$28*(80-1))</f>
        <v>3</v>
      </c>
      <c r="CE7" s="118" t="n">
        <f aca="false">MIN(Hipótesis!$C$26,Hipótesis!$C$27+Hipótesis!$C$28*(81-1))</f>
        <v>3</v>
      </c>
      <c r="CF7" s="118" t="n">
        <f aca="false">MIN(Hipótesis!$C$26,Hipótesis!$C$27+Hipótesis!$C$28*(82-1))</f>
        <v>3</v>
      </c>
      <c r="CG7" s="118" t="n">
        <f aca="false">MIN(Hipótesis!$C$26,Hipótesis!$C$27+Hipótesis!$C$28*(83-1))</f>
        <v>3</v>
      </c>
      <c r="CH7" s="118" t="n">
        <f aca="false">MIN(Hipótesis!$C$26,Hipótesis!$C$27+Hipótesis!$C$28*(84-1))</f>
        <v>3</v>
      </c>
    </row>
    <row r="8" customFormat="false" ht="13.5" hidden="false" customHeight="true" outlineLevel="0" collapsed="false">
      <c r="A8" s="6" t="s">
        <v>516</v>
      </c>
      <c r="C8" s="110" t="n">
        <f aca="false">C7*Hipótesis!$D$13</f>
        <v>960</v>
      </c>
      <c r="D8" s="110" t="n">
        <f aca="false">D7*Hipótesis!$D$13</f>
        <v>1440</v>
      </c>
      <c r="E8" s="110" t="n">
        <f aca="false">E7*Hipótesis!$D$13</f>
        <v>1920</v>
      </c>
      <c r="F8" s="110" t="n">
        <f aca="false">F7*Hipótesis!$D$13</f>
        <v>2400</v>
      </c>
      <c r="G8" s="110" t="n">
        <f aca="false">G7*Hipótesis!$D$13</f>
        <v>2880</v>
      </c>
      <c r="H8" s="110" t="n">
        <f aca="false">H7*Hipótesis!$D$13</f>
        <v>2880</v>
      </c>
      <c r="I8" s="110" t="n">
        <f aca="false">I7*Hipótesis!$D$13</f>
        <v>2880</v>
      </c>
      <c r="J8" s="110" t="n">
        <f aca="false">J7*Hipótesis!$D$13</f>
        <v>2880</v>
      </c>
      <c r="K8" s="110" t="n">
        <f aca="false">K7*Hipótesis!$D$13</f>
        <v>2880</v>
      </c>
      <c r="L8" s="110" t="n">
        <f aca="false">L7*Hipótesis!$D$13</f>
        <v>2880</v>
      </c>
      <c r="M8" s="110" t="n">
        <f aca="false">M7*Hipótesis!$D$13</f>
        <v>2880</v>
      </c>
      <c r="N8" s="110" t="n">
        <f aca="false">N7*Hipótesis!$D$13</f>
        <v>2880</v>
      </c>
      <c r="O8" s="110" t="n">
        <f aca="false">O7*Hipótesis!$D$13</f>
        <v>2880</v>
      </c>
      <c r="P8" s="110" t="n">
        <f aca="false">P7*Hipótesis!$D$13</f>
        <v>2880</v>
      </c>
      <c r="Q8" s="110" t="n">
        <f aca="false">Q7*Hipótesis!$D$13</f>
        <v>2880</v>
      </c>
      <c r="R8" s="110" t="n">
        <f aca="false">R7*Hipótesis!$D$13</f>
        <v>2880</v>
      </c>
      <c r="S8" s="110" t="n">
        <f aca="false">S7*Hipótesis!$D$13</f>
        <v>2880</v>
      </c>
      <c r="T8" s="110" t="n">
        <f aca="false">T7*Hipótesis!$D$13</f>
        <v>2880</v>
      </c>
      <c r="U8" s="110" t="n">
        <f aca="false">U7*Hipótesis!$D$13</f>
        <v>2880</v>
      </c>
      <c r="V8" s="110" t="n">
        <f aca="false">V7*Hipótesis!$D$13</f>
        <v>2880</v>
      </c>
      <c r="W8" s="110" t="n">
        <f aca="false">W7*Hipótesis!$D$13</f>
        <v>2880</v>
      </c>
      <c r="X8" s="110" t="n">
        <f aca="false">X7*Hipótesis!$D$13</f>
        <v>2880</v>
      </c>
      <c r="Y8" s="110" t="n">
        <f aca="false">Y7*Hipótesis!$D$13</f>
        <v>2880</v>
      </c>
      <c r="Z8" s="110" t="n">
        <f aca="false">Z7*Hipótesis!$D$13</f>
        <v>2880</v>
      </c>
      <c r="AA8" s="110" t="n">
        <f aca="false">AA7*Hipótesis!$D$13</f>
        <v>2880</v>
      </c>
      <c r="AB8" s="110" t="n">
        <f aca="false">AB7*Hipótesis!$D$13</f>
        <v>2880</v>
      </c>
      <c r="AC8" s="110" t="n">
        <f aca="false">AC7*Hipótesis!$D$13</f>
        <v>2880</v>
      </c>
      <c r="AD8" s="110" t="n">
        <f aca="false">AD7*Hipótesis!$D$13</f>
        <v>2880</v>
      </c>
      <c r="AE8" s="110" t="n">
        <f aca="false">AE7*Hipótesis!$D$13</f>
        <v>2880</v>
      </c>
      <c r="AF8" s="110" t="n">
        <f aca="false">AF7*Hipótesis!$D$13</f>
        <v>2880</v>
      </c>
      <c r="AG8" s="110" t="n">
        <f aca="false">AG7*Hipótesis!$D$13</f>
        <v>2880</v>
      </c>
      <c r="AH8" s="110" t="n">
        <f aca="false">AH7*Hipótesis!$D$13</f>
        <v>2880</v>
      </c>
      <c r="AI8" s="110" t="n">
        <f aca="false">AI7*Hipótesis!$D$13</f>
        <v>2880</v>
      </c>
      <c r="AJ8" s="110" t="n">
        <f aca="false">AJ7*Hipótesis!$D$13</f>
        <v>2880</v>
      </c>
      <c r="AK8" s="110" t="n">
        <f aca="false">AK7*Hipótesis!$D$13</f>
        <v>2880</v>
      </c>
      <c r="AL8" s="110" t="n">
        <f aca="false">AL7*Hipótesis!$D$13</f>
        <v>2880</v>
      </c>
      <c r="AM8" s="110" t="n">
        <f aca="false">AM7*Hipótesis!$D$13</f>
        <v>2880</v>
      </c>
      <c r="AN8" s="110" t="n">
        <f aca="false">AN7*Hipótesis!$D$13</f>
        <v>2880</v>
      </c>
      <c r="AO8" s="110" t="n">
        <f aca="false">AO7*Hipótesis!$D$13</f>
        <v>2880</v>
      </c>
      <c r="AP8" s="110" t="n">
        <f aca="false">AP7*Hipótesis!$D$13</f>
        <v>2880</v>
      </c>
      <c r="AQ8" s="110" t="n">
        <f aca="false">AQ7*Hipótesis!$D$13</f>
        <v>2880</v>
      </c>
      <c r="AR8" s="110" t="n">
        <f aca="false">AR7*Hipótesis!$D$13</f>
        <v>2880</v>
      </c>
      <c r="AS8" s="110" t="n">
        <f aca="false">AS7*Hipótesis!$D$13</f>
        <v>2880</v>
      </c>
      <c r="AT8" s="110" t="n">
        <f aca="false">AT7*Hipótesis!$D$13</f>
        <v>2880</v>
      </c>
      <c r="AU8" s="110" t="n">
        <f aca="false">AU7*Hipótesis!$D$13</f>
        <v>2880</v>
      </c>
      <c r="AV8" s="110" t="n">
        <f aca="false">AV7*Hipótesis!$D$13</f>
        <v>2880</v>
      </c>
      <c r="AW8" s="110" t="n">
        <f aca="false">AW7*Hipótesis!$D$13</f>
        <v>2880</v>
      </c>
      <c r="AX8" s="110" t="n">
        <f aca="false">AX7*Hipótesis!$D$13</f>
        <v>2880</v>
      </c>
      <c r="AY8" s="110" t="n">
        <f aca="false">AY7*Hipótesis!$D$13</f>
        <v>2880</v>
      </c>
      <c r="AZ8" s="110" t="n">
        <f aca="false">AZ7*Hipótesis!$D$13</f>
        <v>2880</v>
      </c>
      <c r="BA8" s="110" t="n">
        <f aca="false">BA7*Hipótesis!$D$13</f>
        <v>2880</v>
      </c>
      <c r="BB8" s="110" t="n">
        <f aca="false">BB7*Hipótesis!$D$13</f>
        <v>2880</v>
      </c>
      <c r="BC8" s="110" t="n">
        <f aca="false">BC7*Hipótesis!$D$13</f>
        <v>2880</v>
      </c>
      <c r="BD8" s="110" t="n">
        <f aca="false">BD7*Hipótesis!$D$13</f>
        <v>2880</v>
      </c>
      <c r="BE8" s="110" t="n">
        <f aca="false">BE7*Hipótesis!$D$13</f>
        <v>2880</v>
      </c>
      <c r="BF8" s="110" t="n">
        <f aca="false">BF7*Hipótesis!$D$13</f>
        <v>2880</v>
      </c>
      <c r="BG8" s="110" t="n">
        <f aca="false">BG7*Hipótesis!$D$13</f>
        <v>2880</v>
      </c>
      <c r="BH8" s="110" t="n">
        <f aca="false">BH7*Hipótesis!$D$13</f>
        <v>2880</v>
      </c>
      <c r="BI8" s="110" t="n">
        <f aca="false">BI7*Hipótesis!$D$13</f>
        <v>2880</v>
      </c>
      <c r="BJ8" s="110" t="n">
        <f aca="false">BJ7*Hipótesis!$D$13</f>
        <v>2880</v>
      </c>
      <c r="BK8" s="110" t="n">
        <f aca="false">BK7*Hipótesis!$D$13</f>
        <v>2880</v>
      </c>
      <c r="BL8" s="110" t="n">
        <f aca="false">BL7*Hipótesis!$D$13</f>
        <v>2880</v>
      </c>
      <c r="BM8" s="110" t="n">
        <f aca="false">BM7*Hipótesis!$D$13</f>
        <v>2880</v>
      </c>
      <c r="BN8" s="110" t="n">
        <f aca="false">BN7*Hipótesis!$D$13</f>
        <v>2880</v>
      </c>
      <c r="BO8" s="110" t="n">
        <f aca="false">BO7*Hipótesis!$D$13</f>
        <v>2880</v>
      </c>
      <c r="BP8" s="110" t="n">
        <f aca="false">BP7*Hipótesis!$D$13</f>
        <v>2880</v>
      </c>
      <c r="BQ8" s="110" t="n">
        <f aca="false">BQ7*Hipótesis!$D$13</f>
        <v>2880</v>
      </c>
      <c r="BR8" s="110" t="n">
        <f aca="false">BR7*Hipótesis!$D$13</f>
        <v>2880</v>
      </c>
      <c r="BS8" s="110" t="n">
        <f aca="false">BS7*Hipótesis!$D$13</f>
        <v>2880</v>
      </c>
      <c r="BT8" s="110" t="n">
        <f aca="false">BT7*Hipótesis!$D$13</f>
        <v>2880</v>
      </c>
      <c r="BU8" s="110" t="n">
        <f aca="false">BU7*Hipótesis!$D$13</f>
        <v>2880</v>
      </c>
      <c r="BV8" s="110" t="n">
        <f aca="false">BV7*Hipótesis!$D$13</f>
        <v>2880</v>
      </c>
      <c r="BW8" s="110" t="n">
        <f aca="false">BW7*Hipótesis!$D$13</f>
        <v>2880</v>
      </c>
      <c r="BX8" s="110" t="n">
        <f aca="false">BX7*Hipótesis!$D$13</f>
        <v>2880</v>
      </c>
      <c r="BY8" s="110" t="n">
        <f aca="false">BY7*Hipótesis!$D$13</f>
        <v>2880</v>
      </c>
      <c r="BZ8" s="110" t="n">
        <f aca="false">BZ7*Hipótesis!$D$13</f>
        <v>2880</v>
      </c>
      <c r="CA8" s="110" t="n">
        <f aca="false">CA7*Hipótesis!$D$13</f>
        <v>2880</v>
      </c>
      <c r="CB8" s="110" t="n">
        <f aca="false">CB7*Hipótesis!$D$13</f>
        <v>2880</v>
      </c>
      <c r="CC8" s="110" t="n">
        <f aca="false">CC7*Hipótesis!$D$13</f>
        <v>2880</v>
      </c>
      <c r="CD8" s="110" t="n">
        <f aca="false">CD7*Hipótesis!$D$13</f>
        <v>2880</v>
      </c>
      <c r="CE8" s="110" t="n">
        <f aca="false">CE7*Hipótesis!$D$13</f>
        <v>2880</v>
      </c>
      <c r="CF8" s="110" t="n">
        <f aca="false">CF7*Hipótesis!$D$13</f>
        <v>2880</v>
      </c>
      <c r="CG8" s="110" t="n">
        <f aca="false">CG7*Hipótesis!$D$13</f>
        <v>2880</v>
      </c>
      <c r="CH8" s="110" t="n">
        <f aca="false">CH7*Hipótesis!$D$13</f>
        <v>2880</v>
      </c>
    </row>
    <row r="9" customFormat="false" ht="13.5" hidden="false" customHeight="true" outlineLevel="0" collapsed="false">
      <c r="A9" s="6" t="s">
        <v>517</v>
      </c>
      <c r="C9" s="109" t="n">
        <f aca="false">Pipeline!$Q$16*Pipeline!$D$16*MIN(1,MAX(0,(1-Pipeline!$E$16+1)/MAX(Pipeline!$F$16,1)))</f>
        <v>1005.575</v>
      </c>
      <c r="D9" s="109" t="n">
        <f aca="false">Pipeline!$Q$16*Pipeline!$D$16*MIN(1,MAX(0,(2-Pipeline!$E$16+1)/MAX(Pipeline!$F$16,1)))</f>
        <v>2011.15</v>
      </c>
      <c r="E9" s="109" t="n">
        <f aca="false">Pipeline!$Q$16*Pipeline!$D$16*MIN(1,MAX(0,(3-Pipeline!$E$16+1)/MAX(Pipeline!$F$16,1)))</f>
        <v>3016.725</v>
      </c>
      <c r="F9" s="109" t="n">
        <f aca="false">Pipeline!$Q$16*Pipeline!$D$16*MIN(1,MAX(0,(4-Pipeline!$E$16+1)/MAX(Pipeline!$F$16,1)))</f>
        <v>3016.725</v>
      </c>
      <c r="G9" s="109" t="n">
        <f aca="false">Pipeline!$Q$16*Pipeline!$D$16*MIN(1,MAX(0,(5-Pipeline!$E$16+1)/MAX(Pipeline!$F$16,1)))</f>
        <v>3016.725</v>
      </c>
      <c r="H9" s="109" t="n">
        <f aca="false">Pipeline!$Q$16*Pipeline!$D$16*MIN(1,MAX(0,(6-Pipeline!$E$16+1)/MAX(Pipeline!$F$16,1)))</f>
        <v>3016.725</v>
      </c>
      <c r="I9" s="109" t="n">
        <f aca="false">Pipeline!$Q$16*Pipeline!$D$16*MIN(1,MAX(0,(7-Pipeline!$E$16+1)/MAX(Pipeline!$F$16,1)))</f>
        <v>3016.725</v>
      </c>
      <c r="J9" s="109" t="n">
        <f aca="false">Pipeline!$Q$16*Pipeline!$D$16*MIN(1,MAX(0,(8-Pipeline!$E$16+1)/MAX(Pipeline!$F$16,1)))</f>
        <v>3016.725</v>
      </c>
      <c r="K9" s="109" t="n">
        <f aca="false">Pipeline!$Q$16*Pipeline!$D$16*MIN(1,MAX(0,(9-Pipeline!$E$16+1)/MAX(Pipeline!$F$16,1)))</f>
        <v>3016.725</v>
      </c>
      <c r="L9" s="109" t="n">
        <f aca="false">Pipeline!$Q$16*Pipeline!$D$16*MIN(1,MAX(0,(10-Pipeline!$E$16+1)/MAX(Pipeline!$F$16,1)))</f>
        <v>3016.725</v>
      </c>
      <c r="M9" s="109" t="n">
        <f aca="false">Pipeline!$Q$16*Pipeline!$D$16*MIN(1,MAX(0,(11-Pipeline!$E$16+1)/MAX(Pipeline!$F$16,1)))</f>
        <v>3016.725</v>
      </c>
      <c r="N9" s="109" t="n">
        <f aca="false">Pipeline!$Q$16*Pipeline!$D$16*MIN(1,MAX(0,(12-Pipeline!$E$16+1)/MAX(Pipeline!$F$16,1)))</f>
        <v>3016.725</v>
      </c>
      <c r="O9" s="109" t="n">
        <f aca="false">Pipeline!$Q$16*Pipeline!$D$16*MIN(1,MAX(0,(13-Pipeline!$E$16+1)/MAX(Pipeline!$F$16,1)))</f>
        <v>3016.725</v>
      </c>
      <c r="P9" s="109" t="n">
        <f aca="false">Pipeline!$Q$16*Pipeline!$D$16*MIN(1,MAX(0,(14-Pipeline!$E$16+1)/MAX(Pipeline!$F$16,1)))</f>
        <v>3016.725</v>
      </c>
      <c r="Q9" s="109" t="n">
        <f aca="false">Pipeline!$Q$16*Pipeline!$D$16*MIN(1,MAX(0,(15-Pipeline!$E$16+1)/MAX(Pipeline!$F$16,1)))</f>
        <v>3016.725</v>
      </c>
      <c r="R9" s="109" t="n">
        <f aca="false">Pipeline!$Q$16*Pipeline!$D$16*MIN(1,MAX(0,(16-Pipeline!$E$16+1)/MAX(Pipeline!$F$16,1)))</f>
        <v>3016.725</v>
      </c>
      <c r="S9" s="109" t="n">
        <f aca="false">Pipeline!$Q$16*Pipeline!$D$16*MIN(1,MAX(0,(17-Pipeline!$E$16+1)/MAX(Pipeline!$F$16,1)))</f>
        <v>3016.725</v>
      </c>
      <c r="T9" s="109" t="n">
        <f aca="false">Pipeline!$Q$16*Pipeline!$D$16*MIN(1,MAX(0,(18-Pipeline!$E$16+1)/MAX(Pipeline!$F$16,1)))</f>
        <v>3016.725</v>
      </c>
      <c r="U9" s="109" t="n">
        <f aca="false">Pipeline!$Q$16*Pipeline!$D$16*MIN(1,MAX(0,(19-Pipeline!$E$16+1)/MAX(Pipeline!$F$16,1)))</f>
        <v>3016.725</v>
      </c>
      <c r="V9" s="109" t="n">
        <f aca="false">Pipeline!$Q$16*Pipeline!$D$16*MIN(1,MAX(0,(20-Pipeline!$E$16+1)/MAX(Pipeline!$F$16,1)))</f>
        <v>3016.725</v>
      </c>
      <c r="W9" s="109" t="n">
        <f aca="false">Pipeline!$Q$16*Pipeline!$D$16*MIN(1,MAX(0,(21-Pipeline!$E$16+1)/MAX(Pipeline!$F$16,1)))</f>
        <v>3016.725</v>
      </c>
      <c r="X9" s="109" t="n">
        <f aca="false">Pipeline!$Q$16*Pipeline!$D$16*MIN(1,MAX(0,(22-Pipeline!$E$16+1)/MAX(Pipeline!$F$16,1)))</f>
        <v>3016.725</v>
      </c>
      <c r="Y9" s="109" t="n">
        <f aca="false">Pipeline!$Q$16*Pipeline!$D$16*MIN(1,MAX(0,(23-Pipeline!$E$16+1)/MAX(Pipeline!$F$16,1)))</f>
        <v>3016.725</v>
      </c>
      <c r="Z9" s="109" t="n">
        <f aca="false">Pipeline!$Q$16*Pipeline!$D$16*MIN(1,MAX(0,(24-Pipeline!$E$16+1)/MAX(Pipeline!$F$16,1)))</f>
        <v>3016.725</v>
      </c>
      <c r="AA9" s="109" t="n">
        <f aca="false">Pipeline!$Q$16*Pipeline!$D$16*MIN(1,MAX(0,(25-Pipeline!$E$16+1)/MAX(Pipeline!$F$16,1)))</f>
        <v>3016.725</v>
      </c>
      <c r="AB9" s="109" t="n">
        <f aca="false">Pipeline!$Q$16*Pipeline!$D$16*MIN(1,MAX(0,(26-Pipeline!$E$16+1)/MAX(Pipeline!$F$16,1)))</f>
        <v>3016.725</v>
      </c>
      <c r="AC9" s="109" t="n">
        <f aca="false">Pipeline!$Q$16*Pipeline!$D$16*MIN(1,MAX(0,(27-Pipeline!$E$16+1)/MAX(Pipeline!$F$16,1)))</f>
        <v>3016.725</v>
      </c>
      <c r="AD9" s="109" t="n">
        <f aca="false">Pipeline!$Q$16*Pipeline!$D$16*MIN(1,MAX(0,(28-Pipeline!$E$16+1)/MAX(Pipeline!$F$16,1)))</f>
        <v>3016.725</v>
      </c>
      <c r="AE9" s="109" t="n">
        <f aca="false">Pipeline!$Q$16*Pipeline!$D$16*MIN(1,MAX(0,(29-Pipeline!$E$16+1)/MAX(Pipeline!$F$16,1)))</f>
        <v>3016.725</v>
      </c>
      <c r="AF9" s="109" t="n">
        <f aca="false">Pipeline!$Q$16*Pipeline!$D$16*MIN(1,MAX(0,(30-Pipeline!$E$16+1)/MAX(Pipeline!$F$16,1)))</f>
        <v>3016.725</v>
      </c>
      <c r="AG9" s="109" t="n">
        <f aca="false">Pipeline!$Q$16*Pipeline!$D$16*MIN(1,MAX(0,(31-Pipeline!$E$16+1)/MAX(Pipeline!$F$16,1)))</f>
        <v>3016.725</v>
      </c>
      <c r="AH9" s="109" t="n">
        <f aca="false">Pipeline!$Q$16*Pipeline!$D$16*MIN(1,MAX(0,(32-Pipeline!$E$16+1)/MAX(Pipeline!$F$16,1)))</f>
        <v>3016.725</v>
      </c>
      <c r="AI9" s="109" t="n">
        <f aca="false">Pipeline!$Q$16*Pipeline!$D$16*MIN(1,MAX(0,(33-Pipeline!$E$16+1)/MAX(Pipeline!$F$16,1)))</f>
        <v>3016.725</v>
      </c>
      <c r="AJ9" s="109" t="n">
        <f aca="false">Pipeline!$Q$16*Pipeline!$D$16*MIN(1,MAX(0,(34-Pipeline!$E$16+1)/MAX(Pipeline!$F$16,1)))</f>
        <v>3016.725</v>
      </c>
      <c r="AK9" s="109" t="n">
        <f aca="false">Pipeline!$Q$16*Pipeline!$D$16*MIN(1,MAX(0,(35-Pipeline!$E$16+1)/MAX(Pipeline!$F$16,1)))</f>
        <v>3016.725</v>
      </c>
      <c r="AL9" s="109" t="n">
        <f aca="false">Pipeline!$Q$16*Pipeline!$D$16*MIN(1,MAX(0,(36-Pipeline!$E$16+1)/MAX(Pipeline!$F$16,1)))</f>
        <v>3016.725</v>
      </c>
      <c r="AM9" s="109" t="n">
        <f aca="false">Pipeline!$Q$16*Pipeline!$D$16*MIN(1,MAX(0,(37-Pipeline!$E$16+1)/MAX(Pipeline!$F$16,1)))</f>
        <v>3016.725</v>
      </c>
      <c r="AN9" s="109" t="n">
        <f aca="false">Pipeline!$Q$16*Pipeline!$D$16*MIN(1,MAX(0,(38-Pipeline!$E$16+1)/MAX(Pipeline!$F$16,1)))</f>
        <v>3016.725</v>
      </c>
      <c r="AO9" s="109" t="n">
        <f aca="false">Pipeline!$Q$16*Pipeline!$D$16*MIN(1,MAX(0,(39-Pipeline!$E$16+1)/MAX(Pipeline!$F$16,1)))</f>
        <v>3016.725</v>
      </c>
      <c r="AP9" s="109" t="n">
        <f aca="false">Pipeline!$Q$16*Pipeline!$D$16*MIN(1,MAX(0,(40-Pipeline!$E$16+1)/MAX(Pipeline!$F$16,1)))</f>
        <v>3016.725</v>
      </c>
      <c r="AQ9" s="109" t="n">
        <f aca="false">Pipeline!$Q$16*Pipeline!$D$16*MIN(1,MAX(0,(41-Pipeline!$E$16+1)/MAX(Pipeline!$F$16,1)))</f>
        <v>3016.725</v>
      </c>
      <c r="AR9" s="109" t="n">
        <f aca="false">Pipeline!$Q$16*Pipeline!$D$16*MIN(1,MAX(0,(42-Pipeline!$E$16+1)/MAX(Pipeline!$F$16,1)))</f>
        <v>3016.725</v>
      </c>
      <c r="AS9" s="109" t="n">
        <f aca="false">Pipeline!$Q$16*Pipeline!$D$16*MIN(1,MAX(0,(43-Pipeline!$E$16+1)/MAX(Pipeline!$F$16,1)))</f>
        <v>3016.725</v>
      </c>
      <c r="AT9" s="109" t="n">
        <f aca="false">Pipeline!$Q$16*Pipeline!$D$16*MIN(1,MAX(0,(44-Pipeline!$E$16+1)/MAX(Pipeline!$F$16,1)))</f>
        <v>3016.725</v>
      </c>
      <c r="AU9" s="109" t="n">
        <f aca="false">Pipeline!$Q$16*Pipeline!$D$16*MIN(1,MAX(0,(45-Pipeline!$E$16+1)/MAX(Pipeline!$F$16,1)))</f>
        <v>3016.725</v>
      </c>
      <c r="AV9" s="109" t="n">
        <f aca="false">Pipeline!$Q$16*Pipeline!$D$16*MIN(1,MAX(0,(46-Pipeline!$E$16+1)/MAX(Pipeline!$F$16,1)))</f>
        <v>3016.725</v>
      </c>
      <c r="AW9" s="109" t="n">
        <f aca="false">Pipeline!$Q$16*Pipeline!$D$16*MIN(1,MAX(0,(47-Pipeline!$E$16+1)/MAX(Pipeline!$F$16,1)))</f>
        <v>3016.725</v>
      </c>
      <c r="AX9" s="109" t="n">
        <f aca="false">Pipeline!$Q$16*Pipeline!$D$16*MIN(1,MAX(0,(48-Pipeline!$E$16+1)/MAX(Pipeline!$F$16,1)))</f>
        <v>3016.725</v>
      </c>
      <c r="AY9" s="109" t="n">
        <f aca="false">Pipeline!$Q$16*Pipeline!$D$16*MIN(1,MAX(0,(49-Pipeline!$E$16+1)/MAX(Pipeline!$F$16,1)))</f>
        <v>3016.725</v>
      </c>
      <c r="AZ9" s="109" t="n">
        <f aca="false">Pipeline!$Q$16*Pipeline!$D$16*MIN(1,MAX(0,(50-Pipeline!$E$16+1)/MAX(Pipeline!$F$16,1)))</f>
        <v>3016.725</v>
      </c>
      <c r="BA9" s="109" t="n">
        <f aca="false">Pipeline!$Q$16*Pipeline!$D$16*MIN(1,MAX(0,(51-Pipeline!$E$16+1)/MAX(Pipeline!$F$16,1)))</f>
        <v>3016.725</v>
      </c>
      <c r="BB9" s="109" t="n">
        <f aca="false">Pipeline!$Q$16*Pipeline!$D$16*MIN(1,MAX(0,(52-Pipeline!$E$16+1)/MAX(Pipeline!$F$16,1)))</f>
        <v>3016.725</v>
      </c>
      <c r="BC9" s="109" t="n">
        <f aca="false">Pipeline!$Q$16*Pipeline!$D$16*MIN(1,MAX(0,(53-Pipeline!$E$16+1)/MAX(Pipeline!$F$16,1)))</f>
        <v>3016.725</v>
      </c>
      <c r="BD9" s="109" t="n">
        <f aca="false">Pipeline!$Q$16*Pipeline!$D$16*MIN(1,MAX(0,(54-Pipeline!$E$16+1)/MAX(Pipeline!$F$16,1)))</f>
        <v>3016.725</v>
      </c>
      <c r="BE9" s="109" t="n">
        <f aca="false">Pipeline!$Q$16*Pipeline!$D$16*MIN(1,MAX(0,(55-Pipeline!$E$16+1)/MAX(Pipeline!$F$16,1)))</f>
        <v>3016.725</v>
      </c>
      <c r="BF9" s="109" t="n">
        <f aca="false">Pipeline!$Q$16*Pipeline!$D$16*MIN(1,MAX(0,(56-Pipeline!$E$16+1)/MAX(Pipeline!$F$16,1)))</f>
        <v>3016.725</v>
      </c>
      <c r="BG9" s="109" t="n">
        <f aca="false">Pipeline!$Q$16*Pipeline!$D$16*MIN(1,MAX(0,(57-Pipeline!$E$16+1)/MAX(Pipeline!$F$16,1)))</f>
        <v>3016.725</v>
      </c>
      <c r="BH9" s="109" t="n">
        <f aca="false">Pipeline!$Q$16*Pipeline!$D$16*MIN(1,MAX(0,(58-Pipeline!$E$16+1)/MAX(Pipeline!$F$16,1)))</f>
        <v>3016.725</v>
      </c>
      <c r="BI9" s="109" t="n">
        <f aca="false">Pipeline!$Q$16*Pipeline!$D$16*MIN(1,MAX(0,(59-Pipeline!$E$16+1)/MAX(Pipeline!$F$16,1)))</f>
        <v>3016.725</v>
      </c>
      <c r="BJ9" s="109" t="n">
        <f aca="false">Pipeline!$Q$16*Pipeline!$D$16*MIN(1,MAX(0,(60-Pipeline!$E$16+1)/MAX(Pipeline!$F$16,1)))</f>
        <v>3016.725</v>
      </c>
      <c r="BK9" s="109" t="n">
        <f aca="false">Pipeline!$Q$16*Pipeline!$D$16*MIN(1,MAX(0,(61-Pipeline!$E$16+1)/MAX(Pipeline!$F$16,1)))</f>
        <v>3016.725</v>
      </c>
      <c r="BL9" s="109" t="n">
        <f aca="false">Pipeline!$Q$16*Pipeline!$D$16*MIN(1,MAX(0,(62-Pipeline!$E$16+1)/MAX(Pipeline!$F$16,1)))</f>
        <v>3016.725</v>
      </c>
      <c r="BM9" s="109" t="n">
        <f aca="false">Pipeline!$Q$16*Pipeline!$D$16*MIN(1,MAX(0,(63-Pipeline!$E$16+1)/MAX(Pipeline!$F$16,1)))</f>
        <v>3016.725</v>
      </c>
      <c r="BN9" s="109" t="n">
        <f aca="false">Pipeline!$Q$16*Pipeline!$D$16*MIN(1,MAX(0,(64-Pipeline!$E$16+1)/MAX(Pipeline!$F$16,1)))</f>
        <v>3016.725</v>
      </c>
      <c r="BO9" s="109" t="n">
        <f aca="false">Pipeline!$Q$16*Pipeline!$D$16*MIN(1,MAX(0,(65-Pipeline!$E$16+1)/MAX(Pipeline!$F$16,1)))</f>
        <v>3016.725</v>
      </c>
      <c r="BP9" s="109" t="n">
        <f aca="false">Pipeline!$Q$16*Pipeline!$D$16*MIN(1,MAX(0,(66-Pipeline!$E$16+1)/MAX(Pipeline!$F$16,1)))</f>
        <v>3016.725</v>
      </c>
      <c r="BQ9" s="109" t="n">
        <f aca="false">Pipeline!$Q$16*Pipeline!$D$16*MIN(1,MAX(0,(67-Pipeline!$E$16+1)/MAX(Pipeline!$F$16,1)))</f>
        <v>3016.725</v>
      </c>
      <c r="BR9" s="109" t="n">
        <f aca="false">Pipeline!$Q$16*Pipeline!$D$16*MIN(1,MAX(0,(68-Pipeline!$E$16+1)/MAX(Pipeline!$F$16,1)))</f>
        <v>3016.725</v>
      </c>
      <c r="BS9" s="109" t="n">
        <f aca="false">Pipeline!$Q$16*Pipeline!$D$16*MIN(1,MAX(0,(69-Pipeline!$E$16+1)/MAX(Pipeline!$F$16,1)))</f>
        <v>3016.725</v>
      </c>
      <c r="BT9" s="109" t="n">
        <f aca="false">Pipeline!$Q$16*Pipeline!$D$16*MIN(1,MAX(0,(70-Pipeline!$E$16+1)/MAX(Pipeline!$F$16,1)))</f>
        <v>3016.725</v>
      </c>
      <c r="BU9" s="109" t="n">
        <f aca="false">Pipeline!$Q$16*Pipeline!$D$16*MIN(1,MAX(0,(71-Pipeline!$E$16+1)/MAX(Pipeline!$F$16,1)))</f>
        <v>3016.725</v>
      </c>
      <c r="BV9" s="109" t="n">
        <f aca="false">Pipeline!$Q$16*Pipeline!$D$16*MIN(1,MAX(0,(72-Pipeline!$E$16+1)/MAX(Pipeline!$F$16,1)))</f>
        <v>3016.725</v>
      </c>
      <c r="BW9" s="109" t="n">
        <f aca="false">Pipeline!$Q$16*Pipeline!$D$16*MIN(1,MAX(0,(73-Pipeline!$E$16+1)/MAX(Pipeline!$F$16,1)))</f>
        <v>3016.725</v>
      </c>
      <c r="BX9" s="109" t="n">
        <f aca="false">Pipeline!$Q$16*Pipeline!$D$16*MIN(1,MAX(0,(74-Pipeline!$E$16+1)/MAX(Pipeline!$F$16,1)))</f>
        <v>3016.725</v>
      </c>
      <c r="BY9" s="109" t="n">
        <f aca="false">Pipeline!$Q$16*Pipeline!$D$16*MIN(1,MAX(0,(75-Pipeline!$E$16+1)/MAX(Pipeline!$F$16,1)))</f>
        <v>3016.725</v>
      </c>
      <c r="BZ9" s="109" t="n">
        <f aca="false">Pipeline!$Q$16*Pipeline!$D$16*MIN(1,MAX(0,(76-Pipeline!$E$16+1)/MAX(Pipeline!$F$16,1)))</f>
        <v>3016.725</v>
      </c>
      <c r="CA9" s="109" t="n">
        <f aca="false">Pipeline!$Q$16*Pipeline!$D$16*MIN(1,MAX(0,(77-Pipeline!$E$16+1)/MAX(Pipeline!$F$16,1)))</f>
        <v>3016.725</v>
      </c>
      <c r="CB9" s="109" t="n">
        <f aca="false">Pipeline!$Q$16*Pipeline!$D$16*MIN(1,MAX(0,(78-Pipeline!$E$16+1)/MAX(Pipeline!$F$16,1)))</f>
        <v>3016.725</v>
      </c>
      <c r="CC9" s="109" t="n">
        <f aca="false">Pipeline!$Q$16*Pipeline!$D$16*MIN(1,MAX(0,(79-Pipeline!$E$16+1)/MAX(Pipeline!$F$16,1)))</f>
        <v>3016.725</v>
      </c>
      <c r="CD9" s="109" t="n">
        <f aca="false">Pipeline!$Q$16*Pipeline!$D$16*MIN(1,MAX(0,(80-Pipeline!$E$16+1)/MAX(Pipeline!$F$16,1)))</f>
        <v>3016.725</v>
      </c>
      <c r="CE9" s="109" t="n">
        <f aca="false">Pipeline!$Q$16*Pipeline!$D$16*MIN(1,MAX(0,(81-Pipeline!$E$16+1)/MAX(Pipeline!$F$16,1)))</f>
        <v>3016.725</v>
      </c>
      <c r="CF9" s="109" t="n">
        <f aca="false">Pipeline!$Q$16*Pipeline!$D$16*MIN(1,MAX(0,(82-Pipeline!$E$16+1)/MAX(Pipeline!$F$16,1)))</f>
        <v>3016.725</v>
      </c>
      <c r="CG9" s="109" t="n">
        <f aca="false">Pipeline!$Q$16*Pipeline!$D$16*MIN(1,MAX(0,(83-Pipeline!$E$16+1)/MAX(Pipeline!$F$16,1)))</f>
        <v>3016.725</v>
      </c>
      <c r="CH9" s="109" t="n">
        <f aca="false">Pipeline!$Q$16*Pipeline!$D$16*MIN(1,MAX(0,(84-Pipeline!$E$16+1)/MAX(Pipeline!$F$16,1)))</f>
        <v>3016.725</v>
      </c>
    </row>
    <row r="10" customFormat="false" ht="13.5" hidden="false" customHeight="true" outlineLevel="0" collapsed="false">
      <c r="A10" s="6" t="s">
        <v>518</v>
      </c>
      <c r="C10" s="109" t="n">
        <f aca="false">Pipeline!$Q$17*Pipeline!$D$17*MIN(1,MAX(0,(1-Pipeline!$E$17+1)/MAX(Pipeline!$F$17,1)))</f>
        <v>0</v>
      </c>
      <c r="D10" s="109" t="n">
        <f aca="false">Pipeline!$Q$17*Pipeline!$D$17*MIN(1,MAX(0,(2-Pipeline!$E$17+1)/MAX(Pipeline!$F$17,1)))</f>
        <v>78.3</v>
      </c>
      <c r="E10" s="109" t="n">
        <f aca="false">Pipeline!$Q$17*Pipeline!$D$17*MIN(1,MAX(0,(3-Pipeline!$E$17+1)/MAX(Pipeline!$F$17,1)))</f>
        <v>156.6</v>
      </c>
      <c r="F10" s="109" t="n">
        <f aca="false">Pipeline!$Q$17*Pipeline!$D$17*MIN(1,MAX(0,(4-Pipeline!$E$17+1)/MAX(Pipeline!$F$17,1)))</f>
        <v>234.9</v>
      </c>
      <c r="G10" s="109" t="n">
        <f aca="false">Pipeline!$Q$17*Pipeline!$D$17*MIN(1,MAX(0,(5-Pipeline!$E$17+1)/MAX(Pipeline!$F$17,1)))</f>
        <v>234.9</v>
      </c>
      <c r="H10" s="109" t="n">
        <f aca="false">Pipeline!$Q$17*Pipeline!$D$17*MIN(1,MAX(0,(6-Pipeline!$E$17+1)/MAX(Pipeline!$F$17,1)))</f>
        <v>234.9</v>
      </c>
      <c r="I10" s="109" t="n">
        <f aca="false">Pipeline!$Q$17*Pipeline!$D$17*MIN(1,MAX(0,(7-Pipeline!$E$17+1)/MAX(Pipeline!$F$17,1)))</f>
        <v>234.9</v>
      </c>
      <c r="J10" s="109" t="n">
        <f aca="false">Pipeline!$Q$17*Pipeline!$D$17*MIN(1,MAX(0,(8-Pipeline!$E$17+1)/MAX(Pipeline!$F$17,1)))</f>
        <v>234.9</v>
      </c>
      <c r="K10" s="109" t="n">
        <f aca="false">Pipeline!$Q$17*Pipeline!$D$17*MIN(1,MAX(0,(9-Pipeline!$E$17+1)/MAX(Pipeline!$F$17,1)))</f>
        <v>234.9</v>
      </c>
      <c r="L10" s="109" t="n">
        <f aca="false">Pipeline!$Q$17*Pipeline!$D$17*MIN(1,MAX(0,(10-Pipeline!$E$17+1)/MAX(Pipeline!$F$17,1)))</f>
        <v>234.9</v>
      </c>
      <c r="M10" s="109" t="n">
        <f aca="false">Pipeline!$Q$17*Pipeline!$D$17*MIN(1,MAX(0,(11-Pipeline!$E$17+1)/MAX(Pipeline!$F$17,1)))</f>
        <v>234.9</v>
      </c>
      <c r="N10" s="109" t="n">
        <f aca="false">Pipeline!$Q$17*Pipeline!$D$17*MIN(1,MAX(0,(12-Pipeline!$E$17+1)/MAX(Pipeline!$F$17,1)))</f>
        <v>234.9</v>
      </c>
      <c r="O10" s="109" t="n">
        <f aca="false">Pipeline!$Q$17*Pipeline!$D$17*MIN(1,MAX(0,(13-Pipeline!$E$17+1)/MAX(Pipeline!$F$17,1)))</f>
        <v>234.9</v>
      </c>
      <c r="P10" s="109" t="n">
        <f aca="false">Pipeline!$Q$17*Pipeline!$D$17*MIN(1,MAX(0,(14-Pipeline!$E$17+1)/MAX(Pipeline!$F$17,1)))</f>
        <v>234.9</v>
      </c>
      <c r="Q10" s="109" t="n">
        <f aca="false">Pipeline!$Q$17*Pipeline!$D$17*MIN(1,MAX(0,(15-Pipeline!$E$17+1)/MAX(Pipeline!$F$17,1)))</f>
        <v>234.9</v>
      </c>
      <c r="R10" s="109" t="n">
        <f aca="false">Pipeline!$Q$17*Pipeline!$D$17*MIN(1,MAX(0,(16-Pipeline!$E$17+1)/MAX(Pipeline!$F$17,1)))</f>
        <v>234.9</v>
      </c>
      <c r="S10" s="109" t="n">
        <f aca="false">Pipeline!$Q$17*Pipeline!$D$17*MIN(1,MAX(0,(17-Pipeline!$E$17+1)/MAX(Pipeline!$F$17,1)))</f>
        <v>234.9</v>
      </c>
      <c r="T10" s="109" t="n">
        <f aca="false">Pipeline!$Q$17*Pipeline!$D$17*MIN(1,MAX(0,(18-Pipeline!$E$17+1)/MAX(Pipeline!$F$17,1)))</f>
        <v>234.9</v>
      </c>
      <c r="U10" s="109" t="n">
        <f aca="false">Pipeline!$Q$17*Pipeline!$D$17*MIN(1,MAX(0,(19-Pipeline!$E$17+1)/MAX(Pipeline!$F$17,1)))</f>
        <v>234.9</v>
      </c>
      <c r="V10" s="109" t="n">
        <f aca="false">Pipeline!$Q$17*Pipeline!$D$17*MIN(1,MAX(0,(20-Pipeline!$E$17+1)/MAX(Pipeline!$F$17,1)))</f>
        <v>234.9</v>
      </c>
      <c r="W10" s="109" t="n">
        <f aca="false">Pipeline!$Q$17*Pipeline!$D$17*MIN(1,MAX(0,(21-Pipeline!$E$17+1)/MAX(Pipeline!$F$17,1)))</f>
        <v>234.9</v>
      </c>
      <c r="X10" s="109" t="n">
        <f aca="false">Pipeline!$Q$17*Pipeline!$D$17*MIN(1,MAX(0,(22-Pipeline!$E$17+1)/MAX(Pipeline!$F$17,1)))</f>
        <v>234.9</v>
      </c>
      <c r="Y10" s="109" t="n">
        <f aca="false">Pipeline!$Q$17*Pipeline!$D$17*MIN(1,MAX(0,(23-Pipeline!$E$17+1)/MAX(Pipeline!$F$17,1)))</f>
        <v>234.9</v>
      </c>
      <c r="Z10" s="109" t="n">
        <f aca="false">Pipeline!$Q$17*Pipeline!$D$17*MIN(1,MAX(0,(24-Pipeline!$E$17+1)/MAX(Pipeline!$F$17,1)))</f>
        <v>234.9</v>
      </c>
      <c r="AA10" s="109" t="n">
        <f aca="false">Pipeline!$Q$17*Pipeline!$D$17*MIN(1,MAX(0,(25-Pipeline!$E$17+1)/MAX(Pipeline!$F$17,1)))</f>
        <v>234.9</v>
      </c>
      <c r="AB10" s="109" t="n">
        <f aca="false">Pipeline!$Q$17*Pipeline!$D$17*MIN(1,MAX(0,(26-Pipeline!$E$17+1)/MAX(Pipeline!$F$17,1)))</f>
        <v>234.9</v>
      </c>
      <c r="AC10" s="109" t="n">
        <f aca="false">Pipeline!$Q$17*Pipeline!$D$17*MIN(1,MAX(0,(27-Pipeline!$E$17+1)/MAX(Pipeline!$F$17,1)))</f>
        <v>234.9</v>
      </c>
      <c r="AD10" s="109" t="n">
        <f aca="false">Pipeline!$Q$17*Pipeline!$D$17*MIN(1,MAX(0,(28-Pipeline!$E$17+1)/MAX(Pipeline!$F$17,1)))</f>
        <v>234.9</v>
      </c>
      <c r="AE10" s="109" t="n">
        <f aca="false">Pipeline!$Q$17*Pipeline!$D$17*MIN(1,MAX(0,(29-Pipeline!$E$17+1)/MAX(Pipeline!$F$17,1)))</f>
        <v>234.9</v>
      </c>
      <c r="AF10" s="109" t="n">
        <f aca="false">Pipeline!$Q$17*Pipeline!$D$17*MIN(1,MAX(0,(30-Pipeline!$E$17+1)/MAX(Pipeline!$F$17,1)))</f>
        <v>234.9</v>
      </c>
      <c r="AG10" s="109" t="n">
        <f aca="false">Pipeline!$Q$17*Pipeline!$D$17*MIN(1,MAX(0,(31-Pipeline!$E$17+1)/MAX(Pipeline!$F$17,1)))</f>
        <v>234.9</v>
      </c>
      <c r="AH10" s="109" t="n">
        <f aca="false">Pipeline!$Q$17*Pipeline!$D$17*MIN(1,MAX(0,(32-Pipeline!$E$17+1)/MAX(Pipeline!$F$17,1)))</f>
        <v>234.9</v>
      </c>
      <c r="AI10" s="109" t="n">
        <f aca="false">Pipeline!$Q$17*Pipeline!$D$17*MIN(1,MAX(0,(33-Pipeline!$E$17+1)/MAX(Pipeline!$F$17,1)))</f>
        <v>234.9</v>
      </c>
      <c r="AJ10" s="109" t="n">
        <f aca="false">Pipeline!$Q$17*Pipeline!$D$17*MIN(1,MAX(0,(34-Pipeline!$E$17+1)/MAX(Pipeline!$F$17,1)))</f>
        <v>234.9</v>
      </c>
      <c r="AK10" s="109" t="n">
        <f aca="false">Pipeline!$Q$17*Pipeline!$D$17*MIN(1,MAX(0,(35-Pipeline!$E$17+1)/MAX(Pipeline!$F$17,1)))</f>
        <v>234.9</v>
      </c>
      <c r="AL10" s="109" t="n">
        <f aca="false">Pipeline!$Q$17*Pipeline!$D$17*MIN(1,MAX(0,(36-Pipeline!$E$17+1)/MAX(Pipeline!$F$17,1)))</f>
        <v>234.9</v>
      </c>
      <c r="AM10" s="109" t="n">
        <f aca="false">Pipeline!$Q$17*Pipeline!$D$17*MIN(1,MAX(0,(37-Pipeline!$E$17+1)/MAX(Pipeline!$F$17,1)))</f>
        <v>234.9</v>
      </c>
      <c r="AN10" s="109" t="n">
        <f aca="false">Pipeline!$Q$17*Pipeline!$D$17*MIN(1,MAX(0,(38-Pipeline!$E$17+1)/MAX(Pipeline!$F$17,1)))</f>
        <v>234.9</v>
      </c>
      <c r="AO10" s="109" t="n">
        <f aca="false">Pipeline!$Q$17*Pipeline!$D$17*MIN(1,MAX(0,(39-Pipeline!$E$17+1)/MAX(Pipeline!$F$17,1)))</f>
        <v>234.9</v>
      </c>
      <c r="AP10" s="109" t="n">
        <f aca="false">Pipeline!$Q$17*Pipeline!$D$17*MIN(1,MAX(0,(40-Pipeline!$E$17+1)/MAX(Pipeline!$F$17,1)))</f>
        <v>234.9</v>
      </c>
      <c r="AQ10" s="109" t="n">
        <f aca="false">Pipeline!$Q$17*Pipeline!$D$17*MIN(1,MAX(0,(41-Pipeline!$E$17+1)/MAX(Pipeline!$F$17,1)))</f>
        <v>234.9</v>
      </c>
      <c r="AR10" s="109" t="n">
        <f aca="false">Pipeline!$Q$17*Pipeline!$D$17*MIN(1,MAX(0,(42-Pipeline!$E$17+1)/MAX(Pipeline!$F$17,1)))</f>
        <v>234.9</v>
      </c>
      <c r="AS10" s="109" t="n">
        <f aca="false">Pipeline!$Q$17*Pipeline!$D$17*MIN(1,MAX(0,(43-Pipeline!$E$17+1)/MAX(Pipeline!$F$17,1)))</f>
        <v>234.9</v>
      </c>
      <c r="AT10" s="109" t="n">
        <f aca="false">Pipeline!$Q$17*Pipeline!$D$17*MIN(1,MAX(0,(44-Pipeline!$E$17+1)/MAX(Pipeline!$F$17,1)))</f>
        <v>234.9</v>
      </c>
      <c r="AU10" s="109" t="n">
        <f aca="false">Pipeline!$Q$17*Pipeline!$D$17*MIN(1,MAX(0,(45-Pipeline!$E$17+1)/MAX(Pipeline!$F$17,1)))</f>
        <v>234.9</v>
      </c>
      <c r="AV10" s="109" t="n">
        <f aca="false">Pipeline!$Q$17*Pipeline!$D$17*MIN(1,MAX(0,(46-Pipeline!$E$17+1)/MAX(Pipeline!$F$17,1)))</f>
        <v>234.9</v>
      </c>
      <c r="AW10" s="109" t="n">
        <f aca="false">Pipeline!$Q$17*Pipeline!$D$17*MIN(1,MAX(0,(47-Pipeline!$E$17+1)/MAX(Pipeline!$F$17,1)))</f>
        <v>234.9</v>
      </c>
      <c r="AX10" s="109" t="n">
        <f aca="false">Pipeline!$Q$17*Pipeline!$D$17*MIN(1,MAX(0,(48-Pipeline!$E$17+1)/MAX(Pipeline!$F$17,1)))</f>
        <v>234.9</v>
      </c>
      <c r="AY10" s="109" t="n">
        <f aca="false">Pipeline!$Q$17*Pipeline!$D$17*MIN(1,MAX(0,(49-Pipeline!$E$17+1)/MAX(Pipeline!$F$17,1)))</f>
        <v>234.9</v>
      </c>
      <c r="AZ10" s="109" t="n">
        <f aca="false">Pipeline!$Q$17*Pipeline!$D$17*MIN(1,MAX(0,(50-Pipeline!$E$17+1)/MAX(Pipeline!$F$17,1)))</f>
        <v>234.9</v>
      </c>
      <c r="BA10" s="109" t="n">
        <f aca="false">Pipeline!$Q$17*Pipeline!$D$17*MIN(1,MAX(0,(51-Pipeline!$E$17+1)/MAX(Pipeline!$F$17,1)))</f>
        <v>234.9</v>
      </c>
      <c r="BB10" s="109" t="n">
        <f aca="false">Pipeline!$Q$17*Pipeline!$D$17*MIN(1,MAX(0,(52-Pipeline!$E$17+1)/MAX(Pipeline!$F$17,1)))</f>
        <v>234.9</v>
      </c>
      <c r="BC10" s="109" t="n">
        <f aca="false">Pipeline!$Q$17*Pipeline!$D$17*MIN(1,MAX(0,(53-Pipeline!$E$17+1)/MAX(Pipeline!$F$17,1)))</f>
        <v>234.9</v>
      </c>
      <c r="BD10" s="109" t="n">
        <f aca="false">Pipeline!$Q$17*Pipeline!$D$17*MIN(1,MAX(0,(54-Pipeline!$E$17+1)/MAX(Pipeline!$F$17,1)))</f>
        <v>234.9</v>
      </c>
      <c r="BE10" s="109" t="n">
        <f aca="false">Pipeline!$Q$17*Pipeline!$D$17*MIN(1,MAX(0,(55-Pipeline!$E$17+1)/MAX(Pipeline!$F$17,1)))</f>
        <v>234.9</v>
      </c>
      <c r="BF10" s="109" t="n">
        <f aca="false">Pipeline!$Q$17*Pipeline!$D$17*MIN(1,MAX(0,(56-Pipeline!$E$17+1)/MAX(Pipeline!$F$17,1)))</f>
        <v>234.9</v>
      </c>
      <c r="BG10" s="109" t="n">
        <f aca="false">Pipeline!$Q$17*Pipeline!$D$17*MIN(1,MAX(0,(57-Pipeline!$E$17+1)/MAX(Pipeline!$F$17,1)))</f>
        <v>234.9</v>
      </c>
      <c r="BH10" s="109" t="n">
        <f aca="false">Pipeline!$Q$17*Pipeline!$D$17*MIN(1,MAX(0,(58-Pipeline!$E$17+1)/MAX(Pipeline!$F$17,1)))</f>
        <v>234.9</v>
      </c>
      <c r="BI10" s="109" t="n">
        <f aca="false">Pipeline!$Q$17*Pipeline!$D$17*MIN(1,MAX(0,(59-Pipeline!$E$17+1)/MAX(Pipeline!$F$17,1)))</f>
        <v>234.9</v>
      </c>
      <c r="BJ10" s="109" t="n">
        <f aca="false">Pipeline!$Q$17*Pipeline!$D$17*MIN(1,MAX(0,(60-Pipeline!$E$17+1)/MAX(Pipeline!$F$17,1)))</f>
        <v>234.9</v>
      </c>
      <c r="BK10" s="109" t="n">
        <f aca="false">Pipeline!$Q$17*Pipeline!$D$17*MIN(1,MAX(0,(61-Pipeline!$E$17+1)/MAX(Pipeline!$F$17,1)))</f>
        <v>234.9</v>
      </c>
      <c r="BL10" s="109" t="n">
        <f aca="false">Pipeline!$Q$17*Pipeline!$D$17*MIN(1,MAX(0,(62-Pipeline!$E$17+1)/MAX(Pipeline!$F$17,1)))</f>
        <v>234.9</v>
      </c>
      <c r="BM10" s="109" t="n">
        <f aca="false">Pipeline!$Q$17*Pipeline!$D$17*MIN(1,MAX(0,(63-Pipeline!$E$17+1)/MAX(Pipeline!$F$17,1)))</f>
        <v>234.9</v>
      </c>
      <c r="BN10" s="109" t="n">
        <f aca="false">Pipeline!$Q$17*Pipeline!$D$17*MIN(1,MAX(0,(64-Pipeline!$E$17+1)/MAX(Pipeline!$F$17,1)))</f>
        <v>234.9</v>
      </c>
      <c r="BO10" s="109" t="n">
        <f aca="false">Pipeline!$Q$17*Pipeline!$D$17*MIN(1,MAX(0,(65-Pipeline!$E$17+1)/MAX(Pipeline!$F$17,1)))</f>
        <v>234.9</v>
      </c>
      <c r="BP10" s="109" t="n">
        <f aca="false">Pipeline!$Q$17*Pipeline!$D$17*MIN(1,MAX(0,(66-Pipeline!$E$17+1)/MAX(Pipeline!$F$17,1)))</f>
        <v>234.9</v>
      </c>
      <c r="BQ10" s="109" t="n">
        <f aca="false">Pipeline!$Q$17*Pipeline!$D$17*MIN(1,MAX(0,(67-Pipeline!$E$17+1)/MAX(Pipeline!$F$17,1)))</f>
        <v>234.9</v>
      </c>
      <c r="BR10" s="109" t="n">
        <f aca="false">Pipeline!$Q$17*Pipeline!$D$17*MIN(1,MAX(0,(68-Pipeline!$E$17+1)/MAX(Pipeline!$F$17,1)))</f>
        <v>234.9</v>
      </c>
      <c r="BS10" s="109" t="n">
        <f aca="false">Pipeline!$Q$17*Pipeline!$D$17*MIN(1,MAX(0,(69-Pipeline!$E$17+1)/MAX(Pipeline!$F$17,1)))</f>
        <v>234.9</v>
      </c>
      <c r="BT10" s="109" t="n">
        <f aca="false">Pipeline!$Q$17*Pipeline!$D$17*MIN(1,MAX(0,(70-Pipeline!$E$17+1)/MAX(Pipeline!$F$17,1)))</f>
        <v>234.9</v>
      </c>
      <c r="BU10" s="109" t="n">
        <f aca="false">Pipeline!$Q$17*Pipeline!$D$17*MIN(1,MAX(0,(71-Pipeline!$E$17+1)/MAX(Pipeline!$F$17,1)))</f>
        <v>234.9</v>
      </c>
      <c r="BV10" s="109" t="n">
        <f aca="false">Pipeline!$Q$17*Pipeline!$D$17*MIN(1,MAX(0,(72-Pipeline!$E$17+1)/MAX(Pipeline!$F$17,1)))</f>
        <v>234.9</v>
      </c>
      <c r="BW10" s="109" t="n">
        <f aca="false">Pipeline!$Q$17*Pipeline!$D$17*MIN(1,MAX(0,(73-Pipeline!$E$17+1)/MAX(Pipeline!$F$17,1)))</f>
        <v>234.9</v>
      </c>
      <c r="BX10" s="109" t="n">
        <f aca="false">Pipeline!$Q$17*Pipeline!$D$17*MIN(1,MAX(0,(74-Pipeline!$E$17+1)/MAX(Pipeline!$F$17,1)))</f>
        <v>234.9</v>
      </c>
      <c r="BY10" s="109" t="n">
        <f aca="false">Pipeline!$Q$17*Pipeline!$D$17*MIN(1,MAX(0,(75-Pipeline!$E$17+1)/MAX(Pipeline!$F$17,1)))</f>
        <v>234.9</v>
      </c>
      <c r="BZ10" s="109" t="n">
        <f aca="false">Pipeline!$Q$17*Pipeline!$D$17*MIN(1,MAX(0,(76-Pipeline!$E$17+1)/MAX(Pipeline!$F$17,1)))</f>
        <v>234.9</v>
      </c>
      <c r="CA10" s="109" t="n">
        <f aca="false">Pipeline!$Q$17*Pipeline!$D$17*MIN(1,MAX(0,(77-Pipeline!$E$17+1)/MAX(Pipeline!$F$17,1)))</f>
        <v>234.9</v>
      </c>
      <c r="CB10" s="109" t="n">
        <f aca="false">Pipeline!$Q$17*Pipeline!$D$17*MIN(1,MAX(0,(78-Pipeline!$E$17+1)/MAX(Pipeline!$F$17,1)))</f>
        <v>234.9</v>
      </c>
      <c r="CC10" s="109" t="n">
        <f aca="false">Pipeline!$Q$17*Pipeline!$D$17*MIN(1,MAX(0,(79-Pipeline!$E$17+1)/MAX(Pipeline!$F$17,1)))</f>
        <v>234.9</v>
      </c>
      <c r="CD10" s="109" t="n">
        <f aca="false">Pipeline!$Q$17*Pipeline!$D$17*MIN(1,MAX(0,(80-Pipeline!$E$17+1)/MAX(Pipeline!$F$17,1)))</f>
        <v>234.9</v>
      </c>
      <c r="CE10" s="109" t="n">
        <f aca="false">Pipeline!$Q$17*Pipeline!$D$17*MIN(1,MAX(0,(81-Pipeline!$E$17+1)/MAX(Pipeline!$F$17,1)))</f>
        <v>234.9</v>
      </c>
      <c r="CF10" s="109" t="n">
        <f aca="false">Pipeline!$Q$17*Pipeline!$D$17*MIN(1,MAX(0,(82-Pipeline!$E$17+1)/MAX(Pipeline!$F$17,1)))</f>
        <v>234.9</v>
      </c>
      <c r="CG10" s="109" t="n">
        <f aca="false">Pipeline!$Q$17*Pipeline!$D$17*MIN(1,MAX(0,(83-Pipeline!$E$17+1)/MAX(Pipeline!$F$17,1)))</f>
        <v>234.9</v>
      </c>
      <c r="CH10" s="109" t="n">
        <f aca="false">Pipeline!$Q$17*Pipeline!$D$17*MIN(1,MAX(0,(84-Pipeline!$E$17+1)/MAX(Pipeline!$F$17,1)))</f>
        <v>234.9</v>
      </c>
    </row>
    <row r="11" customFormat="false" ht="13.5" hidden="false" customHeight="true" outlineLevel="0" collapsed="false">
      <c r="A11" s="6" t="s">
        <v>519</v>
      </c>
      <c r="C11" s="109" t="n">
        <f aca="false">Pipeline!$Q$18*Pipeline!$D$18*MIN(1,MAX(0,(1-Pipeline!$E$18+1)/MAX(Pipeline!$F$18,1)))</f>
        <v>0</v>
      </c>
      <c r="D11" s="109" t="n">
        <f aca="false">Pipeline!$Q$18*Pipeline!$D$18*MIN(1,MAX(0,(2-Pipeline!$E$18+1)/MAX(Pipeline!$F$18,1)))</f>
        <v>0</v>
      </c>
      <c r="E11" s="109" t="n">
        <f aca="false">Pipeline!$Q$18*Pipeline!$D$18*MIN(1,MAX(0,(3-Pipeline!$E$18+1)/MAX(Pipeline!$F$18,1)))</f>
        <v>1178.578125</v>
      </c>
      <c r="F11" s="109" t="n">
        <f aca="false">Pipeline!$Q$18*Pipeline!$D$18*MIN(1,MAX(0,(4-Pipeline!$E$18+1)/MAX(Pipeline!$F$18,1)))</f>
        <v>2357.15625</v>
      </c>
      <c r="G11" s="109" t="n">
        <f aca="false">Pipeline!$Q$18*Pipeline!$D$18*MIN(1,MAX(0,(5-Pipeline!$E$18+1)/MAX(Pipeline!$F$18,1)))</f>
        <v>3535.734375</v>
      </c>
      <c r="H11" s="109" t="n">
        <f aca="false">Pipeline!$Q$18*Pipeline!$D$18*MIN(1,MAX(0,(6-Pipeline!$E$18+1)/MAX(Pipeline!$F$18,1)))</f>
        <v>4714.3125</v>
      </c>
      <c r="I11" s="109" t="n">
        <f aca="false">Pipeline!$Q$18*Pipeline!$D$18*MIN(1,MAX(0,(7-Pipeline!$E$18+1)/MAX(Pipeline!$F$18,1)))</f>
        <v>5892.890625</v>
      </c>
      <c r="J11" s="109" t="n">
        <f aca="false">Pipeline!$Q$18*Pipeline!$D$18*MIN(1,MAX(0,(8-Pipeline!$E$18+1)/MAX(Pipeline!$F$18,1)))</f>
        <v>7071.46875</v>
      </c>
      <c r="K11" s="109" t="n">
        <f aca="false">Pipeline!$Q$18*Pipeline!$D$18*MIN(1,MAX(0,(9-Pipeline!$E$18+1)/MAX(Pipeline!$F$18,1)))</f>
        <v>8250.046875</v>
      </c>
      <c r="L11" s="109" t="n">
        <f aca="false">Pipeline!$Q$18*Pipeline!$D$18*MIN(1,MAX(0,(10-Pipeline!$E$18+1)/MAX(Pipeline!$F$18,1)))</f>
        <v>9428.625</v>
      </c>
      <c r="M11" s="109" t="n">
        <f aca="false">Pipeline!$Q$18*Pipeline!$D$18*MIN(1,MAX(0,(11-Pipeline!$E$18+1)/MAX(Pipeline!$F$18,1)))</f>
        <v>9428.625</v>
      </c>
      <c r="N11" s="109" t="n">
        <f aca="false">Pipeline!$Q$18*Pipeline!$D$18*MIN(1,MAX(0,(12-Pipeline!$E$18+1)/MAX(Pipeline!$F$18,1)))</f>
        <v>9428.625</v>
      </c>
      <c r="O11" s="109" t="n">
        <f aca="false">Pipeline!$Q$18*Pipeline!$D$18*MIN(1,MAX(0,(13-Pipeline!$E$18+1)/MAX(Pipeline!$F$18,1)))</f>
        <v>9428.625</v>
      </c>
      <c r="P11" s="109" t="n">
        <f aca="false">Pipeline!$Q$18*Pipeline!$D$18*MIN(1,MAX(0,(14-Pipeline!$E$18+1)/MAX(Pipeline!$F$18,1)))</f>
        <v>9428.625</v>
      </c>
      <c r="Q11" s="109" t="n">
        <f aca="false">Pipeline!$Q$18*Pipeline!$D$18*MIN(1,MAX(0,(15-Pipeline!$E$18+1)/MAX(Pipeline!$F$18,1)))</f>
        <v>9428.625</v>
      </c>
      <c r="R11" s="109" t="n">
        <f aca="false">Pipeline!$Q$18*Pipeline!$D$18*MIN(1,MAX(0,(16-Pipeline!$E$18+1)/MAX(Pipeline!$F$18,1)))</f>
        <v>9428.625</v>
      </c>
      <c r="S11" s="109" t="n">
        <f aca="false">Pipeline!$Q$18*Pipeline!$D$18*MIN(1,MAX(0,(17-Pipeline!$E$18+1)/MAX(Pipeline!$F$18,1)))</f>
        <v>9428.625</v>
      </c>
      <c r="T11" s="109" t="n">
        <f aca="false">Pipeline!$Q$18*Pipeline!$D$18*MIN(1,MAX(0,(18-Pipeline!$E$18+1)/MAX(Pipeline!$F$18,1)))</f>
        <v>9428.625</v>
      </c>
      <c r="U11" s="109" t="n">
        <f aca="false">Pipeline!$Q$18*Pipeline!$D$18*MIN(1,MAX(0,(19-Pipeline!$E$18+1)/MAX(Pipeline!$F$18,1)))</f>
        <v>9428.625</v>
      </c>
      <c r="V11" s="109" t="n">
        <f aca="false">Pipeline!$Q$18*Pipeline!$D$18*MIN(1,MAX(0,(20-Pipeline!$E$18+1)/MAX(Pipeline!$F$18,1)))</f>
        <v>9428.625</v>
      </c>
      <c r="W11" s="109" t="n">
        <f aca="false">Pipeline!$Q$18*Pipeline!$D$18*MIN(1,MAX(0,(21-Pipeline!$E$18+1)/MAX(Pipeline!$F$18,1)))</f>
        <v>9428.625</v>
      </c>
      <c r="X11" s="109" t="n">
        <f aca="false">Pipeline!$Q$18*Pipeline!$D$18*MIN(1,MAX(0,(22-Pipeline!$E$18+1)/MAX(Pipeline!$F$18,1)))</f>
        <v>9428.625</v>
      </c>
      <c r="Y11" s="109" t="n">
        <f aca="false">Pipeline!$Q$18*Pipeline!$D$18*MIN(1,MAX(0,(23-Pipeline!$E$18+1)/MAX(Pipeline!$F$18,1)))</f>
        <v>9428.625</v>
      </c>
      <c r="Z11" s="109" t="n">
        <f aca="false">Pipeline!$Q$18*Pipeline!$D$18*MIN(1,MAX(0,(24-Pipeline!$E$18+1)/MAX(Pipeline!$F$18,1)))</f>
        <v>9428.625</v>
      </c>
      <c r="AA11" s="109" t="n">
        <f aca="false">Pipeline!$Q$18*Pipeline!$D$18*MIN(1,MAX(0,(25-Pipeline!$E$18+1)/MAX(Pipeline!$F$18,1)))</f>
        <v>9428.625</v>
      </c>
      <c r="AB11" s="109" t="n">
        <f aca="false">Pipeline!$Q$18*Pipeline!$D$18*MIN(1,MAX(0,(26-Pipeline!$E$18+1)/MAX(Pipeline!$F$18,1)))</f>
        <v>9428.625</v>
      </c>
      <c r="AC11" s="109" t="n">
        <f aca="false">Pipeline!$Q$18*Pipeline!$D$18*MIN(1,MAX(0,(27-Pipeline!$E$18+1)/MAX(Pipeline!$F$18,1)))</f>
        <v>9428.625</v>
      </c>
      <c r="AD11" s="109" t="n">
        <f aca="false">Pipeline!$Q$18*Pipeline!$D$18*MIN(1,MAX(0,(28-Pipeline!$E$18+1)/MAX(Pipeline!$F$18,1)))</f>
        <v>9428.625</v>
      </c>
      <c r="AE11" s="109" t="n">
        <f aca="false">Pipeline!$Q$18*Pipeline!$D$18*MIN(1,MAX(0,(29-Pipeline!$E$18+1)/MAX(Pipeline!$F$18,1)))</f>
        <v>9428.625</v>
      </c>
      <c r="AF11" s="109" t="n">
        <f aca="false">Pipeline!$Q$18*Pipeline!$D$18*MIN(1,MAX(0,(30-Pipeline!$E$18+1)/MAX(Pipeline!$F$18,1)))</f>
        <v>9428.625</v>
      </c>
      <c r="AG11" s="109" t="n">
        <f aca="false">Pipeline!$Q$18*Pipeline!$D$18*MIN(1,MAX(0,(31-Pipeline!$E$18+1)/MAX(Pipeline!$F$18,1)))</f>
        <v>9428.625</v>
      </c>
      <c r="AH11" s="109" t="n">
        <f aca="false">Pipeline!$Q$18*Pipeline!$D$18*MIN(1,MAX(0,(32-Pipeline!$E$18+1)/MAX(Pipeline!$F$18,1)))</f>
        <v>9428.625</v>
      </c>
      <c r="AI11" s="109" t="n">
        <f aca="false">Pipeline!$Q$18*Pipeline!$D$18*MIN(1,MAX(0,(33-Pipeline!$E$18+1)/MAX(Pipeline!$F$18,1)))</f>
        <v>9428.625</v>
      </c>
      <c r="AJ11" s="109" t="n">
        <f aca="false">Pipeline!$Q$18*Pipeline!$D$18*MIN(1,MAX(0,(34-Pipeline!$E$18+1)/MAX(Pipeline!$F$18,1)))</f>
        <v>9428.625</v>
      </c>
      <c r="AK11" s="109" t="n">
        <f aca="false">Pipeline!$Q$18*Pipeline!$D$18*MIN(1,MAX(0,(35-Pipeline!$E$18+1)/MAX(Pipeline!$F$18,1)))</f>
        <v>9428.625</v>
      </c>
      <c r="AL11" s="109" t="n">
        <f aca="false">Pipeline!$Q$18*Pipeline!$D$18*MIN(1,MAX(0,(36-Pipeline!$E$18+1)/MAX(Pipeline!$F$18,1)))</f>
        <v>9428.625</v>
      </c>
      <c r="AM11" s="109" t="n">
        <f aca="false">Pipeline!$Q$18*Pipeline!$D$18*MIN(1,MAX(0,(37-Pipeline!$E$18+1)/MAX(Pipeline!$F$18,1)))</f>
        <v>9428.625</v>
      </c>
      <c r="AN11" s="109" t="n">
        <f aca="false">Pipeline!$Q$18*Pipeline!$D$18*MIN(1,MAX(0,(38-Pipeline!$E$18+1)/MAX(Pipeline!$F$18,1)))</f>
        <v>9428.625</v>
      </c>
      <c r="AO11" s="109" t="n">
        <f aca="false">Pipeline!$Q$18*Pipeline!$D$18*MIN(1,MAX(0,(39-Pipeline!$E$18+1)/MAX(Pipeline!$F$18,1)))</f>
        <v>9428.625</v>
      </c>
      <c r="AP11" s="109" t="n">
        <f aca="false">Pipeline!$Q$18*Pipeline!$D$18*MIN(1,MAX(0,(40-Pipeline!$E$18+1)/MAX(Pipeline!$F$18,1)))</f>
        <v>9428.625</v>
      </c>
      <c r="AQ11" s="109" t="n">
        <f aca="false">Pipeline!$Q$18*Pipeline!$D$18*MIN(1,MAX(0,(41-Pipeline!$E$18+1)/MAX(Pipeline!$F$18,1)))</f>
        <v>9428.625</v>
      </c>
      <c r="AR11" s="109" t="n">
        <f aca="false">Pipeline!$Q$18*Pipeline!$D$18*MIN(1,MAX(0,(42-Pipeline!$E$18+1)/MAX(Pipeline!$F$18,1)))</f>
        <v>9428.625</v>
      </c>
      <c r="AS11" s="109" t="n">
        <f aca="false">Pipeline!$Q$18*Pipeline!$D$18*MIN(1,MAX(0,(43-Pipeline!$E$18+1)/MAX(Pipeline!$F$18,1)))</f>
        <v>9428.625</v>
      </c>
      <c r="AT11" s="109" t="n">
        <f aca="false">Pipeline!$Q$18*Pipeline!$D$18*MIN(1,MAX(0,(44-Pipeline!$E$18+1)/MAX(Pipeline!$F$18,1)))</f>
        <v>9428.625</v>
      </c>
      <c r="AU11" s="109" t="n">
        <f aca="false">Pipeline!$Q$18*Pipeline!$D$18*MIN(1,MAX(0,(45-Pipeline!$E$18+1)/MAX(Pipeline!$F$18,1)))</f>
        <v>9428.625</v>
      </c>
      <c r="AV11" s="109" t="n">
        <f aca="false">Pipeline!$Q$18*Pipeline!$D$18*MIN(1,MAX(0,(46-Pipeline!$E$18+1)/MAX(Pipeline!$F$18,1)))</f>
        <v>9428.625</v>
      </c>
      <c r="AW11" s="109" t="n">
        <f aca="false">Pipeline!$Q$18*Pipeline!$D$18*MIN(1,MAX(0,(47-Pipeline!$E$18+1)/MAX(Pipeline!$F$18,1)))</f>
        <v>9428.625</v>
      </c>
      <c r="AX11" s="109" t="n">
        <f aca="false">Pipeline!$Q$18*Pipeline!$D$18*MIN(1,MAX(0,(48-Pipeline!$E$18+1)/MAX(Pipeline!$F$18,1)))</f>
        <v>9428.625</v>
      </c>
      <c r="AY11" s="109" t="n">
        <f aca="false">Pipeline!$Q$18*Pipeline!$D$18*MIN(1,MAX(0,(49-Pipeline!$E$18+1)/MAX(Pipeline!$F$18,1)))</f>
        <v>9428.625</v>
      </c>
      <c r="AZ11" s="109" t="n">
        <f aca="false">Pipeline!$Q$18*Pipeline!$D$18*MIN(1,MAX(0,(50-Pipeline!$E$18+1)/MAX(Pipeline!$F$18,1)))</f>
        <v>9428.625</v>
      </c>
      <c r="BA11" s="109" t="n">
        <f aca="false">Pipeline!$Q$18*Pipeline!$D$18*MIN(1,MAX(0,(51-Pipeline!$E$18+1)/MAX(Pipeline!$F$18,1)))</f>
        <v>9428.625</v>
      </c>
      <c r="BB11" s="109" t="n">
        <f aca="false">Pipeline!$Q$18*Pipeline!$D$18*MIN(1,MAX(0,(52-Pipeline!$E$18+1)/MAX(Pipeline!$F$18,1)))</f>
        <v>9428.625</v>
      </c>
      <c r="BC11" s="109" t="n">
        <f aca="false">Pipeline!$Q$18*Pipeline!$D$18*MIN(1,MAX(0,(53-Pipeline!$E$18+1)/MAX(Pipeline!$F$18,1)))</f>
        <v>9428.625</v>
      </c>
      <c r="BD11" s="109" t="n">
        <f aca="false">Pipeline!$Q$18*Pipeline!$D$18*MIN(1,MAX(0,(54-Pipeline!$E$18+1)/MAX(Pipeline!$F$18,1)))</f>
        <v>9428.625</v>
      </c>
      <c r="BE11" s="109" t="n">
        <f aca="false">Pipeline!$Q$18*Pipeline!$D$18*MIN(1,MAX(0,(55-Pipeline!$E$18+1)/MAX(Pipeline!$F$18,1)))</f>
        <v>9428.625</v>
      </c>
      <c r="BF11" s="109" t="n">
        <f aca="false">Pipeline!$Q$18*Pipeline!$D$18*MIN(1,MAX(0,(56-Pipeline!$E$18+1)/MAX(Pipeline!$F$18,1)))</f>
        <v>9428.625</v>
      </c>
      <c r="BG11" s="109" t="n">
        <f aca="false">Pipeline!$Q$18*Pipeline!$D$18*MIN(1,MAX(0,(57-Pipeline!$E$18+1)/MAX(Pipeline!$F$18,1)))</f>
        <v>9428.625</v>
      </c>
      <c r="BH11" s="109" t="n">
        <f aca="false">Pipeline!$Q$18*Pipeline!$D$18*MIN(1,MAX(0,(58-Pipeline!$E$18+1)/MAX(Pipeline!$F$18,1)))</f>
        <v>9428.625</v>
      </c>
      <c r="BI11" s="109" t="n">
        <f aca="false">Pipeline!$Q$18*Pipeline!$D$18*MIN(1,MAX(0,(59-Pipeline!$E$18+1)/MAX(Pipeline!$F$18,1)))</f>
        <v>9428.625</v>
      </c>
      <c r="BJ11" s="109" t="n">
        <f aca="false">Pipeline!$Q$18*Pipeline!$D$18*MIN(1,MAX(0,(60-Pipeline!$E$18+1)/MAX(Pipeline!$F$18,1)))</f>
        <v>9428.625</v>
      </c>
      <c r="BK11" s="109" t="n">
        <f aca="false">Pipeline!$Q$18*Pipeline!$D$18*MIN(1,MAX(0,(61-Pipeline!$E$18+1)/MAX(Pipeline!$F$18,1)))</f>
        <v>9428.625</v>
      </c>
      <c r="BL11" s="109" t="n">
        <f aca="false">Pipeline!$Q$18*Pipeline!$D$18*MIN(1,MAX(0,(62-Pipeline!$E$18+1)/MAX(Pipeline!$F$18,1)))</f>
        <v>9428.625</v>
      </c>
      <c r="BM11" s="109" t="n">
        <f aca="false">Pipeline!$Q$18*Pipeline!$D$18*MIN(1,MAX(0,(63-Pipeline!$E$18+1)/MAX(Pipeline!$F$18,1)))</f>
        <v>9428.625</v>
      </c>
      <c r="BN11" s="109" t="n">
        <f aca="false">Pipeline!$Q$18*Pipeline!$D$18*MIN(1,MAX(0,(64-Pipeline!$E$18+1)/MAX(Pipeline!$F$18,1)))</f>
        <v>9428.625</v>
      </c>
      <c r="BO11" s="109" t="n">
        <f aca="false">Pipeline!$Q$18*Pipeline!$D$18*MIN(1,MAX(0,(65-Pipeline!$E$18+1)/MAX(Pipeline!$F$18,1)))</f>
        <v>9428.625</v>
      </c>
      <c r="BP11" s="109" t="n">
        <f aca="false">Pipeline!$Q$18*Pipeline!$D$18*MIN(1,MAX(0,(66-Pipeline!$E$18+1)/MAX(Pipeline!$F$18,1)))</f>
        <v>9428.625</v>
      </c>
      <c r="BQ11" s="109" t="n">
        <f aca="false">Pipeline!$Q$18*Pipeline!$D$18*MIN(1,MAX(0,(67-Pipeline!$E$18+1)/MAX(Pipeline!$F$18,1)))</f>
        <v>9428.625</v>
      </c>
      <c r="BR11" s="109" t="n">
        <f aca="false">Pipeline!$Q$18*Pipeline!$D$18*MIN(1,MAX(0,(68-Pipeline!$E$18+1)/MAX(Pipeline!$F$18,1)))</f>
        <v>9428.625</v>
      </c>
      <c r="BS11" s="109" t="n">
        <f aca="false">Pipeline!$Q$18*Pipeline!$D$18*MIN(1,MAX(0,(69-Pipeline!$E$18+1)/MAX(Pipeline!$F$18,1)))</f>
        <v>9428.625</v>
      </c>
      <c r="BT11" s="109" t="n">
        <f aca="false">Pipeline!$Q$18*Pipeline!$D$18*MIN(1,MAX(0,(70-Pipeline!$E$18+1)/MAX(Pipeline!$F$18,1)))</f>
        <v>9428.625</v>
      </c>
      <c r="BU11" s="109" t="n">
        <f aca="false">Pipeline!$Q$18*Pipeline!$D$18*MIN(1,MAX(0,(71-Pipeline!$E$18+1)/MAX(Pipeline!$F$18,1)))</f>
        <v>9428.625</v>
      </c>
      <c r="BV11" s="109" t="n">
        <f aca="false">Pipeline!$Q$18*Pipeline!$D$18*MIN(1,MAX(0,(72-Pipeline!$E$18+1)/MAX(Pipeline!$F$18,1)))</f>
        <v>9428.625</v>
      </c>
      <c r="BW11" s="109" t="n">
        <f aca="false">Pipeline!$Q$18*Pipeline!$D$18*MIN(1,MAX(0,(73-Pipeline!$E$18+1)/MAX(Pipeline!$F$18,1)))</f>
        <v>9428.625</v>
      </c>
      <c r="BX11" s="109" t="n">
        <f aca="false">Pipeline!$Q$18*Pipeline!$D$18*MIN(1,MAX(0,(74-Pipeline!$E$18+1)/MAX(Pipeline!$F$18,1)))</f>
        <v>9428.625</v>
      </c>
      <c r="BY11" s="109" t="n">
        <f aca="false">Pipeline!$Q$18*Pipeline!$D$18*MIN(1,MAX(0,(75-Pipeline!$E$18+1)/MAX(Pipeline!$F$18,1)))</f>
        <v>9428.625</v>
      </c>
      <c r="BZ11" s="109" t="n">
        <f aca="false">Pipeline!$Q$18*Pipeline!$D$18*MIN(1,MAX(0,(76-Pipeline!$E$18+1)/MAX(Pipeline!$F$18,1)))</f>
        <v>9428.625</v>
      </c>
      <c r="CA11" s="109" t="n">
        <f aca="false">Pipeline!$Q$18*Pipeline!$D$18*MIN(1,MAX(0,(77-Pipeline!$E$18+1)/MAX(Pipeline!$F$18,1)))</f>
        <v>9428.625</v>
      </c>
      <c r="CB11" s="109" t="n">
        <f aca="false">Pipeline!$Q$18*Pipeline!$D$18*MIN(1,MAX(0,(78-Pipeline!$E$18+1)/MAX(Pipeline!$F$18,1)))</f>
        <v>9428.625</v>
      </c>
      <c r="CC11" s="109" t="n">
        <f aca="false">Pipeline!$Q$18*Pipeline!$D$18*MIN(1,MAX(0,(79-Pipeline!$E$18+1)/MAX(Pipeline!$F$18,1)))</f>
        <v>9428.625</v>
      </c>
      <c r="CD11" s="109" t="n">
        <f aca="false">Pipeline!$Q$18*Pipeline!$D$18*MIN(1,MAX(0,(80-Pipeline!$E$18+1)/MAX(Pipeline!$F$18,1)))</f>
        <v>9428.625</v>
      </c>
      <c r="CE11" s="109" t="n">
        <f aca="false">Pipeline!$Q$18*Pipeline!$D$18*MIN(1,MAX(0,(81-Pipeline!$E$18+1)/MAX(Pipeline!$F$18,1)))</f>
        <v>9428.625</v>
      </c>
      <c r="CF11" s="109" t="n">
        <f aca="false">Pipeline!$Q$18*Pipeline!$D$18*MIN(1,MAX(0,(82-Pipeline!$E$18+1)/MAX(Pipeline!$F$18,1)))</f>
        <v>9428.625</v>
      </c>
      <c r="CG11" s="109" t="n">
        <f aca="false">Pipeline!$Q$18*Pipeline!$D$18*MIN(1,MAX(0,(83-Pipeline!$E$18+1)/MAX(Pipeline!$F$18,1)))</f>
        <v>9428.625</v>
      </c>
      <c r="CH11" s="109" t="n">
        <f aca="false">Pipeline!$Q$18*Pipeline!$D$18*MIN(1,MAX(0,(84-Pipeline!$E$18+1)/MAX(Pipeline!$F$18,1)))</f>
        <v>9428.625</v>
      </c>
    </row>
    <row r="12" customFormat="false" ht="13.5" hidden="false" customHeight="true" outlineLevel="0" collapsed="false">
      <c r="A12" s="6" t="s">
        <v>520</v>
      </c>
      <c r="C12" s="109" t="n">
        <f aca="false">Pipeline!$Q$19*Pipeline!$D$19*MIN(1,MAX(0,(1-Pipeline!$E$19+1)/MAX(Pipeline!$F$19,1)))</f>
        <v>0</v>
      </c>
      <c r="D12" s="109" t="n">
        <f aca="false">Pipeline!$Q$19*Pipeline!$D$19*MIN(1,MAX(0,(2-Pipeline!$E$19+1)/MAX(Pipeline!$F$19,1)))</f>
        <v>0</v>
      </c>
      <c r="E12" s="109" t="n">
        <f aca="false">Pipeline!$Q$19*Pipeline!$D$19*MIN(1,MAX(0,(3-Pipeline!$E$19+1)/MAX(Pipeline!$F$19,1)))</f>
        <v>0</v>
      </c>
      <c r="F12" s="109" t="n">
        <f aca="false">Pipeline!$Q$19*Pipeline!$D$19*MIN(1,MAX(0,(4-Pipeline!$E$19+1)/MAX(Pipeline!$F$19,1)))</f>
        <v>0</v>
      </c>
      <c r="G12" s="109" t="n">
        <f aca="false">Pipeline!$Q$19*Pipeline!$D$19*MIN(1,MAX(0,(5-Pipeline!$E$19+1)/MAX(Pipeline!$F$19,1)))</f>
        <v>0</v>
      </c>
      <c r="H12" s="109" t="n">
        <f aca="false">Pipeline!$Q$19*Pipeline!$D$19*MIN(1,MAX(0,(6-Pipeline!$E$19+1)/MAX(Pipeline!$F$19,1)))</f>
        <v>717.75</v>
      </c>
      <c r="I12" s="109" t="n">
        <f aca="false">Pipeline!$Q$19*Pipeline!$D$19*MIN(1,MAX(0,(7-Pipeline!$E$19+1)/MAX(Pipeline!$F$19,1)))</f>
        <v>1435.5</v>
      </c>
      <c r="J12" s="109" t="n">
        <f aca="false">Pipeline!$Q$19*Pipeline!$D$19*MIN(1,MAX(0,(8-Pipeline!$E$19+1)/MAX(Pipeline!$F$19,1)))</f>
        <v>2153.25</v>
      </c>
      <c r="K12" s="109" t="n">
        <f aca="false">Pipeline!$Q$19*Pipeline!$D$19*MIN(1,MAX(0,(9-Pipeline!$E$19+1)/MAX(Pipeline!$F$19,1)))</f>
        <v>2871</v>
      </c>
      <c r="L12" s="109" t="n">
        <f aca="false">Pipeline!$Q$19*Pipeline!$D$19*MIN(1,MAX(0,(10-Pipeline!$E$19+1)/MAX(Pipeline!$F$19,1)))</f>
        <v>3588.75</v>
      </c>
      <c r="M12" s="109" t="n">
        <f aca="false">Pipeline!$Q$19*Pipeline!$D$19*MIN(1,MAX(0,(11-Pipeline!$E$19+1)/MAX(Pipeline!$F$19,1)))</f>
        <v>4306.5</v>
      </c>
      <c r="N12" s="109" t="n">
        <f aca="false">Pipeline!$Q$19*Pipeline!$D$19*MIN(1,MAX(0,(12-Pipeline!$E$19+1)/MAX(Pipeline!$F$19,1)))</f>
        <v>5024.25</v>
      </c>
      <c r="O12" s="109" t="n">
        <f aca="false">Pipeline!$Q$19*Pipeline!$D$19*MIN(1,MAX(0,(13-Pipeline!$E$19+1)/MAX(Pipeline!$F$19,1)))</f>
        <v>5742</v>
      </c>
      <c r="P12" s="109" t="n">
        <f aca="false">Pipeline!$Q$19*Pipeline!$D$19*MIN(1,MAX(0,(14-Pipeline!$E$19+1)/MAX(Pipeline!$F$19,1)))</f>
        <v>5742</v>
      </c>
      <c r="Q12" s="109" t="n">
        <f aca="false">Pipeline!$Q$19*Pipeline!$D$19*MIN(1,MAX(0,(15-Pipeline!$E$19+1)/MAX(Pipeline!$F$19,1)))</f>
        <v>5742</v>
      </c>
      <c r="R12" s="109" t="n">
        <f aca="false">Pipeline!$Q$19*Pipeline!$D$19*MIN(1,MAX(0,(16-Pipeline!$E$19+1)/MAX(Pipeline!$F$19,1)))</f>
        <v>5742</v>
      </c>
      <c r="S12" s="109" t="n">
        <f aca="false">Pipeline!$Q$19*Pipeline!$D$19*MIN(1,MAX(0,(17-Pipeline!$E$19+1)/MAX(Pipeline!$F$19,1)))</f>
        <v>5742</v>
      </c>
      <c r="T12" s="109" t="n">
        <f aca="false">Pipeline!$Q$19*Pipeline!$D$19*MIN(1,MAX(0,(18-Pipeline!$E$19+1)/MAX(Pipeline!$F$19,1)))</f>
        <v>5742</v>
      </c>
      <c r="U12" s="109" t="n">
        <f aca="false">Pipeline!$Q$19*Pipeline!$D$19*MIN(1,MAX(0,(19-Pipeline!$E$19+1)/MAX(Pipeline!$F$19,1)))</f>
        <v>5742</v>
      </c>
      <c r="V12" s="109" t="n">
        <f aca="false">Pipeline!$Q$19*Pipeline!$D$19*MIN(1,MAX(0,(20-Pipeline!$E$19+1)/MAX(Pipeline!$F$19,1)))</f>
        <v>5742</v>
      </c>
      <c r="W12" s="109" t="n">
        <f aca="false">Pipeline!$Q$19*Pipeline!$D$19*MIN(1,MAX(0,(21-Pipeline!$E$19+1)/MAX(Pipeline!$F$19,1)))</f>
        <v>5742</v>
      </c>
      <c r="X12" s="109" t="n">
        <f aca="false">Pipeline!$Q$19*Pipeline!$D$19*MIN(1,MAX(0,(22-Pipeline!$E$19+1)/MAX(Pipeline!$F$19,1)))</f>
        <v>5742</v>
      </c>
      <c r="Y12" s="109" t="n">
        <f aca="false">Pipeline!$Q$19*Pipeline!$D$19*MIN(1,MAX(0,(23-Pipeline!$E$19+1)/MAX(Pipeline!$F$19,1)))</f>
        <v>5742</v>
      </c>
      <c r="Z12" s="109" t="n">
        <f aca="false">Pipeline!$Q$19*Pipeline!$D$19*MIN(1,MAX(0,(24-Pipeline!$E$19+1)/MAX(Pipeline!$F$19,1)))</f>
        <v>5742</v>
      </c>
      <c r="AA12" s="109" t="n">
        <f aca="false">Pipeline!$Q$19*Pipeline!$D$19*MIN(1,MAX(0,(25-Pipeline!$E$19+1)/MAX(Pipeline!$F$19,1)))</f>
        <v>5742</v>
      </c>
      <c r="AB12" s="109" t="n">
        <f aca="false">Pipeline!$Q$19*Pipeline!$D$19*MIN(1,MAX(0,(26-Pipeline!$E$19+1)/MAX(Pipeline!$F$19,1)))</f>
        <v>5742</v>
      </c>
      <c r="AC12" s="109" t="n">
        <f aca="false">Pipeline!$Q$19*Pipeline!$D$19*MIN(1,MAX(0,(27-Pipeline!$E$19+1)/MAX(Pipeline!$F$19,1)))</f>
        <v>5742</v>
      </c>
      <c r="AD12" s="109" t="n">
        <f aca="false">Pipeline!$Q$19*Pipeline!$D$19*MIN(1,MAX(0,(28-Pipeline!$E$19+1)/MAX(Pipeline!$F$19,1)))</f>
        <v>5742</v>
      </c>
      <c r="AE12" s="109" t="n">
        <f aca="false">Pipeline!$Q$19*Pipeline!$D$19*MIN(1,MAX(0,(29-Pipeline!$E$19+1)/MAX(Pipeline!$F$19,1)))</f>
        <v>5742</v>
      </c>
      <c r="AF12" s="109" t="n">
        <f aca="false">Pipeline!$Q$19*Pipeline!$D$19*MIN(1,MAX(0,(30-Pipeline!$E$19+1)/MAX(Pipeline!$F$19,1)))</f>
        <v>5742</v>
      </c>
      <c r="AG12" s="109" t="n">
        <f aca="false">Pipeline!$Q$19*Pipeline!$D$19*MIN(1,MAX(0,(31-Pipeline!$E$19+1)/MAX(Pipeline!$F$19,1)))</f>
        <v>5742</v>
      </c>
      <c r="AH12" s="109" t="n">
        <f aca="false">Pipeline!$Q$19*Pipeline!$D$19*MIN(1,MAX(0,(32-Pipeline!$E$19+1)/MAX(Pipeline!$F$19,1)))</f>
        <v>5742</v>
      </c>
      <c r="AI12" s="109" t="n">
        <f aca="false">Pipeline!$Q$19*Pipeline!$D$19*MIN(1,MAX(0,(33-Pipeline!$E$19+1)/MAX(Pipeline!$F$19,1)))</f>
        <v>5742</v>
      </c>
      <c r="AJ12" s="109" t="n">
        <f aca="false">Pipeline!$Q$19*Pipeline!$D$19*MIN(1,MAX(0,(34-Pipeline!$E$19+1)/MAX(Pipeline!$F$19,1)))</f>
        <v>5742</v>
      </c>
      <c r="AK12" s="109" t="n">
        <f aca="false">Pipeline!$Q$19*Pipeline!$D$19*MIN(1,MAX(0,(35-Pipeline!$E$19+1)/MAX(Pipeline!$F$19,1)))</f>
        <v>5742</v>
      </c>
      <c r="AL12" s="109" t="n">
        <f aca="false">Pipeline!$Q$19*Pipeline!$D$19*MIN(1,MAX(0,(36-Pipeline!$E$19+1)/MAX(Pipeline!$F$19,1)))</f>
        <v>5742</v>
      </c>
      <c r="AM12" s="109" t="n">
        <f aca="false">Pipeline!$Q$19*Pipeline!$D$19*MIN(1,MAX(0,(37-Pipeline!$E$19+1)/MAX(Pipeline!$F$19,1)))</f>
        <v>5742</v>
      </c>
      <c r="AN12" s="109" t="n">
        <f aca="false">Pipeline!$Q$19*Pipeline!$D$19*MIN(1,MAX(0,(38-Pipeline!$E$19+1)/MAX(Pipeline!$F$19,1)))</f>
        <v>5742</v>
      </c>
      <c r="AO12" s="109" t="n">
        <f aca="false">Pipeline!$Q$19*Pipeline!$D$19*MIN(1,MAX(0,(39-Pipeline!$E$19+1)/MAX(Pipeline!$F$19,1)))</f>
        <v>5742</v>
      </c>
      <c r="AP12" s="109" t="n">
        <f aca="false">Pipeline!$Q$19*Pipeline!$D$19*MIN(1,MAX(0,(40-Pipeline!$E$19+1)/MAX(Pipeline!$F$19,1)))</f>
        <v>5742</v>
      </c>
      <c r="AQ12" s="109" t="n">
        <f aca="false">Pipeline!$Q$19*Pipeline!$D$19*MIN(1,MAX(0,(41-Pipeline!$E$19+1)/MAX(Pipeline!$F$19,1)))</f>
        <v>5742</v>
      </c>
      <c r="AR12" s="109" t="n">
        <f aca="false">Pipeline!$Q$19*Pipeline!$D$19*MIN(1,MAX(0,(42-Pipeline!$E$19+1)/MAX(Pipeline!$F$19,1)))</f>
        <v>5742</v>
      </c>
      <c r="AS12" s="109" t="n">
        <f aca="false">Pipeline!$Q$19*Pipeline!$D$19*MIN(1,MAX(0,(43-Pipeline!$E$19+1)/MAX(Pipeline!$F$19,1)))</f>
        <v>5742</v>
      </c>
      <c r="AT12" s="109" t="n">
        <f aca="false">Pipeline!$Q$19*Pipeline!$D$19*MIN(1,MAX(0,(44-Pipeline!$E$19+1)/MAX(Pipeline!$F$19,1)))</f>
        <v>5742</v>
      </c>
      <c r="AU12" s="109" t="n">
        <f aca="false">Pipeline!$Q$19*Pipeline!$D$19*MIN(1,MAX(0,(45-Pipeline!$E$19+1)/MAX(Pipeline!$F$19,1)))</f>
        <v>5742</v>
      </c>
      <c r="AV12" s="109" t="n">
        <f aca="false">Pipeline!$Q$19*Pipeline!$D$19*MIN(1,MAX(0,(46-Pipeline!$E$19+1)/MAX(Pipeline!$F$19,1)))</f>
        <v>5742</v>
      </c>
      <c r="AW12" s="109" t="n">
        <f aca="false">Pipeline!$Q$19*Pipeline!$D$19*MIN(1,MAX(0,(47-Pipeline!$E$19+1)/MAX(Pipeline!$F$19,1)))</f>
        <v>5742</v>
      </c>
      <c r="AX12" s="109" t="n">
        <f aca="false">Pipeline!$Q$19*Pipeline!$D$19*MIN(1,MAX(0,(48-Pipeline!$E$19+1)/MAX(Pipeline!$F$19,1)))</f>
        <v>5742</v>
      </c>
      <c r="AY12" s="109" t="n">
        <f aca="false">Pipeline!$Q$19*Pipeline!$D$19*MIN(1,MAX(0,(49-Pipeline!$E$19+1)/MAX(Pipeline!$F$19,1)))</f>
        <v>5742</v>
      </c>
      <c r="AZ12" s="109" t="n">
        <f aca="false">Pipeline!$Q$19*Pipeline!$D$19*MIN(1,MAX(0,(50-Pipeline!$E$19+1)/MAX(Pipeline!$F$19,1)))</f>
        <v>5742</v>
      </c>
      <c r="BA12" s="109" t="n">
        <f aca="false">Pipeline!$Q$19*Pipeline!$D$19*MIN(1,MAX(0,(51-Pipeline!$E$19+1)/MAX(Pipeline!$F$19,1)))</f>
        <v>5742</v>
      </c>
      <c r="BB12" s="109" t="n">
        <f aca="false">Pipeline!$Q$19*Pipeline!$D$19*MIN(1,MAX(0,(52-Pipeline!$E$19+1)/MAX(Pipeline!$F$19,1)))</f>
        <v>5742</v>
      </c>
      <c r="BC12" s="109" t="n">
        <f aca="false">Pipeline!$Q$19*Pipeline!$D$19*MIN(1,MAX(0,(53-Pipeline!$E$19+1)/MAX(Pipeline!$F$19,1)))</f>
        <v>5742</v>
      </c>
      <c r="BD12" s="109" t="n">
        <f aca="false">Pipeline!$Q$19*Pipeline!$D$19*MIN(1,MAX(0,(54-Pipeline!$E$19+1)/MAX(Pipeline!$F$19,1)))</f>
        <v>5742</v>
      </c>
      <c r="BE12" s="109" t="n">
        <f aca="false">Pipeline!$Q$19*Pipeline!$D$19*MIN(1,MAX(0,(55-Pipeline!$E$19+1)/MAX(Pipeline!$F$19,1)))</f>
        <v>5742</v>
      </c>
      <c r="BF12" s="109" t="n">
        <f aca="false">Pipeline!$Q$19*Pipeline!$D$19*MIN(1,MAX(0,(56-Pipeline!$E$19+1)/MAX(Pipeline!$F$19,1)))</f>
        <v>5742</v>
      </c>
      <c r="BG12" s="109" t="n">
        <f aca="false">Pipeline!$Q$19*Pipeline!$D$19*MIN(1,MAX(0,(57-Pipeline!$E$19+1)/MAX(Pipeline!$F$19,1)))</f>
        <v>5742</v>
      </c>
      <c r="BH12" s="109" t="n">
        <f aca="false">Pipeline!$Q$19*Pipeline!$D$19*MIN(1,MAX(0,(58-Pipeline!$E$19+1)/MAX(Pipeline!$F$19,1)))</f>
        <v>5742</v>
      </c>
      <c r="BI12" s="109" t="n">
        <f aca="false">Pipeline!$Q$19*Pipeline!$D$19*MIN(1,MAX(0,(59-Pipeline!$E$19+1)/MAX(Pipeline!$F$19,1)))</f>
        <v>5742</v>
      </c>
      <c r="BJ12" s="109" t="n">
        <f aca="false">Pipeline!$Q$19*Pipeline!$D$19*MIN(1,MAX(0,(60-Pipeline!$E$19+1)/MAX(Pipeline!$F$19,1)))</f>
        <v>5742</v>
      </c>
      <c r="BK12" s="109" t="n">
        <f aca="false">Pipeline!$Q$19*Pipeline!$D$19*MIN(1,MAX(0,(61-Pipeline!$E$19+1)/MAX(Pipeline!$F$19,1)))</f>
        <v>5742</v>
      </c>
      <c r="BL12" s="109" t="n">
        <f aca="false">Pipeline!$Q$19*Pipeline!$D$19*MIN(1,MAX(0,(62-Pipeline!$E$19+1)/MAX(Pipeline!$F$19,1)))</f>
        <v>5742</v>
      </c>
      <c r="BM12" s="109" t="n">
        <f aca="false">Pipeline!$Q$19*Pipeline!$D$19*MIN(1,MAX(0,(63-Pipeline!$E$19+1)/MAX(Pipeline!$F$19,1)))</f>
        <v>5742</v>
      </c>
      <c r="BN12" s="109" t="n">
        <f aca="false">Pipeline!$Q$19*Pipeline!$D$19*MIN(1,MAX(0,(64-Pipeline!$E$19+1)/MAX(Pipeline!$F$19,1)))</f>
        <v>5742</v>
      </c>
      <c r="BO12" s="109" t="n">
        <f aca="false">Pipeline!$Q$19*Pipeline!$D$19*MIN(1,MAX(0,(65-Pipeline!$E$19+1)/MAX(Pipeline!$F$19,1)))</f>
        <v>5742</v>
      </c>
      <c r="BP12" s="109" t="n">
        <f aca="false">Pipeline!$Q$19*Pipeline!$D$19*MIN(1,MAX(0,(66-Pipeline!$E$19+1)/MAX(Pipeline!$F$19,1)))</f>
        <v>5742</v>
      </c>
      <c r="BQ12" s="109" t="n">
        <f aca="false">Pipeline!$Q$19*Pipeline!$D$19*MIN(1,MAX(0,(67-Pipeline!$E$19+1)/MAX(Pipeline!$F$19,1)))</f>
        <v>5742</v>
      </c>
      <c r="BR12" s="109" t="n">
        <f aca="false">Pipeline!$Q$19*Pipeline!$D$19*MIN(1,MAX(0,(68-Pipeline!$E$19+1)/MAX(Pipeline!$F$19,1)))</f>
        <v>5742</v>
      </c>
      <c r="BS12" s="109" t="n">
        <f aca="false">Pipeline!$Q$19*Pipeline!$D$19*MIN(1,MAX(0,(69-Pipeline!$E$19+1)/MAX(Pipeline!$F$19,1)))</f>
        <v>5742</v>
      </c>
      <c r="BT12" s="109" t="n">
        <f aca="false">Pipeline!$Q$19*Pipeline!$D$19*MIN(1,MAX(0,(70-Pipeline!$E$19+1)/MAX(Pipeline!$F$19,1)))</f>
        <v>5742</v>
      </c>
      <c r="BU12" s="109" t="n">
        <f aca="false">Pipeline!$Q$19*Pipeline!$D$19*MIN(1,MAX(0,(71-Pipeline!$E$19+1)/MAX(Pipeline!$F$19,1)))</f>
        <v>5742</v>
      </c>
      <c r="BV12" s="109" t="n">
        <f aca="false">Pipeline!$Q$19*Pipeline!$D$19*MIN(1,MAX(0,(72-Pipeline!$E$19+1)/MAX(Pipeline!$F$19,1)))</f>
        <v>5742</v>
      </c>
      <c r="BW12" s="109" t="n">
        <f aca="false">Pipeline!$Q$19*Pipeline!$D$19*MIN(1,MAX(0,(73-Pipeline!$E$19+1)/MAX(Pipeline!$F$19,1)))</f>
        <v>5742</v>
      </c>
      <c r="BX12" s="109" t="n">
        <f aca="false">Pipeline!$Q$19*Pipeline!$D$19*MIN(1,MAX(0,(74-Pipeline!$E$19+1)/MAX(Pipeline!$F$19,1)))</f>
        <v>5742</v>
      </c>
      <c r="BY12" s="109" t="n">
        <f aca="false">Pipeline!$Q$19*Pipeline!$D$19*MIN(1,MAX(0,(75-Pipeline!$E$19+1)/MAX(Pipeline!$F$19,1)))</f>
        <v>5742</v>
      </c>
      <c r="BZ12" s="109" t="n">
        <f aca="false">Pipeline!$Q$19*Pipeline!$D$19*MIN(1,MAX(0,(76-Pipeline!$E$19+1)/MAX(Pipeline!$F$19,1)))</f>
        <v>5742</v>
      </c>
      <c r="CA12" s="109" t="n">
        <f aca="false">Pipeline!$Q$19*Pipeline!$D$19*MIN(1,MAX(0,(77-Pipeline!$E$19+1)/MAX(Pipeline!$F$19,1)))</f>
        <v>5742</v>
      </c>
      <c r="CB12" s="109" t="n">
        <f aca="false">Pipeline!$Q$19*Pipeline!$D$19*MIN(1,MAX(0,(78-Pipeline!$E$19+1)/MAX(Pipeline!$F$19,1)))</f>
        <v>5742</v>
      </c>
      <c r="CC12" s="109" t="n">
        <f aca="false">Pipeline!$Q$19*Pipeline!$D$19*MIN(1,MAX(0,(79-Pipeline!$E$19+1)/MAX(Pipeline!$F$19,1)))</f>
        <v>5742</v>
      </c>
      <c r="CD12" s="109" t="n">
        <f aca="false">Pipeline!$Q$19*Pipeline!$D$19*MIN(1,MAX(0,(80-Pipeline!$E$19+1)/MAX(Pipeline!$F$19,1)))</f>
        <v>5742</v>
      </c>
      <c r="CE12" s="109" t="n">
        <f aca="false">Pipeline!$Q$19*Pipeline!$D$19*MIN(1,MAX(0,(81-Pipeline!$E$19+1)/MAX(Pipeline!$F$19,1)))</f>
        <v>5742</v>
      </c>
      <c r="CF12" s="109" t="n">
        <f aca="false">Pipeline!$Q$19*Pipeline!$D$19*MIN(1,MAX(0,(82-Pipeline!$E$19+1)/MAX(Pipeline!$F$19,1)))</f>
        <v>5742</v>
      </c>
      <c r="CG12" s="109" t="n">
        <f aca="false">Pipeline!$Q$19*Pipeline!$D$19*MIN(1,MAX(0,(83-Pipeline!$E$19+1)/MAX(Pipeline!$F$19,1)))</f>
        <v>5742</v>
      </c>
      <c r="CH12" s="109" t="n">
        <f aca="false">Pipeline!$Q$19*Pipeline!$D$19*MIN(1,MAX(0,(84-Pipeline!$E$19+1)/MAX(Pipeline!$F$19,1)))</f>
        <v>5742</v>
      </c>
    </row>
    <row r="13" customFormat="false" ht="13.5" hidden="false" customHeight="true" outlineLevel="0" collapsed="false">
      <c r="A13" s="6" t="s">
        <v>521</v>
      </c>
      <c r="C13" s="109" t="n">
        <f aca="false">Pipeline!$Q$20*Pipeline!$D$20*MIN(1,MAX(0,(1-Pipeline!$E$20+1)/MAX(Pipeline!$F$20,1)))</f>
        <v>0</v>
      </c>
      <c r="D13" s="109" t="n">
        <f aca="false">Pipeline!$Q$20*Pipeline!$D$20*MIN(1,MAX(0,(2-Pipeline!$E$20+1)/MAX(Pipeline!$F$20,1)))</f>
        <v>0</v>
      </c>
      <c r="E13" s="109" t="n">
        <f aca="false">Pipeline!$Q$20*Pipeline!$D$20*MIN(1,MAX(0,(3-Pipeline!$E$20+1)/MAX(Pipeline!$F$20,1)))</f>
        <v>0</v>
      </c>
      <c r="F13" s="109" t="n">
        <f aca="false">Pipeline!$Q$20*Pipeline!$D$20*MIN(1,MAX(0,(4-Pipeline!$E$20+1)/MAX(Pipeline!$F$20,1)))</f>
        <v>0</v>
      </c>
      <c r="G13" s="109" t="n">
        <f aca="false">Pipeline!$Q$20*Pipeline!$D$20*MIN(1,MAX(0,(5-Pipeline!$E$20+1)/MAX(Pipeline!$F$20,1)))</f>
        <v>0</v>
      </c>
      <c r="H13" s="109" t="n">
        <f aca="false">Pipeline!$Q$20*Pipeline!$D$20*MIN(1,MAX(0,(6-Pipeline!$E$20+1)/MAX(Pipeline!$F$20,1)))</f>
        <v>0</v>
      </c>
      <c r="I13" s="109" t="n">
        <f aca="false">Pipeline!$Q$20*Pipeline!$D$20*MIN(1,MAX(0,(7-Pipeline!$E$20+1)/MAX(Pipeline!$F$20,1)))</f>
        <v>0</v>
      </c>
      <c r="J13" s="109" t="n">
        <f aca="false">Pipeline!$Q$20*Pipeline!$D$20*MIN(1,MAX(0,(8-Pipeline!$E$20+1)/MAX(Pipeline!$F$20,1)))</f>
        <v>0</v>
      </c>
      <c r="K13" s="109" t="n">
        <f aca="false">Pipeline!$Q$20*Pipeline!$D$20*MIN(1,MAX(0,(9-Pipeline!$E$20+1)/MAX(Pipeline!$F$20,1)))</f>
        <v>0</v>
      </c>
      <c r="L13" s="109" t="n">
        <f aca="false">Pipeline!$Q$20*Pipeline!$D$20*MIN(1,MAX(0,(10-Pipeline!$E$20+1)/MAX(Pipeline!$F$20,1)))</f>
        <v>0</v>
      </c>
      <c r="M13" s="109" t="n">
        <f aca="false">Pipeline!$Q$20*Pipeline!$D$20*MIN(1,MAX(0,(11-Pipeline!$E$20+1)/MAX(Pipeline!$F$20,1)))</f>
        <v>0</v>
      </c>
      <c r="N13" s="109" t="n">
        <f aca="false">Pipeline!$Q$20*Pipeline!$D$20*MIN(1,MAX(0,(12-Pipeline!$E$20+1)/MAX(Pipeline!$F$20,1)))</f>
        <v>978.75</v>
      </c>
      <c r="O13" s="109" t="n">
        <f aca="false">Pipeline!$Q$20*Pipeline!$D$20*MIN(1,MAX(0,(13-Pipeline!$E$20+1)/MAX(Pipeline!$F$20,1)))</f>
        <v>1957.5</v>
      </c>
      <c r="P13" s="109" t="n">
        <f aca="false">Pipeline!$Q$20*Pipeline!$D$20*MIN(1,MAX(0,(14-Pipeline!$E$20+1)/MAX(Pipeline!$F$20,1)))</f>
        <v>2936.25</v>
      </c>
      <c r="Q13" s="109" t="n">
        <f aca="false">Pipeline!$Q$20*Pipeline!$D$20*MIN(1,MAX(0,(15-Pipeline!$E$20+1)/MAX(Pipeline!$F$20,1)))</f>
        <v>3915</v>
      </c>
      <c r="R13" s="109" t="n">
        <f aca="false">Pipeline!$Q$20*Pipeline!$D$20*MIN(1,MAX(0,(16-Pipeline!$E$20+1)/MAX(Pipeline!$F$20,1)))</f>
        <v>4893.75</v>
      </c>
      <c r="S13" s="109" t="n">
        <f aca="false">Pipeline!$Q$20*Pipeline!$D$20*MIN(1,MAX(0,(17-Pipeline!$E$20+1)/MAX(Pipeline!$F$20,1)))</f>
        <v>5872.5</v>
      </c>
      <c r="T13" s="109" t="n">
        <f aca="false">Pipeline!$Q$20*Pipeline!$D$20*MIN(1,MAX(0,(18-Pipeline!$E$20+1)/MAX(Pipeline!$F$20,1)))</f>
        <v>6851.25</v>
      </c>
      <c r="U13" s="109" t="n">
        <f aca="false">Pipeline!$Q$20*Pipeline!$D$20*MIN(1,MAX(0,(19-Pipeline!$E$20+1)/MAX(Pipeline!$F$20,1)))</f>
        <v>7830</v>
      </c>
      <c r="V13" s="109" t="n">
        <f aca="false">Pipeline!$Q$20*Pipeline!$D$20*MIN(1,MAX(0,(20-Pipeline!$E$20+1)/MAX(Pipeline!$F$20,1)))</f>
        <v>8808.75</v>
      </c>
      <c r="W13" s="109" t="n">
        <f aca="false">Pipeline!$Q$20*Pipeline!$D$20*MIN(1,MAX(0,(21-Pipeline!$E$20+1)/MAX(Pipeline!$F$20,1)))</f>
        <v>9787.5</v>
      </c>
      <c r="X13" s="109" t="n">
        <f aca="false">Pipeline!$Q$20*Pipeline!$D$20*MIN(1,MAX(0,(22-Pipeline!$E$20+1)/MAX(Pipeline!$F$20,1)))</f>
        <v>9787.5</v>
      </c>
      <c r="Y13" s="109" t="n">
        <f aca="false">Pipeline!$Q$20*Pipeline!$D$20*MIN(1,MAX(0,(23-Pipeline!$E$20+1)/MAX(Pipeline!$F$20,1)))</f>
        <v>9787.5</v>
      </c>
      <c r="Z13" s="109" t="n">
        <f aca="false">Pipeline!$Q$20*Pipeline!$D$20*MIN(1,MAX(0,(24-Pipeline!$E$20+1)/MAX(Pipeline!$F$20,1)))</f>
        <v>9787.5</v>
      </c>
      <c r="AA13" s="109" t="n">
        <f aca="false">Pipeline!$Q$20*Pipeline!$D$20*MIN(1,MAX(0,(25-Pipeline!$E$20+1)/MAX(Pipeline!$F$20,1)))</f>
        <v>9787.5</v>
      </c>
      <c r="AB13" s="109" t="n">
        <f aca="false">Pipeline!$Q$20*Pipeline!$D$20*MIN(1,MAX(0,(26-Pipeline!$E$20+1)/MAX(Pipeline!$F$20,1)))</f>
        <v>9787.5</v>
      </c>
      <c r="AC13" s="109" t="n">
        <f aca="false">Pipeline!$Q$20*Pipeline!$D$20*MIN(1,MAX(0,(27-Pipeline!$E$20+1)/MAX(Pipeline!$F$20,1)))</f>
        <v>9787.5</v>
      </c>
      <c r="AD13" s="109" t="n">
        <f aca="false">Pipeline!$Q$20*Pipeline!$D$20*MIN(1,MAX(0,(28-Pipeline!$E$20+1)/MAX(Pipeline!$F$20,1)))</f>
        <v>9787.5</v>
      </c>
      <c r="AE13" s="109" t="n">
        <f aca="false">Pipeline!$Q$20*Pipeline!$D$20*MIN(1,MAX(0,(29-Pipeline!$E$20+1)/MAX(Pipeline!$F$20,1)))</f>
        <v>9787.5</v>
      </c>
      <c r="AF13" s="109" t="n">
        <f aca="false">Pipeline!$Q$20*Pipeline!$D$20*MIN(1,MAX(0,(30-Pipeline!$E$20+1)/MAX(Pipeline!$F$20,1)))</f>
        <v>9787.5</v>
      </c>
      <c r="AG13" s="109" t="n">
        <f aca="false">Pipeline!$Q$20*Pipeline!$D$20*MIN(1,MAX(0,(31-Pipeline!$E$20+1)/MAX(Pipeline!$F$20,1)))</f>
        <v>9787.5</v>
      </c>
      <c r="AH13" s="109" t="n">
        <f aca="false">Pipeline!$Q$20*Pipeline!$D$20*MIN(1,MAX(0,(32-Pipeline!$E$20+1)/MAX(Pipeline!$F$20,1)))</f>
        <v>9787.5</v>
      </c>
      <c r="AI13" s="109" t="n">
        <f aca="false">Pipeline!$Q$20*Pipeline!$D$20*MIN(1,MAX(0,(33-Pipeline!$E$20+1)/MAX(Pipeline!$F$20,1)))</f>
        <v>9787.5</v>
      </c>
      <c r="AJ13" s="109" t="n">
        <f aca="false">Pipeline!$Q$20*Pipeline!$D$20*MIN(1,MAX(0,(34-Pipeline!$E$20+1)/MAX(Pipeline!$F$20,1)))</f>
        <v>9787.5</v>
      </c>
      <c r="AK13" s="109" t="n">
        <f aca="false">Pipeline!$Q$20*Pipeline!$D$20*MIN(1,MAX(0,(35-Pipeline!$E$20+1)/MAX(Pipeline!$F$20,1)))</f>
        <v>9787.5</v>
      </c>
      <c r="AL13" s="109" t="n">
        <f aca="false">Pipeline!$Q$20*Pipeline!$D$20*MIN(1,MAX(0,(36-Pipeline!$E$20+1)/MAX(Pipeline!$F$20,1)))</f>
        <v>9787.5</v>
      </c>
      <c r="AM13" s="109" t="n">
        <f aca="false">Pipeline!$Q$20*Pipeline!$D$20*MIN(1,MAX(0,(37-Pipeline!$E$20+1)/MAX(Pipeline!$F$20,1)))</f>
        <v>9787.5</v>
      </c>
      <c r="AN13" s="109" t="n">
        <f aca="false">Pipeline!$Q$20*Pipeline!$D$20*MIN(1,MAX(0,(38-Pipeline!$E$20+1)/MAX(Pipeline!$F$20,1)))</f>
        <v>9787.5</v>
      </c>
      <c r="AO13" s="109" t="n">
        <f aca="false">Pipeline!$Q$20*Pipeline!$D$20*MIN(1,MAX(0,(39-Pipeline!$E$20+1)/MAX(Pipeline!$F$20,1)))</f>
        <v>9787.5</v>
      </c>
      <c r="AP13" s="109" t="n">
        <f aca="false">Pipeline!$Q$20*Pipeline!$D$20*MIN(1,MAX(0,(40-Pipeline!$E$20+1)/MAX(Pipeline!$F$20,1)))</f>
        <v>9787.5</v>
      </c>
      <c r="AQ13" s="109" t="n">
        <f aca="false">Pipeline!$Q$20*Pipeline!$D$20*MIN(1,MAX(0,(41-Pipeline!$E$20+1)/MAX(Pipeline!$F$20,1)))</f>
        <v>9787.5</v>
      </c>
      <c r="AR13" s="109" t="n">
        <f aca="false">Pipeline!$Q$20*Pipeline!$D$20*MIN(1,MAX(0,(42-Pipeline!$E$20+1)/MAX(Pipeline!$F$20,1)))</f>
        <v>9787.5</v>
      </c>
      <c r="AS13" s="109" t="n">
        <f aca="false">Pipeline!$Q$20*Pipeline!$D$20*MIN(1,MAX(0,(43-Pipeline!$E$20+1)/MAX(Pipeline!$F$20,1)))</f>
        <v>9787.5</v>
      </c>
      <c r="AT13" s="109" t="n">
        <f aca="false">Pipeline!$Q$20*Pipeline!$D$20*MIN(1,MAX(0,(44-Pipeline!$E$20+1)/MAX(Pipeline!$F$20,1)))</f>
        <v>9787.5</v>
      </c>
      <c r="AU13" s="109" t="n">
        <f aca="false">Pipeline!$Q$20*Pipeline!$D$20*MIN(1,MAX(0,(45-Pipeline!$E$20+1)/MAX(Pipeline!$F$20,1)))</f>
        <v>9787.5</v>
      </c>
      <c r="AV13" s="109" t="n">
        <f aca="false">Pipeline!$Q$20*Pipeline!$D$20*MIN(1,MAX(0,(46-Pipeline!$E$20+1)/MAX(Pipeline!$F$20,1)))</f>
        <v>9787.5</v>
      </c>
      <c r="AW13" s="109" t="n">
        <f aca="false">Pipeline!$Q$20*Pipeline!$D$20*MIN(1,MAX(0,(47-Pipeline!$E$20+1)/MAX(Pipeline!$F$20,1)))</f>
        <v>9787.5</v>
      </c>
      <c r="AX13" s="109" t="n">
        <f aca="false">Pipeline!$Q$20*Pipeline!$D$20*MIN(1,MAX(0,(48-Pipeline!$E$20+1)/MAX(Pipeline!$F$20,1)))</f>
        <v>9787.5</v>
      </c>
      <c r="AY13" s="109" t="n">
        <f aca="false">Pipeline!$Q$20*Pipeline!$D$20*MIN(1,MAX(0,(49-Pipeline!$E$20+1)/MAX(Pipeline!$F$20,1)))</f>
        <v>9787.5</v>
      </c>
      <c r="AZ13" s="109" t="n">
        <f aca="false">Pipeline!$Q$20*Pipeline!$D$20*MIN(1,MAX(0,(50-Pipeline!$E$20+1)/MAX(Pipeline!$F$20,1)))</f>
        <v>9787.5</v>
      </c>
      <c r="BA13" s="109" t="n">
        <f aca="false">Pipeline!$Q$20*Pipeline!$D$20*MIN(1,MAX(0,(51-Pipeline!$E$20+1)/MAX(Pipeline!$F$20,1)))</f>
        <v>9787.5</v>
      </c>
      <c r="BB13" s="109" t="n">
        <f aca="false">Pipeline!$Q$20*Pipeline!$D$20*MIN(1,MAX(0,(52-Pipeline!$E$20+1)/MAX(Pipeline!$F$20,1)))</f>
        <v>9787.5</v>
      </c>
      <c r="BC13" s="109" t="n">
        <f aca="false">Pipeline!$Q$20*Pipeline!$D$20*MIN(1,MAX(0,(53-Pipeline!$E$20+1)/MAX(Pipeline!$F$20,1)))</f>
        <v>9787.5</v>
      </c>
      <c r="BD13" s="109" t="n">
        <f aca="false">Pipeline!$Q$20*Pipeline!$D$20*MIN(1,MAX(0,(54-Pipeline!$E$20+1)/MAX(Pipeline!$F$20,1)))</f>
        <v>9787.5</v>
      </c>
      <c r="BE13" s="109" t="n">
        <f aca="false">Pipeline!$Q$20*Pipeline!$D$20*MIN(1,MAX(0,(55-Pipeline!$E$20+1)/MAX(Pipeline!$F$20,1)))</f>
        <v>9787.5</v>
      </c>
      <c r="BF13" s="109" t="n">
        <f aca="false">Pipeline!$Q$20*Pipeline!$D$20*MIN(1,MAX(0,(56-Pipeline!$E$20+1)/MAX(Pipeline!$F$20,1)))</f>
        <v>9787.5</v>
      </c>
      <c r="BG13" s="109" t="n">
        <f aca="false">Pipeline!$Q$20*Pipeline!$D$20*MIN(1,MAX(0,(57-Pipeline!$E$20+1)/MAX(Pipeline!$F$20,1)))</f>
        <v>9787.5</v>
      </c>
      <c r="BH13" s="109" t="n">
        <f aca="false">Pipeline!$Q$20*Pipeline!$D$20*MIN(1,MAX(0,(58-Pipeline!$E$20+1)/MAX(Pipeline!$F$20,1)))</f>
        <v>9787.5</v>
      </c>
      <c r="BI13" s="109" t="n">
        <f aca="false">Pipeline!$Q$20*Pipeline!$D$20*MIN(1,MAX(0,(59-Pipeline!$E$20+1)/MAX(Pipeline!$F$20,1)))</f>
        <v>9787.5</v>
      </c>
      <c r="BJ13" s="109" t="n">
        <f aca="false">Pipeline!$Q$20*Pipeline!$D$20*MIN(1,MAX(0,(60-Pipeline!$E$20+1)/MAX(Pipeline!$F$20,1)))</f>
        <v>9787.5</v>
      </c>
      <c r="BK13" s="109" t="n">
        <f aca="false">Pipeline!$Q$20*Pipeline!$D$20*MIN(1,MAX(0,(61-Pipeline!$E$20+1)/MAX(Pipeline!$F$20,1)))</f>
        <v>9787.5</v>
      </c>
      <c r="BL13" s="109" t="n">
        <f aca="false">Pipeline!$Q$20*Pipeline!$D$20*MIN(1,MAX(0,(62-Pipeline!$E$20+1)/MAX(Pipeline!$F$20,1)))</f>
        <v>9787.5</v>
      </c>
      <c r="BM13" s="109" t="n">
        <f aca="false">Pipeline!$Q$20*Pipeline!$D$20*MIN(1,MAX(0,(63-Pipeline!$E$20+1)/MAX(Pipeline!$F$20,1)))</f>
        <v>9787.5</v>
      </c>
      <c r="BN13" s="109" t="n">
        <f aca="false">Pipeline!$Q$20*Pipeline!$D$20*MIN(1,MAX(0,(64-Pipeline!$E$20+1)/MAX(Pipeline!$F$20,1)))</f>
        <v>9787.5</v>
      </c>
      <c r="BO13" s="109" t="n">
        <f aca="false">Pipeline!$Q$20*Pipeline!$D$20*MIN(1,MAX(0,(65-Pipeline!$E$20+1)/MAX(Pipeline!$F$20,1)))</f>
        <v>9787.5</v>
      </c>
      <c r="BP13" s="109" t="n">
        <f aca="false">Pipeline!$Q$20*Pipeline!$D$20*MIN(1,MAX(0,(66-Pipeline!$E$20+1)/MAX(Pipeline!$F$20,1)))</f>
        <v>9787.5</v>
      </c>
      <c r="BQ13" s="109" t="n">
        <f aca="false">Pipeline!$Q$20*Pipeline!$D$20*MIN(1,MAX(0,(67-Pipeline!$E$20+1)/MAX(Pipeline!$F$20,1)))</f>
        <v>9787.5</v>
      </c>
      <c r="BR13" s="109" t="n">
        <f aca="false">Pipeline!$Q$20*Pipeline!$D$20*MIN(1,MAX(0,(68-Pipeline!$E$20+1)/MAX(Pipeline!$F$20,1)))</f>
        <v>9787.5</v>
      </c>
      <c r="BS13" s="109" t="n">
        <f aca="false">Pipeline!$Q$20*Pipeline!$D$20*MIN(1,MAX(0,(69-Pipeline!$E$20+1)/MAX(Pipeline!$F$20,1)))</f>
        <v>9787.5</v>
      </c>
      <c r="BT13" s="109" t="n">
        <f aca="false">Pipeline!$Q$20*Pipeline!$D$20*MIN(1,MAX(0,(70-Pipeline!$E$20+1)/MAX(Pipeline!$F$20,1)))</f>
        <v>9787.5</v>
      </c>
      <c r="BU13" s="109" t="n">
        <f aca="false">Pipeline!$Q$20*Pipeline!$D$20*MIN(1,MAX(0,(71-Pipeline!$E$20+1)/MAX(Pipeline!$F$20,1)))</f>
        <v>9787.5</v>
      </c>
      <c r="BV13" s="109" t="n">
        <f aca="false">Pipeline!$Q$20*Pipeline!$D$20*MIN(1,MAX(0,(72-Pipeline!$E$20+1)/MAX(Pipeline!$F$20,1)))</f>
        <v>9787.5</v>
      </c>
      <c r="BW13" s="109" t="n">
        <f aca="false">Pipeline!$Q$20*Pipeline!$D$20*MIN(1,MAX(0,(73-Pipeline!$E$20+1)/MAX(Pipeline!$F$20,1)))</f>
        <v>9787.5</v>
      </c>
      <c r="BX13" s="109" t="n">
        <f aca="false">Pipeline!$Q$20*Pipeline!$D$20*MIN(1,MAX(0,(74-Pipeline!$E$20+1)/MAX(Pipeline!$F$20,1)))</f>
        <v>9787.5</v>
      </c>
      <c r="BY13" s="109" t="n">
        <f aca="false">Pipeline!$Q$20*Pipeline!$D$20*MIN(1,MAX(0,(75-Pipeline!$E$20+1)/MAX(Pipeline!$F$20,1)))</f>
        <v>9787.5</v>
      </c>
      <c r="BZ13" s="109" t="n">
        <f aca="false">Pipeline!$Q$20*Pipeline!$D$20*MIN(1,MAX(0,(76-Pipeline!$E$20+1)/MAX(Pipeline!$F$20,1)))</f>
        <v>9787.5</v>
      </c>
      <c r="CA13" s="109" t="n">
        <f aca="false">Pipeline!$Q$20*Pipeline!$D$20*MIN(1,MAX(0,(77-Pipeline!$E$20+1)/MAX(Pipeline!$F$20,1)))</f>
        <v>9787.5</v>
      </c>
      <c r="CB13" s="109" t="n">
        <f aca="false">Pipeline!$Q$20*Pipeline!$D$20*MIN(1,MAX(0,(78-Pipeline!$E$20+1)/MAX(Pipeline!$F$20,1)))</f>
        <v>9787.5</v>
      </c>
      <c r="CC13" s="109" t="n">
        <f aca="false">Pipeline!$Q$20*Pipeline!$D$20*MIN(1,MAX(0,(79-Pipeline!$E$20+1)/MAX(Pipeline!$F$20,1)))</f>
        <v>9787.5</v>
      </c>
      <c r="CD13" s="109" t="n">
        <f aca="false">Pipeline!$Q$20*Pipeline!$D$20*MIN(1,MAX(0,(80-Pipeline!$E$20+1)/MAX(Pipeline!$F$20,1)))</f>
        <v>9787.5</v>
      </c>
      <c r="CE13" s="109" t="n">
        <f aca="false">Pipeline!$Q$20*Pipeline!$D$20*MIN(1,MAX(0,(81-Pipeline!$E$20+1)/MAX(Pipeline!$F$20,1)))</f>
        <v>9787.5</v>
      </c>
      <c r="CF13" s="109" t="n">
        <f aca="false">Pipeline!$Q$20*Pipeline!$D$20*MIN(1,MAX(0,(82-Pipeline!$E$20+1)/MAX(Pipeline!$F$20,1)))</f>
        <v>9787.5</v>
      </c>
      <c r="CG13" s="109" t="n">
        <f aca="false">Pipeline!$Q$20*Pipeline!$D$20*MIN(1,MAX(0,(83-Pipeline!$E$20+1)/MAX(Pipeline!$F$20,1)))</f>
        <v>9787.5</v>
      </c>
      <c r="CH13" s="109" t="n">
        <f aca="false">Pipeline!$Q$20*Pipeline!$D$20*MIN(1,MAX(0,(84-Pipeline!$E$20+1)/MAX(Pipeline!$F$20,1)))</f>
        <v>9787.5</v>
      </c>
    </row>
    <row r="14" customFormat="false" ht="13.5" hidden="false" customHeight="true" outlineLevel="0" collapsed="false">
      <c r="A14" s="6" t="s">
        <v>522</v>
      </c>
      <c r="C14" s="109" t="n">
        <f aca="false">Pipeline!$Q$21*Pipeline!$D$21*MIN(1,MAX(0,(1-Pipeline!$E$21+1)/MAX(Pipeline!$F$21,1)))</f>
        <v>0</v>
      </c>
      <c r="D14" s="109" t="n">
        <f aca="false">Pipeline!$Q$21*Pipeline!$D$21*MIN(1,MAX(0,(2-Pipeline!$E$21+1)/MAX(Pipeline!$F$21,1)))</f>
        <v>0</v>
      </c>
      <c r="E14" s="109" t="n">
        <f aca="false">Pipeline!$Q$21*Pipeline!$D$21*MIN(1,MAX(0,(3-Pipeline!$E$21+1)/MAX(Pipeline!$F$21,1)))</f>
        <v>0</v>
      </c>
      <c r="F14" s="109" t="n">
        <f aca="false">Pipeline!$Q$21*Pipeline!$D$21*MIN(1,MAX(0,(4-Pipeline!$E$21+1)/MAX(Pipeline!$F$21,1)))</f>
        <v>0</v>
      </c>
      <c r="G14" s="109" t="n">
        <f aca="false">Pipeline!$Q$21*Pipeline!$D$21*MIN(1,MAX(0,(5-Pipeline!$E$21+1)/MAX(Pipeline!$F$21,1)))</f>
        <v>0</v>
      </c>
      <c r="H14" s="109" t="n">
        <f aca="false">Pipeline!$Q$21*Pipeline!$D$21*MIN(1,MAX(0,(6-Pipeline!$E$21+1)/MAX(Pipeline!$F$21,1)))</f>
        <v>0</v>
      </c>
      <c r="I14" s="109" t="n">
        <f aca="false">Pipeline!$Q$21*Pipeline!$D$21*MIN(1,MAX(0,(7-Pipeline!$E$21+1)/MAX(Pipeline!$F$21,1)))</f>
        <v>0</v>
      </c>
      <c r="J14" s="109" t="n">
        <f aca="false">Pipeline!$Q$21*Pipeline!$D$21*MIN(1,MAX(0,(8-Pipeline!$E$21+1)/MAX(Pipeline!$F$21,1)))</f>
        <v>0</v>
      </c>
      <c r="K14" s="109" t="n">
        <f aca="false">Pipeline!$Q$21*Pipeline!$D$21*MIN(1,MAX(0,(9-Pipeline!$E$21+1)/MAX(Pipeline!$F$21,1)))</f>
        <v>0</v>
      </c>
      <c r="L14" s="109" t="n">
        <f aca="false">Pipeline!$Q$21*Pipeline!$D$21*MIN(1,MAX(0,(10-Pipeline!$E$21+1)/MAX(Pipeline!$F$21,1)))</f>
        <v>0</v>
      </c>
      <c r="M14" s="109" t="n">
        <f aca="false">Pipeline!$Q$21*Pipeline!$D$21*MIN(1,MAX(0,(11-Pipeline!$E$21+1)/MAX(Pipeline!$F$21,1)))</f>
        <v>0</v>
      </c>
      <c r="N14" s="109" t="n">
        <f aca="false">Pipeline!$Q$21*Pipeline!$D$21*MIN(1,MAX(0,(12-Pipeline!$E$21+1)/MAX(Pipeline!$F$21,1)))</f>
        <v>0</v>
      </c>
      <c r="O14" s="109" t="n">
        <f aca="false">Pipeline!$Q$21*Pipeline!$D$21*MIN(1,MAX(0,(13-Pipeline!$E$21+1)/MAX(Pipeline!$F$21,1)))</f>
        <v>0</v>
      </c>
      <c r="P14" s="109" t="n">
        <f aca="false">Pipeline!$Q$21*Pipeline!$D$21*MIN(1,MAX(0,(14-Pipeline!$E$21+1)/MAX(Pipeline!$F$21,1)))</f>
        <v>365.4</v>
      </c>
      <c r="Q14" s="109" t="n">
        <f aca="false">Pipeline!$Q$21*Pipeline!$D$21*MIN(1,MAX(0,(15-Pipeline!$E$21+1)/MAX(Pipeline!$F$21,1)))</f>
        <v>730.8</v>
      </c>
      <c r="R14" s="109" t="n">
        <f aca="false">Pipeline!$Q$21*Pipeline!$D$21*MIN(1,MAX(0,(16-Pipeline!$E$21+1)/MAX(Pipeline!$F$21,1)))</f>
        <v>1096.2</v>
      </c>
      <c r="S14" s="109" t="n">
        <f aca="false">Pipeline!$Q$21*Pipeline!$D$21*MIN(1,MAX(0,(17-Pipeline!$E$21+1)/MAX(Pipeline!$F$21,1)))</f>
        <v>1461.6</v>
      </c>
      <c r="T14" s="109" t="n">
        <f aca="false">Pipeline!$Q$21*Pipeline!$D$21*MIN(1,MAX(0,(18-Pipeline!$E$21+1)/MAX(Pipeline!$F$21,1)))</f>
        <v>1827</v>
      </c>
      <c r="U14" s="109" t="n">
        <f aca="false">Pipeline!$Q$21*Pipeline!$D$21*MIN(1,MAX(0,(19-Pipeline!$E$21+1)/MAX(Pipeline!$F$21,1)))</f>
        <v>2192.4</v>
      </c>
      <c r="V14" s="109" t="n">
        <f aca="false">Pipeline!$Q$21*Pipeline!$D$21*MIN(1,MAX(0,(20-Pipeline!$E$21+1)/MAX(Pipeline!$F$21,1)))</f>
        <v>2557.8</v>
      </c>
      <c r="W14" s="109" t="n">
        <f aca="false">Pipeline!$Q$21*Pipeline!$D$21*MIN(1,MAX(0,(21-Pipeline!$E$21+1)/MAX(Pipeline!$F$21,1)))</f>
        <v>2923.2</v>
      </c>
      <c r="X14" s="109" t="n">
        <f aca="false">Pipeline!$Q$21*Pipeline!$D$21*MIN(1,MAX(0,(22-Pipeline!$E$21+1)/MAX(Pipeline!$F$21,1)))</f>
        <v>3288.6</v>
      </c>
      <c r="Y14" s="109" t="n">
        <f aca="false">Pipeline!$Q$21*Pipeline!$D$21*MIN(1,MAX(0,(23-Pipeline!$E$21+1)/MAX(Pipeline!$F$21,1)))</f>
        <v>3654</v>
      </c>
      <c r="Z14" s="109" t="n">
        <f aca="false">Pipeline!$Q$21*Pipeline!$D$21*MIN(1,MAX(0,(24-Pipeline!$E$21+1)/MAX(Pipeline!$F$21,1)))</f>
        <v>3654</v>
      </c>
      <c r="AA14" s="109" t="n">
        <f aca="false">Pipeline!$Q$21*Pipeline!$D$21*MIN(1,MAX(0,(25-Pipeline!$E$21+1)/MAX(Pipeline!$F$21,1)))</f>
        <v>3654</v>
      </c>
      <c r="AB14" s="109" t="n">
        <f aca="false">Pipeline!$Q$21*Pipeline!$D$21*MIN(1,MAX(0,(26-Pipeline!$E$21+1)/MAX(Pipeline!$F$21,1)))</f>
        <v>3654</v>
      </c>
      <c r="AC14" s="109" t="n">
        <f aca="false">Pipeline!$Q$21*Pipeline!$D$21*MIN(1,MAX(0,(27-Pipeline!$E$21+1)/MAX(Pipeline!$F$21,1)))</f>
        <v>3654</v>
      </c>
      <c r="AD14" s="109" t="n">
        <f aca="false">Pipeline!$Q$21*Pipeline!$D$21*MIN(1,MAX(0,(28-Pipeline!$E$21+1)/MAX(Pipeline!$F$21,1)))</f>
        <v>3654</v>
      </c>
      <c r="AE14" s="109" t="n">
        <f aca="false">Pipeline!$Q$21*Pipeline!$D$21*MIN(1,MAX(0,(29-Pipeline!$E$21+1)/MAX(Pipeline!$F$21,1)))</f>
        <v>3654</v>
      </c>
      <c r="AF14" s="109" t="n">
        <f aca="false">Pipeline!$Q$21*Pipeline!$D$21*MIN(1,MAX(0,(30-Pipeline!$E$21+1)/MAX(Pipeline!$F$21,1)))</f>
        <v>3654</v>
      </c>
      <c r="AG14" s="109" t="n">
        <f aca="false">Pipeline!$Q$21*Pipeline!$D$21*MIN(1,MAX(0,(31-Pipeline!$E$21+1)/MAX(Pipeline!$F$21,1)))</f>
        <v>3654</v>
      </c>
      <c r="AH14" s="109" t="n">
        <f aca="false">Pipeline!$Q$21*Pipeline!$D$21*MIN(1,MAX(0,(32-Pipeline!$E$21+1)/MAX(Pipeline!$F$21,1)))</f>
        <v>3654</v>
      </c>
      <c r="AI14" s="109" t="n">
        <f aca="false">Pipeline!$Q$21*Pipeline!$D$21*MIN(1,MAX(0,(33-Pipeline!$E$21+1)/MAX(Pipeline!$F$21,1)))</f>
        <v>3654</v>
      </c>
      <c r="AJ14" s="109" t="n">
        <f aca="false">Pipeline!$Q$21*Pipeline!$D$21*MIN(1,MAX(0,(34-Pipeline!$E$21+1)/MAX(Pipeline!$F$21,1)))</f>
        <v>3654</v>
      </c>
      <c r="AK14" s="109" t="n">
        <f aca="false">Pipeline!$Q$21*Pipeline!$D$21*MIN(1,MAX(0,(35-Pipeline!$E$21+1)/MAX(Pipeline!$F$21,1)))</f>
        <v>3654</v>
      </c>
      <c r="AL14" s="109" t="n">
        <f aca="false">Pipeline!$Q$21*Pipeline!$D$21*MIN(1,MAX(0,(36-Pipeline!$E$21+1)/MAX(Pipeline!$F$21,1)))</f>
        <v>3654</v>
      </c>
      <c r="AM14" s="109" t="n">
        <f aca="false">Pipeline!$Q$21*Pipeline!$D$21*MIN(1,MAX(0,(37-Pipeline!$E$21+1)/MAX(Pipeline!$F$21,1)))</f>
        <v>3654</v>
      </c>
      <c r="AN14" s="109" t="n">
        <f aca="false">Pipeline!$Q$21*Pipeline!$D$21*MIN(1,MAX(0,(38-Pipeline!$E$21+1)/MAX(Pipeline!$F$21,1)))</f>
        <v>3654</v>
      </c>
      <c r="AO14" s="109" t="n">
        <f aca="false">Pipeline!$Q$21*Pipeline!$D$21*MIN(1,MAX(0,(39-Pipeline!$E$21+1)/MAX(Pipeline!$F$21,1)))</f>
        <v>3654</v>
      </c>
      <c r="AP14" s="109" t="n">
        <f aca="false">Pipeline!$Q$21*Pipeline!$D$21*MIN(1,MAX(0,(40-Pipeline!$E$21+1)/MAX(Pipeline!$F$21,1)))</f>
        <v>3654</v>
      </c>
      <c r="AQ14" s="109" t="n">
        <f aca="false">Pipeline!$Q$21*Pipeline!$D$21*MIN(1,MAX(0,(41-Pipeline!$E$21+1)/MAX(Pipeline!$F$21,1)))</f>
        <v>3654</v>
      </c>
      <c r="AR14" s="109" t="n">
        <f aca="false">Pipeline!$Q$21*Pipeline!$D$21*MIN(1,MAX(0,(42-Pipeline!$E$21+1)/MAX(Pipeline!$F$21,1)))</f>
        <v>3654</v>
      </c>
      <c r="AS14" s="109" t="n">
        <f aca="false">Pipeline!$Q$21*Pipeline!$D$21*MIN(1,MAX(0,(43-Pipeline!$E$21+1)/MAX(Pipeline!$F$21,1)))</f>
        <v>3654</v>
      </c>
      <c r="AT14" s="109" t="n">
        <f aca="false">Pipeline!$Q$21*Pipeline!$D$21*MIN(1,MAX(0,(44-Pipeline!$E$21+1)/MAX(Pipeline!$F$21,1)))</f>
        <v>3654</v>
      </c>
      <c r="AU14" s="109" t="n">
        <f aca="false">Pipeline!$Q$21*Pipeline!$D$21*MIN(1,MAX(0,(45-Pipeline!$E$21+1)/MAX(Pipeline!$F$21,1)))</f>
        <v>3654</v>
      </c>
      <c r="AV14" s="109" t="n">
        <f aca="false">Pipeline!$Q$21*Pipeline!$D$21*MIN(1,MAX(0,(46-Pipeline!$E$21+1)/MAX(Pipeline!$F$21,1)))</f>
        <v>3654</v>
      </c>
      <c r="AW14" s="109" t="n">
        <f aca="false">Pipeline!$Q$21*Pipeline!$D$21*MIN(1,MAX(0,(47-Pipeline!$E$21+1)/MAX(Pipeline!$F$21,1)))</f>
        <v>3654</v>
      </c>
      <c r="AX14" s="109" t="n">
        <f aca="false">Pipeline!$Q$21*Pipeline!$D$21*MIN(1,MAX(0,(48-Pipeline!$E$21+1)/MAX(Pipeline!$F$21,1)))</f>
        <v>3654</v>
      </c>
      <c r="AY14" s="109" t="n">
        <f aca="false">Pipeline!$Q$21*Pipeline!$D$21*MIN(1,MAX(0,(49-Pipeline!$E$21+1)/MAX(Pipeline!$F$21,1)))</f>
        <v>3654</v>
      </c>
      <c r="AZ14" s="109" t="n">
        <f aca="false">Pipeline!$Q$21*Pipeline!$D$21*MIN(1,MAX(0,(50-Pipeline!$E$21+1)/MAX(Pipeline!$F$21,1)))</f>
        <v>3654</v>
      </c>
      <c r="BA14" s="109" t="n">
        <f aca="false">Pipeline!$Q$21*Pipeline!$D$21*MIN(1,MAX(0,(51-Pipeline!$E$21+1)/MAX(Pipeline!$F$21,1)))</f>
        <v>3654</v>
      </c>
      <c r="BB14" s="109" t="n">
        <f aca="false">Pipeline!$Q$21*Pipeline!$D$21*MIN(1,MAX(0,(52-Pipeline!$E$21+1)/MAX(Pipeline!$F$21,1)))</f>
        <v>3654</v>
      </c>
      <c r="BC14" s="109" t="n">
        <f aca="false">Pipeline!$Q$21*Pipeline!$D$21*MIN(1,MAX(0,(53-Pipeline!$E$21+1)/MAX(Pipeline!$F$21,1)))</f>
        <v>3654</v>
      </c>
      <c r="BD14" s="109" t="n">
        <f aca="false">Pipeline!$Q$21*Pipeline!$D$21*MIN(1,MAX(0,(54-Pipeline!$E$21+1)/MAX(Pipeline!$F$21,1)))</f>
        <v>3654</v>
      </c>
      <c r="BE14" s="109" t="n">
        <f aca="false">Pipeline!$Q$21*Pipeline!$D$21*MIN(1,MAX(0,(55-Pipeline!$E$21+1)/MAX(Pipeline!$F$21,1)))</f>
        <v>3654</v>
      </c>
      <c r="BF14" s="109" t="n">
        <f aca="false">Pipeline!$Q$21*Pipeline!$D$21*MIN(1,MAX(0,(56-Pipeline!$E$21+1)/MAX(Pipeline!$F$21,1)))</f>
        <v>3654</v>
      </c>
      <c r="BG14" s="109" t="n">
        <f aca="false">Pipeline!$Q$21*Pipeline!$D$21*MIN(1,MAX(0,(57-Pipeline!$E$21+1)/MAX(Pipeline!$F$21,1)))</f>
        <v>3654</v>
      </c>
      <c r="BH14" s="109" t="n">
        <f aca="false">Pipeline!$Q$21*Pipeline!$D$21*MIN(1,MAX(0,(58-Pipeline!$E$21+1)/MAX(Pipeline!$F$21,1)))</f>
        <v>3654</v>
      </c>
      <c r="BI14" s="109" t="n">
        <f aca="false">Pipeline!$Q$21*Pipeline!$D$21*MIN(1,MAX(0,(59-Pipeline!$E$21+1)/MAX(Pipeline!$F$21,1)))</f>
        <v>3654</v>
      </c>
      <c r="BJ14" s="109" t="n">
        <f aca="false">Pipeline!$Q$21*Pipeline!$D$21*MIN(1,MAX(0,(60-Pipeline!$E$21+1)/MAX(Pipeline!$F$21,1)))</f>
        <v>3654</v>
      </c>
      <c r="BK14" s="109" t="n">
        <f aca="false">Pipeline!$Q$21*Pipeline!$D$21*MIN(1,MAX(0,(61-Pipeline!$E$21+1)/MAX(Pipeline!$F$21,1)))</f>
        <v>3654</v>
      </c>
      <c r="BL14" s="109" t="n">
        <f aca="false">Pipeline!$Q$21*Pipeline!$D$21*MIN(1,MAX(0,(62-Pipeline!$E$21+1)/MAX(Pipeline!$F$21,1)))</f>
        <v>3654</v>
      </c>
      <c r="BM14" s="109" t="n">
        <f aca="false">Pipeline!$Q$21*Pipeline!$D$21*MIN(1,MAX(0,(63-Pipeline!$E$21+1)/MAX(Pipeline!$F$21,1)))</f>
        <v>3654</v>
      </c>
      <c r="BN14" s="109" t="n">
        <f aca="false">Pipeline!$Q$21*Pipeline!$D$21*MIN(1,MAX(0,(64-Pipeline!$E$21+1)/MAX(Pipeline!$F$21,1)))</f>
        <v>3654</v>
      </c>
      <c r="BO14" s="109" t="n">
        <f aca="false">Pipeline!$Q$21*Pipeline!$D$21*MIN(1,MAX(0,(65-Pipeline!$E$21+1)/MAX(Pipeline!$F$21,1)))</f>
        <v>3654</v>
      </c>
      <c r="BP14" s="109" t="n">
        <f aca="false">Pipeline!$Q$21*Pipeline!$D$21*MIN(1,MAX(0,(66-Pipeline!$E$21+1)/MAX(Pipeline!$F$21,1)))</f>
        <v>3654</v>
      </c>
      <c r="BQ14" s="109" t="n">
        <f aca="false">Pipeline!$Q$21*Pipeline!$D$21*MIN(1,MAX(0,(67-Pipeline!$E$21+1)/MAX(Pipeline!$F$21,1)))</f>
        <v>3654</v>
      </c>
      <c r="BR14" s="109" t="n">
        <f aca="false">Pipeline!$Q$21*Pipeline!$D$21*MIN(1,MAX(0,(68-Pipeline!$E$21+1)/MAX(Pipeline!$F$21,1)))</f>
        <v>3654</v>
      </c>
      <c r="BS14" s="109" t="n">
        <f aca="false">Pipeline!$Q$21*Pipeline!$D$21*MIN(1,MAX(0,(69-Pipeline!$E$21+1)/MAX(Pipeline!$F$21,1)))</f>
        <v>3654</v>
      </c>
      <c r="BT14" s="109" t="n">
        <f aca="false">Pipeline!$Q$21*Pipeline!$D$21*MIN(1,MAX(0,(70-Pipeline!$E$21+1)/MAX(Pipeline!$F$21,1)))</f>
        <v>3654</v>
      </c>
      <c r="BU14" s="109" t="n">
        <f aca="false">Pipeline!$Q$21*Pipeline!$D$21*MIN(1,MAX(0,(71-Pipeline!$E$21+1)/MAX(Pipeline!$F$21,1)))</f>
        <v>3654</v>
      </c>
      <c r="BV14" s="109" t="n">
        <f aca="false">Pipeline!$Q$21*Pipeline!$D$21*MIN(1,MAX(0,(72-Pipeline!$E$21+1)/MAX(Pipeline!$F$21,1)))</f>
        <v>3654</v>
      </c>
      <c r="BW14" s="109" t="n">
        <f aca="false">Pipeline!$Q$21*Pipeline!$D$21*MIN(1,MAX(0,(73-Pipeline!$E$21+1)/MAX(Pipeline!$F$21,1)))</f>
        <v>3654</v>
      </c>
      <c r="BX14" s="109" t="n">
        <f aca="false">Pipeline!$Q$21*Pipeline!$D$21*MIN(1,MAX(0,(74-Pipeline!$E$21+1)/MAX(Pipeline!$F$21,1)))</f>
        <v>3654</v>
      </c>
      <c r="BY14" s="109" t="n">
        <f aca="false">Pipeline!$Q$21*Pipeline!$D$21*MIN(1,MAX(0,(75-Pipeline!$E$21+1)/MAX(Pipeline!$F$21,1)))</f>
        <v>3654</v>
      </c>
      <c r="BZ14" s="109" t="n">
        <f aca="false">Pipeline!$Q$21*Pipeline!$D$21*MIN(1,MAX(0,(76-Pipeline!$E$21+1)/MAX(Pipeline!$F$21,1)))</f>
        <v>3654</v>
      </c>
      <c r="CA14" s="109" t="n">
        <f aca="false">Pipeline!$Q$21*Pipeline!$D$21*MIN(1,MAX(0,(77-Pipeline!$E$21+1)/MAX(Pipeline!$F$21,1)))</f>
        <v>3654</v>
      </c>
      <c r="CB14" s="109" t="n">
        <f aca="false">Pipeline!$Q$21*Pipeline!$D$21*MIN(1,MAX(0,(78-Pipeline!$E$21+1)/MAX(Pipeline!$F$21,1)))</f>
        <v>3654</v>
      </c>
      <c r="CC14" s="109" t="n">
        <f aca="false">Pipeline!$Q$21*Pipeline!$D$21*MIN(1,MAX(0,(79-Pipeline!$E$21+1)/MAX(Pipeline!$F$21,1)))</f>
        <v>3654</v>
      </c>
      <c r="CD14" s="109" t="n">
        <f aca="false">Pipeline!$Q$21*Pipeline!$D$21*MIN(1,MAX(0,(80-Pipeline!$E$21+1)/MAX(Pipeline!$F$21,1)))</f>
        <v>3654</v>
      </c>
      <c r="CE14" s="109" t="n">
        <f aca="false">Pipeline!$Q$21*Pipeline!$D$21*MIN(1,MAX(0,(81-Pipeline!$E$21+1)/MAX(Pipeline!$F$21,1)))</f>
        <v>3654</v>
      </c>
      <c r="CF14" s="109" t="n">
        <f aca="false">Pipeline!$Q$21*Pipeline!$D$21*MIN(1,MAX(0,(82-Pipeline!$E$21+1)/MAX(Pipeline!$F$21,1)))</f>
        <v>3654</v>
      </c>
      <c r="CG14" s="109" t="n">
        <f aca="false">Pipeline!$Q$21*Pipeline!$D$21*MIN(1,MAX(0,(83-Pipeline!$E$21+1)/MAX(Pipeline!$F$21,1)))</f>
        <v>3654</v>
      </c>
      <c r="CH14" s="109" t="n">
        <f aca="false">Pipeline!$Q$21*Pipeline!$D$21*MIN(1,MAX(0,(84-Pipeline!$E$21+1)/MAX(Pipeline!$F$21,1)))</f>
        <v>3654</v>
      </c>
    </row>
    <row r="15" customFormat="false" ht="13.5" hidden="false" customHeight="true" outlineLevel="0" collapsed="false">
      <c r="A15" s="6" t="s">
        <v>523</v>
      </c>
      <c r="C15" s="109" t="n">
        <f aca="false">Pipeline!$Q$22*Pipeline!$D$22*MIN(1,MAX(0,(1-Pipeline!$E$22+1)/MAX(Pipeline!$F$22,1)))</f>
        <v>0</v>
      </c>
      <c r="D15" s="109" t="n">
        <f aca="false">Pipeline!$Q$22*Pipeline!$D$22*MIN(1,MAX(0,(2-Pipeline!$E$22+1)/MAX(Pipeline!$F$22,1)))</f>
        <v>0</v>
      </c>
      <c r="E15" s="109" t="n">
        <f aca="false">Pipeline!$Q$22*Pipeline!$D$22*MIN(1,MAX(0,(3-Pipeline!$E$22+1)/MAX(Pipeline!$F$22,1)))</f>
        <v>0</v>
      </c>
      <c r="F15" s="109" t="n">
        <f aca="false">Pipeline!$Q$22*Pipeline!$D$22*MIN(1,MAX(0,(4-Pipeline!$E$22+1)/MAX(Pipeline!$F$22,1)))</f>
        <v>0</v>
      </c>
      <c r="G15" s="109" t="n">
        <f aca="false">Pipeline!$Q$22*Pipeline!$D$22*MIN(1,MAX(0,(5-Pipeline!$E$22+1)/MAX(Pipeline!$F$22,1)))</f>
        <v>0</v>
      </c>
      <c r="H15" s="109" t="n">
        <f aca="false">Pipeline!$Q$22*Pipeline!$D$22*MIN(1,MAX(0,(6-Pipeline!$E$22+1)/MAX(Pipeline!$F$22,1)))</f>
        <v>0</v>
      </c>
      <c r="I15" s="109" t="n">
        <f aca="false">Pipeline!$Q$22*Pipeline!$D$22*MIN(1,MAX(0,(7-Pipeline!$E$22+1)/MAX(Pipeline!$F$22,1)))</f>
        <v>0</v>
      </c>
      <c r="J15" s="109" t="n">
        <f aca="false">Pipeline!$Q$22*Pipeline!$D$22*MIN(1,MAX(0,(8-Pipeline!$E$22+1)/MAX(Pipeline!$F$22,1)))</f>
        <v>0</v>
      </c>
      <c r="K15" s="109" t="n">
        <f aca="false">Pipeline!$Q$22*Pipeline!$D$22*MIN(1,MAX(0,(9-Pipeline!$E$22+1)/MAX(Pipeline!$F$22,1)))</f>
        <v>0</v>
      </c>
      <c r="L15" s="109" t="n">
        <f aca="false">Pipeline!$Q$22*Pipeline!$D$22*MIN(1,MAX(0,(10-Pipeline!$E$22+1)/MAX(Pipeline!$F$22,1)))</f>
        <v>0</v>
      </c>
      <c r="M15" s="109" t="n">
        <f aca="false">Pipeline!$Q$22*Pipeline!$D$22*MIN(1,MAX(0,(11-Pipeline!$E$22+1)/MAX(Pipeline!$F$22,1)))</f>
        <v>0</v>
      </c>
      <c r="N15" s="109" t="n">
        <f aca="false">Pipeline!$Q$22*Pipeline!$D$22*MIN(1,MAX(0,(12-Pipeline!$E$22+1)/MAX(Pipeline!$F$22,1)))</f>
        <v>0</v>
      </c>
      <c r="O15" s="109" t="n">
        <f aca="false">Pipeline!$Q$22*Pipeline!$D$22*MIN(1,MAX(0,(13-Pipeline!$E$22+1)/MAX(Pipeline!$F$22,1)))</f>
        <v>0</v>
      </c>
      <c r="P15" s="109" t="n">
        <f aca="false">Pipeline!$Q$22*Pipeline!$D$22*MIN(1,MAX(0,(14-Pipeline!$E$22+1)/MAX(Pipeline!$F$22,1)))</f>
        <v>0</v>
      </c>
      <c r="Q15" s="109" t="n">
        <f aca="false">Pipeline!$Q$22*Pipeline!$D$22*MIN(1,MAX(0,(15-Pipeline!$E$22+1)/MAX(Pipeline!$F$22,1)))</f>
        <v>0</v>
      </c>
      <c r="R15" s="109" t="n">
        <f aca="false">Pipeline!$Q$22*Pipeline!$D$22*MIN(1,MAX(0,(16-Pipeline!$E$22+1)/MAX(Pipeline!$F$22,1)))</f>
        <v>0</v>
      </c>
      <c r="S15" s="109" t="n">
        <f aca="false">Pipeline!$Q$22*Pipeline!$D$22*MIN(1,MAX(0,(17-Pipeline!$E$22+1)/MAX(Pipeline!$F$22,1)))</f>
        <v>0</v>
      </c>
      <c r="T15" s="109" t="n">
        <f aca="false">Pipeline!$Q$22*Pipeline!$D$22*MIN(1,MAX(0,(18-Pipeline!$E$22+1)/MAX(Pipeline!$F$22,1)))</f>
        <v>0</v>
      </c>
      <c r="U15" s="109" t="n">
        <f aca="false">Pipeline!$Q$22*Pipeline!$D$22*MIN(1,MAX(0,(19-Pipeline!$E$22+1)/MAX(Pipeline!$F$22,1)))</f>
        <v>0</v>
      </c>
      <c r="V15" s="109" t="n">
        <f aca="false">Pipeline!$Q$22*Pipeline!$D$22*MIN(1,MAX(0,(20-Pipeline!$E$22+1)/MAX(Pipeline!$F$22,1)))</f>
        <v>0</v>
      </c>
      <c r="W15" s="109" t="n">
        <f aca="false">Pipeline!$Q$22*Pipeline!$D$22*MIN(1,MAX(0,(21-Pipeline!$E$22+1)/MAX(Pipeline!$F$22,1)))</f>
        <v>0</v>
      </c>
      <c r="X15" s="109" t="n">
        <f aca="false">Pipeline!$Q$22*Pipeline!$D$22*MIN(1,MAX(0,(22-Pipeline!$E$22+1)/MAX(Pipeline!$F$22,1)))</f>
        <v>0</v>
      </c>
      <c r="Y15" s="109" t="n">
        <f aca="false">Pipeline!$Q$22*Pipeline!$D$22*MIN(1,MAX(0,(23-Pipeline!$E$22+1)/MAX(Pipeline!$F$22,1)))</f>
        <v>0</v>
      </c>
      <c r="Z15" s="109" t="n">
        <f aca="false">Pipeline!$Q$22*Pipeline!$D$22*MIN(1,MAX(0,(24-Pipeline!$E$22+1)/MAX(Pipeline!$F$22,1)))</f>
        <v>0</v>
      </c>
      <c r="AA15" s="109" t="n">
        <f aca="false">Pipeline!$Q$22*Pipeline!$D$22*MIN(1,MAX(0,(25-Pipeline!$E$22+1)/MAX(Pipeline!$F$22,1)))</f>
        <v>0</v>
      </c>
      <c r="AB15" s="109" t="n">
        <f aca="false">Pipeline!$Q$22*Pipeline!$D$22*MIN(1,MAX(0,(26-Pipeline!$E$22+1)/MAX(Pipeline!$F$22,1)))</f>
        <v>0</v>
      </c>
      <c r="AC15" s="109" t="n">
        <f aca="false">Pipeline!$Q$22*Pipeline!$D$22*MIN(1,MAX(0,(27-Pipeline!$E$22+1)/MAX(Pipeline!$F$22,1)))</f>
        <v>0</v>
      </c>
      <c r="AD15" s="109" t="n">
        <f aca="false">Pipeline!$Q$22*Pipeline!$D$22*MIN(1,MAX(0,(28-Pipeline!$E$22+1)/MAX(Pipeline!$F$22,1)))</f>
        <v>0</v>
      </c>
      <c r="AE15" s="109" t="n">
        <f aca="false">Pipeline!$Q$22*Pipeline!$D$22*MIN(1,MAX(0,(29-Pipeline!$E$22+1)/MAX(Pipeline!$F$22,1)))</f>
        <v>0</v>
      </c>
      <c r="AF15" s="109" t="n">
        <f aca="false">Pipeline!$Q$22*Pipeline!$D$22*MIN(1,MAX(0,(30-Pipeline!$E$22+1)/MAX(Pipeline!$F$22,1)))</f>
        <v>0</v>
      </c>
      <c r="AG15" s="109" t="n">
        <f aca="false">Pipeline!$Q$22*Pipeline!$D$22*MIN(1,MAX(0,(31-Pipeline!$E$22+1)/MAX(Pipeline!$F$22,1)))</f>
        <v>0</v>
      </c>
      <c r="AH15" s="109" t="n">
        <f aca="false">Pipeline!$Q$22*Pipeline!$D$22*MIN(1,MAX(0,(32-Pipeline!$E$22+1)/MAX(Pipeline!$F$22,1)))</f>
        <v>0</v>
      </c>
      <c r="AI15" s="109" t="n">
        <f aca="false">Pipeline!$Q$22*Pipeline!$D$22*MIN(1,MAX(0,(33-Pipeline!$E$22+1)/MAX(Pipeline!$F$22,1)))</f>
        <v>0</v>
      </c>
      <c r="AJ15" s="109" t="n">
        <f aca="false">Pipeline!$Q$22*Pipeline!$D$22*MIN(1,MAX(0,(34-Pipeline!$E$22+1)/MAX(Pipeline!$F$22,1)))</f>
        <v>0</v>
      </c>
      <c r="AK15" s="109" t="n">
        <f aca="false">Pipeline!$Q$22*Pipeline!$D$22*MIN(1,MAX(0,(35-Pipeline!$E$22+1)/MAX(Pipeline!$F$22,1)))</f>
        <v>0</v>
      </c>
      <c r="AL15" s="109" t="n">
        <f aca="false">Pipeline!$Q$22*Pipeline!$D$22*MIN(1,MAX(0,(36-Pipeline!$E$22+1)/MAX(Pipeline!$F$22,1)))</f>
        <v>0</v>
      </c>
      <c r="AM15" s="109" t="n">
        <f aca="false">Pipeline!$Q$22*Pipeline!$D$22*MIN(1,MAX(0,(37-Pipeline!$E$22+1)/MAX(Pipeline!$F$22,1)))</f>
        <v>0</v>
      </c>
      <c r="AN15" s="109" t="n">
        <f aca="false">Pipeline!$Q$22*Pipeline!$D$22*MIN(1,MAX(0,(38-Pipeline!$E$22+1)/MAX(Pipeline!$F$22,1)))</f>
        <v>0</v>
      </c>
      <c r="AO15" s="109" t="n">
        <f aca="false">Pipeline!$Q$22*Pipeline!$D$22*MIN(1,MAX(0,(39-Pipeline!$E$22+1)/MAX(Pipeline!$F$22,1)))</f>
        <v>0</v>
      </c>
      <c r="AP15" s="109" t="n">
        <f aca="false">Pipeline!$Q$22*Pipeline!$D$22*MIN(1,MAX(0,(40-Pipeline!$E$22+1)/MAX(Pipeline!$F$22,1)))</f>
        <v>0</v>
      </c>
      <c r="AQ15" s="109" t="n">
        <f aca="false">Pipeline!$Q$22*Pipeline!$D$22*MIN(1,MAX(0,(41-Pipeline!$E$22+1)/MAX(Pipeline!$F$22,1)))</f>
        <v>0</v>
      </c>
      <c r="AR15" s="109" t="n">
        <f aca="false">Pipeline!$Q$22*Pipeline!$D$22*MIN(1,MAX(0,(42-Pipeline!$E$22+1)/MAX(Pipeline!$F$22,1)))</f>
        <v>0</v>
      </c>
      <c r="AS15" s="109" t="n">
        <f aca="false">Pipeline!$Q$22*Pipeline!$D$22*MIN(1,MAX(0,(43-Pipeline!$E$22+1)/MAX(Pipeline!$F$22,1)))</f>
        <v>0</v>
      </c>
      <c r="AT15" s="109" t="n">
        <f aca="false">Pipeline!$Q$22*Pipeline!$D$22*MIN(1,MAX(0,(44-Pipeline!$E$22+1)/MAX(Pipeline!$F$22,1)))</f>
        <v>0</v>
      </c>
      <c r="AU15" s="109" t="n">
        <f aca="false">Pipeline!$Q$22*Pipeline!$D$22*MIN(1,MAX(0,(45-Pipeline!$E$22+1)/MAX(Pipeline!$F$22,1)))</f>
        <v>0</v>
      </c>
      <c r="AV15" s="109" t="n">
        <f aca="false">Pipeline!$Q$22*Pipeline!$D$22*MIN(1,MAX(0,(46-Pipeline!$E$22+1)/MAX(Pipeline!$F$22,1)))</f>
        <v>0</v>
      </c>
      <c r="AW15" s="109" t="n">
        <f aca="false">Pipeline!$Q$22*Pipeline!$D$22*MIN(1,MAX(0,(47-Pipeline!$E$22+1)/MAX(Pipeline!$F$22,1)))</f>
        <v>0</v>
      </c>
      <c r="AX15" s="109" t="n">
        <f aca="false">Pipeline!$Q$22*Pipeline!$D$22*MIN(1,MAX(0,(48-Pipeline!$E$22+1)/MAX(Pipeline!$F$22,1)))</f>
        <v>0</v>
      </c>
      <c r="AY15" s="109" t="n">
        <f aca="false">Pipeline!$Q$22*Pipeline!$D$22*MIN(1,MAX(0,(49-Pipeline!$E$22+1)/MAX(Pipeline!$F$22,1)))</f>
        <v>0</v>
      </c>
      <c r="AZ15" s="109" t="n">
        <f aca="false">Pipeline!$Q$22*Pipeline!$D$22*MIN(1,MAX(0,(50-Pipeline!$E$22+1)/MAX(Pipeline!$F$22,1)))</f>
        <v>0</v>
      </c>
      <c r="BA15" s="109" t="n">
        <f aca="false">Pipeline!$Q$22*Pipeline!$D$22*MIN(1,MAX(0,(51-Pipeline!$E$22+1)/MAX(Pipeline!$F$22,1)))</f>
        <v>0</v>
      </c>
      <c r="BB15" s="109" t="n">
        <f aca="false">Pipeline!$Q$22*Pipeline!$D$22*MIN(1,MAX(0,(52-Pipeline!$E$22+1)/MAX(Pipeline!$F$22,1)))</f>
        <v>0</v>
      </c>
      <c r="BC15" s="109" t="n">
        <f aca="false">Pipeline!$Q$22*Pipeline!$D$22*MIN(1,MAX(0,(53-Pipeline!$E$22+1)/MAX(Pipeline!$F$22,1)))</f>
        <v>0</v>
      </c>
      <c r="BD15" s="109" t="n">
        <f aca="false">Pipeline!$Q$22*Pipeline!$D$22*MIN(1,MAX(0,(54-Pipeline!$E$22+1)/MAX(Pipeline!$F$22,1)))</f>
        <v>0</v>
      </c>
      <c r="BE15" s="109" t="n">
        <f aca="false">Pipeline!$Q$22*Pipeline!$D$22*MIN(1,MAX(0,(55-Pipeline!$E$22+1)/MAX(Pipeline!$F$22,1)))</f>
        <v>0</v>
      </c>
      <c r="BF15" s="109" t="n">
        <f aca="false">Pipeline!$Q$22*Pipeline!$D$22*MIN(1,MAX(0,(56-Pipeline!$E$22+1)/MAX(Pipeline!$F$22,1)))</f>
        <v>0</v>
      </c>
      <c r="BG15" s="109" t="n">
        <f aca="false">Pipeline!$Q$22*Pipeline!$D$22*MIN(1,MAX(0,(57-Pipeline!$E$22+1)/MAX(Pipeline!$F$22,1)))</f>
        <v>0</v>
      </c>
      <c r="BH15" s="109" t="n">
        <f aca="false">Pipeline!$Q$22*Pipeline!$D$22*MIN(1,MAX(0,(58-Pipeline!$E$22+1)/MAX(Pipeline!$F$22,1)))</f>
        <v>0</v>
      </c>
      <c r="BI15" s="109" t="n">
        <f aca="false">Pipeline!$Q$22*Pipeline!$D$22*MIN(1,MAX(0,(59-Pipeline!$E$22+1)/MAX(Pipeline!$F$22,1)))</f>
        <v>0</v>
      </c>
      <c r="BJ15" s="109" t="n">
        <f aca="false">Pipeline!$Q$22*Pipeline!$D$22*MIN(1,MAX(0,(60-Pipeline!$E$22+1)/MAX(Pipeline!$F$22,1)))</f>
        <v>0</v>
      </c>
      <c r="BK15" s="109" t="n">
        <f aca="false">Pipeline!$Q$22*Pipeline!$D$22*MIN(1,MAX(0,(61-Pipeline!$E$22+1)/MAX(Pipeline!$F$22,1)))</f>
        <v>0</v>
      </c>
      <c r="BL15" s="109" t="n">
        <f aca="false">Pipeline!$Q$22*Pipeline!$D$22*MIN(1,MAX(0,(62-Pipeline!$E$22+1)/MAX(Pipeline!$F$22,1)))</f>
        <v>0</v>
      </c>
      <c r="BM15" s="109" t="n">
        <f aca="false">Pipeline!$Q$22*Pipeline!$D$22*MIN(1,MAX(0,(63-Pipeline!$E$22+1)/MAX(Pipeline!$F$22,1)))</f>
        <v>0</v>
      </c>
      <c r="BN15" s="109" t="n">
        <f aca="false">Pipeline!$Q$22*Pipeline!$D$22*MIN(1,MAX(0,(64-Pipeline!$E$22+1)/MAX(Pipeline!$F$22,1)))</f>
        <v>0</v>
      </c>
      <c r="BO15" s="109" t="n">
        <f aca="false">Pipeline!$Q$22*Pipeline!$D$22*MIN(1,MAX(0,(65-Pipeline!$E$22+1)/MAX(Pipeline!$F$22,1)))</f>
        <v>0</v>
      </c>
      <c r="BP15" s="109" t="n">
        <f aca="false">Pipeline!$Q$22*Pipeline!$D$22*MIN(1,MAX(0,(66-Pipeline!$E$22+1)/MAX(Pipeline!$F$22,1)))</f>
        <v>0</v>
      </c>
      <c r="BQ15" s="109" t="n">
        <f aca="false">Pipeline!$Q$22*Pipeline!$D$22*MIN(1,MAX(0,(67-Pipeline!$E$22+1)/MAX(Pipeline!$F$22,1)))</f>
        <v>0</v>
      </c>
      <c r="BR15" s="109" t="n">
        <f aca="false">Pipeline!$Q$22*Pipeline!$D$22*MIN(1,MAX(0,(68-Pipeline!$E$22+1)/MAX(Pipeline!$F$22,1)))</f>
        <v>0</v>
      </c>
      <c r="BS15" s="109" t="n">
        <f aca="false">Pipeline!$Q$22*Pipeline!$D$22*MIN(1,MAX(0,(69-Pipeline!$E$22+1)/MAX(Pipeline!$F$22,1)))</f>
        <v>0</v>
      </c>
      <c r="BT15" s="109" t="n">
        <f aca="false">Pipeline!$Q$22*Pipeline!$D$22*MIN(1,MAX(0,(70-Pipeline!$E$22+1)/MAX(Pipeline!$F$22,1)))</f>
        <v>0</v>
      </c>
      <c r="BU15" s="109" t="n">
        <f aca="false">Pipeline!$Q$22*Pipeline!$D$22*MIN(1,MAX(0,(71-Pipeline!$E$22+1)/MAX(Pipeline!$F$22,1)))</f>
        <v>0</v>
      </c>
      <c r="BV15" s="109" t="n">
        <f aca="false">Pipeline!$Q$22*Pipeline!$D$22*MIN(1,MAX(0,(72-Pipeline!$E$22+1)/MAX(Pipeline!$F$22,1)))</f>
        <v>0</v>
      </c>
      <c r="BW15" s="109" t="n">
        <f aca="false">Pipeline!$Q$22*Pipeline!$D$22*MIN(1,MAX(0,(73-Pipeline!$E$22+1)/MAX(Pipeline!$F$22,1)))</f>
        <v>0</v>
      </c>
      <c r="BX15" s="109" t="n">
        <f aca="false">Pipeline!$Q$22*Pipeline!$D$22*MIN(1,MAX(0,(74-Pipeline!$E$22+1)/MAX(Pipeline!$F$22,1)))</f>
        <v>0</v>
      </c>
      <c r="BY15" s="109" t="n">
        <f aca="false">Pipeline!$Q$22*Pipeline!$D$22*MIN(1,MAX(0,(75-Pipeline!$E$22+1)/MAX(Pipeline!$F$22,1)))</f>
        <v>0</v>
      </c>
      <c r="BZ15" s="109" t="n">
        <f aca="false">Pipeline!$Q$22*Pipeline!$D$22*MIN(1,MAX(0,(76-Pipeline!$E$22+1)/MAX(Pipeline!$F$22,1)))</f>
        <v>0</v>
      </c>
      <c r="CA15" s="109" t="n">
        <f aca="false">Pipeline!$Q$22*Pipeline!$D$22*MIN(1,MAX(0,(77-Pipeline!$E$22+1)/MAX(Pipeline!$F$22,1)))</f>
        <v>0</v>
      </c>
      <c r="CB15" s="109" t="n">
        <f aca="false">Pipeline!$Q$22*Pipeline!$D$22*MIN(1,MAX(0,(78-Pipeline!$E$22+1)/MAX(Pipeline!$F$22,1)))</f>
        <v>0</v>
      </c>
      <c r="CC15" s="109" t="n">
        <f aca="false">Pipeline!$Q$22*Pipeline!$D$22*MIN(1,MAX(0,(79-Pipeline!$E$22+1)/MAX(Pipeline!$F$22,1)))</f>
        <v>0</v>
      </c>
      <c r="CD15" s="109" t="n">
        <f aca="false">Pipeline!$Q$22*Pipeline!$D$22*MIN(1,MAX(0,(80-Pipeline!$E$22+1)/MAX(Pipeline!$F$22,1)))</f>
        <v>0</v>
      </c>
      <c r="CE15" s="109" t="n">
        <f aca="false">Pipeline!$Q$22*Pipeline!$D$22*MIN(1,MAX(0,(81-Pipeline!$E$22+1)/MAX(Pipeline!$F$22,1)))</f>
        <v>0</v>
      </c>
      <c r="CF15" s="109" t="n">
        <f aca="false">Pipeline!$Q$22*Pipeline!$D$22*MIN(1,MAX(0,(82-Pipeline!$E$22+1)/MAX(Pipeline!$F$22,1)))</f>
        <v>0</v>
      </c>
      <c r="CG15" s="109" t="n">
        <f aca="false">Pipeline!$Q$22*Pipeline!$D$22*MIN(1,MAX(0,(83-Pipeline!$E$22+1)/MAX(Pipeline!$F$22,1)))</f>
        <v>0</v>
      </c>
      <c r="CH15" s="109" t="n">
        <f aca="false">Pipeline!$Q$22*Pipeline!$D$22*MIN(1,MAX(0,(84-Pipeline!$E$22+1)/MAX(Pipeline!$F$22,1)))</f>
        <v>0</v>
      </c>
    </row>
    <row r="16" customFormat="false" ht="13.5" hidden="false" customHeight="true" outlineLevel="0" collapsed="false">
      <c r="A16" s="22" t="s">
        <v>524</v>
      </c>
      <c r="C16" s="109" t="n">
        <f aca="false">SUM(C9:C15)</f>
        <v>1005.575</v>
      </c>
      <c r="D16" s="109" t="n">
        <f aca="false">SUM(D9:D15)</f>
        <v>2089.45</v>
      </c>
      <c r="E16" s="109" t="n">
        <f aca="false">SUM(E9:E15)</f>
        <v>4351.903125</v>
      </c>
      <c r="F16" s="109" t="n">
        <f aca="false">SUM(F9:F15)</f>
        <v>5608.78125</v>
      </c>
      <c r="G16" s="109" t="n">
        <f aca="false">SUM(G9:G15)</f>
        <v>6787.359375</v>
      </c>
      <c r="H16" s="109" t="n">
        <f aca="false">SUM(H9:H15)</f>
        <v>8683.6875</v>
      </c>
      <c r="I16" s="109" t="n">
        <f aca="false">SUM(I9:I15)</f>
        <v>10580.015625</v>
      </c>
      <c r="J16" s="109" t="n">
        <f aca="false">SUM(J9:J15)</f>
        <v>12476.34375</v>
      </c>
      <c r="K16" s="109" t="n">
        <f aca="false">SUM(K9:K15)</f>
        <v>14372.671875</v>
      </c>
      <c r="L16" s="109" t="n">
        <f aca="false">SUM(L9:L15)</f>
        <v>16269</v>
      </c>
      <c r="M16" s="109" t="n">
        <f aca="false">SUM(M9:M15)</f>
        <v>16986.75</v>
      </c>
      <c r="N16" s="109" t="n">
        <f aca="false">SUM(N9:N15)</f>
        <v>18683.25</v>
      </c>
      <c r="O16" s="109" t="n">
        <f aca="false">SUM(O9:O15)</f>
        <v>20379.75</v>
      </c>
      <c r="P16" s="109" t="n">
        <f aca="false">SUM(P9:P15)</f>
        <v>21723.9</v>
      </c>
      <c r="Q16" s="109" t="n">
        <f aca="false">SUM(Q9:Q15)</f>
        <v>23068.05</v>
      </c>
      <c r="R16" s="109" t="n">
        <f aca="false">SUM(R9:R15)</f>
        <v>24412.2</v>
      </c>
      <c r="S16" s="109" t="n">
        <f aca="false">SUM(S9:S15)</f>
        <v>25756.35</v>
      </c>
      <c r="T16" s="109" t="n">
        <f aca="false">SUM(T9:T15)</f>
        <v>27100.5</v>
      </c>
      <c r="U16" s="109" t="n">
        <f aca="false">SUM(U9:U15)</f>
        <v>28444.65</v>
      </c>
      <c r="V16" s="109" t="n">
        <f aca="false">SUM(V9:V15)</f>
        <v>29788.8</v>
      </c>
      <c r="W16" s="109" t="n">
        <f aca="false">SUM(W9:W15)</f>
        <v>31132.95</v>
      </c>
      <c r="X16" s="109" t="n">
        <f aca="false">SUM(X9:X15)</f>
        <v>31498.35</v>
      </c>
      <c r="Y16" s="109" t="n">
        <f aca="false">SUM(Y9:Y15)</f>
        <v>31863.75</v>
      </c>
      <c r="Z16" s="109" t="n">
        <f aca="false">SUM(Z9:Z15)</f>
        <v>31863.75</v>
      </c>
      <c r="AA16" s="109" t="n">
        <f aca="false">SUM(AA9:AA15)</f>
        <v>31863.75</v>
      </c>
      <c r="AB16" s="109" t="n">
        <f aca="false">SUM(AB9:AB15)</f>
        <v>31863.75</v>
      </c>
      <c r="AC16" s="109" t="n">
        <f aca="false">SUM(AC9:AC15)</f>
        <v>31863.75</v>
      </c>
      <c r="AD16" s="109" t="n">
        <f aca="false">SUM(AD9:AD15)</f>
        <v>31863.75</v>
      </c>
      <c r="AE16" s="109" t="n">
        <f aca="false">SUM(AE9:AE15)</f>
        <v>31863.75</v>
      </c>
      <c r="AF16" s="109" t="n">
        <f aca="false">SUM(AF9:AF15)</f>
        <v>31863.75</v>
      </c>
      <c r="AG16" s="109" t="n">
        <f aca="false">SUM(AG9:AG15)</f>
        <v>31863.75</v>
      </c>
      <c r="AH16" s="109" t="n">
        <f aca="false">SUM(AH9:AH15)</f>
        <v>31863.75</v>
      </c>
      <c r="AI16" s="109" t="n">
        <f aca="false">SUM(AI9:AI15)</f>
        <v>31863.75</v>
      </c>
      <c r="AJ16" s="109" t="n">
        <f aca="false">SUM(AJ9:AJ15)</f>
        <v>31863.75</v>
      </c>
      <c r="AK16" s="109" t="n">
        <f aca="false">SUM(AK9:AK15)</f>
        <v>31863.75</v>
      </c>
      <c r="AL16" s="109" t="n">
        <f aca="false">SUM(AL9:AL15)</f>
        <v>31863.75</v>
      </c>
      <c r="AM16" s="109" t="n">
        <f aca="false">SUM(AM9:AM15)</f>
        <v>31863.75</v>
      </c>
      <c r="AN16" s="109" t="n">
        <f aca="false">SUM(AN9:AN15)</f>
        <v>31863.75</v>
      </c>
      <c r="AO16" s="109" t="n">
        <f aca="false">SUM(AO9:AO15)</f>
        <v>31863.75</v>
      </c>
      <c r="AP16" s="109" t="n">
        <f aca="false">SUM(AP9:AP15)</f>
        <v>31863.75</v>
      </c>
      <c r="AQ16" s="109" t="n">
        <f aca="false">SUM(AQ9:AQ15)</f>
        <v>31863.75</v>
      </c>
      <c r="AR16" s="109" t="n">
        <f aca="false">SUM(AR9:AR15)</f>
        <v>31863.75</v>
      </c>
      <c r="AS16" s="109" t="n">
        <f aca="false">SUM(AS9:AS15)</f>
        <v>31863.75</v>
      </c>
      <c r="AT16" s="109" t="n">
        <f aca="false">SUM(AT9:AT15)</f>
        <v>31863.75</v>
      </c>
      <c r="AU16" s="109" t="n">
        <f aca="false">SUM(AU9:AU15)</f>
        <v>31863.75</v>
      </c>
      <c r="AV16" s="109" t="n">
        <f aca="false">SUM(AV9:AV15)</f>
        <v>31863.75</v>
      </c>
      <c r="AW16" s="109" t="n">
        <f aca="false">SUM(AW9:AW15)</f>
        <v>31863.75</v>
      </c>
      <c r="AX16" s="109" t="n">
        <f aca="false">SUM(AX9:AX15)</f>
        <v>31863.75</v>
      </c>
      <c r="AY16" s="109" t="n">
        <f aca="false">SUM(AY9:AY15)</f>
        <v>31863.75</v>
      </c>
      <c r="AZ16" s="109" t="n">
        <f aca="false">SUM(AZ9:AZ15)</f>
        <v>31863.75</v>
      </c>
      <c r="BA16" s="109" t="n">
        <f aca="false">SUM(BA9:BA15)</f>
        <v>31863.75</v>
      </c>
      <c r="BB16" s="109" t="n">
        <f aca="false">SUM(BB9:BB15)</f>
        <v>31863.75</v>
      </c>
      <c r="BC16" s="109" t="n">
        <f aca="false">SUM(BC9:BC15)</f>
        <v>31863.75</v>
      </c>
      <c r="BD16" s="109" t="n">
        <f aca="false">SUM(BD9:BD15)</f>
        <v>31863.75</v>
      </c>
      <c r="BE16" s="109" t="n">
        <f aca="false">SUM(BE9:BE15)</f>
        <v>31863.75</v>
      </c>
      <c r="BF16" s="109" t="n">
        <f aca="false">SUM(BF9:BF15)</f>
        <v>31863.75</v>
      </c>
      <c r="BG16" s="109" t="n">
        <f aca="false">SUM(BG9:BG15)</f>
        <v>31863.75</v>
      </c>
      <c r="BH16" s="109" t="n">
        <f aca="false">SUM(BH9:BH15)</f>
        <v>31863.75</v>
      </c>
      <c r="BI16" s="109" t="n">
        <f aca="false">SUM(BI9:BI15)</f>
        <v>31863.75</v>
      </c>
      <c r="BJ16" s="109" t="n">
        <f aca="false">SUM(BJ9:BJ15)</f>
        <v>31863.75</v>
      </c>
      <c r="BK16" s="109" t="n">
        <f aca="false">SUM(BK9:BK15)</f>
        <v>31863.75</v>
      </c>
      <c r="BL16" s="109" t="n">
        <f aca="false">SUM(BL9:BL15)</f>
        <v>31863.75</v>
      </c>
      <c r="BM16" s="109" t="n">
        <f aca="false">SUM(BM9:BM15)</f>
        <v>31863.75</v>
      </c>
      <c r="BN16" s="109" t="n">
        <f aca="false">SUM(BN9:BN15)</f>
        <v>31863.75</v>
      </c>
      <c r="BO16" s="109" t="n">
        <f aca="false">SUM(BO9:BO15)</f>
        <v>31863.75</v>
      </c>
      <c r="BP16" s="109" t="n">
        <f aca="false">SUM(BP9:BP15)</f>
        <v>31863.75</v>
      </c>
      <c r="BQ16" s="109" t="n">
        <f aca="false">SUM(BQ9:BQ15)</f>
        <v>31863.75</v>
      </c>
      <c r="BR16" s="109" t="n">
        <f aca="false">SUM(BR9:BR15)</f>
        <v>31863.75</v>
      </c>
      <c r="BS16" s="109" t="n">
        <f aca="false">SUM(BS9:BS15)</f>
        <v>31863.75</v>
      </c>
      <c r="BT16" s="109" t="n">
        <f aca="false">SUM(BT9:BT15)</f>
        <v>31863.75</v>
      </c>
      <c r="BU16" s="109" t="n">
        <f aca="false">SUM(BU9:BU15)</f>
        <v>31863.75</v>
      </c>
      <c r="BV16" s="109" t="n">
        <f aca="false">SUM(BV9:BV15)</f>
        <v>31863.75</v>
      </c>
      <c r="BW16" s="109" t="n">
        <f aca="false">SUM(BW9:BW15)</f>
        <v>31863.75</v>
      </c>
      <c r="BX16" s="109" t="n">
        <f aca="false">SUM(BX9:BX15)</f>
        <v>31863.75</v>
      </c>
      <c r="BY16" s="109" t="n">
        <f aca="false">SUM(BY9:BY15)</f>
        <v>31863.75</v>
      </c>
      <c r="BZ16" s="109" t="n">
        <f aca="false">SUM(BZ9:BZ15)</f>
        <v>31863.75</v>
      </c>
      <c r="CA16" s="109" t="n">
        <f aca="false">SUM(CA9:CA15)</f>
        <v>31863.75</v>
      </c>
      <c r="CB16" s="109" t="n">
        <f aca="false">SUM(CB9:CB15)</f>
        <v>31863.75</v>
      </c>
      <c r="CC16" s="109" t="n">
        <f aca="false">SUM(CC9:CC15)</f>
        <v>31863.75</v>
      </c>
      <c r="CD16" s="109" t="n">
        <f aca="false">SUM(CD9:CD15)</f>
        <v>31863.75</v>
      </c>
      <c r="CE16" s="109" t="n">
        <f aca="false">SUM(CE9:CE15)</f>
        <v>31863.75</v>
      </c>
      <c r="CF16" s="109" t="n">
        <f aca="false">SUM(CF9:CF15)</f>
        <v>31863.75</v>
      </c>
      <c r="CG16" s="109" t="n">
        <f aca="false">SUM(CG9:CG15)</f>
        <v>31863.75</v>
      </c>
      <c r="CH16" s="109" t="n">
        <f aca="false">SUM(CH9:CH15)</f>
        <v>31863.75</v>
      </c>
    </row>
    <row r="17" customFormat="false" ht="13.5" hidden="false" customHeight="true" outlineLevel="0" collapsed="false">
      <c r="A17" s="6" t="s">
        <v>525</v>
      </c>
      <c r="C17" s="110" t="n">
        <f aca="false">(Pipeline!$T$16*Pipeline!$D$16*MIN(1,MAX(0,(1-Pipeline!$E$16+1)/MAX(Pipeline!$F$16,1)))+Pipeline!$T$17*Pipeline!$D$17*MIN(1,MAX(0,(1-Pipeline!$E$17+1)/MAX(Pipeline!$F$17,1)))+Pipeline!$T$18*Pipeline!$D$18*MIN(1,MAX(0,(1-Pipeline!$E$18+1)/MAX(Pipeline!$F$18,1)))+Pipeline!$T$19*Pipeline!$D$19*MIN(1,MAX(0,(1-Pipeline!$E$19+1)/MAX(Pipeline!$F$19,1)))+Pipeline!$T$20*Pipeline!$D$20*MIN(1,MAX(0,(1-Pipeline!$E$20+1)/MAX(Pipeline!$F$20,1)))+Pipeline!$T$21*Pipeline!$D$21*MIN(1,MAX(0,(1-Pipeline!$E$21+1)/MAX(Pipeline!$F$21,1)))+Pipeline!$T$22*Pipeline!$D$22*MIN(1,MAX(0,(1-Pipeline!$E$22+1)/MAX(Pipeline!$F$22,1))))/Hipótesis!$C$17</f>
        <v>111.865942028985</v>
      </c>
      <c r="D17" s="110" t="n">
        <f aca="false">(Pipeline!$T$16*Pipeline!$D$16*MIN(1,MAX(0,(2-Pipeline!$E$16+1)/MAX(Pipeline!$F$16,1)))+Pipeline!$T$17*Pipeline!$D$17*MIN(1,MAX(0,(2-Pipeline!$E$17+1)/MAX(Pipeline!$F$17,1)))+Pipeline!$T$18*Pipeline!$D$18*MIN(1,MAX(0,(2-Pipeline!$E$18+1)/MAX(Pipeline!$F$18,1)))+Pipeline!$T$19*Pipeline!$D$19*MIN(1,MAX(0,(2-Pipeline!$E$19+1)/MAX(Pipeline!$F$19,1)))+Pipeline!$T$20*Pipeline!$D$20*MIN(1,MAX(0,(2-Pipeline!$E$20+1)/MAX(Pipeline!$F$20,1)))+Pipeline!$T$21*Pipeline!$D$21*MIN(1,MAX(0,(2-Pipeline!$E$21+1)/MAX(Pipeline!$F$21,1)))+Pipeline!$T$22*Pipeline!$D$22*MIN(1,MAX(0,(2-Pipeline!$E$22+1)/MAX(Pipeline!$F$22,1))))/Hipótesis!$C$17</f>
        <v>240.419863597613</v>
      </c>
      <c r="E17" s="110" t="n">
        <f aca="false">(Pipeline!$T$16*Pipeline!$D$16*MIN(1,MAX(0,(3-Pipeline!$E$16+1)/MAX(Pipeline!$F$16,1)))+Pipeline!$T$17*Pipeline!$D$17*MIN(1,MAX(0,(3-Pipeline!$E$17+1)/MAX(Pipeline!$F$17,1)))+Pipeline!$T$18*Pipeline!$D$18*MIN(1,MAX(0,(3-Pipeline!$E$18+1)/MAX(Pipeline!$F$18,1)))+Pipeline!$T$19*Pipeline!$D$19*MIN(1,MAX(0,(3-Pipeline!$E$19+1)/MAX(Pipeline!$F$19,1)))+Pipeline!$T$20*Pipeline!$D$20*MIN(1,MAX(0,(3-Pipeline!$E$20+1)/MAX(Pipeline!$F$20,1)))+Pipeline!$T$21*Pipeline!$D$21*MIN(1,MAX(0,(3-Pipeline!$E$21+1)/MAX(Pipeline!$F$21,1)))+Pipeline!$T$22*Pipeline!$D$22*MIN(1,MAX(0,(3-Pipeline!$E$22+1)/MAX(Pipeline!$F$22,1))))/Hipótesis!$C$17</f>
        <v>585.726641199958</v>
      </c>
      <c r="F17" s="110" t="n">
        <f aca="false">(Pipeline!$T$16*Pipeline!$D$16*MIN(1,MAX(0,(4-Pipeline!$E$16+1)/MAX(Pipeline!$F$16,1)))+Pipeline!$T$17*Pipeline!$D$17*MIN(1,MAX(0,(4-Pipeline!$E$17+1)/MAX(Pipeline!$F$17,1)))+Pipeline!$T$18*Pipeline!$D$18*MIN(1,MAX(0,(4-Pipeline!$E$18+1)/MAX(Pipeline!$F$18,1)))+Pipeline!$T$19*Pipeline!$D$19*MIN(1,MAX(0,(4-Pipeline!$E$19+1)/MAX(Pipeline!$F$19,1)))+Pipeline!$T$20*Pipeline!$D$20*MIN(1,MAX(0,(4-Pipeline!$E$20+1)/MAX(Pipeline!$F$20,1)))+Pipeline!$T$21*Pipeline!$D$21*MIN(1,MAX(0,(4-Pipeline!$E$21+1)/MAX(Pipeline!$F$21,1)))+Pipeline!$T$22*Pipeline!$D$22*MIN(1,MAX(0,(4-Pipeline!$E$22+1)/MAX(Pipeline!$F$22,1))))/Hipótesis!$C$17</f>
        <v>819.167476773318</v>
      </c>
      <c r="G17" s="110" t="n">
        <f aca="false">(Pipeline!$T$16*Pipeline!$D$16*MIN(1,MAX(0,(5-Pipeline!$E$16+1)/MAX(Pipeline!$F$16,1)))+Pipeline!$T$17*Pipeline!$D$17*MIN(1,MAX(0,(5-Pipeline!$E$17+1)/MAX(Pipeline!$F$17,1)))+Pipeline!$T$18*Pipeline!$D$18*MIN(1,MAX(0,(5-Pipeline!$E$18+1)/MAX(Pipeline!$F$18,1)))+Pipeline!$T$19*Pipeline!$D$19*MIN(1,MAX(0,(5-Pipeline!$E$19+1)/MAX(Pipeline!$F$19,1)))+Pipeline!$T$20*Pipeline!$D$20*MIN(1,MAX(0,(5-Pipeline!$E$20+1)/MAX(Pipeline!$F$20,1)))+Pipeline!$T$21*Pipeline!$D$21*MIN(1,MAX(0,(5-Pipeline!$E$21+1)/MAX(Pipeline!$F$21,1)))+Pipeline!$T$22*Pipeline!$D$22*MIN(1,MAX(0,(5-Pipeline!$E$22+1)/MAX(Pipeline!$F$22,1))))/Hipótesis!$C$17</f>
        <v>1035.92033280704</v>
      </c>
      <c r="H17" s="110" t="n">
        <f aca="false">(Pipeline!$T$16*Pipeline!$D$16*MIN(1,MAX(0,(6-Pipeline!$E$16+1)/MAX(Pipeline!$F$16,1)))+Pipeline!$T$17*Pipeline!$D$17*MIN(1,MAX(0,(6-Pipeline!$E$17+1)/MAX(Pipeline!$F$17,1)))+Pipeline!$T$18*Pipeline!$D$18*MIN(1,MAX(0,(6-Pipeline!$E$18+1)/MAX(Pipeline!$F$18,1)))+Pipeline!$T$19*Pipeline!$D$19*MIN(1,MAX(0,(6-Pipeline!$E$19+1)/MAX(Pipeline!$F$19,1)))+Pipeline!$T$20*Pipeline!$D$20*MIN(1,MAX(0,(6-Pipeline!$E$20+1)/MAX(Pipeline!$F$20,1)))+Pipeline!$T$21*Pipeline!$D$21*MIN(1,MAX(0,(6-Pipeline!$E$21+1)/MAX(Pipeline!$F$21,1)))+Pipeline!$T$22*Pipeline!$D$22*MIN(1,MAX(0,(6-Pipeline!$E$22+1)/MAX(Pipeline!$F$22,1))))/Hipótesis!$C$17</f>
        <v>1443.88962106582</v>
      </c>
      <c r="I17" s="110" t="n">
        <f aca="false">(Pipeline!$T$16*Pipeline!$D$16*MIN(1,MAX(0,(7-Pipeline!$E$16+1)/MAX(Pipeline!$F$16,1)))+Pipeline!$T$17*Pipeline!$D$17*MIN(1,MAX(0,(7-Pipeline!$E$17+1)/MAX(Pipeline!$F$17,1)))+Pipeline!$T$18*Pipeline!$D$18*MIN(1,MAX(0,(7-Pipeline!$E$18+1)/MAX(Pipeline!$F$18,1)))+Pipeline!$T$19*Pipeline!$D$19*MIN(1,MAX(0,(7-Pipeline!$E$19+1)/MAX(Pipeline!$F$19,1)))+Pipeline!$T$20*Pipeline!$D$20*MIN(1,MAX(0,(7-Pipeline!$E$20+1)/MAX(Pipeline!$F$20,1)))+Pipeline!$T$21*Pipeline!$D$21*MIN(1,MAX(0,(7-Pipeline!$E$21+1)/MAX(Pipeline!$F$21,1)))+Pipeline!$T$22*Pipeline!$D$22*MIN(1,MAX(0,(7-Pipeline!$E$22+1)/MAX(Pipeline!$F$22,1))))/Hipótesis!$C$17</f>
        <v>1851.8589093246</v>
      </c>
      <c r="J17" s="110" t="n">
        <f aca="false">(Pipeline!$T$16*Pipeline!$D$16*MIN(1,MAX(0,(8-Pipeline!$E$16+1)/MAX(Pipeline!$F$16,1)))+Pipeline!$T$17*Pipeline!$D$17*MIN(1,MAX(0,(8-Pipeline!$E$17+1)/MAX(Pipeline!$F$17,1)))+Pipeline!$T$18*Pipeline!$D$18*MIN(1,MAX(0,(8-Pipeline!$E$18+1)/MAX(Pipeline!$F$18,1)))+Pipeline!$T$19*Pipeline!$D$19*MIN(1,MAX(0,(8-Pipeline!$E$19+1)/MAX(Pipeline!$F$19,1)))+Pipeline!$T$20*Pipeline!$D$20*MIN(1,MAX(0,(8-Pipeline!$E$20+1)/MAX(Pipeline!$F$20,1)))+Pipeline!$T$21*Pipeline!$D$21*MIN(1,MAX(0,(8-Pipeline!$E$21+1)/MAX(Pipeline!$F$21,1)))+Pipeline!$T$22*Pipeline!$D$22*MIN(1,MAX(0,(8-Pipeline!$E$22+1)/MAX(Pipeline!$F$22,1))))/Hipótesis!$C$17</f>
        <v>2259.82819758338</v>
      </c>
      <c r="K17" s="110" t="n">
        <f aca="false">(Pipeline!$T$16*Pipeline!$D$16*MIN(1,MAX(0,(9-Pipeline!$E$16+1)/MAX(Pipeline!$F$16,1)))+Pipeline!$T$17*Pipeline!$D$17*MIN(1,MAX(0,(9-Pipeline!$E$17+1)/MAX(Pipeline!$F$17,1)))+Pipeline!$T$18*Pipeline!$D$18*MIN(1,MAX(0,(9-Pipeline!$E$18+1)/MAX(Pipeline!$F$18,1)))+Pipeline!$T$19*Pipeline!$D$19*MIN(1,MAX(0,(9-Pipeline!$E$19+1)/MAX(Pipeline!$F$19,1)))+Pipeline!$T$20*Pipeline!$D$20*MIN(1,MAX(0,(9-Pipeline!$E$20+1)/MAX(Pipeline!$F$20,1)))+Pipeline!$T$21*Pipeline!$D$21*MIN(1,MAX(0,(9-Pipeline!$E$21+1)/MAX(Pipeline!$F$21,1)))+Pipeline!$T$22*Pipeline!$D$22*MIN(1,MAX(0,(9-Pipeline!$E$22+1)/MAX(Pipeline!$F$22,1))))/Hipótesis!$C$17</f>
        <v>2667.79748584216</v>
      </c>
      <c r="L17" s="110" t="n">
        <f aca="false">(Pipeline!$T$16*Pipeline!$D$16*MIN(1,MAX(0,(10-Pipeline!$E$16+1)/MAX(Pipeline!$F$16,1)))+Pipeline!$T$17*Pipeline!$D$17*MIN(1,MAX(0,(10-Pipeline!$E$17+1)/MAX(Pipeline!$F$17,1)))+Pipeline!$T$18*Pipeline!$D$18*MIN(1,MAX(0,(10-Pipeline!$E$18+1)/MAX(Pipeline!$F$18,1)))+Pipeline!$T$19*Pipeline!$D$19*MIN(1,MAX(0,(10-Pipeline!$E$19+1)/MAX(Pipeline!$F$19,1)))+Pipeline!$T$20*Pipeline!$D$20*MIN(1,MAX(0,(10-Pipeline!$E$20+1)/MAX(Pipeline!$F$20,1)))+Pipeline!$T$21*Pipeline!$D$21*MIN(1,MAX(0,(10-Pipeline!$E$21+1)/MAX(Pipeline!$F$21,1)))+Pipeline!$T$22*Pipeline!$D$22*MIN(1,MAX(0,(10-Pipeline!$E$22+1)/MAX(Pipeline!$F$22,1))))/Hipótesis!$C$17</f>
        <v>3075.76677410094</v>
      </c>
      <c r="M17" s="110" t="n">
        <f aca="false">(Pipeline!$T$16*Pipeline!$D$16*MIN(1,MAX(0,(11-Pipeline!$E$16+1)/MAX(Pipeline!$F$16,1)))+Pipeline!$T$17*Pipeline!$D$17*MIN(1,MAX(0,(11-Pipeline!$E$17+1)/MAX(Pipeline!$F$17,1)))+Pipeline!$T$18*Pipeline!$D$18*MIN(1,MAX(0,(11-Pipeline!$E$18+1)/MAX(Pipeline!$F$18,1)))+Pipeline!$T$19*Pipeline!$D$19*MIN(1,MAX(0,(11-Pipeline!$E$19+1)/MAX(Pipeline!$F$19,1)))+Pipeline!$T$20*Pipeline!$D$20*MIN(1,MAX(0,(11-Pipeline!$E$20+1)/MAX(Pipeline!$F$20,1)))+Pipeline!$T$21*Pipeline!$D$21*MIN(1,MAX(0,(11-Pipeline!$E$21+1)/MAX(Pipeline!$F$21,1)))+Pipeline!$T$22*Pipeline!$D$22*MIN(1,MAX(0,(11-Pipeline!$E$22+1)/MAX(Pipeline!$F$22,1))))/Hipótesis!$C$17</f>
        <v>3266.98320632601</v>
      </c>
      <c r="N17" s="110" t="n">
        <f aca="false">(Pipeline!$T$16*Pipeline!$D$16*MIN(1,MAX(0,(12-Pipeline!$E$16+1)/MAX(Pipeline!$F$16,1)))+Pipeline!$T$17*Pipeline!$D$17*MIN(1,MAX(0,(12-Pipeline!$E$17+1)/MAX(Pipeline!$F$17,1)))+Pipeline!$T$18*Pipeline!$D$18*MIN(1,MAX(0,(12-Pipeline!$E$18+1)/MAX(Pipeline!$F$18,1)))+Pipeline!$T$19*Pipeline!$D$19*MIN(1,MAX(0,(12-Pipeline!$E$19+1)/MAX(Pipeline!$F$19,1)))+Pipeline!$T$20*Pipeline!$D$20*MIN(1,MAX(0,(12-Pipeline!$E$20+1)/MAX(Pipeline!$F$20,1)))+Pipeline!$T$21*Pipeline!$D$21*MIN(1,MAX(0,(12-Pipeline!$E$21+1)/MAX(Pipeline!$F$21,1)))+Pipeline!$T$22*Pipeline!$D$22*MIN(1,MAX(0,(12-Pipeline!$E$22+1)/MAX(Pipeline!$F$22,1))))/Hipótesis!$C$17</f>
        <v>3736.33263087844</v>
      </c>
      <c r="O17" s="110" t="n">
        <f aca="false">(Pipeline!$T$16*Pipeline!$D$16*MIN(1,MAX(0,(13-Pipeline!$E$16+1)/MAX(Pipeline!$F$16,1)))+Pipeline!$T$17*Pipeline!$D$17*MIN(1,MAX(0,(13-Pipeline!$E$17+1)/MAX(Pipeline!$F$17,1)))+Pipeline!$T$18*Pipeline!$D$18*MIN(1,MAX(0,(13-Pipeline!$E$18+1)/MAX(Pipeline!$F$18,1)))+Pipeline!$T$19*Pipeline!$D$19*MIN(1,MAX(0,(13-Pipeline!$E$19+1)/MAX(Pipeline!$F$19,1)))+Pipeline!$T$20*Pipeline!$D$20*MIN(1,MAX(0,(13-Pipeline!$E$20+1)/MAX(Pipeline!$F$20,1)))+Pipeline!$T$21*Pipeline!$D$21*MIN(1,MAX(0,(13-Pipeline!$E$21+1)/MAX(Pipeline!$F$21,1)))+Pipeline!$T$22*Pipeline!$D$22*MIN(1,MAX(0,(13-Pipeline!$E$22+1)/MAX(Pipeline!$F$22,1))))/Hipótesis!$C$17</f>
        <v>4205.68205543087</v>
      </c>
      <c r="P17" s="110" t="n">
        <f aca="false">(Pipeline!$T$16*Pipeline!$D$16*MIN(1,MAX(0,(14-Pipeline!$E$16+1)/MAX(Pipeline!$F$16,1)))+Pipeline!$T$17*Pipeline!$D$17*MIN(1,MAX(0,(14-Pipeline!$E$17+1)/MAX(Pipeline!$F$17,1)))+Pipeline!$T$18*Pipeline!$D$18*MIN(1,MAX(0,(14-Pipeline!$E$18+1)/MAX(Pipeline!$F$18,1)))+Pipeline!$T$19*Pipeline!$D$19*MIN(1,MAX(0,(14-Pipeline!$E$19+1)/MAX(Pipeline!$F$19,1)))+Pipeline!$T$20*Pipeline!$D$20*MIN(1,MAX(0,(14-Pipeline!$E$20+1)/MAX(Pipeline!$F$20,1)))+Pipeline!$T$21*Pipeline!$D$21*MIN(1,MAX(0,(14-Pipeline!$E$21+1)/MAX(Pipeline!$F$21,1)))+Pipeline!$T$22*Pipeline!$D$22*MIN(1,MAX(0,(14-Pipeline!$E$22+1)/MAX(Pipeline!$F$22,1))))/Hipótesis!$C$17</f>
        <v>4595.06824468918</v>
      </c>
      <c r="Q17" s="110" t="n">
        <f aca="false">(Pipeline!$T$16*Pipeline!$D$16*MIN(1,MAX(0,(15-Pipeline!$E$16+1)/MAX(Pipeline!$F$16,1)))+Pipeline!$T$17*Pipeline!$D$17*MIN(1,MAX(0,(15-Pipeline!$E$17+1)/MAX(Pipeline!$F$17,1)))+Pipeline!$T$18*Pipeline!$D$18*MIN(1,MAX(0,(15-Pipeline!$E$18+1)/MAX(Pipeline!$F$18,1)))+Pipeline!$T$19*Pipeline!$D$19*MIN(1,MAX(0,(15-Pipeline!$E$19+1)/MAX(Pipeline!$F$19,1)))+Pipeline!$T$20*Pipeline!$D$20*MIN(1,MAX(0,(15-Pipeline!$E$20+1)/MAX(Pipeline!$F$20,1)))+Pipeline!$T$21*Pipeline!$D$21*MIN(1,MAX(0,(15-Pipeline!$E$21+1)/MAX(Pipeline!$F$21,1)))+Pipeline!$T$22*Pipeline!$D$22*MIN(1,MAX(0,(15-Pipeline!$E$22+1)/MAX(Pipeline!$F$22,1))))/Hipótesis!$C$17</f>
        <v>4984.45443394749</v>
      </c>
      <c r="R17" s="110" t="n">
        <f aca="false">(Pipeline!$T$16*Pipeline!$D$16*MIN(1,MAX(0,(16-Pipeline!$E$16+1)/MAX(Pipeline!$F$16,1)))+Pipeline!$T$17*Pipeline!$D$17*MIN(1,MAX(0,(16-Pipeline!$E$17+1)/MAX(Pipeline!$F$17,1)))+Pipeline!$T$18*Pipeline!$D$18*MIN(1,MAX(0,(16-Pipeline!$E$18+1)/MAX(Pipeline!$F$18,1)))+Pipeline!$T$19*Pipeline!$D$19*MIN(1,MAX(0,(16-Pipeline!$E$19+1)/MAX(Pipeline!$F$19,1)))+Pipeline!$T$20*Pipeline!$D$20*MIN(1,MAX(0,(16-Pipeline!$E$20+1)/MAX(Pipeline!$F$20,1)))+Pipeline!$T$21*Pipeline!$D$21*MIN(1,MAX(0,(16-Pipeline!$E$21+1)/MAX(Pipeline!$F$21,1)))+Pipeline!$T$22*Pipeline!$D$22*MIN(1,MAX(0,(16-Pipeline!$E$22+1)/MAX(Pipeline!$F$22,1))))/Hipótesis!$C$17</f>
        <v>5373.8406232058</v>
      </c>
      <c r="S17" s="110" t="n">
        <f aca="false">(Pipeline!$T$16*Pipeline!$D$16*MIN(1,MAX(0,(17-Pipeline!$E$16+1)/MAX(Pipeline!$F$16,1)))+Pipeline!$T$17*Pipeline!$D$17*MIN(1,MAX(0,(17-Pipeline!$E$17+1)/MAX(Pipeline!$F$17,1)))+Pipeline!$T$18*Pipeline!$D$18*MIN(1,MAX(0,(17-Pipeline!$E$18+1)/MAX(Pipeline!$F$18,1)))+Pipeline!$T$19*Pipeline!$D$19*MIN(1,MAX(0,(17-Pipeline!$E$19+1)/MAX(Pipeline!$F$19,1)))+Pipeline!$T$20*Pipeline!$D$20*MIN(1,MAX(0,(17-Pipeline!$E$20+1)/MAX(Pipeline!$F$20,1)))+Pipeline!$T$21*Pipeline!$D$21*MIN(1,MAX(0,(17-Pipeline!$E$21+1)/MAX(Pipeline!$F$21,1)))+Pipeline!$T$22*Pipeline!$D$22*MIN(1,MAX(0,(17-Pipeline!$E$22+1)/MAX(Pipeline!$F$22,1))))/Hipótesis!$C$17</f>
        <v>5763.22681246412</v>
      </c>
      <c r="T17" s="110" t="n">
        <f aca="false">(Pipeline!$T$16*Pipeline!$D$16*MIN(1,MAX(0,(18-Pipeline!$E$16+1)/MAX(Pipeline!$F$16,1)))+Pipeline!$T$17*Pipeline!$D$17*MIN(1,MAX(0,(18-Pipeline!$E$17+1)/MAX(Pipeline!$F$17,1)))+Pipeline!$T$18*Pipeline!$D$18*MIN(1,MAX(0,(18-Pipeline!$E$18+1)/MAX(Pipeline!$F$18,1)))+Pipeline!$T$19*Pipeline!$D$19*MIN(1,MAX(0,(18-Pipeline!$E$19+1)/MAX(Pipeline!$F$19,1)))+Pipeline!$T$20*Pipeline!$D$20*MIN(1,MAX(0,(18-Pipeline!$E$20+1)/MAX(Pipeline!$F$20,1)))+Pipeline!$T$21*Pipeline!$D$21*MIN(1,MAX(0,(18-Pipeline!$E$21+1)/MAX(Pipeline!$F$21,1)))+Pipeline!$T$22*Pipeline!$D$22*MIN(1,MAX(0,(18-Pipeline!$E$22+1)/MAX(Pipeline!$F$22,1))))/Hipótesis!$C$17</f>
        <v>6152.61300172243</v>
      </c>
      <c r="U17" s="110" t="n">
        <f aca="false">(Pipeline!$T$16*Pipeline!$D$16*MIN(1,MAX(0,(19-Pipeline!$E$16+1)/MAX(Pipeline!$F$16,1)))+Pipeline!$T$17*Pipeline!$D$17*MIN(1,MAX(0,(19-Pipeline!$E$17+1)/MAX(Pipeline!$F$17,1)))+Pipeline!$T$18*Pipeline!$D$18*MIN(1,MAX(0,(19-Pipeline!$E$18+1)/MAX(Pipeline!$F$18,1)))+Pipeline!$T$19*Pipeline!$D$19*MIN(1,MAX(0,(19-Pipeline!$E$19+1)/MAX(Pipeline!$F$19,1)))+Pipeline!$T$20*Pipeline!$D$20*MIN(1,MAX(0,(19-Pipeline!$E$20+1)/MAX(Pipeline!$F$20,1)))+Pipeline!$T$21*Pipeline!$D$21*MIN(1,MAX(0,(19-Pipeline!$E$21+1)/MAX(Pipeline!$F$21,1)))+Pipeline!$T$22*Pipeline!$D$22*MIN(1,MAX(0,(19-Pipeline!$E$22+1)/MAX(Pipeline!$F$22,1))))/Hipótesis!$C$17</f>
        <v>6541.99919098074</v>
      </c>
      <c r="V17" s="110" t="n">
        <f aca="false">(Pipeline!$T$16*Pipeline!$D$16*MIN(1,MAX(0,(20-Pipeline!$E$16+1)/MAX(Pipeline!$F$16,1)))+Pipeline!$T$17*Pipeline!$D$17*MIN(1,MAX(0,(20-Pipeline!$E$17+1)/MAX(Pipeline!$F$17,1)))+Pipeline!$T$18*Pipeline!$D$18*MIN(1,MAX(0,(20-Pipeline!$E$18+1)/MAX(Pipeline!$F$18,1)))+Pipeline!$T$19*Pipeline!$D$19*MIN(1,MAX(0,(20-Pipeline!$E$19+1)/MAX(Pipeline!$F$19,1)))+Pipeline!$T$20*Pipeline!$D$20*MIN(1,MAX(0,(20-Pipeline!$E$20+1)/MAX(Pipeline!$F$20,1)))+Pipeline!$T$21*Pipeline!$D$21*MIN(1,MAX(0,(20-Pipeline!$E$21+1)/MAX(Pipeline!$F$21,1)))+Pipeline!$T$22*Pipeline!$D$22*MIN(1,MAX(0,(20-Pipeline!$E$22+1)/MAX(Pipeline!$F$22,1))))/Hipótesis!$C$17</f>
        <v>6931.38538023905</v>
      </c>
      <c r="W17" s="110" t="n">
        <f aca="false">(Pipeline!$T$16*Pipeline!$D$16*MIN(1,MAX(0,(21-Pipeline!$E$16+1)/MAX(Pipeline!$F$16,1)))+Pipeline!$T$17*Pipeline!$D$17*MIN(1,MAX(0,(21-Pipeline!$E$17+1)/MAX(Pipeline!$F$17,1)))+Pipeline!$T$18*Pipeline!$D$18*MIN(1,MAX(0,(21-Pipeline!$E$18+1)/MAX(Pipeline!$F$18,1)))+Pipeline!$T$19*Pipeline!$D$19*MIN(1,MAX(0,(21-Pipeline!$E$19+1)/MAX(Pipeline!$F$19,1)))+Pipeline!$T$20*Pipeline!$D$20*MIN(1,MAX(0,(21-Pipeline!$E$20+1)/MAX(Pipeline!$F$20,1)))+Pipeline!$T$21*Pipeline!$D$21*MIN(1,MAX(0,(21-Pipeline!$E$21+1)/MAX(Pipeline!$F$21,1)))+Pipeline!$T$22*Pipeline!$D$22*MIN(1,MAX(0,(21-Pipeline!$E$22+1)/MAX(Pipeline!$F$22,1))))/Hipótesis!$C$17</f>
        <v>7320.77156949736</v>
      </c>
      <c r="X17" s="110" t="n">
        <f aca="false">(Pipeline!$T$16*Pipeline!$D$16*MIN(1,MAX(0,(22-Pipeline!$E$16+1)/MAX(Pipeline!$F$16,1)))+Pipeline!$T$17*Pipeline!$D$17*MIN(1,MAX(0,(22-Pipeline!$E$17+1)/MAX(Pipeline!$F$17,1)))+Pipeline!$T$18*Pipeline!$D$18*MIN(1,MAX(0,(22-Pipeline!$E$18+1)/MAX(Pipeline!$F$18,1)))+Pipeline!$T$19*Pipeline!$D$19*MIN(1,MAX(0,(22-Pipeline!$E$19+1)/MAX(Pipeline!$F$19,1)))+Pipeline!$T$20*Pipeline!$D$20*MIN(1,MAX(0,(22-Pipeline!$E$20+1)/MAX(Pipeline!$F$20,1)))+Pipeline!$T$21*Pipeline!$D$21*MIN(1,MAX(0,(22-Pipeline!$E$21+1)/MAX(Pipeline!$F$21,1)))+Pipeline!$T$22*Pipeline!$D$22*MIN(1,MAX(0,(22-Pipeline!$E$22+1)/MAX(Pipeline!$F$22,1))))/Hipótesis!$C$17</f>
        <v>7432.02476642831</v>
      </c>
      <c r="Y17" s="110" t="n">
        <f aca="false">(Pipeline!$T$16*Pipeline!$D$16*MIN(1,MAX(0,(23-Pipeline!$E$16+1)/MAX(Pipeline!$F$16,1)))+Pipeline!$T$17*Pipeline!$D$17*MIN(1,MAX(0,(23-Pipeline!$E$17+1)/MAX(Pipeline!$F$17,1)))+Pipeline!$T$18*Pipeline!$D$18*MIN(1,MAX(0,(23-Pipeline!$E$18+1)/MAX(Pipeline!$F$18,1)))+Pipeline!$T$19*Pipeline!$D$19*MIN(1,MAX(0,(23-Pipeline!$E$19+1)/MAX(Pipeline!$F$19,1)))+Pipeline!$T$20*Pipeline!$D$20*MIN(1,MAX(0,(23-Pipeline!$E$20+1)/MAX(Pipeline!$F$20,1)))+Pipeline!$T$21*Pipeline!$D$21*MIN(1,MAX(0,(23-Pipeline!$E$21+1)/MAX(Pipeline!$F$21,1)))+Pipeline!$T$22*Pipeline!$D$22*MIN(1,MAX(0,(23-Pipeline!$E$22+1)/MAX(Pipeline!$F$22,1))))/Hipótesis!$C$17</f>
        <v>7543.27796335926</v>
      </c>
      <c r="Z17" s="110" t="n">
        <f aca="false">(Pipeline!$T$16*Pipeline!$D$16*MIN(1,MAX(0,(24-Pipeline!$E$16+1)/MAX(Pipeline!$F$16,1)))+Pipeline!$T$17*Pipeline!$D$17*MIN(1,MAX(0,(24-Pipeline!$E$17+1)/MAX(Pipeline!$F$17,1)))+Pipeline!$T$18*Pipeline!$D$18*MIN(1,MAX(0,(24-Pipeline!$E$18+1)/MAX(Pipeline!$F$18,1)))+Pipeline!$T$19*Pipeline!$D$19*MIN(1,MAX(0,(24-Pipeline!$E$19+1)/MAX(Pipeline!$F$19,1)))+Pipeline!$T$20*Pipeline!$D$20*MIN(1,MAX(0,(24-Pipeline!$E$20+1)/MAX(Pipeline!$F$20,1)))+Pipeline!$T$21*Pipeline!$D$21*MIN(1,MAX(0,(24-Pipeline!$E$21+1)/MAX(Pipeline!$F$21,1)))+Pipeline!$T$22*Pipeline!$D$22*MIN(1,MAX(0,(24-Pipeline!$E$22+1)/MAX(Pipeline!$F$22,1))))/Hipótesis!$C$17</f>
        <v>7543.27796335926</v>
      </c>
      <c r="AA17" s="110" t="n">
        <f aca="false">(Pipeline!$T$16*Pipeline!$D$16*MIN(1,MAX(0,(25-Pipeline!$E$16+1)/MAX(Pipeline!$F$16,1)))+Pipeline!$T$17*Pipeline!$D$17*MIN(1,MAX(0,(25-Pipeline!$E$17+1)/MAX(Pipeline!$F$17,1)))+Pipeline!$T$18*Pipeline!$D$18*MIN(1,MAX(0,(25-Pipeline!$E$18+1)/MAX(Pipeline!$F$18,1)))+Pipeline!$T$19*Pipeline!$D$19*MIN(1,MAX(0,(25-Pipeline!$E$19+1)/MAX(Pipeline!$F$19,1)))+Pipeline!$T$20*Pipeline!$D$20*MIN(1,MAX(0,(25-Pipeline!$E$20+1)/MAX(Pipeline!$F$20,1)))+Pipeline!$T$21*Pipeline!$D$21*MIN(1,MAX(0,(25-Pipeline!$E$21+1)/MAX(Pipeline!$F$21,1)))+Pipeline!$T$22*Pipeline!$D$22*MIN(1,MAX(0,(25-Pipeline!$E$22+1)/MAX(Pipeline!$F$22,1))))/Hipótesis!$C$17</f>
        <v>7543.27796335926</v>
      </c>
      <c r="AB17" s="110" t="n">
        <f aca="false">(Pipeline!$T$16*Pipeline!$D$16*MIN(1,MAX(0,(26-Pipeline!$E$16+1)/MAX(Pipeline!$F$16,1)))+Pipeline!$T$17*Pipeline!$D$17*MIN(1,MAX(0,(26-Pipeline!$E$17+1)/MAX(Pipeline!$F$17,1)))+Pipeline!$T$18*Pipeline!$D$18*MIN(1,MAX(0,(26-Pipeline!$E$18+1)/MAX(Pipeline!$F$18,1)))+Pipeline!$T$19*Pipeline!$D$19*MIN(1,MAX(0,(26-Pipeline!$E$19+1)/MAX(Pipeline!$F$19,1)))+Pipeline!$T$20*Pipeline!$D$20*MIN(1,MAX(0,(26-Pipeline!$E$20+1)/MAX(Pipeline!$F$20,1)))+Pipeline!$T$21*Pipeline!$D$21*MIN(1,MAX(0,(26-Pipeline!$E$21+1)/MAX(Pipeline!$F$21,1)))+Pipeline!$T$22*Pipeline!$D$22*MIN(1,MAX(0,(26-Pipeline!$E$22+1)/MAX(Pipeline!$F$22,1))))/Hipótesis!$C$17</f>
        <v>7543.27796335926</v>
      </c>
      <c r="AC17" s="110" t="n">
        <f aca="false">(Pipeline!$T$16*Pipeline!$D$16*MIN(1,MAX(0,(27-Pipeline!$E$16+1)/MAX(Pipeline!$F$16,1)))+Pipeline!$T$17*Pipeline!$D$17*MIN(1,MAX(0,(27-Pipeline!$E$17+1)/MAX(Pipeline!$F$17,1)))+Pipeline!$T$18*Pipeline!$D$18*MIN(1,MAX(0,(27-Pipeline!$E$18+1)/MAX(Pipeline!$F$18,1)))+Pipeline!$T$19*Pipeline!$D$19*MIN(1,MAX(0,(27-Pipeline!$E$19+1)/MAX(Pipeline!$F$19,1)))+Pipeline!$T$20*Pipeline!$D$20*MIN(1,MAX(0,(27-Pipeline!$E$20+1)/MAX(Pipeline!$F$20,1)))+Pipeline!$T$21*Pipeline!$D$21*MIN(1,MAX(0,(27-Pipeline!$E$21+1)/MAX(Pipeline!$F$21,1)))+Pipeline!$T$22*Pipeline!$D$22*MIN(1,MAX(0,(27-Pipeline!$E$22+1)/MAX(Pipeline!$F$22,1))))/Hipótesis!$C$17</f>
        <v>7543.27796335926</v>
      </c>
      <c r="AD17" s="110" t="n">
        <f aca="false">(Pipeline!$T$16*Pipeline!$D$16*MIN(1,MAX(0,(28-Pipeline!$E$16+1)/MAX(Pipeline!$F$16,1)))+Pipeline!$T$17*Pipeline!$D$17*MIN(1,MAX(0,(28-Pipeline!$E$17+1)/MAX(Pipeline!$F$17,1)))+Pipeline!$T$18*Pipeline!$D$18*MIN(1,MAX(0,(28-Pipeline!$E$18+1)/MAX(Pipeline!$F$18,1)))+Pipeline!$T$19*Pipeline!$D$19*MIN(1,MAX(0,(28-Pipeline!$E$19+1)/MAX(Pipeline!$F$19,1)))+Pipeline!$T$20*Pipeline!$D$20*MIN(1,MAX(0,(28-Pipeline!$E$20+1)/MAX(Pipeline!$F$20,1)))+Pipeline!$T$21*Pipeline!$D$21*MIN(1,MAX(0,(28-Pipeline!$E$21+1)/MAX(Pipeline!$F$21,1)))+Pipeline!$T$22*Pipeline!$D$22*MIN(1,MAX(0,(28-Pipeline!$E$22+1)/MAX(Pipeline!$F$22,1))))/Hipótesis!$C$17</f>
        <v>7543.27796335926</v>
      </c>
      <c r="AE17" s="110" t="n">
        <f aca="false">(Pipeline!$T$16*Pipeline!$D$16*MIN(1,MAX(0,(29-Pipeline!$E$16+1)/MAX(Pipeline!$F$16,1)))+Pipeline!$T$17*Pipeline!$D$17*MIN(1,MAX(0,(29-Pipeline!$E$17+1)/MAX(Pipeline!$F$17,1)))+Pipeline!$T$18*Pipeline!$D$18*MIN(1,MAX(0,(29-Pipeline!$E$18+1)/MAX(Pipeline!$F$18,1)))+Pipeline!$T$19*Pipeline!$D$19*MIN(1,MAX(0,(29-Pipeline!$E$19+1)/MAX(Pipeline!$F$19,1)))+Pipeline!$T$20*Pipeline!$D$20*MIN(1,MAX(0,(29-Pipeline!$E$20+1)/MAX(Pipeline!$F$20,1)))+Pipeline!$T$21*Pipeline!$D$21*MIN(1,MAX(0,(29-Pipeline!$E$21+1)/MAX(Pipeline!$F$21,1)))+Pipeline!$T$22*Pipeline!$D$22*MIN(1,MAX(0,(29-Pipeline!$E$22+1)/MAX(Pipeline!$F$22,1))))/Hipótesis!$C$17</f>
        <v>7543.27796335926</v>
      </c>
      <c r="AF17" s="110" t="n">
        <f aca="false">(Pipeline!$T$16*Pipeline!$D$16*MIN(1,MAX(0,(30-Pipeline!$E$16+1)/MAX(Pipeline!$F$16,1)))+Pipeline!$T$17*Pipeline!$D$17*MIN(1,MAX(0,(30-Pipeline!$E$17+1)/MAX(Pipeline!$F$17,1)))+Pipeline!$T$18*Pipeline!$D$18*MIN(1,MAX(0,(30-Pipeline!$E$18+1)/MAX(Pipeline!$F$18,1)))+Pipeline!$T$19*Pipeline!$D$19*MIN(1,MAX(0,(30-Pipeline!$E$19+1)/MAX(Pipeline!$F$19,1)))+Pipeline!$T$20*Pipeline!$D$20*MIN(1,MAX(0,(30-Pipeline!$E$20+1)/MAX(Pipeline!$F$20,1)))+Pipeline!$T$21*Pipeline!$D$21*MIN(1,MAX(0,(30-Pipeline!$E$21+1)/MAX(Pipeline!$F$21,1)))+Pipeline!$T$22*Pipeline!$D$22*MIN(1,MAX(0,(30-Pipeline!$E$22+1)/MAX(Pipeline!$F$22,1))))/Hipótesis!$C$17</f>
        <v>7543.27796335926</v>
      </c>
      <c r="AG17" s="110" t="n">
        <f aca="false">(Pipeline!$T$16*Pipeline!$D$16*MIN(1,MAX(0,(31-Pipeline!$E$16+1)/MAX(Pipeline!$F$16,1)))+Pipeline!$T$17*Pipeline!$D$17*MIN(1,MAX(0,(31-Pipeline!$E$17+1)/MAX(Pipeline!$F$17,1)))+Pipeline!$T$18*Pipeline!$D$18*MIN(1,MAX(0,(31-Pipeline!$E$18+1)/MAX(Pipeline!$F$18,1)))+Pipeline!$T$19*Pipeline!$D$19*MIN(1,MAX(0,(31-Pipeline!$E$19+1)/MAX(Pipeline!$F$19,1)))+Pipeline!$T$20*Pipeline!$D$20*MIN(1,MAX(0,(31-Pipeline!$E$20+1)/MAX(Pipeline!$F$20,1)))+Pipeline!$T$21*Pipeline!$D$21*MIN(1,MAX(0,(31-Pipeline!$E$21+1)/MAX(Pipeline!$F$21,1)))+Pipeline!$T$22*Pipeline!$D$22*MIN(1,MAX(0,(31-Pipeline!$E$22+1)/MAX(Pipeline!$F$22,1))))/Hipótesis!$C$17</f>
        <v>7543.27796335926</v>
      </c>
      <c r="AH17" s="110" t="n">
        <f aca="false">(Pipeline!$T$16*Pipeline!$D$16*MIN(1,MAX(0,(32-Pipeline!$E$16+1)/MAX(Pipeline!$F$16,1)))+Pipeline!$T$17*Pipeline!$D$17*MIN(1,MAX(0,(32-Pipeline!$E$17+1)/MAX(Pipeline!$F$17,1)))+Pipeline!$T$18*Pipeline!$D$18*MIN(1,MAX(0,(32-Pipeline!$E$18+1)/MAX(Pipeline!$F$18,1)))+Pipeline!$T$19*Pipeline!$D$19*MIN(1,MAX(0,(32-Pipeline!$E$19+1)/MAX(Pipeline!$F$19,1)))+Pipeline!$T$20*Pipeline!$D$20*MIN(1,MAX(0,(32-Pipeline!$E$20+1)/MAX(Pipeline!$F$20,1)))+Pipeline!$T$21*Pipeline!$D$21*MIN(1,MAX(0,(32-Pipeline!$E$21+1)/MAX(Pipeline!$F$21,1)))+Pipeline!$T$22*Pipeline!$D$22*MIN(1,MAX(0,(32-Pipeline!$E$22+1)/MAX(Pipeline!$F$22,1))))/Hipótesis!$C$17</f>
        <v>7543.27796335926</v>
      </c>
      <c r="AI17" s="110" t="n">
        <f aca="false">(Pipeline!$T$16*Pipeline!$D$16*MIN(1,MAX(0,(33-Pipeline!$E$16+1)/MAX(Pipeline!$F$16,1)))+Pipeline!$T$17*Pipeline!$D$17*MIN(1,MAX(0,(33-Pipeline!$E$17+1)/MAX(Pipeline!$F$17,1)))+Pipeline!$T$18*Pipeline!$D$18*MIN(1,MAX(0,(33-Pipeline!$E$18+1)/MAX(Pipeline!$F$18,1)))+Pipeline!$T$19*Pipeline!$D$19*MIN(1,MAX(0,(33-Pipeline!$E$19+1)/MAX(Pipeline!$F$19,1)))+Pipeline!$T$20*Pipeline!$D$20*MIN(1,MAX(0,(33-Pipeline!$E$20+1)/MAX(Pipeline!$F$20,1)))+Pipeline!$T$21*Pipeline!$D$21*MIN(1,MAX(0,(33-Pipeline!$E$21+1)/MAX(Pipeline!$F$21,1)))+Pipeline!$T$22*Pipeline!$D$22*MIN(1,MAX(0,(33-Pipeline!$E$22+1)/MAX(Pipeline!$F$22,1))))/Hipótesis!$C$17</f>
        <v>7543.27796335926</v>
      </c>
      <c r="AJ17" s="110" t="n">
        <f aca="false">(Pipeline!$T$16*Pipeline!$D$16*MIN(1,MAX(0,(34-Pipeline!$E$16+1)/MAX(Pipeline!$F$16,1)))+Pipeline!$T$17*Pipeline!$D$17*MIN(1,MAX(0,(34-Pipeline!$E$17+1)/MAX(Pipeline!$F$17,1)))+Pipeline!$T$18*Pipeline!$D$18*MIN(1,MAX(0,(34-Pipeline!$E$18+1)/MAX(Pipeline!$F$18,1)))+Pipeline!$T$19*Pipeline!$D$19*MIN(1,MAX(0,(34-Pipeline!$E$19+1)/MAX(Pipeline!$F$19,1)))+Pipeline!$T$20*Pipeline!$D$20*MIN(1,MAX(0,(34-Pipeline!$E$20+1)/MAX(Pipeline!$F$20,1)))+Pipeline!$T$21*Pipeline!$D$21*MIN(1,MAX(0,(34-Pipeline!$E$21+1)/MAX(Pipeline!$F$21,1)))+Pipeline!$T$22*Pipeline!$D$22*MIN(1,MAX(0,(34-Pipeline!$E$22+1)/MAX(Pipeline!$F$22,1))))/Hipótesis!$C$17</f>
        <v>7543.27796335926</v>
      </c>
      <c r="AK17" s="110" t="n">
        <f aca="false">(Pipeline!$T$16*Pipeline!$D$16*MIN(1,MAX(0,(35-Pipeline!$E$16+1)/MAX(Pipeline!$F$16,1)))+Pipeline!$T$17*Pipeline!$D$17*MIN(1,MAX(0,(35-Pipeline!$E$17+1)/MAX(Pipeline!$F$17,1)))+Pipeline!$T$18*Pipeline!$D$18*MIN(1,MAX(0,(35-Pipeline!$E$18+1)/MAX(Pipeline!$F$18,1)))+Pipeline!$T$19*Pipeline!$D$19*MIN(1,MAX(0,(35-Pipeline!$E$19+1)/MAX(Pipeline!$F$19,1)))+Pipeline!$T$20*Pipeline!$D$20*MIN(1,MAX(0,(35-Pipeline!$E$20+1)/MAX(Pipeline!$F$20,1)))+Pipeline!$T$21*Pipeline!$D$21*MIN(1,MAX(0,(35-Pipeline!$E$21+1)/MAX(Pipeline!$F$21,1)))+Pipeline!$T$22*Pipeline!$D$22*MIN(1,MAX(0,(35-Pipeline!$E$22+1)/MAX(Pipeline!$F$22,1))))/Hipótesis!$C$17</f>
        <v>7543.27796335926</v>
      </c>
      <c r="AL17" s="110" t="n">
        <f aca="false">(Pipeline!$T$16*Pipeline!$D$16*MIN(1,MAX(0,(36-Pipeline!$E$16+1)/MAX(Pipeline!$F$16,1)))+Pipeline!$T$17*Pipeline!$D$17*MIN(1,MAX(0,(36-Pipeline!$E$17+1)/MAX(Pipeline!$F$17,1)))+Pipeline!$T$18*Pipeline!$D$18*MIN(1,MAX(0,(36-Pipeline!$E$18+1)/MAX(Pipeline!$F$18,1)))+Pipeline!$T$19*Pipeline!$D$19*MIN(1,MAX(0,(36-Pipeline!$E$19+1)/MAX(Pipeline!$F$19,1)))+Pipeline!$T$20*Pipeline!$D$20*MIN(1,MAX(0,(36-Pipeline!$E$20+1)/MAX(Pipeline!$F$20,1)))+Pipeline!$T$21*Pipeline!$D$21*MIN(1,MAX(0,(36-Pipeline!$E$21+1)/MAX(Pipeline!$F$21,1)))+Pipeline!$T$22*Pipeline!$D$22*MIN(1,MAX(0,(36-Pipeline!$E$22+1)/MAX(Pipeline!$F$22,1))))/Hipótesis!$C$17</f>
        <v>7543.27796335926</v>
      </c>
      <c r="AM17" s="110" t="n">
        <f aca="false">(Pipeline!$T$16*Pipeline!$D$16*MIN(1,MAX(0,(37-Pipeline!$E$16+1)/MAX(Pipeline!$F$16,1)))+Pipeline!$T$17*Pipeline!$D$17*MIN(1,MAX(0,(37-Pipeline!$E$17+1)/MAX(Pipeline!$F$17,1)))+Pipeline!$T$18*Pipeline!$D$18*MIN(1,MAX(0,(37-Pipeline!$E$18+1)/MAX(Pipeline!$F$18,1)))+Pipeline!$T$19*Pipeline!$D$19*MIN(1,MAX(0,(37-Pipeline!$E$19+1)/MAX(Pipeline!$F$19,1)))+Pipeline!$T$20*Pipeline!$D$20*MIN(1,MAX(0,(37-Pipeline!$E$20+1)/MAX(Pipeline!$F$20,1)))+Pipeline!$T$21*Pipeline!$D$21*MIN(1,MAX(0,(37-Pipeline!$E$21+1)/MAX(Pipeline!$F$21,1)))+Pipeline!$T$22*Pipeline!$D$22*MIN(1,MAX(0,(37-Pipeline!$E$22+1)/MAX(Pipeline!$F$22,1))))/Hipótesis!$C$17</f>
        <v>7543.27796335926</v>
      </c>
      <c r="AN17" s="110" t="n">
        <f aca="false">(Pipeline!$T$16*Pipeline!$D$16*MIN(1,MAX(0,(38-Pipeline!$E$16+1)/MAX(Pipeline!$F$16,1)))+Pipeline!$T$17*Pipeline!$D$17*MIN(1,MAX(0,(38-Pipeline!$E$17+1)/MAX(Pipeline!$F$17,1)))+Pipeline!$T$18*Pipeline!$D$18*MIN(1,MAX(0,(38-Pipeline!$E$18+1)/MAX(Pipeline!$F$18,1)))+Pipeline!$T$19*Pipeline!$D$19*MIN(1,MAX(0,(38-Pipeline!$E$19+1)/MAX(Pipeline!$F$19,1)))+Pipeline!$T$20*Pipeline!$D$20*MIN(1,MAX(0,(38-Pipeline!$E$20+1)/MAX(Pipeline!$F$20,1)))+Pipeline!$T$21*Pipeline!$D$21*MIN(1,MAX(0,(38-Pipeline!$E$21+1)/MAX(Pipeline!$F$21,1)))+Pipeline!$T$22*Pipeline!$D$22*MIN(1,MAX(0,(38-Pipeline!$E$22+1)/MAX(Pipeline!$F$22,1))))/Hipótesis!$C$17</f>
        <v>7543.27796335926</v>
      </c>
      <c r="AO17" s="110" t="n">
        <f aca="false">(Pipeline!$T$16*Pipeline!$D$16*MIN(1,MAX(0,(39-Pipeline!$E$16+1)/MAX(Pipeline!$F$16,1)))+Pipeline!$T$17*Pipeline!$D$17*MIN(1,MAX(0,(39-Pipeline!$E$17+1)/MAX(Pipeline!$F$17,1)))+Pipeline!$T$18*Pipeline!$D$18*MIN(1,MAX(0,(39-Pipeline!$E$18+1)/MAX(Pipeline!$F$18,1)))+Pipeline!$T$19*Pipeline!$D$19*MIN(1,MAX(0,(39-Pipeline!$E$19+1)/MAX(Pipeline!$F$19,1)))+Pipeline!$T$20*Pipeline!$D$20*MIN(1,MAX(0,(39-Pipeline!$E$20+1)/MAX(Pipeline!$F$20,1)))+Pipeline!$T$21*Pipeline!$D$21*MIN(1,MAX(0,(39-Pipeline!$E$21+1)/MAX(Pipeline!$F$21,1)))+Pipeline!$T$22*Pipeline!$D$22*MIN(1,MAX(0,(39-Pipeline!$E$22+1)/MAX(Pipeline!$F$22,1))))/Hipótesis!$C$17</f>
        <v>7543.27796335926</v>
      </c>
      <c r="AP17" s="110" t="n">
        <f aca="false">(Pipeline!$T$16*Pipeline!$D$16*MIN(1,MAX(0,(40-Pipeline!$E$16+1)/MAX(Pipeline!$F$16,1)))+Pipeline!$T$17*Pipeline!$D$17*MIN(1,MAX(0,(40-Pipeline!$E$17+1)/MAX(Pipeline!$F$17,1)))+Pipeline!$T$18*Pipeline!$D$18*MIN(1,MAX(0,(40-Pipeline!$E$18+1)/MAX(Pipeline!$F$18,1)))+Pipeline!$T$19*Pipeline!$D$19*MIN(1,MAX(0,(40-Pipeline!$E$19+1)/MAX(Pipeline!$F$19,1)))+Pipeline!$T$20*Pipeline!$D$20*MIN(1,MAX(0,(40-Pipeline!$E$20+1)/MAX(Pipeline!$F$20,1)))+Pipeline!$T$21*Pipeline!$D$21*MIN(1,MAX(0,(40-Pipeline!$E$21+1)/MAX(Pipeline!$F$21,1)))+Pipeline!$T$22*Pipeline!$D$22*MIN(1,MAX(0,(40-Pipeline!$E$22+1)/MAX(Pipeline!$F$22,1))))/Hipótesis!$C$17</f>
        <v>7543.27796335926</v>
      </c>
      <c r="AQ17" s="110" t="n">
        <f aca="false">(Pipeline!$T$16*Pipeline!$D$16*MIN(1,MAX(0,(41-Pipeline!$E$16+1)/MAX(Pipeline!$F$16,1)))+Pipeline!$T$17*Pipeline!$D$17*MIN(1,MAX(0,(41-Pipeline!$E$17+1)/MAX(Pipeline!$F$17,1)))+Pipeline!$T$18*Pipeline!$D$18*MIN(1,MAX(0,(41-Pipeline!$E$18+1)/MAX(Pipeline!$F$18,1)))+Pipeline!$T$19*Pipeline!$D$19*MIN(1,MAX(0,(41-Pipeline!$E$19+1)/MAX(Pipeline!$F$19,1)))+Pipeline!$T$20*Pipeline!$D$20*MIN(1,MAX(0,(41-Pipeline!$E$20+1)/MAX(Pipeline!$F$20,1)))+Pipeline!$T$21*Pipeline!$D$21*MIN(1,MAX(0,(41-Pipeline!$E$21+1)/MAX(Pipeline!$F$21,1)))+Pipeline!$T$22*Pipeline!$D$22*MIN(1,MAX(0,(41-Pipeline!$E$22+1)/MAX(Pipeline!$F$22,1))))/Hipótesis!$C$17</f>
        <v>7543.27796335926</v>
      </c>
      <c r="AR17" s="110" t="n">
        <f aca="false">(Pipeline!$T$16*Pipeline!$D$16*MIN(1,MAX(0,(42-Pipeline!$E$16+1)/MAX(Pipeline!$F$16,1)))+Pipeline!$T$17*Pipeline!$D$17*MIN(1,MAX(0,(42-Pipeline!$E$17+1)/MAX(Pipeline!$F$17,1)))+Pipeline!$T$18*Pipeline!$D$18*MIN(1,MAX(0,(42-Pipeline!$E$18+1)/MAX(Pipeline!$F$18,1)))+Pipeline!$T$19*Pipeline!$D$19*MIN(1,MAX(0,(42-Pipeline!$E$19+1)/MAX(Pipeline!$F$19,1)))+Pipeline!$T$20*Pipeline!$D$20*MIN(1,MAX(0,(42-Pipeline!$E$20+1)/MAX(Pipeline!$F$20,1)))+Pipeline!$T$21*Pipeline!$D$21*MIN(1,MAX(0,(42-Pipeline!$E$21+1)/MAX(Pipeline!$F$21,1)))+Pipeline!$T$22*Pipeline!$D$22*MIN(1,MAX(0,(42-Pipeline!$E$22+1)/MAX(Pipeline!$F$22,1))))/Hipótesis!$C$17</f>
        <v>7543.27796335926</v>
      </c>
      <c r="AS17" s="110" t="n">
        <f aca="false">(Pipeline!$T$16*Pipeline!$D$16*MIN(1,MAX(0,(43-Pipeline!$E$16+1)/MAX(Pipeline!$F$16,1)))+Pipeline!$T$17*Pipeline!$D$17*MIN(1,MAX(0,(43-Pipeline!$E$17+1)/MAX(Pipeline!$F$17,1)))+Pipeline!$T$18*Pipeline!$D$18*MIN(1,MAX(0,(43-Pipeline!$E$18+1)/MAX(Pipeline!$F$18,1)))+Pipeline!$T$19*Pipeline!$D$19*MIN(1,MAX(0,(43-Pipeline!$E$19+1)/MAX(Pipeline!$F$19,1)))+Pipeline!$T$20*Pipeline!$D$20*MIN(1,MAX(0,(43-Pipeline!$E$20+1)/MAX(Pipeline!$F$20,1)))+Pipeline!$T$21*Pipeline!$D$21*MIN(1,MAX(0,(43-Pipeline!$E$21+1)/MAX(Pipeline!$F$21,1)))+Pipeline!$T$22*Pipeline!$D$22*MIN(1,MAX(0,(43-Pipeline!$E$22+1)/MAX(Pipeline!$F$22,1))))/Hipótesis!$C$17</f>
        <v>7543.27796335926</v>
      </c>
      <c r="AT17" s="110" t="n">
        <f aca="false">(Pipeline!$T$16*Pipeline!$D$16*MIN(1,MAX(0,(44-Pipeline!$E$16+1)/MAX(Pipeline!$F$16,1)))+Pipeline!$T$17*Pipeline!$D$17*MIN(1,MAX(0,(44-Pipeline!$E$17+1)/MAX(Pipeline!$F$17,1)))+Pipeline!$T$18*Pipeline!$D$18*MIN(1,MAX(0,(44-Pipeline!$E$18+1)/MAX(Pipeline!$F$18,1)))+Pipeline!$T$19*Pipeline!$D$19*MIN(1,MAX(0,(44-Pipeline!$E$19+1)/MAX(Pipeline!$F$19,1)))+Pipeline!$T$20*Pipeline!$D$20*MIN(1,MAX(0,(44-Pipeline!$E$20+1)/MAX(Pipeline!$F$20,1)))+Pipeline!$T$21*Pipeline!$D$21*MIN(1,MAX(0,(44-Pipeline!$E$21+1)/MAX(Pipeline!$F$21,1)))+Pipeline!$T$22*Pipeline!$D$22*MIN(1,MAX(0,(44-Pipeline!$E$22+1)/MAX(Pipeline!$F$22,1))))/Hipótesis!$C$17</f>
        <v>7543.27796335926</v>
      </c>
      <c r="AU17" s="110" t="n">
        <f aca="false">(Pipeline!$T$16*Pipeline!$D$16*MIN(1,MAX(0,(45-Pipeline!$E$16+1)/MAX(Pipeline!$F$16,1)))+Pipeline!$T$17*Pipeline!$D$17*MIN(1,MAX(0,(45-Pipeline!$E$17+1)/MAX(Pipeline!$F$17,1)))+Pipeline!$T$18*Pipeline!$D$18*MIN(1,MAX(0,(45-Pipeline!$E$18+1)/MAX(Pipeline!$F$18,1)))+Pipeline!$T$19*Pipeline!$D$19*MIN(1,MAX(0,(45-Pipeline!$E$19+1)/MAX(Pipeline!$F$19,1)))+Pipeline!$T$20*Pipeline!$D$20*MIN(1,MAX(0,(45-Pipeline!$E$20+1)/MAX(Pipeline!$F$20,1)))+Pipeline!$T$21*Pipeline!$D$21*MIN(1,MAX(0,(45-Pipeline!$E$21+1)/MAX(Pipeline!$F$21,1)))+Pipeline!$T$22*Pipeline!$D$22*MIN(1,MAX(0,(45-Pipeline!$E$22+1)/MAX(Pipeline!$F$22,1))))/Hipótesis!$C$17</f>
        <v>7543.27796335926</v>
      </c>
      <c r="AV17" s="110" t="n">
        <f aca="false">(Pipeline!$T$16*Pipeline!$D$16*MIN(1,MAX(0,(46-Pipeline!$E$16+1)/MAX(Pipeline!$F$16,1)))+Pipeline!$T$17*Pipeline!$D$17*MIN(1,MAX(0,(46-Pipeline!$E$17+1)/MAX(Pipeline!$F$17,1)))+Pipeline!$T$18*Pipeline!$D$18*MIN(1,MAX(0,(46-Pipeline!$E$18+1)/MAX(Pipeline!$F$18,1)))+Pipeline!$T$19*Pipeline!$D$19*MIN(1,MAX(0,(46-Pipeline!$E$19+1)/MAX(Pipeline!$F$19,1)))+Pipeline!$T$20*Pipeline!$D$20*MIN(1,MAX(0,(46-Pipeline!$E$20+1)/MAX(Pipeline!$F$20,1)))+Pipeline!$T$21*Pipeline!$D$21*MIN(1,MAX(0,(46-Pipeline!$E$21+1)/MAX(Pipeline!$F$21,1)))+Pipeline!$T$22*Pipeline!$D$22*MIN(1,MAX(0,(46-Pipeline!$E$22+1)/MAX(Pipeline!$F$22,1))))/Hipótesis!$C$17</f>
        <v>7543.27796335926</v>
      </c>
      <c r="AW17" s="110" t="n">
        <f aca="false">(Pipeline!$T$16*Pipeline!$D$16*MIN(1,MAX(0,(47-Pipeline!$E$16+1)/MAX(Pipeline!$F$16,1)))+Pipeline!$T$17*Pipeline!$D$17*MIN(1,MAX(0,(47-Pipeline!$E$17+1)/MAX(Pipeline!$F$17,1)))+Pipeline!$T$18*Pipeline!$D$18*MIN(1,MAX(0,(47-Pipeline!$E$18+1)/MAX(Pipeline!$F$18,1)))+Pipeline!$T$19*Pipeline!$D$19*MIN(1,MAX(0,(47-Pipeline!$E$19+1)/MAX(Pipeline!$F$19,1)))+Pipeline!$T$20*Pipeline!$D$20*MIN(1,MAX(0,(47-Pipeline!$E$20+1)/MAX(Pipeline!$F$20,1)))+Pipeline!$T$21*Pipeline!$D$21*MIN(1,MAX(0,(47-Pipeline!$E$21+1)/MAX(Pipeline!$F$21,1)))+Pipeline!$T$22*Pipeline!$D$22*MIN(1,MAX(0,(47-Pipeline!$E$22+1)/MAX(Pipeline!$F$22,1))))/Hipótesis!$C$17</f>
        <v>7543.27796335926</v>
      </c>
      <c r="AX17" s="110" t="n">
        <f aca="false">(Pipeline!$T$16*Pipeline!$D$16*MIN(1,MAX(0,(48-Pipeline!$E$16+1)/MAX(Pipeline!$F$16,1)))+Pipeline!$T$17*Pipeline!$D$17*MIN(1,MAX(0,(48-Pipeline!$E$17+1)/MAX(Pipeline!$F$17,1)))+Pipeline!$T$18*Pipeline!$D$18*MIN(1,MAX(0,(48-Pipeline!$E$18+1)/MAX(Pipeline!$F$18,1)))+Pipeline!$T$19*Pipeline!$D$19*MIN(1,MAX(0,(48-Pipeline!$E$19+1)/MAX(Pipeline!$F$19,1)))+Pipeline!$T$20*Pipeline!$D$20*MIN(1,MAX(0,(48-Pipeline!$E$20+1)/MAX(Pipeline!$F$20,1)))+Pipeline!$T$21*Pipeline!$D$21*MIN(1,MAX(0,(48-Pipeline!$E$21+1)/MAX(Pipeline!$F$21,1)))+Pipeline!$T$22*Pipeline!$D$22*MIN(1,MAX(0,(48-Pipeline!$E$22+1)/MAX(Pipeline!$F$22,1))))/Hipótesis!$C$17</f>
        <v>7543.27796335926</v>
      </c>
      <c r="AY17" s="110" t="n">
        <f aca="false">(Pipeline!$T$16*Pipeline!$D$16*MIN(1,MAX(0,(49-Pipeline!$E$16+1)/MAX(Pipeline!$F$16,1)))+Pipeline!$T$17*Pipeline!$D$17*MIN(1,MAX(0,(49-Pipeline!$E$17+1)/MAX(Pipeline!$F$17,1)))+Pipeline!$T$18*Pipeline!$D$18*MIN(1,MAX(0,(49-Pipeline!$E$18+1)/MAX(Pipeline!$F$18,1)))+Pipeline!$T$19*Pipeline!$D$19*MIN(1,MAX(0,(49-Pipeline!$E$19+1)/MAX(Pipeline!$F$19,1)))+Pipeline!$T$20*Pipeline!$D$20*MIN(1,MAX(0,(49-Pipeline!$E$20+1)/MAX(Pipeline!$F$20,1)))+Pipeline!$T$21*Pipeline!$D$21*MIN(1,MAX(0,(49-Pipeline!$E$21+1)/MAX(Pipeline!$F$21,1)))+Pipeline!$T$22*Pipeline!$D$22*MIN(1,MAX(0,(49-Pipeline!$E$22+1)/MAX(Pipeline!$F$22,1))))/Hipótesis!$C$17</f>
        <v>7543.27796335926</v>
      </c>
      <c r="AZ17" s="110" t="n">
        <f aca="false">(Pipeline!$T$16*Pipeline!$D$16*MIN(1,MAX(0,(50-Pipeline!$E$16+1)/MAX(Pipeline!$F$16,1)))+Pipeline!$T$17*Pipeline!$D$17*MIN(1,MAX(0,(50-Pipeline!$E$17+1)/MAX(Pipeline!$F$17,1)))+Pipeline!$T$18*Pipeline!$D$18*MIN(1,MAX(0,(50-Pipeline!$E$18+1)/MAX(Pipeline!$F$18,1)))+Pipeline!$T$19*Pipeline!$D$19*MIN(1,MAX(0,(50-Pipeline!$E$19+1)/MAX(Pipeline!$F$19,1)))+Pipeline!$T$20*Pipeline!$D$20*MIN(1,MAX(0,(50-Pipeline!$E$20+1)/MAX(Pipeline!$F$20,1)))+Pipeline!$T$21*Pipeline!$D$21*MIN(1,MAX(0,(50-Pipeline!$E$21+1)/MAX(Pipeline!$F$21,1)))+Pipeline!$T$22*Pipeline!$D$22*MIN(1,MAX(0,(50-Pipeline!$E$22+1)/MAX(Pipeline!$F$22,1))))/Hipótesis!$C$17</f>
        <v>7543.27796335926</v>
      </c>
      <c r="BA17" s="110" t="n">
        <f aca="false">(Pipeline!$T$16*Pipeline!$D$16*MIN(1,MAX(0,(51-Pipeline!$E$16+1)/MAX(Pipeline!$F$16,1)))+Pipeline!$T$17*Pipeline!$D$17*MIN(1,MAX(0,(51-Pipeline!$E$17+1)/MAX(Pipeline!$F$17,1)))+Pipeline!$T$18*Pipeline!$D$18*MIN(1,MAX(0,(51-Pipeline!$E$18+1)/MAX(Pipeline!$F$18,1)))+Pipeline!$T$19*Pipeline!$D$19*MIN(1,MAX(0,(51-Pipeline!$E$19+1)/MAX(Pipeline!$F$19,1)))+Pipeline!$T$20*Pipeline!$D$20*MIN(1,MAX(0,(51-Pipeline!$E$20+1)/MAX(Pipeline!$F$20,1)))+Pipeline!$T$21*Pipeline!$D$21*MIN(1,MAX(0,(51-Pipeline!$E$21+1)/MAX(Pipeline!$F$21,1)))+Pipeline!$T$22*Pipeline!$D$22*MIN(1,MAX(0,(51-Pipeline!$E$22+1)/MAX(Pipeline!$F$22,1))))/Hipótesis!$C$17</f>
        <v>7543.27796335926</v>
      </c>
      <c r="BB17" s="110" t="n">
        <f aca="false">(Pipeline!$T$16*Pipeline!$D$16*MIN(1,MAX(0,(52-Pipeline!$E$16+1)/MAX(Pipeline!$F$16,1)))+Pipeline!$T$17*Pipeline!$D$17*MIN(1,MAX(0,(52-Pipeline!$E$17+1)/MAX(Pipeline!$F$17,1)))+Pipeline!$T$18*Pipeline!$D$18*MIN(1,MAX(0,(52-Pipeline!$E$18+1)/MAX(Pipeline!$F$18,1)))+Pipeline!$T$19*Pipeline!$D$19*MIN(1,MAX(0,(52-Pipeline!$E$19+1)/MAX(Pipeline!$F$19,1)))+Pipeline!$T$20*Pipeline!$D$20*MIN(1,MAX(0,(52-Pipeline!$E$20+1)/MAX(Pipeline!$F$20,1)))+Pipeline!$T$21*Pipeline!$D$21*MIN(1,MAX(0,(52-Pipeline!$E$21+1)/MAX(Pipeline!$F$21,1)))+Pipeline!$T$22*Pipeline!$D$22*MIN(1,MAX(0,(52-Pipeline!$E$22+1)/MAX(Pipeline!$F$22,1))))/Hipótesis!$C$17</f>
        <v>7543.27796335926</v>
      </c>
      <c r="BC17" s="110" t="n">
        <f aca="false">(Pipeline!$T$16*Pipeline!$D$16*MIN(1,MAX(0,(53-Pipeline!$E$16+1)/MAX(Pipeline!$F$16,1)))+Pipeline!$T$17*Pipeline!$D$17*MIN(1,MAX(0,(53-Pipeline!$E$17+1)/MAX(Pipeline!$F$17,1)))+Pipeline!$T$18*Pipeline!$D$18*MIN(1,MAX(0,(53-Pipeline!$E$18+1)/MAX(Pipeline!$F$18,1)))+Pipeline!$T$19*Pipeline!$D$19*MIN(1,MAX(0,(53-Pipeline!$E$19+1)/MAX(Pipeline!$F$19,1)))+Pipeline!$T$20*Pipeline!$D$20*MIN(1,MAX(0,(53-Pipeline!$E$20+1)/MAX(Pipeline!$F$20,1)))+Pipeline!$T$21*Pipeline!$D$21*MIN(1,MAX(0,(53-Pipeline!$E$21+1)/MAX(Pipeline!$F$21,1)))+Pipeline!$T$22*Pipeline!$D$22*MIN(1,MAX(0,(53-Pipeline!$E$22+1)/MAX(Pipeline!$F$22,1))))/Hipótesis!$C$17</f>
        <v>7543.27796335926</v>
      </c>
      <c r="BD17" s="110" t="n">
        <f aca="false">(Pipeline!$T$16*Pipeline!$D$16*MIN(1,MAX(0,(54-Pipeline!$E$16+1)/MAX(Pipeline!$F$16,1)))+Pipeline!$T$17*Pipeline!$D$17*MIN(1,MAX(0,(54-Pipeline!$E$17+1)/MAX(Pipeline!$F$17,1)))+Pipeline!$T$18*Pipeline!$D$18*MIN(1,MAX(0,(54-Pipeline!$E$18+1)/MAX(Pipeline!$F$18,1)))+Pipeline!$T$19*Pipeline!$D$19*MIN(1,MAX(0,(54-Pipeline!$E$19+1)/MAX(Pipeline!$F$19,1)))+Pipeline!$T$20*Pipeline!$D$20*MIN(1,MAX(0,(54-Pipeline!$E$20+1)/MAX(Pipeline!$F$20,1)))+Pipeline!$T$21*Pipeline!$D$21*MIN(1,MAX(0,(54-Pipeline!$E$21+1)/MAX(Pipeline!$F$21,1)))+Pipeline!$T$22*Pipeline!$D$22*MIN(1,MAX(0,(54-Pipeline!$E$22+1)/MAX(Pipeline!$F$22,1))))/Hipótesis!$C$17</f>
        <v>7543.27796335926</v>
      </c>
      <c r="BE17" s="110" t="n">
        <f aca="false">(Pipeline!$T$16*Pipeline!$D$16*MIN(1,MAX(0,(55-Pipeline!$E$16+1)/MAX(Pipeline!$F$16,1)))+Pipeline!$T$17*Pipeline!$D$17*MIN(1,MAX(0,(55-Pipeline!$E$17+1)/MAX(Pipeline!$F$17,1)))+Pipeline!$T$18*Pipeline!$D$18*MIN(1,MAX(0,(55-Pipeline!$E$18+1)/MAX(Pipeline!$F$18,1)))+Pipeline!$T$19*Pipeline!$D$19*MIN(1,MAX(0,(55-Pipeline!$E$19+1)/MAX(Pipeline!$F$19,1)))+Pipeline!$T$20*Pipeline!$D$20*MIN(1,MAX(0,(55-Pipeline!$E$20+1)/MAX(Pipeline!$F$20,1)))+Pipeline!$T$21*Pipeline!$D$21*MIN(1,MAX(0,(55-Pipeline!$E$21+1)/MAX(Pipeline!$F$21,1)))+Pipeline!$T$22*Pipeline!$D$22*MIN(1,MAX(0,(55-Pipeline!$E$22+1)/MAX(Pipeline!$F$22,1))))/Hipótesis!$C$17</f>
        <v>7543.27796335926</v>
      </c>
      <c r="BF17" s="110" t="n">
        <f aca="false">(Pipeline!$T$16*Pipeline!$D$16*MIN(1,MAX(0,(56-Pipeline!$E$16+1)/MAX(Pipeline!$F$16,1)))+Pipeline!$T$17*Pipeline!$D$17*MIN(1,MAX(0,(56-Pipeline!$E$17+1)/MAX(Pipeline!$F$17,1)))+Pipeline!$T$18*Pipeline!$D$18*MIN(1,MAX(0,(56-Pipeline!$E$18+1)/MAX(Pipeline!$F$18,1)))+Pipeline!$T$19*Pipeline!$D$19*MIN(1,MAX(0,(56-Pipeline!$E$19+1)/MAX(Pipeline!$F$19,1)))+Pipeline!$T$20*Pipeline!$D$20*MIN(1,MAX(0,(56-Pipeline!$E$20+1)/MAX(Pipeline!$F$20,1)))+Pipeline!$T$21*Pipeline!$D$21*MIN(1,MAX(0,(56-Pipeline!$E$21+1)/MAX(Pipeline!$F$21,1)))+Pipeline!$T$22*Pipeline!$D$22*MIN(1,MAX(0,(56-Pipeline!$E$22+1)/MAX(Pipeline!$F$22,1))))/Hipótesis!$C$17</f>
        <v>7543.27796335926</v>
      </c>
      <c r="BG17" s="110" t="n">
        <f aca="false">(Pipeline!$T$16*Pipeline!$D$16*MIN(1,MAX(0,(57-Pipeline!$E$16+1)/MAX(Pipeline!$F$16,1)))+Pipeline!$T$17*Pipeline!$D$17*MIN(1,MAX(0,(57-Pipeline!$E$17+1)/MAX(Pipeline!$F$17,1)))+Pipeline!$T$18*Pipeline!$D$18*MIN(1,MAX(0,(57-Pipeline!$E$18+1)/MAX(Pipeline!$F$18,1)))+Pipeline!$T$19*Pipeline!$D$19*MIN(1,MAX(0,(57-Pipeline!$E$19+1)/MAX(Pipeline!$F$19,1)))+Pipeline!$T$20*Pipeline!$D$20*MIN(1,MAX(0,(57-Pipeline!$E$20+1)/MAX(Pipeline!$F$20,1)))+Pipeline!$T$21*Pipeline!$D$21*MIN(1,MAX(0,(57-Pipeline!$E$21+1)/MAX(Pipeline!$F$21,1)))+Pipeline!$T$22*Pipeline!$D$22*MIN(1,MAX(0,(57-Pipeline!$E$22+1)/MAX(Pipeline!$F$22,1))))/Hipótesis!$C$17</f>
        <v>7543.27796335926</v>
      </c>
      <c r="BH17" s="110" t="n">
        <f aca="false">(Pipeline!$T$16*Pipeline!$D$16*MIN(1,MAX(0,(58-Pipeline!$E$16+1)/MAX(Pipeline!$F$16,1)))+Pipeline!$T$17*Pipeline!$D$17*MIN(1,MAX(0,(58-Pipeline!$E$17+1)/MAX(Pipeline!$F$17,1)))+Pipeline!$T$18*Pipeline!$D$18*MIN(1,MAX(0,(58-Pipeline!$E$18+1)/MAX(Pipeline!$F$18,1)))+Pipeline!$T$19*Pipeline!$D$19*MIN(1,MAX(0,(58-Pipeline!$E$19+1)/MAX(Pipeline!$F$19,1)))+Pipeline!$T$20*Pipeline!$D$20*MIN(1,MAX(0,(58-Pipeline!$E$20+1)/MAX(Pipeline!$F$20,1)))+Pipeline!$T$21*Pipeline!$D$21*MIN(1,MAX(0,(58-Pipeline!$E$21+1)/MAX(Pipeline!$F$21,1)))+Pipeline!$T$22*Pipeline!$D$22*MIN(1,MAX(0,(58-Pipeline!$E$22+1)/MAX(Pipeline!$F$22,1))))/Hipótesis!$C$17</f>
        <v>7543.27796335926</v>
      </c>
      <c r="BI17" s="110" t="n">
        <f aca="false">(Pipeline!$T$16*Pipeline!$D$16*MIN(1,MAX(0,(59-Pipeline!$E$16+1)/MAX(Pipeline!$F$16,1)))+Pipeline!$T$17*Pipeline!$D$17*MIN(1,MAX(0,(59-Pipeline!$E$17+1)/MAX(Pipeline!$F$17,1)))+Pipeline!$T$18*Pipeline!$D$18*MIN(1,MAX(0,(59-Pipeline!$E$18+1)/MAX(Pipeline!$F$18,1)))+Pipeline!$T$19*Pipeline!$D$19*MIN(1,MAX(0,(59-Pipeline!$E$19+1)/MAX(Pipeline!$F$19,1)))+Pipeline!$T$20*Pipeline!$D$20*MIN(1,MAX(0,(59-Pipeline!$E$20+1)/MAX(Pipeline!$F$20,1)))+Pipeline!$T$21*Pipeline!$D$21*MIN(1,MAX(0,(59-Pipeline!$E$21+1)/MAX(Pipeline!$F$21,1)))+Pipeline!$T$22*Pipeline!$D$22*MIN(1,MAX(0,(59-Pipeline!$E$22+1)/MAX(Pipeline!$F$22,1))))/Hipótesis!$C$17</f>
        <v>7543.27796335926</v>
      </c>
      <c r="BJ17" s="110" t="n">
        <f aca="false">(Pipeline!$T$16*Pipeline!$D$16*MIN(1,MAX(0,(60-Pipeline!$E$16+1)/MAX(Pipeline!$F$16,1)))+Pipeline!$T$17*Pipeline!$D$17*MIN(1,MAX(0,(60-Pipeline!$E$17+1)/MAX(Pipeline!$F$17,1)))+Pipeline!$T$18*Pipeline!$D$18*MIN(1,MAX(0,(60-Pipeline!$E$18+1)/MAX(Pipeline!$F$18,1)))+Pipeline!$T$19*Pipeline!$D$19*MIN(1,MAX(0,(60-Pipeline!$E$19+1)/MAX(Pipeline!$F$19,1)))+Pipeline!$T$20*Pipeline!$D$20*MIN(1,MAX(0,(60-Pipeline!$E$20+1)/MAX(Pipeline!$F$20,1)))+Pipeline!$T$21*Pipeline!$D$21*MIN(1,MAX(0,(60-Pipeline!$E$21+1)/MAX(Pipeline!$F$21,1)))+Pipeline!$T$22*Pipeline!$D$22*MIN(1,MAX(0,(60-Pipeline!$E$22+1)/MAX(Pipeline!$F$22,1))))/Hipótesis!$C$17</f>
        <v>7543.27796335926</v>
      </c>
      <c r="BK17" s="110" t="n">
        <f aca="false">(Pipeline!$T$16*Pipeline!$D$16*MIN(1,MAX(0,(61-Pipeline!$E$16+1)/MAX(Pipeline!$F$16,1)))+Pipeline!$T$17*Pipeline!$D$17*MIN(1,MAX(0,(61-Pipeline!$E$17+1)/MAX(Pipeline!$F$17,1)))+Pipeline!$T$18*Pipeline!$D$18*MIN(1,MAX(0,(61-Pipeline!$E$18+1)/MAX(Pipeline!$F$18,1)))+Pipeline!$T$19*Pipeline!$D$19*MIN(1,MAX(0,(61-Pipeline!$E$19+1)/MAX(Pipeline!$F$19,1)))+Pipeline!$T$20*Pipeline!$D$20*MIN(1,MAX(0,(61-Pipeline!$E$20+1)/MAX(Pipeline!$F$20,1)))+Pipeline!$T$21*Pipeline!$D$21*MIN(1,MAX(0,(61-Pipeline!$E$21+1)/MAX(Pipeline!$F$21,1)))+Pipeline!$T$22*Pipeline!$D$22*MIN(1,MAX(0,(61-Pipeline!$E$22+1)/MAX(Pipeline!$F$22,1))))/Hipótesis!$C$17</f>
        <v>7543.27796335926</v>
      </c>
      <c r="BL17" s="110" t="n">
        <f aca="false">(Pipeline!$T$16*Pipeline!$D$16*MIN(1,MAX(0,(62-Pipeline!$E$16+1)/MAX(Pipeline!$F$16,1)))+Pipeline!$T$17*Pipeline!$D$17*MIN(1,MAX(0,(62-Pipeline!$E$17+1)/MAX(Pipeline!$F$17,1)))+Pipeline!$T$18*Pipeline!$D$18*MIN(1,MAX(0,(62-Pipeline!$E$18+1)/MAX(Pipeline!$F$18,1)))+Pipeline!$T$19*Pipeline!$D$19*MIN(1,MAX(0,(62-Pipeline!$E$19+1)/MAX(Pipeline!$F$19,1)))+Pipeline!$T$20*Pipeline!$D$20*MIN(1,MAX(0,(62-Pipeline!$E$20+1)/MAX(Pipeline!$F$20,1)))+Pipeline!$T$21*Pipeline!$D$21*MIN(1,MAX(0,(62-Pipeline!$E$21+1)/MAX(Pipeline!$F$21,1)))+Pipeline!$T$22*Pipeline!$D$22*MIN(1,MAX(0,(62-Pipeline!$E$22+1)/MAX(Pipeline!$F$22,1))))/Hipótesis!$C$17</f>
        <v>7543.27796335926</v>
      </c>
      <c r="BM17" s="110" t="n">
        <f aca="false">(Pipeline!$T$16*Pipeline!$D$16*MIN(1,MAX(0,(63-Pipeline!$E$16+1)/MAX(Pipeline!$F$16,1)))+Pipeline!$T$17*Pipeline!$D$17*MIN(1,MAX(0,(63-Pipeline!$E$17+1)/MAX(Pipeline!$F$17,1)))+Pipeline!$T$18*Pipeline!$D$18*MIN(1,MAX(0,(63-Pipeline!$E$18+1)/MAX(Pipeline!$F$18,1)))+Pipeline!$T$19*Pipeline!$D$19*MIN(1,MAX(0,(63-Pipeline!$E$19+1)/MAX(Pipeline!$F$19,1)))+Pipeline!$T$20*Pipeline!$D$20*MIN(1,MAX(0,(63-Pipeline!$E$20+1)/MAX(Pipeline!$F$20,1)))+Pipeline!$T$21*Pipeline!$D$21*MIN(1,MAX(0,(63-Pipeline!$E$21+1)/MAX(Pipeline!$F$21,1)))+Pipeline!$T$22*Pipeline!$D$22*MIN(1,MAX(0,(63-Pipeline!$E$22+1)/MAX(Pipeline!$F$22,1))))/Hipótesis!$C$17</f>
        <v>7543.27796335926</v>
      </c>
      <c r="BN17" s="110" t="n">
        <f aca="false">(Pipeline!$T$16*Pipeline!$D$16*MIN(1,MAX(0,(64-Pipeline!$E$16+1)/MAX(Pipeline!$F$16,1)))+Pipeline!$T$17*Pipeline!$D$17*MIN(1,MAX(0,(64-Pipeline!$E$17+1)/MAX(Pipeline!$F$17,1)))+Pipeline!$T$18*Pipeline!$D$18*MIN(1,MAX(0,(64-Pipeline!$E$18+1)/MAX(Pipeline!$F$18,1)))+Pipeline!$T$19*Pipeline!$D$19*MIN(1,MAX(0,(64-Pipeline!$E$19+1)/MAX(Pipeline!$F$19,1)))+Pipeline!$T$20*Pipeline!$D$20*MIN(1,MAX(0,(64-Pipeline!$E$20+1)/MAX(Pipeline!$F$20,1)))+Pipeline!$T$21*Pipeline!$D$21*MIN(1,MAX(0,(64-Pipeline!$E$21+1)/MAX(Pipeline!$F$21,1)))+Pipeline!$T$22*Pipeline!$D$22*MIN(1,MAX(0,(64-Pipeline!$E$22+1)/MAX(Pipeline!$F$22,1))))/Hipótesis!$C$17</f>
        <v>7543.27796335926</v>
      </c>
      <c r="BO17" s="110" t="n">
        <f aca="false">(Pipeline!$T$16*Pipeline!$D$16*MIN(1,MAX(0,(65-Pipeline!$E$16+1)/MAX(Pipeline!$F$16,1)))+Pipeline!$T$17*Pipeline!$D$17*MIN(1,MAX(0,(65-Pipeline!$E$17+1)/MAX(Pipeline!$F$17,1)))+Pipeline!$T$18*Pipeline!$D$18*MIN(1,MAX(0,(65-Pipeline!$E$18+1)/MAX(Pipeline!$F$18,1)))+Pipeline!$T$19*Pipeline!$D$19*MIN(1,MAX(0,(65-Pipeline!$E$19+1)/MAX(Pipeline!$F$19,1)))+Pipeline!$T$20*Pipeline!$D$20*MIN(1,MAX(0,(65-Pipeline!$E$20+1)/MAX(Pipeline!$F$20,1)))+Pipeline!$T$21*Pipeline!$D$21*MIN(1,MAX(0,(65-Pipeline!$E$21+1)/MAX(Pipeline!$F$21,1)))+Pipeline!$T$22*Pipeline!$D$22*MIN(1,MAX(0,(65-Pipeline!$E$22+1)/MAX(Pipeline!$F$22,1))))/Hipótesis!$C$17</f>
        <v>7543.27796335926</v>
      </c>
      <c r="BP17" s="110" t="n">
        <f aca="false">(Pipeline!$T$16*Pipeline!$D$16*MIN(1,MAX(0,(66-Pipeline!$E$16+1)/MAX(Pipeline!$F$16,1)))+Pipeline!$T$17*Pipeline!$D$17*MIN(1,MAX(0,(66-Pipeline!$E$17+1)/MAX(Pipeline!$F$17,1)))+Pipeline!$T$18*Pipeline!$D$18*MIN(1,MAX(0,(66-Pipeline!$E$18+1)/MAX(Pipeline!$F$18,1)))+Pipeline!$T$19*Pipeline!$D$19*MIN(1,MAX(0,(66-Pipeline!$E$19+1)/MAX(Pipeline!$F$19,1)))+Pipeline!$T$20*Pipeline!$D$20*MIN(1,MAX(0,(66-Pipeline!$E$20+1)/MAX(Pipeline!$F$20,1)))+Pipeline!$T$21*Pipeline!$D$21*MIN(1,MAX(0,(66-Pipeline!$E$21+1)/MAX(Pipeline!$F$21,1)))+Pipeline!$T$22*Pipeline!$D$22*MIN(1,MAX(0,(66-Pipeline!$E$22+1)/MAX(Pipeline!$F$22,1))))/Hipótesis!$C$17</f>
        <v>7543.27796335926</v>
      </c>
      <c r="BQ17" s="110" t="n">
        <f aca="false">(Pipeline!$T$16*Pipeline!$D$16*MIN(1,MAX(0,(67-Pipeline!$E$16+1)/MAX(Pipeline!$F$16,1)))+Pipeline!$T$17*Pipeline!$D$17*MIN(1,MAX(0,(67-Pipeline!$E$17+1)/MAX(Pipeline!$F$17,1)))+Pipeline!$T$18*Pipeline!$D$18*MIN(1,MAX(0,(67-Pipeline!$E$18+1)/MAX(Pipeline!$F$18,1)))+Pipeline!$T$19*Pipeline!$D$19*MIN(1,MAX(0,(67-Pipeline!$E$19+1)/MAX(Pipeline!$F$19,1)))+Pipeline!$T$20*Pipeline!$D$20*MIN(1,MAX(0,(67-Pipeline!$E$20+1)/MAX(Pipeline!$F$20,1)))+Pipeline!$T$21*Pipeline!$D$21*MIN(1,MAX(0,(67-Pipeline!$E$21+1)/MAX(Pipeline!$F$21,1)))+Pipeline!$T$22*Pipeline!$D$22*MIN(1,MAX(0,(67-Pipeline!$E$22+1)/MAX(Pipeline!$F$22,1))))/Hipótesis!$C$17</f>
        <v>7543.27796335926</v>
      </c>
      <c r="BR17" s="110" t="n">
        <f aca="false">(Pipeline!$T$16*Pipeline!$D$16*MIN(1,MAX(0,(68-Pipeline!$E$16+1)/MAX(Pipeline!$F$16,1)))+Pipeline!$T$17*Pipeline!$D$17*MIN(1,MAX(0,(68-Pipeline!$E$17+1)/MAX(Pipeline!$F$17,1)))+Pipeline!$T$18*Pipeline!$D$18*MIN(1,MAX(0,(68-Pipeline!$E$18+1)/MAX(Pipeline!$F$18,1)))+Pipeline!$T$19*Pipeline!$D$19*MIN(1,MAX(0,(68-Pipeline!$E$19+1)/MAX(Pipeline!$F$19,1)))+Pipeline!$T$20*Pipeline!$D$20*MIN(1,MAX(0,(68-Pipeline!$E$20+1)/MAX(Pipeline!$F$20,1)))+Pipeline!$T$21*Pipeline!$D$21*MIN(1,MAX(0,(68-Pipeline!$E$21+1)/MAX(Pipeline!$F$21,1)))+Pipeline!$T$22*Pipeline!$D$22*MIN(1,MAX(0,(68-Pipeline!$E$22+1)/MAX(Pipeline!$F$22,1))))/Hipótesis!$C$17</f>
        <v>7543.27796335926</v>
      </c>
      <c r="BS17" s="110" t="n">
        <f aca="false">(Pipeline!$T$16*Pipeline!$D$16*MIN(1,MAX(0,(69-Pipeline!$E$16+1)/MAX(Pipeline!$F$16,1)))+Pipeline!$T$17*Pipeline!$D$17*MIN(1,MAX(0,(69-Pipeline!$E$17+1)/MAX(Pipeline!$F$17,1)))+Pipeline!$T$18*Pipeline!$D$18*MIN(1,MAX(0,(69-Pipeline!$E$18+1)/MAX(Pipeline!$F$18,1)))+Pipeline!$T$19*Pipeline!$D$19*MIN(1,MAX(0,(69-Pipeline!$E$19+1)/MAX(Pipeline!$F$19,1)))+Pipeline!$T$20*Pipeline!$D$20*MIN(1,MAX(0,(69-Pipeline!$E$20+1)/MAX(Pipeline!$F$20,1)))+Pipeline!$T$21*Pipeline!$D$21*MIN(1,MAX(0,(69-Pipeline!$E$21+1)/MAX(Pipeline!$F$21,1)))+Pipeline!$T$22*Pipeline!$D$22*MIN(1,MAX(0,(69-Pipeline!$E$22+1)/MAX(Pipeline!$F$22,1))))/Hipótesis!$C$17</f>
        <v>7543.27796335926</v>
      </c>
      <c r="BT17" s="110" t="n">
        <f aca="false">(Pipeline!$T$16*Pipeline!$D$16*MIN(1,MAX(0,(70-Pipeline!$E$16+1)/MAX(Pipeline!$F$16,1)))+Pipeline!$T$17*Pipeline!$D$17*MIN(1,MAX(0,(70-Pipeline!$E$17+1)/MAX(Pipeline!$F$17,1)))+Pipeline!$T$18*Pipeline!$D$18*MIN(1,MAX(0,(70-Pipeline!$E$18+1)/MAX(Pipeline!$F$18,1)))+Pipeline!$T$19*Pipeline!$D$19*MIN(1,MAX(0,(70-Pipeline!$E$19+1)/MAX(Pipeline!$F$19,1)))+Pipeline!$T$20*Pipeline!$D$20*MIN(1,MAX(0,(70-Pipeline!$E$20+1)/MAX(Pipeline!$F$20,1)))+Pipeline!$T$21*Pipeline!$D$21*MIN(1,MAX(0,(70-Pipeline!$E$21+1)/MAX(Pipeline!$F$21,1)))+Pipeline!$T$22*Pipeline!$D$22*MIN(1,MAX(0,(70-Pipeline!$E$22+1)/MAX(Pipeline!$F$22,1))))/Hipótesis!$C$17</f>
        <v>7543.27796335926</v>
      </c>
      <c r="BU17" s="110" t="n">
        <f aca="false">(Pipeline!$T$16*Pipeline!$D$16*MIN(1,MAX(0,(71-Pipeline!$E$16+1)/MAX(Pipeline!$F$16,1)))+Pipeline!$T$17*Pipeline!$D$17*MIN(1,MAX(0,(71-Pipeline!$E$17+1)/MAX(Pipeline!$F$17,1)))+Pipeline!$T$18*Pipeline!$D$18*MIN(1,MAX(0,(71-Pipeline!$E$18+1)/MAX(Pipeline!$F$18,1)))+Pipeline!$T$19*Pipeline!$D$19*MIN(1,MAX(0,(71-Pipeline!$E$19+1)/MAX(Pipeline!$F$19,1)))+Pipeline!$T$20*Pipeline!$D$20*MIN(1,MAX(0,(71-Pipeline!$E$20+1)/MAX(Pipeline!$F$20,1)))+Pipeline!$T$21*Pipeline!$D$21*MIN(1,MAX(0,(71-Pipeline!$E$21+1)/MAX(Pipeline!$F$21,1)))+Pipeline!$T$22*Pipeline!$D$22*MIN(1,MAX(0,(71-Pipeline!$E$22+1)/MAX(Pipeline!$F$22,1))))/Hipótesis!$C$17</f>
        <v>7543.27796335926</v>
      </c>
      <c r="BV17" s="110" t="n">
        <f aca="false">(Pipeline!$T$16*Pipeline!$D$16*MIN(1,MAX(0,(72-Pipeline!$E$16+1)/MAX(Pipeline!$F$16,1)))+Pipeline!$T$17*Pipeline!$D$17*MIN(1,MAX(0,(72-Pipeline!$E$17+1)/MAX(Pipeline!$F$17,1)))+Pipeline!$T$18*Pipeline!$D$18*MIN(1,MAX(0,(72-Pipeline!$E$18+1)/MAX(Pipeline!$F$18,1)))+Pipeline!$T$19*Pipeline!$D$19*MIN(1,MAX(0,(72-Pipeline!$E$19+1)/MAX(Pipeline!$F$19,1)))+Pipeline!$T$20*Pipeline!$D$20*MIN(1,MAX(0,(72-Pipeline!$E$20+1)/MAX(Pipeline!$F$20,1)))+Pipeline!$T$21*Pipeline!$D$21*MIN(1,MAX(0,(72-Pipeline!$E$21+1)/MAX(Pipeline!$F$21,1)))+Pipeline!$T$22*Pipeline!$D$22*MIN(1,MAX(0,(72-Pipeline!$E$22+1)/MAX(Pipeline!$F$22,1))))/Hipótesis!$C$17</f>
        <v>7543.27796335926</v>
      </c>
      <c r="BW17" s="110" t="n">
        <f aca="false">(Pipeline!$T$16*Pipeline!$D$16*MIN(1,MAX(0,(73-Pipeline!$E$16+1)/MAX(Pipeline!$F$16,1)))+Pipeline!$T$17*Pipeline!$D$17*MIN(1,MAX(0,(73-Pipeline!$E$17+1)/MAX(Pipeline!$F$17,1)))+Pipeline!$T$18*Pipeline!$D$18*MIN(1,MAX(0,(73-Pipeline!$E$18+1)/MAX(Pipeline!$F$18,1)))+Pipeline!$T$19*Pipeline!$D$19*MIN(1,MAX(0,(73-Pipeline!$E$19+1)/MAX(Pipeline!$F$19,1)))+Pipeline!$T$20*Pipeline!$D$20*MIN(1,MAX(0,(73-Pipeline!$E$20+1)/MAX(Pipeline!$F$20,1)))+Pipeline!$T$21*Pipeline!$D$21*MIN(1,MAX(0,(73-Pipeline!$E$21+1)/MAX(Pipeline!$F$21,1)))+Pipeline!$T$22*Pipeline!$D$22*MIN(1,MAX(0,(73-Pipeline!$E$22+1)/MAX(Pipeline!$F$22,1))))/Hipótesis!$C$17</f>
        <v>7543.27796335926</v>
      </c>
      <c r="BX17" s="110" t="n">
        <f aca="false">(Pipeline!$T$16*Pipeline!$D$16*MIN(1,MAX(0,(74-Pipeline!$E$16+1)/MAX(Pipeline!$F$16,1)))+Pipeline!$T$17*Pipeline!$D$17*MIN(1,MAX(0,(74-Pipeline!$E$17+1)/MAX(Pipeline!$F$17,1)))+Pipeline!$T$18*Pipeline!$D$18*MIN(1,MAX(0,(74-Pipeline!$E$18+1)/MAX(Pipeline!$F$18,1)))+Pipeline!$T$19*Pipeline!$D$19*MIN(1,MAX(0,(74-Pipeline!$E$19+1)/MAX(Pipeline!$F$19,1)))+Pipeline!$T$20*Pipeline!$D$20*MIN(1,MAX(0,(74-Pipeline!$E$20+1)/MAX(Pipeline!$F$20,1)))+Pipeline!$T$21*Pipeline!$D$21*MIN(1,MAX(0,(74-Pipeline!$E$21+1)/MAX(Pipeline!$F$21,1)))+Pipeline!$T$22*Pipeline!$D$22*MIN(1,MAX(0,(74-Pipeline!$E$22+1)/MAX(Pipeline!$F$22,1))))/Hipótesis!$C$17</f>
        <v>7543.27796335926</v>
      </c>
      <c r="BY17" s="110" t="n">
        <f aca="false">(Pipeline!$T$16*Pipeline!$D$16*MIN(1,MAX(0,(75-Pipeline!$E$16+1)/MAX(Pipeline!$F$16,1)))+Pipeline!$T$17*Pipeline!$D$17*MIN(1,MAX(0,(75-Pipeline!$E$17+1)/MAX(Pipeline!$F$17,1)))+Pipeline!$T$18*Pipeline!$D$18*MIN(1,MAX(0,(75-Pipeline!$E$18+1)/MAX(Pipeline!$F$18,1)))+Pipeline!$T$19*Pipeline!$D$19*MIN(1,MAX(0,(75-Pipeline!$E$19+1)/MAX(Pipeline!$F$19,1)))+Pipeline!$T$20*Pipeline!$D$20*MIN(1,MAX(0,(75-Pipeline!$E$20+1)/MAX(Pipeline!$F$20,1)))+Pipeline!$T$21*Pipeline!$D$21*MIN(1,MAX(0,(75-Pipeline!$E$21+1)/MAX(Pipeline!$F$21,1)))+Pipeline!$T$22*Pipeline!$D$22*MIN(1,MAX(0,(75-Pipeline!$E$22+1)/MAX(Pipeline!$F$22,1))))/Hipótesis!$C$17</f>
        <v>7543.27796335926</v>
      </c>
      <c r="BZ17" s="110" t="n">
        <f aca="false">(Pipeline!$T$16*Pipeline!$D$16*MIN(1,MAX(0,(76-Pipeline!$E$16+1)/MAX(Pipeline!$F$16,1)))+Pipeline!$T$17*Pipeline!$D$17*MIN(1,MAX(0,(76-Pipeline!$E$17+1)/MAX(Pipeline!$F$17,1)))+Pipeline!$T$18*Pipeline!$D$18*MIN(1,MAX(0,(76-Pipeline!$E$18+1)/MAX(Pipeline!$F$18,1)))+Pipeline!$T$19*Pipeline!$D$19*MIN(1,MAX(0,(76-Pipeline!$E$19+1)/MAX(Pipeline!$F$19,1)))+Pipeline!$T$20*Pipeline!$D$20*MIN(1,MAX(0,(76-Pipeline!$E$20+1)/MAX(Pipeline!$F$20,1)))+Pipeline!$T$21*Pipeline!$D$21*MIN(1,MAX(0,(76-Pipeline!$E$21+1)/MAX(Pipeline!$F$21,1)))+Pipeline!$T$22*Pipeline!$D$22*MIN(1,MAX(0,(76-Pipeline!$E$22+1)/MAX(Pipeline!$F$22,1))))/Hipótesis!$C$17</f>
        <v>7543.27796335926</v>
      </c>
      <c r="CA17" s="110" t="n">
        <f aca="false">(Pipeline!$T$16*Pipeline!$D$16*MIN(1,MAX(0,(77-Pipeline!$E$16+1)/MAX(Pipeline!$F$16,1)))+Pipeline!$T$17*Pipeline!$D$17*MIN(1,MAX(0,(77-Pipeline!$E$17+1)/MAX(Pipeline!$F$17,1)))+Pipeline!$T$18*Pipeline!$D$18*MIN(1,MAX(0,(77-Pipeline!$E$18+1)/MAX(Pipeline!$F$18,1)))+Pipeline!$T$19*Pipeline!$D$19*MIN(1,MAX(0,(77-Pipeline!$E$19+1)/MAX(Pipeline!$F$19,1)))+Pipeline!$T$20*Pipeline!$D$20*MIN(1,MAX(0,(77-Pipeline!$E$20+1)/MAX(Pipeline!$F$20,1)))+Pipeline!$T$21*Pipeline!$D$21*MIN(1,MAX(0,(77-Pipeline!$E$21+1)/MAX(Pipeline!$F$21,1)))+Pipeline!$T$22*Pipeline!$D$22*MIN(1,MAX(0,(77-Pipeline!$E$22+1)/MAX(Pipeline!$F$22,1))))/Hipótesis!$C$17</f>
        <v>7543.27796335926</v>
      </c>
      <c r="CB17" s="110" t="n">
        <f aca="false">(Pipeline!$T$16*Pipeline!$D$16*MIN(1,MAX(0,(78-Pipeline!$E$16+1)/MAX(Pipeline!$F$16,1)))+Pipeline!$T$17*Pipeline!$D$17*MIN(1,MAX(0,(78-Pipeline!$E$17+1)/MAX(Pipeline!$F$17,1)))+Pipeline!$T$18*Pipeline!$D$18*MIN(1,MAX(0,(78-Pipeline!$E$18+1)/MAX(Pipeline!$F$18,1)))+Pipeline!$T$19*Pipeline!$D$19*MIN(1,MAX(0,(78-Pipeline!$E$19+1)/MAX(Pipeline!$F$19,1)))+Pipeline!$T$20*Pipeline!$D$20*MIN(1,MAX(0,(78-Pipeline!$E$20+1)/MAX(Pipeline!$F$20,1)))+Pipeline!$T$21*Pipeline!$D$21*MIN(1,MAX(0,(78-Pipeline!$E$21+1)/MAX(Pipeline!$F$21,1)))+Pipeline!$T$22*Pipeline!$D$22*MIN(1,MAX(0,(78-Pipeline!$E$22+1)/MAX(Pipeline!$F$22,1))))/Hipótesis!$C$17</f>
        <v>7543.27796335926</v>
      </c>
      <c r="CC17" s="110" t="n">
        <f aca="false">(Pipeline!$T$16*Pipeline!$D$16*MIN(1,MAX(0,(79-Pipeline!$E$16+1)/MAX(Pipeline!$F$16,1)))+Pipeline!$T$17*Pipeline!$D$17*MIN(1,MAX(0,(79-Pipeline!$E$17+1)/MAX(Pipeline!$F$17,1)))+Pipeline!$T$18*Pipeline!$D$18*MIN(1,MAX(0,(79-Pipeline!$E$18+1)/MAX(Pipeline!$F$18,1)))+Pipeline!$T$19*Pipeline!$D$19*MIN(1,MAX(0,(79-Pipeline!$E$19+1)/MAX(Pipeline!$F$19,1)))+Pipeline!$T$20*Pipeline!$D$20*MIN(1,MAX(0,(79-Pipeline!$E$20+1)/MAX(Pipeline!$F$20,1)))+Pipeline!$T$21*Pipeline!$D$21*MIN(1,MAX(0,(79-Pipeline!$E$21+1)/MAX(Pipeline!$F$21,1)))+Pipeline!$T$22*Pipeline!$D$22*MIN(1,MAX(0,(79-Pipeline!$E$22+1)/MAX(Pipeline!$F$22,1))))/Hipótesis!$C$17</f>
        <v>7543.27796335926</v>
      </c>
      <c r="CD17" s="110" t="n">
        <f aca="false">(Pipeline!$T$16*Pipeline!$D$16*MIN(1,MAX(0,(80-Pipeline!$E$16+1)/MAX(Pipeline!$F$16,1)))+Pipeline!$T$17*Pipeline!$D$17*MIN(1,MAX(0,(80-Pipeline!$E$17+1)/MAX(Pipeline!$F$17,1)))+Pipeline!$T$18*Pipeline!$D$18*MIN(1,MAX(0,(80-Pipeline!$E$18+1)/MAX(Pipeline!$F$18,1)))+Pipeline!$T$19*Pipeline!$D$19*MIN(1,MAX(0,(80-Pipeline!$E$19+1)/MAX(Pipeline!$F$19,1)))+Pipeline!$T$20*Pipeline!$D$20*MIN(1,MAX(0,(80-Pipeline!$E$20+1)/MAX(Pipeline!$F$20,1)))+Pipeline!$T$21*Pipeline!$D$21*MIN(1,MAX(0,(80-Pipeline!$E$21+1)/MAX(Pipeline!$F$21,1)))+Pipeline!$T$22*Pipeline!$D$22*MIN(1,MAX(0,(80-Pipeline!$E$22+1)/MAX(Pipeline!$F$22,1))))/Hipótesis!$C$17</f>
        <v>7543.27796335926</v>
      </c>
      <c r="CE17" s="110" t="n">
        <f aca="false">(Pipeline!$T$16*Pipeline!$D$16*MIN(1,MAX(0,(81-Pipeline!$E$16+1)/MAX(Pipeline!$F$16,1)))+Pipeline!$T$17*Pipeline!$D$17*MIN(1,MAX(0,(81-Pipeline!$E$17+1)/MAX(Pipeline!$F$17,1)))+Pipeline!$T$18*Pipeline!$D$18*MIN(1,MAX(0,(81-Pipeline!$E$18+1)/MAX(Pipeline!$F$18,1)))+Pipeline!$T$19*Pipeline!$D$19*MIN(1,MAX(0,(81-Pipeline!$E$19+1)/MAX(Pipeline!$F$19,1)))+Pipeline!$T$20*Pipeline!$D$20*MIN(1,MAX(0,(81-Pipeline!$E$20+1)/MAX(Pipeline!$F$20,1)))+Pipeline!$T$21*Pipeline!$D$21*MIN(1,MAX(0,(81-Pipeline!$E$21+1)/MAX(Pipeline!$F$21,1)))+Pipeline!$T$22*Pipeline!$D$22*MIN(1,MAX(0,(81-Pipeline!$E$22+1)/MAX(Pipeline!$F$22,1))))/Hipótesis!$C$17</f>
        <v>7543.27796335926</v>
      </c>
      <c r="CF17" s="110" t="n">
        <f aca="false">(Pipeline!$T$16*Pipeline!$D$16*MIN(1,MAX(0,(82-Pipeline!$E$16+1)/MAX(Pipeline!$F$16,1)))+Pipeline!$T$17*Pipeline!$D$17*MIN(1,MAX(0,(82-Pipeline!$E$17+1)/MAX(Pipeline!$F$17,1)))+Pipeline!$T$18*Pipeline!$D$18*MIN(1,MAX(0,(82-Pipeline!$E$18+1)/MAX(Pipeline!$F$18,1)))+Pipeline!$T$19*Pipeline!$D$19*MIN(1,MAX(0,(82-Pipeline!$E$19+1)/MAX(Pipeline!$F$19,1)))+Pipeline!$T$20*Pipeline!$D$20*MIN(1,MAX(0,(82-Pipeline!$E$20+1)/MAX(Pipeline!$F$20,1)))+Pipeline!$T$21*Pipeline!$D$21*MIN(1,MAX(0,(82-Pipeline!$E$21+1)/MAX(Pipeline!$F$21,1)))+Pipeline!$T$22*Pipeline!$D$22*MIN(1,MAX(0,(82-Pipeline!$E$22+1)/MAX(Pipeline!$F$22,1))))/Hipótesis!$C$17</f>
        <v>7543.27796335926</v>
      </c>
      <c r="CG17" s="110" t="n">
        <f aca="false">(Pipeline!$T$16*Pipeline!$D$16*MIN(1,MAX(0,(83-Pipeline!$E$16+1)/MAX(Pipeline!$F$16,1)))+Pipeline!$T$17*Pipeline!$D$17*MIN(1,MAX(0,(83-Pipeline!$E$17+1)/MAX(Pipeline!$F$17,1)))+Pipeline!$T$18*Pipeline!$D$18*MIN(1,MAX(0,(83-Pipeline!$E$18+1)/MAX(Pipeline!$F$18,1)))+Pipeline!$T$19*Pipeline!$D$19*MIN(1,MAX(0,(83-Pipeline!$E$19+1)/MAX(Pipeline!$F$19,1)))+Pipeline!$T$20*Pipeline!$D$20*MIN(1,MAX(0,(83-Pipeline!$E$20+1)/MAX(Pipeline!$F$20,1)))+Pipeline!$T$21*Pipeline!$D$21*MIN(1,MAX(0,(83-Pipeline!$E$21+1)/MAX(Pipeline!$F$21,1)))+Pipeline!$T$22*Pipeline!$D$22*MIN(1,MAX(0,(83-Pipeline!$E$22+1)/MAX(Pipeline!$F$22,1))))/Hipótesis!$C$17</f>
        <v>7543.27796335926</v>
      </c>
      <c r="CH17" s="110" t="n">
        <f aca="false">(Pipeline!$T$16*Pipeline!$D$16*MIN(1,MAX(0,(84-Pipeline!$E$16+1)/MAX(Pipeline!$F$16,1)))+Pipeline!$T$17*Pipeline!$D$17*MIN(1,MAX(0,(84-Pipeline!$E$17+1)/MAX(Pipeline!$F$17,1)))+Pipeline!$T$18*Pipeline!$D$18*MIN(1,MAX(0,(84-Pipeline!$E$18+1)/MAX(Pipeline!$F$18,1)))+Pipeline!$T$19*Pipeline!$D$19*MIN(1,MAX(0,(84-Pipeline!$E$19+1)/MAX(Pipeline!$F$19,1)))+Pipeline!$T$20*Pipeline!$D$20*MIN(1,MAX(0,(84-Pipeline!$E$20+1)/MAX(Pipeline!$F$20,1)))+Pipeline!$T$21*Pipeline!$D$21*MIN(1,MAX(0,(84-Pipeline!$E$21+1)/MAX(Pipeline!$F$21,1)))+Pipeline!$T$22*Pipeline!$D$22*MIN(1,MAX(0,(84-Pipeline!$E$22+1)/MAX(Pipeline!$F$22,1))))/Hipótesis!$C$17</f>
        <v>7543.27796335926</v>
      </c>
    </row>
    <row r="18" customFormat="false" ht="13.5" hidden="false" customHeight="true" outlineLevel="0" collapsed="false">
      <c r="A18" s="6" t="s">
        <v>526</v>
      </c>
      <c r="C18" s="119" t="n">
        <f aca="false">(Pipeline!$U$16*Pipeline!$D$16*MIN(1,MAX(0,(1-Pipeline!$E$16+1)/MAX(Pipeline!$F$16,1)))+Pipeline!$U$17*Pipeline!$D$17*MIN(1,MAX(0,(1-Pipeline!$E$17+1)/MAX(Pipeline!$F$17,1)))+Pipeline!$U$18*Pipeline!$D$18*MIN(1,MAX(0,(1-Pipeline!$E$18+1)/MAX(Pipeline!$F$18,1)))+Pipeline!$U$19*Pipeline!$D$19*MIN(1,MAX(0,(1-Pipeline!$E$19+1)/MAX(Pipeline!$F$19,1)))+Pipeline!$U$20*Pipeline!$D$20*MIN(1,MAX(0,(1-Pipeline!$E$20+1)/MAX(Pipeline!$F$20,1)))+Pipeline!$U$21*Pipeline!$D$21*MIN(1,MAX(0,(1-Pipeline!$E$21+1)/MAX(Pipeline!$F$21,1)))+Pipeline!$U$22*Pipeline!$D$22*MIN(1,MAX(0,(1-Pipeline!$E$22+1)/MAX(Pipeline!$F$22,1))))/Hipótesis!$C$17</f>
        <v>43.7325510486046</v>
      </c>
      <c r="D18" s="119" t="n">
        <f aca="false">(Pipeline!$U$16*Pipeline!$D$16*MIN(1,MAX(0,(2-Pipeline!$E$16+1)/MAX(Pipeline!$F$16,1)))+Pipeline!$U$17*Pipeline!$D$17*MIN(1,MAX(0,(2-Pipeline!$E$17+1)/MAX(Pipeline!$F$17,1)))+Pipeline!$U$18*Pipeline!$D$18*MIN(1,MAX(0,(2-Pipeline!$E$18+1)/MAX(Pipeline!$F$18,1)))+Pipeline!$U$19*Pipeline!$D$19*MIN(1,MAX(0,(2-Pipeline!$E$19+1)/MAX(Pipeline!$F$19,1)))+Pipeline!$U$20*Pipeline!$D$20*MIN(1,MAX(0,(2-Pipeline!$E$20+1)/MAX(Pipeline!$F$20,1)))+Pipeline!$U$21*Pipeline!$D$21*MIN(1,MAX(0,(2-Pipeline!$E$21+1)/MAX(Pipeline!$F$21,1)))+Pipeline!$U$22*Pipeline!$D$22*MIN(1,MAX(0,(2-Pipeline!$E$22+1)/MAX(Pipeline!$F$22,1))))/Hipótesis!$C$17</f>
        <v>89.4948694968368</v>
      </c>
      <c r="E18" s="119" t="n">
        <f aca="false">(Pipeline!$U$16*Pipeline!$D$16*MIN(1,MAX(0,(3-Pipeline!$E$16+1)/MAX(Pipeline!$F$16,1)))+Pipeline!$U$17*Pipeline!$D$17*MIN(1,MAX(0,(3-Pipeline!$E$17+1)/MAX(Pipeline!$F$17,1)))+Pipeline!$U$18*Pipeline!$D$18*MIN(1,MAX(0,(3-Pipeline!$E$18+1)/MAX(Pipeline!$F$18,1)))+Pipeline!$U$19*Pipeline!$D$19*MIN(1,MAX(0,(3-Pipeline!$E$19+1)/MAX(Pipeline!$F$19,1)))+Pipeline!$U$20*Pipeline!$D$20*MIN(1,MAX(0,(3-Pipeline!$E$20+1)/MAX(Pipeline!$F$20,1)))+Pipeline!$U$21*Pipeline!$D$21*MIN(1,MAX(0,(3-Pipeline!$E$21+1)/MAX(Pipeline!$F$21,1)))+Pipeline!$U$22*Pipeline!$D$22*MIN(1,MAX(0,(3-Pipeline!$E$22+1)/MAX(Pipeline!$F$22,1))))/Hipótesis!$C$17</f>
        <v>168.951692513469</v>
      </c>
      <c r="F18" s="119" t="n">
        <f aca="false">(Pipeline!$U$16*Pipeline!$D$16*MIN(1,MAX(0,(4-Pipeline!$E$16+1)/MAX(Pipeline!$F$16,1)))+Pipeline!$U$17*Pipeline!$D$17*MIN(1,MAX(0,(4-Pipeline!$E$17+1)/MAX(Pipeline!$F$17,1)))+Pipeline!$U$18*Pipeline!$D$18*MIN(1,MAX(0,(4-Pipeline!$E$18+1)/MAX(Pipeline!$F$18,1)))+Pipeline!$U$19*Pipeline!$D$19*MIN(1,MAX(0,(4-Pipeline!$E$19+1)/MAX(Pipeline!$F$19,1)))+Pipeline!$U$20*Pipeline!$D$20*MIN(1,MAX(0,(4-Pipeline!$E$20+1)/MAX(Pipeline!$F$20,1)))+Pipeline!$U$21*Pipeline!$D$21*MIN(1,MAX(0,(4-Pipeline!$E$21+1)/MAX(Pipeline!$F$21,1)))+Pipeline!$U$22*Pipeline!$D$22*MIN(1,MAX(0,(4-Pipeline!$E$22+1)/MAX(Pipeline!$F$22,1))))/Hipótesis!$C$17</f>
        <v>204.675964481496</v>
      </c>
      <c r="G18" s="119" t="n">
        <f aca="false">(Pipeline!$U$16*Pipeline!$D$16*MIN(1,MAX(0,(5-Pipeline!$E$16+1)/MAX(Pipeline!$F$16,1)))+Pipeline!$U$17*Pipeline!$D$17*MIN(1,MAX(0,(5-Pipeline!$E$17+1)/MAX(Pipeline!$F$17,1)))+Pipeline!$U$18*Pipeline!$D$18*MIN(1,MAX(0,(5-Pipeline!$E$18+1)/MAX(Pipeline!$F$18,1)))+Pipeline!$U$19*Pipeline!$D$19*MIN(1,MAX(0,(5-Pipeline!$E$19+1)/MAX(Pipeline!$F$19,1)))+Pipeline!$U$20*Pipeline!$D$20*MIN(1,MAX(0,(5-Pipeline!$E$20+1)/MAX(Pipeline!$F$20,1)))+Pipeline!$U$21*Pipeline!$D$21*MIN(1,MAX(0,(5-Pipeline!$E$21+1)/MAX(Pipeline!$F$21,1)))+Pipeline!$U$22*Pipeline!$D$22*MIN(1,MAX(0,(5-Pipeline!$E$22+1)/MAX(Pipeline!$F$22,1))))/Hipótesis!$C$17</f>
        <v>238.370469049896</v>
      </c>
      <c r="H18" s="119" t="n">
        <f aca="false">(Pipeline!$U$16*Pipeline!$D$16*MIN(1,MAX(0,(6-Pipeline!$E$16+1)/MAX(Pipeline!$F$16,1)))+Pipeline!$U$17*Pipeline!$D$17*MIN(1,MAX(0,(6-Pipeline!$E$17+1)/MAX(Pipeline!$F$17,1)))+Pipeline!$U$18*Pipeline!$D$18*MIN(1,MAX(0,(6-Pipeline!$E$18+1)/MAX(Pipeline!$F$18,1)))+Pipeline!$U$19*Pipeline!$D$19*MIN(1,MAX(0,(6-Pipeline!$E$19+1)/MAX(Pipeline!$F$19,1)))+Pipeline!$U$20*Pipeline!$D$20*MIN(1,MAX(0,(6-Pipeline!$E$20+1)/MAX(Pipeline!$F$20,1)))+Pipeline!$U$21*Pipeline!$D$21*MIN(1,MAX(0,(6-Pipeline!$E$21+1)/MAX(Pipeline!$F$21,1)))+Pipeline!$U$22*Pipeline!$D$22*MIN(1,MAX(0,(6-Pipeline!$E$22+1)/MAX(Pipeline!$F$22,1))))/Hipótesis!$C$17</f>
        <v>295.322725072363</v>
      </c>
      <c r="I18" s="119" t="n">
        <f aca="false">(Pipeline!$U$16*Pipeline!$D$16*MIN(1,MAX(0,(7-Pipeline!$E$16+1)/MAX(Pipeline!$F$16,1)))+Pipeline!$U$17*Pipeline!$D$17*MIN(1,MAX(0,(7-Pipeline!$E$17+1)/MAX(Pipeline!$F$17,1)))+Pipeline!$U$18*Pipeline!$D$18*MIN(1,MAX(0,(7-Pipeline!$E$18+1)/MAX(Pipeline!$F$18,1)))+Pipeline!$U$19*Pipeline!$D$19*MIN(1,MAX(0,(7-Pipeline!$E$19+1)/MAX(Pipeline!$F$19,1)))+Pipeline!$U$20*Pipeline!$D$20*MIN(1,MAX(0,(7-Pipeline!$E$20+1)/MAX(Pipeline!$F$20,1)))+Pipeline!$U$21*Pipeline!$D$21*MIN(1,MAX(0,(7-Pipeline!$E$21+1)/MAX(Pipeline!$F$21,1)))+Pipeline!$U$22*Pipeline!$D$22*MIN(1,MAX(0,(7-Pipeline!$E$22+1)/MAX(Pipeline!$F$22,1))))/Hipótesis!$C$17</f>
        <v>352.27498109483</v>
      </c>
      <c r="J18" s="119" t="n">
        <f aca="false">(Pipeline!$U$16*Pipeline!$D$16*MIN(1,MAX(0,(8-Pipeline!$E$16+1)/MAX(Pipeline!$F$16,1)))+Pipeline!$U$17*Pipeline!$D$17*MIN(1,MAX(0,(8-Pipeline!$E$17+1)/MAX(Pipeline!$F$17,1)))+Pipeline!$U$18*Pipeline!$D$18*MIN(1,MAX(0,(8-Pipeline!$E$18+1)/MAX(Pipeline!$F$18,1)))+Pipeline!$U$19*Pipeline!$D$19*MIN(1,MAX(0,(8-Pipeline!$E$19+1)/MAX(Pipeline!$F$19,1)))+Pipeline!$U$20*Pipeline!$D$20*MIN(1,MAX(0,(8-Pipeline!$E$20+1)/MAX(Pipeline!$F$20,1)))+Pipeline!$U$21*Pipeline!$D$21*MIN(1,MAX(0,(8-Pipeline!$E$21+1)/MAX(Pipeline!$F$21,1)))+Pipeline!$U$22*Pipeline!$D$22*MIN(1,MAX(0,(8-Pipeline!$E$22+1)/MAX(Pipeline!$F$22,1))))/Hipótesis!$C$17</f>
        <v>409.227237117298</v>
      </c>
      <c r="K18" s="119" t="n">
        <f aca="false">(Pipeline!$U$16*Pipeline!$D$16*MIN(1,MAX(0,(9-Pipeline!$E$16+1)/MAX(Pipeline!$F$16,1)))+Pipeline!$U$17*Pipeline!$D$17*MIN(1,MAX(0,(9-Pipeline!$E$17+1)/MAX(Pipeline!$F$17,1)))+Pipeline!$U$18*Pipeline!$D$18*MIN(1,MAX(0,(9-Pipeline!$E$18+1)/MAX(Pipeline!$F$18,1)))+Pipeline!$U$19*Pipeline!$D$19*MIN(1,MAX(0,(9-Pipeline!$E$19+1)/MAX(Pipeline!$F$19,1)))+Pipeline!$U$20*Pipeline!$D$20*MIN(1,MAX(0,(9-Pipeline!$E$20+1)/MAX(Pipeline!$F$20,1)))+Pipeline!$U$21*Pipeline!$D$21*MIN(1,MAX(0,(9-Pipeline!$E$21+1)/MAX(Pipeline!$F$21,1)))+Pipeline!$U$22*Pipeline!$D$22*MIN(1,MAX(0,(9-Pipeline!$E$22+1)/MAX(Pipeline!$F$22,1))))/Hipótesis!$C$17</f>
        <v>466.179493139765</v>
      </c>
      <c r="L18" s="119" t="n">
        <f aca="false">(Pipeline!$U$16*Pipeline!$D$16*MIN(1,MAX(0,(10-Pipeline!$E$16+1)/MAX(Pipeline!$F$16,1)))+Pipeline!$U$17*Pipeline!$D$17*MIN(1,MAX(0,(10-Pipeline!$E$17+1)/MAX(Pipeline!$F$17,1)))+Pipeline!$U$18*Pipeline!$D$18*MIN(1,MAX(0,(10-Pipeline!$E$18+1)/MAX(Pipeline!$F$18,1)))+Pipeline!$U$19*Pipeline!$D$19*MIN(1,MAX(0,(10-Pipeline!$E$19+1)/MAX(Pipeline!$F$19,1)))+Pipeline!$U$20*Pipeline!$D$20*MIN(1,MAX(0,(10-Pipeline!$E$20+1)/MAX(Pipeline!$F$20,1)))+Pipeline!$U$21*Pipeline!$D$21*MIN(1,MAX(0,(10-Pipeline!$E$21+1)/MAX(Pipeline!$F$21,1)))+Pipeline!$U$22*Pipeline!$D$22*MIN(1,MAX(0,(10-Pipeline!$E$22+1)/MAX(Pipeline!$F$22,1))))/Hipótesis!$C$17</f>
        <v>523.131749162232</v>
      </c>
      <c r="M18" s="119" t="n">
        <f aca="false">(Pipeline!$U$16*Pipeline!$D$16*MIN(1,MAX(0,(11-Pipeline!$E$16+1)/MAX(Pipeline!$F$16,1)))+Pipeline!$U$17*Pipeline!$D$17*MIN(1,MAX(0,(11-Pipeline!$E$17+1)/MAX(Pipeline!$F$17,1)))+Pipeline!$U$18*Pipeline!$D$18*MIN(1,MAX(0,(11-Pipeline!$E$18+1)/MAX(Pipeline!$F$18,1)))+Pipeline!$U$19*Pipeline!$D$19*MIN(1,MAX(0,(11-Pipeline!$E$19+1)/MAX(Pipeline!$F$19,1)))+Pipeline!$U$20*Pipeline!$D$20*MIN(1,MAX(0,(11-Pipeline!$E$20+1)/MAX(Pipeline!$F$20,1)))+Pipeline!$U$21*Pipeline!$D$21*MIN(1,MAX(0,(11-Pipeline!$E$21+1)/MAX(Pipeline!$F$21,1)))+Pipeline!$U$22*Pipeline!$D$22*MIN(1,MAX(0,(11-Pipeline!$E$22+1)/MAX(Pipeline!$F$22,1))))/Hipótesis!$C$17</f>
        <v>546.3895006163</v>
      </c>
      <c r="N18" s="119" t="n">
        <f aca="false">(Pipeline!$U$16*Pipeline!$D$16*MIN(1,MAX(0,(12-Pipeline!$E$16+1)/MAX(Pipeline!$F$16,1)))+Pipeline!$U$17*Pipeline!$D$17*MIN(1,MAX(0,(12-Pipeline!$E$17+1)/MAX(Pipeline!$F$17,1)))+Pipeline!$U$18*Pipeline!$D$18*MIN(1,MAX(0,(12-Pipeline!$E$18+1)/MAX(Pipeline!$F$18,1)))+Pipeline!$U$19*Pipeline!$D$19*MIN(1,MAX(0,(12-Pipeline!$E$19+1)/MAX(Pipeline!$F$19,1)))+Pipeline!$U$20*Pipeline!$D$20*MIN(1,MAX(0,(12-Pipeline!$E$20+1)/MAX(Pipeline!$F$20,1)))+Pipeline!$U$21*Pipeline!$D$21*MIN(1,MAX(0,(12-Pipeline!$E$21+1)/MAX(Pipeline!$F$21,1)))+Pipeline!$U$22*Pipeline!$D$22*MIN(1,MAX(0,(12-Pipeline!$E$22+1)/MAX(Pipeline!$F$22,1))))/Hipótesis!$C$17</f>
        <v>603.47670873083</v>
      </c>
      <c r="O18" s="119" t="n">
        <f aca="false">(Pipeline!$U$16*Pipeline!$D$16*MIN(1,MAX(0,(13-Pipeline!$E$16+1)/MAX(Pipeline!$F$16,1)))+Pipeline!$U$17*Pipeline!$D$17*MIN(1,MAX(0,(13-Pipeline!$E$17+1)/MAX(Pipeline!$F$17,1)))+Pipeline!$U$18*Pipeline!$D$18*MIN(1,MAX(0,(13-Pipeline!$E$18+1)/MAX(Pipeline!$F$18,1)))+Pipeline!$U$19*Pipeline!$D$19*MIN(1,MAX(0,(13-Pipeline!$E$19+1)/MAX(Pipeline!$F$19,1)))+Pipeline!$U$20*Pipeline!$D$20*MIN(1,MAX(0,(13-Pipeline!$E$20+1)/MAX(Pipeline!$F$20,1)))+Pipeline!$U$21*Pipeline!$D$21*MIN(1,MAX(0,(13-Pipeline!$E$21+1)/MAX(Pipeline!$F$21,1)))+Pipeline!$U$22*Pipeline!$D$22*MIN(1,MAX(0,(13-Pipeline!$E$22+1)/MAX(Pipeline!$F$22,1))))/Hipótesis!$C$17</f>
        <v>660.563916845359</v>
      </c>
      <c r="P18" s="119" t="n">
        <f aca="false">(Pipeline!$U$16*Pipeline!$D$16*MIN(1,MAX(0,(14-Pipeline!$E$16+1)/MAX(Pipeline!$F$16,1)))+Pipeline!$U$17*Pipeline!$D$17*MIN(1,MAX(0,(14-Pipeline!$E$17+1)/MAX(Pipeline!$F$17,1)))+Pipeline!$U$18*Pipeline!$D$18*MIN(1,MAX(0,(14-Pipeline!$E$18+1)/MAX(Pipeline!$F$18,1)))+Pipeline!$U$19*Pipeline!$D$19*MIN(1,MAX(0,(14-Pipeline!$E$19+1)/MAX(Pipeline!$F$19,1)))+Pipeline!$U$20*Pipeline!$D$20*MIN(1,MAX(0,(14-Pipeline!$E$20+1)/MAX(Pipeline!$F$20,1)))+Pipeline!$U$21*Pipeline!$D$21*MIN(1,MAX(0,(14-Pipeline!$E$21+1)/MAX(Pipeline!$F$21,1)))+Pipeline!$U$22*Pipeline!$D$22*MIN(1,MAX(0,(14-Pipeline!$E$22+1)/MAX(Pipeline!$F$22,1))))/Hipótesis!$C$17</f>
        <v>707.925156170006</v>
      </c>
      <c r="Q18" s="119" t="n">
        <f aca="false">(Pipeline!$U$16*Pipeline!$D$16*MIN(1,MAX(0,(15-Pipeline!$E$16+1)/MAX(Pipeline!$F$16,1)))+Pipeline!$U$17*Pipeline!$D$17*MIN(1,MAX(0,(15-Pipeline!$E$17+1)/MAX(Pipeline!$F$17,1)))+Pipeline!$U$18*Pipeline!$D$18*MIN(1,MAX(0,(15-Pipeline!$E$18+1)/MAX(Pipeline!$F$18,1)))+Pipeline!$U$19*Pipeline!$D$19*MIN(1,MAX(0,(15-Pipeline!$E$19+1)/MAX(Pipeline!$F$19,1)))+Pipeline!$U$20*Pipeline!$D$20*MIN(1,MAX(0,(15-Pipeline!$E$20+1)/MAX(Pipeline!$F$20,1)))+Pipeline!$U$21*Pipeline!$D$21*MIN(1,MAX(0,(15-Pipeline!$E$21+1)/MAX(Pipeline!$F$21,1)))+Pipeline!$U$22*Pipeline!$D$22*MIN(1,MAX(0,(15-Pipeline!$E$22+1)/MAX(Pipeline!$F$22,1))))/Hipótesis!$C$17</f>
        <v>755.286395494653</v>
      </c>
      <c r="R18" s="119" t="n">
        <f aca="false">(Pipeline!$U$16*Pipeline!$D$16*MIN(1,MAX(0,(16-Pipeline!$E$16+1)/MAX(Pipeline!$F$16,1)))+Pipeline!$U$17*Pipeline!$D$17*MIN(1,MAX(0,(16-Pipeline!$E$17+1)/MAX(Pipeline!$F$17,1)))+Pipeline!$U$18*Pipeline!$D$18*MIN(1,MAX(0,(16-Pipeline!$E$18+1)/MAX(Pipeline!$F$18,1)))+Pipeline!$U$19*Pipeline!$D$19*MIN(1,MAX(0,(16-Pipeline!$E$19+1)/MAX(Pipeline!$F$19,1)))+Pipeline!$U$20*Pipeline!$D$20*MIN(1,MAX(0,(16-Pipeline!$E$20+1)/MAX(Pipeline!$F$20,1)))+Pipeline!$U$21*Pipeline!$D$21*MIN(1,MAX(0,(16-Pipeline!$E$21+1)/MAX(Pipeline!$F$21,1)))+Pipeline!$U$22*Pipeline!$D$22*MIN(1,MAX(0,(16-Pipeline!$E$22+1)/MAX(Pipeline!$F$22,1))))/Hipótesis!$C$17</f>
        <v>802.647634819299</v>
      </c>
      <c r="S18" s="119" t="n">
        <f aca="false">(Pipeline!$U$16*Pipeline!$D$16*MIN(1,MAX(0,(17-Pipeline!$E$16+1)/MAX(Pipeline!$F$16,1)))+Pipeline!$U$17*Pipeline!$D$17*MIN(1,MAX(0,(17-Pipeline!$E$17+1)/MAX(Pipeline!$F$17,1)))+Pipeline!$U$18*Pipeline!$D$18*MIN(1,MAX(0,(17-Pipeline!$E$18+1)/MAX(Pipeline!$F$18,1)))+Pipeline!$U$19*Pipeline!$D$19*MIN(1,MAX(0,(17-Pipeline!$E$19+1)/MAX(Pipeline!$F$19,1)))+Pipeline!$U$20*Pipeline!$D$20*MIN(1,MAX(0,(17-Pipeline!$E$20+1)/MAX(Pipeline!$F$20,1)))+Pipeline!$U$21*Pipeline!$D$21*MIN(1,MAX(0,(17-Pipeline!$E$21+1)/MAX(Pipeline!$F$21,1)))+Pipeline!$U$22*Pipeline!$D$22*MIN(1,MAX(0,(17-Pipeline!$E$22+1)/MAX(Pipeline!$F$22,1))))/Hipótesis!$C$17</f>
        <v>850.008874143946</v>
      </c>
      <c r="T18" s="119" t="n">
        <f aca="false">(Pipeline!$U$16*Pipeline!$D$16*MIN(1,MAX(0,(18-Pipeline!$E$16+1)/MAX(Pipeline!$F$16,1)))+Pipeline!$U$17*Pipeline!$D$17*MIN(1,MAX(0,(18-Pipeline!$E$17+1)/MAX(Pipeline!$F$17,1)))+Pipeline!$U$18*Pipeline!$D$18*MIN(1,MAX(0,(18-Pipeline!$E$18+1)/MAX(Pipeline!$F$18,1)))+Pipeline!$U$19*Pipeline!$D$19*MIN(1,MAX(0,(18-Pipeline!$E$19+1)/MAX(Pipeline!$F$19,1)))+Pipeline!$U$20*Pipeline!$D$20*MIN(1,MAX(0,(18-Pipeline!$E$20+1)/MAX(Pipeline!$F$20,1)))+Pipeline!$U$21*Pipeline!$D$21*MIN(1,MAX(0,(18-Pipeline!$E$21+1)/MAX(Pipeline!$F$21,1)))+Pipeline!$U$22*Pipeline!$D$22*MIN(1,MAX(0,(18-Pipeline!$E$22+1)/MAX(Pipeline!$F$22,1))))/Hipótesis!$C$17</f>
        <v>897.370113468593</v>
      </c>
      <c r="U18" s="119" t="n">
        <f aca="false">(Pipeline!$U$16*Pipeline!$D$16*MIN(1,MAX(0,(19-Pipeline!$E$16+1)/MAX(Pipeline!$F$16,1)))+Pipeline!$U$17*Pipeline!$D$17*MIN(1,MAX(0,(19-Pipeline!$E$17+1)/MAX(Pipeline!$F$17,1)))+Pipeline!$U$18*Pipeline!$D$18*MIN(1,MAX(0,(19-Pipeline!$E$18+1)/MAX(Pipeline!$F$18,1)))+Pipeline!$U$19*Pipeline!$D$19*MIN(1,MAX(0,(19-Pipeline!$E$19+1)/MAX(Pipeline!$F$19,1)))+Pipeline!$U$20*Pipeline!$D$20*MIN(1,MAX(0,(19-Pipeline!$E$20+1)/MAX(Pipeline!$F$20,1)))+Pipeline!$U$21*Pipeline!$D$21*MIN(1,MAX(0,(19-Pipeline!$E$21+1)/MAX(Pipeline!$F$21,1)))+Pipeline!$U$22*Pipeline!$D$22*MIN(1,MAX(0,(19-Pipeline!$E$22+1)/MAX(Pipeline!$F$22,1))))/Hipótesis!$C$17</f>
        <v>944.73135279324</v>
      </c>
      <c r="V18" s="119" t="n">
        <f aca="false">(Pipeline!$U$16*Pipeline!$D$16*MIN(1,MAX(0,(20-Pipeline!$E$16+1)/MAX(Pipeline!$F$16,1)))+Pipeline!$U$17*Pipeline!$D$17*MIN(1,MAX(0,(20-Pipeline!$E$17+1)/MAX(Pipeline!$F$17,1)))+Pipeline!$U$18*Pipeline!$D$18*MIN(1,MAX(0,(20-Pipeline!$E$18+1)/MAX(Pipeline!$F$18,1)))+Pipeline!$U$19*Pipeline!$D$19*MIN(1,MAX(0,(20-Pipeline!$E$19+1)/MAX(Pipeline!$F$19,1)))+Pipeline!$U$20*Pipeline!$D$20*MIN(1,MAX(0,(20-Pipeline!$E$20+1)/MAX(Pipeline!$F$20,1)))+Pipeline!$U$21*Pipeline!$D$21*MIN(1,MAX(0,(20-Pipeline!$E$21+1)/MAX(Pipeline!$F$21,1)))+Pipeline!$U$22*Pipeline!$D$22*MIN(1,MAX(0,(20-Pipeline!$E$22+1)/MAX(Pipeline!$F$22,1))))/Hipótesis!$C$17</f>
        <v>992.092592117886</v>
      </c>
      <c r="W18" s="119" t="n">
        <f aca="false">(Pipeline!$U$16*Pipeline!$D$16*MIN(1,MAX(0,(21-Pipeline!$E$16+1)/MAX(Pipeline!$F$16,1)))+Pipeline!$U$17*Pipeline!$D$17*MIN(1,MAX(0,(21-Pipeline!$E$17+1)/MAX(Pipeline!$F$17,1)))+Pipeline!$U$18*Pipeline!$D$18*MIN(1,MAX(0,(21-Pipeline!$E$18+1)/MAX(Pipeline!$F$18,1)))+Pipeline!$U$19*Pipeline!$D$19*MIN(1,MAX(0,(21-Pipeline!$E$19+1)/MAX(Pipeline!$F$19,1)))+Pipeline!$U$20*Pipeline!$D$20*MIN(1,MAX(0,(21-Pipeline!$E$20+1)/MAX(Pipeline!$F$20,1)))+Pipeline!$U$21*Pipeline!$D$21*MIN(1,MAX(0,(21-Pipeline!$E$21+1)/MAX(Pipeline!$F$21,1)))+Pipeline!$U$22*Pipeline!$D$22*MIN(1,MAX(0,(21-Pipeline!$E$22+1)/MAX(Pipeline!$F$22,1))))/Hipótesis!$C$17</f>
        <v>1039.45383144253</v>
      </c>
      <c r="X18" s="119" t="n">
        <f aca="false">(Pipeline!$U$16*Pipeline!$D$16*MIN(1,MAX(0,(22-Pipeline!$E$16+1)/MAX(Pipeline!$F$16,1)))+Pipeline!$U$17*Pipeline!$D$17*MIN(1,MAX(0,(22-Pipeline!$E$17+1)/MAX(Pipeline!$F$17,1)))+Pipeline!$U$18*Pipeline!$D$18*MIN(1,MAX(0,(22-Pipeline!$E$18+1)/MAX(Pipeline!$F$18,1)))+Pipeline!$U$19*Pipeline!$D$19*MIN(1,MAX(0,(22-Pipeline!$E$19+1)/MAX(Pipeline!$F$19,1)))+Pipeline!$U$20*Pipeline!$D$20*MIN(1,MAX(0,(22-Pipeline!$E$20+1)/MAX(Pipeline!$F$20,1)))+Pipeline!$U$21*Pipeline!$D$21*MIN(1,MAX(0,(22-Pipeline!$E$21+1)/MAX(Pipeline!$F$21,1)))+Pipeline!$U$22*Pipeline!$D$22*MIN(1,MAX(0,(22-Pipeline!$E$22+1)/MAX(Pipeline!$F$22,1))))/Hipótesis!$C$17</f>
        <v>1052.98561410672</v>
      </c>
      <c r="Y18" s="119" t="n">
        <f aca="false">(Pipeline!$U$16*Pipeline!$D$16*MIN(1,MAX(0,(23-Pipeline!$E$16+1)/MAX(Pipeline!$F$16,1)))+Pipeline!$U$17*Pipeline!$D$17*MIN(1,MAX(0,(23-Pipeline!$E$17+1)/MAX(Pipeline!$F$17,1)))+Pipeline!$U$18*Pipeline!$D$18*MIN(1,MAX(0,(23-Pipeline!$E$18+1)/MAX(Pipeline!$F$18,1)))+Pipeline!$U$19*Pipeline!$D$19*MIN(1,MAX(0,(23-Pipeline!$E$19+1)/MAX(Pipeline!$F$19,1)))+Pipeline!$U$20*Pipeline!$D$20*MIN(1,MAX(0,(23-Pipeline!$E$20+1)/MAX(Pipeline!$F$20,1)))+Pipeline!$U$21*Pipeline!$D$21*MIN(1,MAX(0,(23-Pipeline!$E$21+1)/MAX(Pipeline!$F$21,1)))+Pipeline!$U$22*Pipeline!$D$22*MIN(1,MAX(0,(23-Pipeline!$E$22+1)/MAX(Pipeline!$F$22,1))))/Hipótesis!$C$17</f>
        <v>1066.5173967709</v>
      </c>
      <c r="Z18" s="119" t="n">
        <f aca="false">(Pipeline!$U$16*Pipeline!$D$16*MIN(1,MAX(0,(24-Pipeline!$E$16+1)/MAX(Pipeline!$F$16,1)))+Pipeline!$U$17*Pipeline!$D$17*MIN(1,MAX(0,(24-Pipeline!$E$17+1)/MAX(Pipeline!$F$17,1)))+Pipeline!$U$18*Pipeline!$D$18*MIN(1,MAX(0,(24-Pipeline!$E$18+1)/MAX(Pipeline!$F$18,1)))+Pipeline!$U$19*Pipeline!$D$19*MIN(1,MAX(0,(24-Pipeline!$E$19+1)/MAX(Pipeline!$F$19,1)))+Pipeline!$U$20*Pipeline!$D$20*MIN(1,MAX(0,(24-Pipeline!$E$20+1)/MAX(Pipeline!$F$20,1)))+Pipeline!$U$21*Pipeline!$D$21*MIN(1,MAX(0,(24-Pipeline!$E$21+1)/MAX(Pipeline!$F$21,1)))+Pipeline!$U$22*Pipeline!$D$22*MIN(1,MAX(0,(24-Pipeline!$E$22+1)/MAX(Pipeline!$F$22,1))))/Hipótesis!$C$17</f>
        <v>1066.5173967709</v>
      </c>
      <c r="AA18" s="119" t="n">
        <f aca="false">(Pipeline!$U$16*Pipeline!$D$16*MIN(1,MAX(0,(25-Pipeline!$E$16+1)/MAX(Pipeline!$F$16,1)))+Pipeline!$U$17*Pipeline!$D$17*MIN(1,MAX(0,(25-Pipeline!$E$17+1)/MAX(Pipeline!$F$17,1)))+Pipeline!$U$18*Pipeline!$D$18*MIN(1,MAX(0,(25-Pipeline!$E$18+1)/MAX(Pipeline!$F$18,1)))+Pipeline!$U$19*Pipeline!$D$19*MIN(1,MAX(0,(25-Pipeline!$E$19+1)/MAX(Pipeline!$F$19,1)))+Pipeline!$U$20*Pipeline!$D$20*MIN(1,MAX(0,(25-Pipeline!$E$20+1)/MAX(Pipeline!$F$20,1)))+Pipeline!$U$21*Pipeline!$D$21*MIN(1,MAX(0,(25-Pipeline!$E$21+1)/MAX(Pipeline!$F$21,1)))+Pipeline!$U$22*Pipeline!$D$22*MIN(1,MAX(0,(25-Pipeline!$E$22+1)/MAX(Pipeline!$F$22,1))))/Hipótesis!$C$17</f>
        <v>1066.5173967709</v>
      </c>
      <c r="AB18" s="119" t="n">
        <f aca="false">(Pipeline!$U$16*Pipeline!$D$16*MIN(1,MAX(0,(26-Pipeline!$E$16+1)/MAX(Pipeline!$F$16,1)))+Pipeline!$U$17*Pipeline!$D$17*MIN(1,MAX(0,(26-Pipeline!$E$17+1)/MAX(Pipeline!$F$17,1)))+Pipeline!$U$18*Pipeline!$D$18*MIN(1,MAX(0,(26-Pipeline!$E$18+1)/MAX(Pipeline!$F$18,1)))+Pipeline!$U$19*Pipeline!$D$19*MIN(1,MAX(0,(26-Pipeline!$E$19+1)/MAX(Pipeline!$F$19,1)))+Pipeline!$U$20*Pipeline!$D$20*MIN(1,MAX(0,(26-Pipeline!$E$20+1)/MAX(Pipeline!$F$20,1)))+Pipeline!$U$21*Pipeline!$D$21*MIN(1,MAX(0,(26-Pipeline!$E$21+1)/MAX(Pipeline!$F$21,1)))+Pipeline!$U$22*Pipeline!$D$22*MIN(1,MAX(0,(26-Pipeline!$E$22+1)/MAX(Pipeline!$F$22,1))))/Hipótesis!$C$17</f>
        <v>1066.5173967709</v>
      </c>
      <c r="AC18" s="119" t="n">
        <f aca="false">(Pipeline!$U$16*Pipeline!$D$16*MIN(1,MAX(0,(27-Pipeline!$E$16+1)/MAX(Pipeline!$F$16,1)))+Pipeline!$U$17*Pipeline!$D$17*MIN(1,MAX(0,(27-Pipeline!$E$17+1)/MAX(Pipeline!$F$17,1)))+Pipeline!$U$18*Pipeline!$D$18*MIN(1,MAX(0,(27-Pipeline!$E$18+1)/MAX(Pipeline!$F$18,1)))+Pipeline!$U$19*Pipeline!$D$19*MIN(1,MAX(0,(27-Pipeline!$E$19+1)/MAX(Pipeline!$F$19,1)))+Pipeline!$U$20*Pipeline!$D$20*MIN(1,MAX(0,(27-Pipeline!$E$20+1)/MAX(Pipeline!$F$20,1)))+Pipeline!$U$21*Pipeline!$D$21*MIN(1,MAX(0,(27-Pipeline!$E$21+1)/MAX(Pipeline!$F$21,1)))+Pipeline!$U$22*Pipeline!$D$22*MIN(1,MAX(0,(27-Pipeline!$E$22+1)/MAX(Pipeline!$F$22,1))))/Hipótesis!$C$17</f>
        <v>1066.5173967709</v>
      </c>
      <c r="AD18" s="119" t="n">
        <f aca="false">(Pipeline!$U$16*Pipeline!$D$16*MIN(1,MAX(0,(28-Pipeline!$E$16+1)/MAX(Pipeline!$F$16,1)))+Pipeline!$U$17*Pipeline!$D$17*MIN(1,MAX(0,(28-Pipeline!$E$17+1)/MAX(Pipeline!$F$17,1)))+Pipeline!$U$18*Pipeline!$D$18*MIN(1,MAX(0,(28-Pipeline!$E$18+1)/MAX(Pipeline!$F$18,1)))+Pipeline!$U$19*Pipeline!$D$19*MIN(1,MAX(0,(28-Pipeline!$E$19+1)/MAX(Pipeline!$F$19,1)))+Pipeline!$U$20*Pipeline!$D$20*MIN(1,MAX(0,(28-Pipeline!$E$20+1)/MAX(Pipeline!$F$20,1)))+Pipeline!$U$21*Pipeline!$D$21*MIN(1,MAX(0,(28-Pipeline!$E$21+1)/MAX(Pipeline!$F$21,1)))+Pipeline!$U$22*Pipeline!$D$22*MIN(1,MAX(0,(28-Pipeline!$E$22+1)/MAX(Pipeline!$F$22,1))))/Hipótesis!$C$17</f>
        <v>1066.5173967709</v>
      </c>
      <c r="AE18" s="119" t="n">
        <f aca="false">(Pipeline!$U$16*Pipeline!$D$16*MIN(1,MAX(0,(29-Pipeline!$E$16+1)/MAX(Pipeline!$F$16,1)))+Pipeline!$U$17*Pipeline!$D$17*MIN(1,MAX(0,(29-Pipeline!$E$17+1)/MAX(Pipeline!$F$17,1)))+Pipeline!$U$18*Pipeline!$D$18*MIN(1,MAX(0,(29-Pipeline!$E$18+1)/MAX(Pipeline!$F$18,1)))+Pipeline!$U$19*Pipeline!$D$19*MIN(1,MAX(0,(29-Pipeline!$E$19+1)/MAX(Pipeline!$F$19,1)))+Pipeline!$U$20*Pipeline!$D$20*MIN(1,MAX(0,(29-Pipeline!$E$20+1)/MAX(Pipeline!$F$20,1)))+Pipeline!$U$21*Pipeline!$D$21*MIN(1,MAX(0,(29-Pipeline!$E$21+1)/MAX(Pipeline!$F$21,1)))+Pipeline!$U$22*Pipeline!$D$22*MIN(1,MAX(0,(29-Pipeline!$E$22+1)/MAX(Pipeline!$F$22,1))))/Hipótesis!$C$17</f>
        <v>1066.5173967709</v>
      </c>
      <c r="AF18" s="119" t="n">
        <f aca="false">(Pipeline!$U$16*Pipeline!$D$16*MIN(1,MAX(0,(30-Pipeline!$E$16+1)/MAX(Pipeline!$F$16,1)))+Pipeline!$U$17*Pipeline!$D$17*MIN(1,MAX(0,(30-Pipeline!$E$17+1)/MAX(Pipeline!$F$17,1)))+Pipeline!$U$18*Pipeline!$D$18*MIN(1,MAX(0,(30-Pipeline!$E$18+1)/MAX(Pipeline!$F$18,1)))+Pipeline!$U$19*Pipeline!$D$19*MIN(1,MAX(0,(30-Pipeline!$E$19+1)/MAX(Pipeline!$F$19,1)))+Pipeline!$U$20*Pipeline!$D$20*MIN(1,MAX(0,(30-Pipeline!$E$20+1)/MAX(Pipeline!$F$20,1)))+Pipeline!$U$21*Pipeline!$D$21*MIN(1,MAX(0,(30-Pipeline!$E$21+1)/MAX(Pipeline!$F$21,1)))+Pipeline!$U$22*Pipeline!$D$22*MIN(1,MAX(0,(30-Pipeline!$E$22+1)/MAX(Pipeline!$F$22,1))))/Hipótesis!$C$17</f>
        <v>1066.5173967709</v>
      </c>
      <c r="AG18" s="119" t="n">
        <f aca="false">(Pipeline!$U$16*Pipeline!$D$16*MIN(1,MAX(0,(31-Pipeline!$E$16+1)/MAX(Pipeline!$F$16,1)))+Pipeline!$U$17*Pipeline!$D$17*MIN(1,MAX(0,(31-Pipeline!$E$17+1)/MAX(Pipeline!$F$17,1)))+Pipeline!$U$18*Pipeline!$D$18*MIN(1,MAX(0,(31-Pipeline!$E$18+1)/MAX(Pipeline!$F$18,1)))+Pipeline!$U$19*Pipeline!$D$19*MIN(1,MAX(0,(31-Pipeline!$E$19+1)/MAX(Pipeline!$F$19,1)))+Pipeline!$U$20*Pipeline!$D$20*MIN(1,MAX(0,(31-Pipeline!$E$20+1)/MAX(Pipeline!$F$20,1)))+Pipeline!$U$21*Pipeline!$D$21*MIN(1,MAX(0,(31-Pipeline!$E$21+1)/MAX(Pipeline!$F$21,1)))+Pipeline!$U$22*Pipeline!$D$22*MIN(1,MAX(0,(31-Pipeline!$E$22+1)/MAX(Pipeline!$F$22,1))))/Hipótesis!$C$17</f>
        <v>1066.5173967709</v>
      </c>
      <c r="AH18" s="119" t="n">
        <f aca="false">(Pipeline!$U$16*Pipeline!$D$16*MIN(1,MAX(0,(32-Pipeline!$E$16+1)/MAX(Pipeline!$F$16,1)))+Pipeline!$U$17*Pipeline!$D$17*MIN(1,MAX(0,(32-Pipeline!$E$17+1)/MAX(Pipeline!$F$17,1)))+Pipeline!$U$18*Pipeline!$D$18*MIN(1,MAX(0,(32-Pipeline!$E$18+1)/MAX(Pipeline!$F$18,1)))+Pipeline!$U$19*Pipeline!$D$19*MIN(1,MAX(0,(32-Pipeline!$E$19+1)/MAX(Pipeline!$F$19,1)))+Pipeline!$U$20*Pipeline!$D$20*MIN(1,MAX(0,(32-Pipeline!$E$20+1)/MAX(Pipeline!$F$20,1)))+Pipeline!$U$21*Pipeline!$D$21*MIN(1,MAX(0,(32-Pipeline!$E$21+1)/MAX(Pipeline!$F$21,1)))+Pipeline!$U$22*Pipeline!$D$22*MIN(1,MAX(0,(32-Pipeline!$E$22+1)/MAX(Pipeline!$F$22,1))))/Hipótesis!$C$17</f>
        <v>1066.5173967709</v>
      </c>
      <c r="AI18" s="119" t="n">
        <f aca="false">(Pipeline!$U$16*Pipeline!$D$16*MIN(1,MAX(0,(33-Pipeline!$E$16+1)/MAX(Pipeline!$F$16,1)))+Pipeline!$U$17*Pipeline!$D$17*MIN(1,MAX(0,(33-Pipeline!$E$17+1)/MAX(Pipeline!$F$17,1)))+Pipeline!$U$18*Pipeline!$D$18*MIN(1,MAX(0,(33-Pipeline!$E$18+1)/MAX(Pipeline!$F$18,1)))+Pipeline!$U$19*Pipeline!$D$19*MIN(1,MAX(0,(33-Pipeline!$E$19+1)/MAX(Pipeline!$F$19,1)))+Pipeline!$U$20*Pipeline!$D$20*MIN(1,MAX(0,(33-Pipeline!$E$20+1)/MAX(Pipeline!$F$20,1)))+Pipeline!$U$21*Pipeline!$D$21*MIN(1,MAX(0,(33-Pipeline!$E$21+1)/MAX(Pipeline!$F$21,1)))+Pipeline!$U$22*Pipeline!$D$22*MIN(1,MAX(0,(33-Pipeline!$E$22+1)/MAX(Pipeline!$F$22,1))))/Hipótesis!$C$17</f>
        <v>1066.5173967709</v>
      </c>
      <c r="AJ18" s="119" t="n">
        <f aca="false">(Pipeline!$U$16*Pipeline!$D$16*MIN(1,MAX(0,(34-Pipeline!$E$16+1)/MAX(Pipeline!$F$16,1)))+Pipeline!$U$17*Pipeline!$D$17*MIN(1,MAX(0,(34-Pipeline!$E$17+1)/MAX(Pipeline!$F$17,1)))+Pipeline!$U$18*Pipeline!$D$18*MIN(1,MAX(0,(34-Pipeline!$E$18+1)/MAX(Pipeline!$F$18,1)))+Pipeline!$U$19*Pipeline!$D$19*MIN(1,MAX(0,(34-Pipeline!$E$19+1)/MAX(Pipeline!$F$19,1)))+Pipeline!$U$20*Pipeline!$D$20*MIN(1,MAX(0,(34-Pipeline!$E$20+1)/MAX(Pipeline!$F$20,1)))+Pipeline!$U$21*Pipeline!$D$21*MIN(1,MAX(0,(34-Pipeline!$E$21+1)/MAX(Pipeline!$F$21,1)))+Pipeline!$U$22*Pipeline!$D$22*MIN(1,MAX(0,(34-Pipeline!$E$22+1)/MAX(Pipeline!$F$22,1))))/Hipótesis!$C$17</f>
        <v>1066.5173967709</v>
      </c>
      <c r="AK18" s="119" t="n">
        <f aca="false">(Pipeline!$U$16*Pipeline!$D$16*MIN(1,MAX(0,(35-Pipeline!$E$16+1)/MAX(Pipeline!$F$16,1)))+Pipeline!$U$17*Pipeline!$D$17*MIN(1,MAX(0,(35-Pipeline!$E$17+1)/MAX(Pipeline!$F$17,1)))+Pipeline!$U$18*Pipeline!$D$18*MIN(1,MAX(0,(35-Pipeline!$E$18+1)/MAX(Pipeline!$F$18,1)))+Pipeline!$U$19*Pipeline!$D$19*MIN(1,MAX(0,(35-Pipeline!$E$19+1)/MAX(Pipeline!$F$19,1)))+Pipeline!$U$20*Pipeline!$D$20*MIN(1,MAX(0,(35-Pipeline!$E$20+1)/MAX(Pipeline!$F$20,1)))+Pipeline!$U$21*Pipeline!$D$21*MIN(1,MAX(0,(35-Pipeline!$E$21+1)/MAX(Pipeline!$F$21,1)))+Pipeline!$U$22*Pipeline!$D$22*MIN(1,MAX(0,(35-Pipeline!$E$22+1)/MAX(Pipeline!$F$22,1))))/Hipótesis!$C$17</f>
        <v>1066.5173967709</v>
      </c>
      <c r="AL18" s="119" t="n">
        <f aca="false">(Pipeline!$U$16*Pipeline!$D$16*MIN(1,MAX(0,(36-Pipeline!$E$16+1)/MAX(Pipeline!$F$16,1)))+Pipeline!$U$17*Pipeline!$D$17*MIN(1,MAX(0,(36-Pipeline!$E$17+1)/MAX(Pipeline!$F$17,1)))+Pipeline!$U$18*Pipeline!$D$18*MIN(1,MAX(0,(36-Pipeline!$E$18+1)/MAX(Pipeline!$F$18,1)))+Pipeline!$U$19*Pipeline!$D$19*MIN(1,MAX(0,(36-Pipeline!$E$19+1)/MAX(Pipeline!$F$19,1)))+Pipeline!$U$20*Pipeline!$D$20*MIN(1,MAX(0,(36-Pipeline!$E$20+1)/MAX(Pipeline!$F$20,1)))+Pipeline!$U$21*Pipeline!$D$21*MIN(1,MAX(0,(36-Pipeline!$E$21+1)/MAX(Pipeline!$F$21,1)))+Pipeline!$U$22*Pipeline!$D$22*MIN(1,MAX(0,(36-Pipeline!$E$22+1)/MAX(Pipeline!$F$22,1))))/Hipótesis!$C$17</f>
        <v>1066.5173967709</v>
      </c>
      <c r="AM18" s="119" t="n">
        <f aca="false">(Pipeline!$U$16*Pipeline!$D$16*MIN(1,MAX(0,(37-Pipeline!$E$16+1)/MAX(Pipeline!$F$16,1)))+Pipeline!$U$17*Pipeline!$D$17*MIN(1,MAX(0,(37-Pipeline!$E$17+1)/MAX(Pipeline!$F$17,1)))+Pipeline!$U$18*Pipeline!$D$18*MIN(1,MAX(0,(37-Pipeline!$E$18+1)/MAX(Pipeline!$F$18,1)))+Pipeline!$U$19*Pipeline!$D$19*MIN(1,MAX(0,(37-Pipeline!$E$19+1)/MAX(Pipeline!$F$19,1)))+Pipeline!$U$20*Pipeline!$D$20*MIN(1,MAX(0,(37-Pipeline!$E$20+1)/MAX(Pipeline!$F$20,1)))+Pipeline!$U$21*Pipeline!$D$21*MIN(1,MAX(0,(37-Pipeline!$E$21+1)/MAX(Pipeline!$F$21,1)))+Pipeline!$U$22*Pipeline!$D$22*MIN(1,MAX(0,(37-Pipeline!$E$22+1)/MAX(Pipeline!$F$22,1))))/Hipótesis!$C$17</f>
        <v>1066.5173967709</v>
      </c>
      <c r="AN18" s="119" t="n">
        <f aca="false">(Pipeline!$U$16*Pipeline!$D$16*MIN(1,MAX(0,(38-Pipeline!$E$16+1)/MAX(Pipeline!$F$16,1)))+Pipeline!$U$17*Pipeline!$D$17*MIN(1,MAX(0,(38-Pipeline!$E$17+1)/MAX(Pipeline!$F$17,1)))+Pipeline!$U$18*Pipeline!$D$18*MIN(1,MAX(0,(38-Pipeline!$E$18+1)/MAX(Pipeline!$F$18,1)))+Pipeline!$U$19*Pipeline!$D$19*MIN(1,MAX(0,(38-Pipeline!$E$19+1)/MAX(Pipeline!$F$19,1)))+Pipeline!$U$20*Pipeline!$D$20*MIN(1,MAX(0,(38-Pipeline!$E$20+1)/MAX(Pipeline!$F$20,1)))+Pipeline!$U$21*Pipeline!$D$21*MIN(1,MAX(0,(38-Pipeline!$E$21+1)/MAX(Pipeline!$F$21,1)))+Pipeline!$U$22*Pipeline!$D$22*MIN(1,MAX(0,(38-Pipeline!$E$22+1)/MAX(Pipeline!$F$22,1))))/Hipótesis!$C$17</f>
        <v>1066.5173967709</v>
      </c>
      <c r="AO18" s="119" t="n">
        <f aca="false">(Pipeline!$U$16*Pipeline!$D$16*MIN(1,MAX(0,(39-Pipeline!$E$16+1)/MAX(Pipeline!$F$16,1)))+Pipeline!$U$17*Pipeline!$D$17*MIN(1,MAX(0,(39-Pipeline!$E$17+1)/MAX(Pipeline!$F$17,1)))+Pipeline!$U$18*Pipeline!$D$18*MIN(1,MAX(0,(39-Pipeline!$E$18+1)/MAX(Pipeline!$F$18,1)))+Pipeline!$U$19*Pipeline!$D$19*MIN(1,MAX(0,(39-Pipeline!$E$19+1)/MAX(Pipeline!$F$19,1)))+Pipeline!$U$20*Pipeline!$D$20*MIN(1,MAX(0,(39-Pipeline!$E$20+1)/MAX(Pipeline!$F$20,1)))+Pipeline!$U$21*Pipeline!$D$21*MIN(1,MAX(0,(39-Pipeline!$E$21+1)/MAX(Pipeline!$F$21,1)))+Pipeline!$U$22*Pipeline!$D$22*MIN(1,MAX(0,(39-Pipeline!$E$22+1)/MAX(Pipeline!$F$22,1))))/Hipótesis!$C$17</f>
        <v>1066.5173967709</v>
      </c>
      <c r="AP18" s="119" t="n">
        <f aca="false">(Pipeline!$U$16*Pipeline!$D$16*MIN(1,MAX(0,(40-Pipeline!$E$16+1)/MAX(Pipeline!$F$16,1)))+Pipeline!$U$17*Pipeline!$D$17*MIN(1,MAX(0,(40-Pipeline!$E$17+1)/MAX(Pipeline!$F$17,1)))+Pipeline!$U$18*Pipeline!$D$18*MIN(1,MAX(0,(40-Pipeline!$E$18+1)/MAX(Pipeline!$F$18,1)))+Pipeline!$U$19*Pipeline!$D$19*MIN(1,MAX(0,(40-Pipeline!$E$19+1)/MAX(Pipeline!$F$19,1)))+Pipeline!$U$20*Pipeline!$D$20*MIN(1,MAX(0,(40-Pipeline!$E$20+1)/MAX(Pipeline!$F$20,1)))+Pipeline!$U$21*Pipeline!$D$21*MIN(1,MAX(0,(40-Pipeline!$E$21+1)/MAX(Pipeline!$F$21,1)))+Pipeline!$U$22*Pipeline!$D$22*MIN(1,MAX(0,(40-Pipeline!$E$22+1)/MAX(Pipeline!$F$22,1))))/Hipótesis!$C$17</f>
        <v>1066.5173967709</v>
      </c>
      <c r="AQ18" s="119" t="n">
        <f aca="false">(Pipeline!$U$16*Pipeline!$D$16*MIN(1,MAX(0,(41-Pipeline!$E$16+1)/MAX(Pipeline!$F$16,1)))+Pipeline!$U$17*Pipeline!$D$17*MIN(1,MAX(0,(41-Pipeline!$E$17+1)/MAX(Pipeline!$F$17,1)))+Pipeline!$U$18*Pipeline!$D$18*MIN(1,MAX(0,(41-Pipeline!$E$18+1)/MAX(Pipeline!$F$18,1)))+Pipeline!$U$19*Pipeline!$D$19*MIN(1,MAX(0,(41-Pipeline!$E$19+1)/MAX(Pipeline!$F$19,1)))+Pipeline!$U$20*Pipeline!$D$20*MIN(1,MAX(0,(41-Pipeline!$E$20+1)/MAX(Pipeline!$F$20,1)))+Pipeline!$U$21*Pipeline!$D$21*MIN(1,MAX(0,(41-Pipeline!$E$21+1)/MAX(Pipeline!$F$21,1)))+Pipeline!$U$22*Pipeline!$D$22*MIN(1,MAX(0,(41-Pipeline!$E$22+1)/MAX(Pipeline!$F$22,1))))/Hipótesis!$C$17</f>
        <v>1066.5173967709</v>
      </c>
      <c r="AR18" s="119" t="n">
        <f aca="false">(Pipeline!$U$16*Pipeline!$D$16*MIN(1,MAX(0,(42-Pipeline!$E$16+1)/MAX(Pipeline!$F$16,1)))+Pipeline!$U$17*Pipeline!$D$17*MIN(1,MAX(0,(42-Pipeline!$E$17+1)/MAX(Pipeline!$F$17,1)))+Pipeline!$U$18*Pipeline!$D$18*MIN(1,MAX(0,(42-Pipeline!$E$18+1)/MAX(Pipeline!$F$18,1)))+Pipeline!$U$19*Pipeline!$D$19*MIN(1,MAX(0,(42-Pipeline!$E$19+1)/MAX(Pipeline!$F$19,1)))+Pipeline!$U$20*Pipeline!$D$20*MIN(1,MAX(0,(42-Pipeline!$E$20+1)/MAX(Pipeline!$F$20,1)))+Pipeline!$U$21*Pipeline!$D$21*MIN(1,MAX(0,(42-Pipeline!$E$21+1)/MAX(Pipeline!$F$21,1)))+Pipeline!$U$22*Pipeline!$D$22*MIN(1,MAX(0,(42-Pipeline!$E$22+1)/MAX(Pipeline!$F$22,1))))/Hipótesis!$C$17</f>
        <v>1066.5173967709</v>
      </c>
      <c r="AS18" s="119" t="n">
        <f aca="false">(Pipeline!$U$16*Pipeline!$D$16*MIN(1,MAX(0,(43-Pipeline!$E$16+1)/MAX(Pipeline!$F$16,1)))+Pipeline!$U$17*Pipeline!$D$17*MIN(1,MAX(0,(43-Pipeline!$E$17+1)/MAX(Pipeline!$F$17,1)))+Pipeline!$U$18*Pipeline!$D$18*MIN(1,MAX(0,(43-Pipeline!$E$18+1)/MAX(Pipeline!$F$18,1)))+Pipeline!$U$19*Pipeline!$D$19*MIN(1,MAX(0,(43-Pipeline!$E$19+1)/MAX(Pipeline!$F$19,1)))+Pipeline!$U$20*Pipeline!$D$20*MIN(1,MAX(0,(43-Pipeline!$E$20+1)/MAX(Pipeline!$F$20,1)))+Pipeline!$U$21*Pipeline!$D$21*MIN(1,MAX(0,(43-Pipeline!$E$21+1)/MAX(Pipeline!$F$21,1)))+Pipeline!$U$22*Pipeline!$D$22*MIN(1,MAX(0,(43-Pipeline!$E$22+1)/MAX(Pipeline!$F$22,1))))/Hipótesis!$C$17</f>
        <v>1066.5173967709</v>
      </c>
      <c r="AT18" s="119" t="n">
        <f aca="false">(Pipeline!$U$16*Pipeline!$D$16*MIN(1,MAX(0,(44-Pipeline!$E$16+1)/MAX(Pipeline!$F$16,1)))+Pipeline!$U$17*Pipeline!$D$17*MIN(1,MAX(0,(44-Pipeline!$E$17+1)/MAX(Pipeline!$F$17,1)))+Pipeline!$U$18*Pipeline!$D$18*MIN(1,MAX(0,(44-Pipeline!$E$18+1)/MAX(Pipeline!$F$18,1)))+Pipeline!$U$19*Pipeline!$D$19*MIN(1,MAX(0,(44-Pipeline!$E$19+1)/MAX(Pipeline!$F$19,1)))+Pipeline!$U$20*Pipeline!$D$20*MIN(1,MAX(0,(44-Pipeline!$E$20+1)/MAX(Pipeline!$F$20,1)))+Pipeline!$U$21*Pipeline!$D$21*MIN(1,MAX(0,(44-Pipeline!$E$21+1)/MAX(Pipeline!$F$21,1)))+Pipeline!$U$22*Pipeline!$D$22*MIN(1,MAX(0,(44-Pipeline!$E$22+1)/MAX(Pipeline!$F$22,1))))/Hipótesis!$C$17</f>
        <v>1066.5173967709</v>
      </c>
      <c r="AU18" s="119" t="n">
        <f aca="false">(Pipeline!$U$16*Pipeline!$D$16*MIN(1,MAX(0,(45-Pipeline!$E$16+1)/MAX(Pipeline!$F$16,1)))+Pipeline!$U$17*Pipeline!$D$17*MIN(1,MAX(0,(45-Pipeline!$E$17+1)/MAX(Pipeline!$F$17,1)))+Pipeline!$U$18*Pipeline!$D$18*MIN(1,MAX(0,(45-Pipeline!$E$18+1)/MAX(Pipeline!$F$18,1)))+Pipeline!$U$19*Pipeline!$D$19*MIN(1,MAX(0,(45-Pipeline!$E$19+1)/MAX(Pipeline!$F$19,1)))+Pipeline!$U$20*Pipeline!$D$20*MIN(1,MAX(0,(45-Pipeline!$E$20+1)/MAX(Pipeline!$F$20,1)))+Pipeline!$U$21*Pipeline!$D$21*MIN(1,MAX(0,(45-Pipeline!$E$21+1)/MAX(Pipeline!$F$21,1)))+Pipeline!$U$22*Pipeline!$D$22*MIN(1,MAX(0,(45-Pipeline!$E$22+1)/MAX(Pipeline!$F$22,1))))/Hipótesis!$C$17</f>
        <v>1066.5173967709</v>
      </c>
      <c r="AV18" s="119" t="n">
        <f aca="false">(Pipeline!$U$16*Pipeline!$D$16*MIN(1,MAX(0,(46-Pipeline!$E$16+1)/MAX(Pipeline!$F$16,1)))+Pipeline!$U$17*Pipeline!$D$17*MIN(1,MAX(0,(46-Pipeline!$E$17+1)/MAX(Pipeline!$F$17,1)))+Pipeline!$U$18*Pipeline!$D$18*MIN(1,MAX(0,(46-Pipeline!$E$18+1)/MAX(Pipeline!$F$18,1)))+Pipeline!$U$19*Pipeline!$D$19*MIN(1,MAX(0,(46-Pipeline!$E$19+1)/MAX(Pipeline!$F$19,1)))+Pipeline!$U$20*Pipeline!$D$20*MIN(1,MAX(0,(46-Pipeline!$E$20+1)/MAX(Pipeline!$F$20,1)))+Pipeline!$U$21*Pipeline!$D$21*MIN(1,MAX(0,(46-Pipeline!$E$21+1)/MAX(Pipeline!$F$21,1)))+Pipeline!$U$22*Pipeline!$D$22*MIN(1,MAX(0,(46-Pipeline!$E$22+1)/MAX(Pipeline!$F$22,1))))/Hipótesis!$C$17</f>
        <v>1066.5173967709</v>
      </c>
      <c r="AW18" s="119" t="n">
        <f aca="false">(Pipeline!$U$16*Pipeline!$D$16*MIN(1,MAX(0,(47-Pipeline!$E$16+1)/MAX(Pipeline!$F$16,1)))+Pipeline!$U$17*Pipeline!$D$17*MIN(1,MAX(0,(47-Pipeline!$E$17+1)/MAX(Pipeline!$F$17,1)))+Pipeline!$U$18*Pipeline!$D$18*MIN(1,MAX(0,(47-Pipeline!$E$18+1)/MAX(Pipeline!$F$18,1)))+Pipeline!$U$19*Pipeline!$D$19*MIN(1,MAX(0,(47-Pipeline!$E$19+1)/MAX(Pipeline!$F$19,1)))+Pipeline!$U$20*Pipeline!$D$20*MIN(1,MAX(0,(47-Pipeline!$E$20+1)/MAX(Pipeline!$F$20,1)))+Pipeline!$U$21*Pipeline!$D$21*MIN(1,MAX(0,(47-Pipeline!$E$21+1)/MAX(Pipeline!$F$21,1)))+Pipeline!$U$22*Pipeline!$D$22*MIN(1,MAX(0,(47-Pipeline!$E$22+1)/MAX(Pipeline!$F$22,1))))/Hipótesis!$C$17</f>
        <v>1066.5173967709</v>
      </c>
      <c r="AX18" s="119" t="n">
        <f aca="false">(Pipeline!$U$16*Pipeline!$D$16*MIN(1,MAX(0,(48-Pipeline!$E$16+1)/MAX(Pipeline!$F$16,1)))+Pipeline!$U$17*Pipeline!$D$17*MIN(1,MAX(0,(48-Pipeline!$E$17+1)/MAX(Pipeline!$F$17,1)))+Pipeline!$U$18*Pipeline!$D$18*MIN(1,MAX(0,(48-Pipeline!$E$18+1)/MAX(Pipeline!$F$18,1)))+Pipeline!$U$19*Pipeline!$D$19*MIN(1,MAX(0,(48-Pipeline!$E$19+1)/MAX(Pipeline!$F$19,1)))+Pipeline!$U$20*Pipeline!$D$20*MIN(1,MAX(0,(48-Pipeline!$E$20+1)/MAX(Pipeline!$F$20,1)))+Pipeline!$U$21*Pipeline!$D$21*MIN(1,MAX(0,(48-Pipeline!$E$21+1)/MAX(Pipeline!$F$21,1)))+Pipeline!$U$22*Pipeline!$D$22*MIN(1,MAX(0,(48-Pipeline!$E$22+1)/MAX(Pipeline!$F$22,1))))/Hipótesis!$C$17</f>
        <v>1066.5173967709</v>
      </c>
      <c r="AY18" s="119" t="n">
        <f aca="false">(Pipeline!$U$16*Pipeline!$D$16*MIN(1,MAX(0,(49-Pipeline!$E$16+1)/MAX(Pipeline!$F$16,1)))+Pipeline!$U$17*Pipeline!$D$17*MIN(1,MAX(0,(49-Pipeline!$E$17+1)/MAX(Pipeline!$F$17,1)))+Pipeline!$U$18*Pipeline!$D$18*MIN(1,MAX(0,(49-Pipeline!$E$18+1)/MAX(Pipeline!$F$18,1)))+Pipeline!$U$19*Pipeline!$D$19*MIN(1,MAX(0,(49-Pipeline!$E$19+1)/MAX(Pipeline!$F$19,1)))+Pipeline!$U$20*Pipeline!$D$20*MIN(1,MAX(0,(49-Pipeline!$E$20+1)/MAX(Pipeline!$F$20,1)))+Pipeline!$U$21*Pipeline!$D$21*MIN(1,MAX(0,(49-Pipeline!$E$21+1)/MAX(Pipeline!$F$21,1)))+Pipeline!$U$22*Pipeline!$D$22*MIN(1,MAX(0,(49-Pipeline!$E$22+1)/MAX(Pipeline!$F$22,1))))/Hipótesis!$C$17</f>
        <v>1066.5173967709</v>
      </c>
      <c r="AZ18" s="119" t="n">
        <f aca="false">(Pipeline!$U$16*Pipeline!$D$16*MIN(1,MAX(0,(50-Pipeline!$E$16+1)/MAX(Pipeline!$F$16,1)))+Pipeline!$U$17*Pipeline!$D$17*MIN(1,MAX(0,(50-Pipeline!$E$17+1)/MAX(Pipeline!$F$17,1)))+Pipeline!$U$18*Pipeline!$D$18*MIN(1,MAX(0,(50-Pipeline!$E$18+1)/MAX(Pipeline!$F$18,1)))+Pipeline!$U$19*Pipeline!$D$19*MIN(1,MAX(0,(50-Pipeline!$E$19+1)/MAX(Pipeline!$F$19,1)))+Pipeline!$U$20*Pipeline!$D$20*MIN(1,MAX(0,(50-Pipeline!$E$20+1)/MAX(Pipeline!$F$20,1)))+Pipeline!$U$21*Pipeline!$D$21*MIN(1,MAX(0,(50-Pipeline!$E$21+1)/MAX(Pipeline!$F$21,1)))+Pipeline!$U$22*Pipeline!$D$22*MIN(1,MAX(0,(50-Pipeline!$E$22+1)/MAX(Pipeline!$F$22,1))))/Hipótesis!$C$17</f>
        <v>1066.5173967709</v>
      </c>
      <c r="BA18" s="119" t="n">
        <f aca="false">(Pipeline!$U$16*Pipeline!$D$16*MIN(1,MAX(0,(51-Pipeline!$E$16+1)/MAX(Pipeline!$F$16,1)))+Pipeline!$U$17*Pipeline!$D$17*MIN(1,MAX(0,(51-Pipeline!$E$17+1)/MAX(Pipeline!$F$17,1)))+Pipeline!$U$18*Pipeline!$D$18*MIN(1,MAX(0,(51-Pipeline!$E$18+1)/MAX(Pipeline!$F$18,1)))+Pipeline!$U$19*Pipeline!$D$19*MIN(1,MAX(0,(51-Pipeline!$E$19+1)/MAX(Pipeline!$F$19,1)))+Pipeline!$U$20*Pipeline!$D$20*MIN(1,MAX(0,(51-Pipeline!$E$20+1)/MAX(Pipeline!$F$20,1)))+Pipeline!$U$21*Pipeline!$D$21*MIN(1,MAX(0,(51-Pipeline!$E$21+1)/MAX(Pipeline!$F$21,1)))+Pipeline!$U$22*Pipeline!$D$22*MIN(1,MAX(0,(51-Pipeline!$E$22+1)/MAX(Pipeline!$F$22,1))))/Hipótesis!$C$17</f>
        <v>1066.5173967709</v>
      </c>
      <c r="BB18" s="119" t="n">
        <f aca="false">(Pipeline!$U$16*Pipeline!$D$16*MIN(1,MAX(0,(52-Pipeline!$E$16+1)/MAX(Pipeline!$F$16,1)))+Pipeline!$U$17*Pipeline!$D$17*MIN(1,MAX(0,(52-Pipeline!$E$17+1)/MAX(Pipeline!$F$17,1)))+Pipeline!$U$18*Pipeline!$D$18*MIN(1,MAX(0,(52-Pipeline!$E$18+1)/MAX(Pipeline!$F$18,1)))+Pipeline!$U$19*Pipeline!$D$19*MIN(1,MAX(0,(52-Pipeline!$E$19+1)/MAX(Pipeline!$F$19,1)))+Pipeline!$U$20*Pipeline!$D$20*MIN(1,MAX(0,(52-Pipeline!$E$20+1)/MAX(Pipeline!$F$20,1)))+Pipeline!$U$21*Pipeline!$D$21*MIN(1,MAX(0,(52-Pipeline!$E$21+1)/MAX(Pipeline!$F$21,1)))+Pipeline!$U$22*Pipeline!$D$22*MIN(1,MAX(0,(52-Pipeline!$E$22+1)/MAX(Pipeline!$F$22,1))))/Hipótesis!$C$17</f>
        <v>1066.5173967709</v>
      </c>
      <c r="BC18" s="119" t="n">
        <f aca="false">(Pipeline!$U$16*Pipeline!$D$16*MIN(1,MAX(0,(53-Pipeline!$E$16+1)/MAX(Pipeline!$F$16,1)))+Pipeline!$U$17*Pipeline!$D$17*MIN(1,MAX(0,(53-Pipeline!$E$17+1)/MAX(Pipeline!$F$17,1)))+Pipeline!$U$18*Pipeline!$D$18*MIN(1,MAX(0,(53-Pipeline!$E$18+1)/MAX(Pipeline!$F$18,1)))+Pipeline!$U$19*Pipeline!$D$19*MIN(1,MAX(0,(53-Pipeline!$E$19+1)/MAX(Pipeline!$F$19,1)))+Pipeline!$U$20*Pipeline!$D$20*MIN(1,MAX(0,(53-Pipeline!$E$20+1)/MAX(Pipeline!$F$20,1)))+Pipeline!$U$21*Pipeline!$D$21*MIN(1,MAX(0,(53-Pipeline!$E$21+1)/MAX(Pipeline!$F$21,1)))+Pipeline!$U$22*Pipeline!$D$22*MIN(1,MAX(0,(53-Pipeline!$E$22+1)/MAX(Pipeline!$F$22,1))))/Hipótesis!$C$17</f>
        <v>1066.5173967709</v>
      </c>
      <c r="BD18" s="119" t="n">
        <f aca="false">(Pipeline!$U$16*Pipeline!$D$16*MIN(1,MAX(0,(54-Pipeline!$E$16+1)/MAX(Pipeline!$F$16,1)))+Pipeline!$U$17*Pipeline!$D$17*MIN(1,MAX(0,(54-Pipeline!$E$17+1)/MAX(Pipeline!$F$17,1)))+Pipeline!$U$18*Pipeline!$D$18*MIN(1,MAX(0,(54-Pipeline!$E$18+1)/MAX(Pipeline!$F$18,1)))+Pipeline!$U$19*Pipeline!$D$19*MIN(1,MAX(0,(54-Pipeline!$E$19+1)/MAX(Pipeline!$F$19,1)))+Pipeline!$U$20*Pipeline!$D$20*MIN(1,MAX(0,(54-Pipeline!$E$20+1)/MAX(Pipeline!$F$20,1)))+Pipeline!$U$21*Pipeline!$D$21*MIN(1,MAX(0,(54-Pipeline!$E$21+1)/MAX(Pipeline!$F$21,1)))+Pipeline!$U$22*Pipeline!$D$22*MIN(1,MAX(0,(54-Pipeline!$E$22+1)/MAX(Pipeline!$F$22,1))))/Hipótesis!$C$17</f>
        <v>1066.5173967709</v>
      </c>
      <c r="BE18" s="119" t="n">
        <f aca="false">(Pipeline!$U$16*Pipeline!$D$16*MIN(1,MAX(0,(55-Pipeline!$E$16+1)/MAX(Pipeline!$F$16,1)))+Pipeline!$U$17*Pipeline!$D$17*MIN(1,MAX(0,(55-Pipeline!$E$17+1)/MAX(Pipeline!$F$17,1)))+Pipeline!$U$18*Pipeline!$D$18*MIN(1,MAX(0,(55-Pipeline!$E$18+1)/MAX(Pipeline!$F$18,1)))+Pipeline!$U$19*Pipeline!$D$19*MIN(1,MAX(0,(55-Pipeline!$E$19+1)/MAX(Pipeline!$F$19,1)))+Pipeline!$U$20*Pipeline!$D$20*MIN(1,MAX(0,(55-Pipeline!$E$20+1)/MAX(Pipeline!$F$20,1)))+Pipeline!$U$21*Pipeline!$D$21*MIN(1,MAX(0,(55-Pipeline!$E$21+1)/MAX(Pipeline!$F$21,1)))+Pipeline!$U$22*Pipeline!$D$22*MIN(1,MAX(0,(55-Pipeline!$E$22+1)/MAX(Pipeline!$F$22,1))))/Hipótesis!$C$17</f>
        <v>1066.5173967709</v>
      </c>
      <c r="BF18" s="119" t="n">
        <f aca="false">(Pipeline!$U$16*Pipeline!$D$16*MIN(1,MAX(0,(56-Pipeline!$E$16+1)/MAX(Pipeline!$F$16,1)))+Pipeline!$U$17*Pipeline!$D$17*MIN(1,MAX(0,(56-Pipeline!$E$17+1)/MAX(Pipeline!$F$17,1)))+Pipeline!$U$18*Pipeline!$D$18*MIN(1,MAX(0,(56-Pipeline!$E$18+1)/MAX(Pipeline!$F$18,1)))+Pipeline!$U$19*Pipeline!$D$19*MIN(1,MAX(0,(56-Pipeline!$E$19+1)/MAX(Pipeline!$F$19,1)))+Pipeline!$U$20*Pipeline!$D$20*MIN(1,MAX(0,(56-Pipeline!$E$20+1)/MAX(Pipeline!$F$20,1)))+Pipeline!$U$21*Pipeline!$D$21*MIN(1,MAX(0,(56-Pipeline!$E$21+1)/MAX(Pipeline!$F$21,1)))+Pipeline!$U$22*Pipeline!$D$22*MIN(1,MAX(0,(56-Pipeline!$E$22+1)/MAX(Pipeline!$F$22,1))))/Hipótesis!$C$17</f>
        <v>1066.5173967709</v>
      </c>
      <c r="BG18" s="119" t="n">
        <f aca="false">(Pipeline!$U$16*Pipeline!$D$16*MIN(1,MAX(0,(57-Pipeline!$E$16+1)/MAX(Pipeline!$F$16,1)))+Pipeline!$U$17*Pipeline!$D$17*MIN(1,MAX(0,(57-Pipeline!$E$17+1)/MAX(Pipeline!$F$17,1)))+Pipeline!$U$18*Pipeline!$D$18*MIN(1,MAX(0,(57-Pipeline!$E$18+1)/MAX(Pipeline!$F$18,1)))+Pipeline!$U$19*Pipeline!$D$19*MIN(1,MAX(0,(57-Pipeline!$E$19+1)/MAX(Pipeline!$F$19,1)))+Pipeline!$U$20*Pipeline!$D$20*MIN(1,MAX(0,(57-Pipeline!$E$20+1)/MAX(Pipeline!$F$20,1)))+Pipeline!$U$21*Pipeline!$D$21*MIN(1,MAX(0,(57-Pipeline!$E$21+1)/MAX(Pipeline!$F$21,1)))+Pipeline!$U$22*Pipeline!$D$22*MIN(1,MAX(0,(57-Pipeline!$E$22+1)/MAX(Pipeline!$F$22,1))))/Hipótesis!$C$17</f>
        <v>1066.5173967709</v>
      </c>
      <c r="BH18" s="119" t="n">
        <f aca="false">(Pipeline!$U$16*Pipeline!$D$16*MIN(1,MAX(0,(58-Pipeline!$E$16+1)/MAX(Pipeline!$F$16,1)))+Pipeline!$U$17*Pipeline!$D$17*MIN(1,MAX(0,(58-Pipeline!$E$17+1)/MAX(Pipeline!$F$17,1)))+Pipeline!$U$18*Pipeline!$D$18*MIN(1,MAX(0,(58-Pipeline!$E$18+1)/MAX(Pipeline!$F$18,1)))+Pipeline!$U$19*Pipeline!$D$19*MIN(1,MAX(0,(58-Pipeline!$E$19+1)/MAX(Pipeline!$F$19,1)))+Pipeline!$U$20*Pipeline!$D$20*MIN(1,MAX(0,(58-Pipeline!$E$20+1)/MAX(Pipeline!$F$20,1)))+Pipeline!$U$21*Pipeline!$D$21*MIN(1,MAX(0,(58-Pipeline!$E$21+1)/MAX(Pipeline!$F$21,1)))+Pipeline!$U$22*Pipeline!$D$22*MIN(1,MAX(0,(58-Pipeline!$E$22+1)/MAX(Pipeline!$F$22,1))))/Hipótesis!$C$17</f>
        <v>1066.5173967709</v>
      </c>
      <c r="BI18" s="119" t="n">
        <f aca="false">(Pipeline!$U$16*Pipeline!$D$16*MIN(1,MAX(0,(59-Pipeline!$E$16+1)/MAX(Pipeline!$F$16,1)))+Pipeline!$U$17*Pipeline!$D$17*MIN(1,MAX(0,(59-Pipeline!$E$17+1)/MAX(Pipeline!$F$17,1)))+Pipeline!$U$18*Pipeline!$D$18*MIN(1,MAX(0,(59-Pipeline!$E$18+1)/MAX(Pipeline!$F$18,1)))+Pipeline!$U$19*Pipeline!$D$19*MIN(1,MAX(0,(59-Pipeline!$E$19+1)/MAX(Pipeline!$F$19,1)))+Pipeline!$U$20*Pipeline!$D$20*MIN(1,MAX(0,(59-Pipeline!$E$20+1)/MAX(Pipeline!$F$20,1)))+Pipeline!$U$21*Pipeline!$D$21*MIN(1,MAX(0,(59-Pipeline!$E$21+1)/MAX(Pipeline!$F$21,1)))+Pipeline!$U$22*Pipeline!$D$22*MIN(1,MAX(0,(59-Pipeline!$E$22+1)/MAX(Pipeline!$F$22,1))))/Hipótesis!$C$17</f>
        <v>1066.5173967709</v>
      </c>
      <c r="BJ18" s="119" t="n">
        <f aca="false">(Pipeline!$U$16*Pipeline!$D$16*MIN(1,MAX(0,(60-Pipeline!$E$16+1)/MAX(Pipeline!$F$16,1)))+Pipeline!$U$17*Pipeline!$D$17*MIN(1,MAX(0,(60-Pipeline!$E$17+1)/MAX(Pipeline!$F$17,1)))+Pipeline!$U$18*Pipeline!$D$18*MIN(1,MAX(0,(60-Pipeline!$E$18+1)/MAX(Pipeline!$F$18,1)))+Pipeline!$U$19*Pipeline!$D$19*MIN(1,MAX(0,(60-Pipeline!$E$19+1)/MAX(Pipeline!$F$19,1)))+Pipeline!$U$20*Pipeline!$D$20*MIN(1,MAX(0,(60-Pipeline!$E$20+1)/MAX(Pipeline!$F$20,1)))+Pipeline!$U$21*Pipeline!$D$21*MIN(1,MAX(0,(60-Pipeline!$E$21+1)/MAX(Pipeline!$F$21,1)))+Pipeline!$U$22*Pipeline!$D$22*MIN(1,MAX(0,(60-Pipeline!$E$22+1)/MAX(Pipeline!$F$22,1))))/Hipótesis!$C$17</f>
        <v>1066.5173967709</v>
      </c>
      <c r="BK18" s="119" t="n">
        <f aca="false">(Pipeline!$U$16*Pipeline!$D$16*MIN(1,MAX(0,(61-Pipeline!$E$16+1)/MAX(Pipeline!$F$16,1)))+Pipeline!$U$17*Pipeline!$D$17*MIN(1,MAX(0,(61-Pipeline!$E$17+1)/MAX(Pipeline!$F$17,1)))+Pipeline!$U$18*Pipeline!$D$18*MIN(1,MAX(0,(61-Pipeline!$E$18+1)/MAX(Pipeline!$F$18,1)))+Pipeline!$U$19*Pipeline!$D$19*MIN(1,MAX(0,(61-Pipeline!$E$19+1)/MAX(Pipeline!$F$19,1)))+Pipeline!$U$20*Pipeline!$D$20*MIN(1,MAX(0,(61-Pipeline!$E$20+1)/MAX(Pipeline!$F$20,1)))+Pipeline!$U$21*Pipeline!$D$21*MIN(1,MAX(0,(61-Pipeline!$E$21+1)/MAX(Pipeline!$F$21,1)))+Pipeline!$U$22*Pipeline!$D$22*MIN(1,MAX(0,(61-Pipeline!$E$22+1)/MAX(Pipeline!$F$22,1))))/Hipótesis!$C$17</f>
        <v>1066.5173967709</v>
      </c>
      <c r="BL18" s="119" t="n">
        <f aca="false">(Pipeline!$U$16*Pipeline!$D$16*MIN(1,MAX(0,(62-Pipeline!$E$16+1)/MAX(Pipeline!$F$16,1)))+Pipeline!$U$17*Pipeline!$D$17*MIN(1,MAX(0,(62-Pipeline!$E$17+1)/MAX(Pipeline!$F$17,1)))+Pipeline!$U$18*Pipeline!$D$18*MIN(1,MAX(0,(62-Pipeline!$E$18+1)/MAX(Pipeline!$F$18,1)))+Pipeline!$U$19*Pipeline!$D$19*MIN(1,MAX(0,(62-Pipeline!$E$19+1)/MAX(Pipeline!$F$19,1)))+Pipeline!$U$20*Pipeline!$D$20*MIN(1,MAX(0,(62-Pipeline!$E$20+1)/MAX(Pipeline!$F$20,1)))+Pipeline!$U$21*Pipeline!$D$21*MIN(1,MAX(0,(62-Pipeline!$E$21+1)/MAX(Pipeline!$F$21,1)))+Pipeline!$U$22*Pipeline!$D$22*MIN(1,MAX(0,(62-Pipeline!$E$22+1)/MAX(Pipeline!$F$22,1))))/Hipótesis!$C$17</f>
        <v>1066.5173967709</v>
      </c>
      <c r="BM18" s="119" t="n">
        <f aca="false">(Pipeline!$U$16*Pipeline!$D$16*MIN(1,MAX(0,(63-Pipeline!$E$16+1)/MAX(Pipeline!$F$16,1)))+Pipeline!$U$17*Pipeline!$D$17*MIN(1,MAX(0,(63-Pipeline!$E$17+1)/MAX(Pipeline!$F$17,1)))+Pipeline!$U$18*Pipeline!$D$18*MIN(1,MAX(0,(63-Pipeline!$E$18+1)/MAX(Pipeline!$F$18,1)))+Pipeline!$U$19*Pipeline!$D$19*MIN(1,MAX(0,(63-Pipeline!$E$19+1)/MAX(Pipeline!$F$19,1)))+Pipeline!$U$20*Pipeline!$D$20*MIN(1,MAX(0,(63-Pipeline!$E$20+1)/MAX(Pipeline!$F$20,1)))+Pipeline!$U$21*Pipeline!$D$21*MIN(1,MAX(0,(63-Pipeline!$E$21+1)/MAX(Pipeline!$F$21,1)))+Pipeline!$U$22*Pipeline!$D$22*MIN(1,MAX(0,(63-Pipeline!$E$22+1)/MAX(Pipeline!$F$22,1))))/Hipótesis!$C$17</f>
        <v>1066.5173967709</v>
      </c>
      <c r="BN18" s="119" t="n">
        <f aca="false">(Pipeline!$U$16*Pipeline!$D$16*MIN(1,MAX(0,(64-Pipeline!$E$16+1)/MAX(Pipeline!$F$16,1)))+Pipeline!$U$17*Pipeline!$D$17*MIN(1,MAX(0,(64-Pipeline!$E$17+1)/MAX(Pipeline!$F$17,1)))+Pipeline!$U$18*Pipeline!$D$18*MIN(1,MAX(0,(64-Pipeline!$E$18+1)/MAX(Pipeline!$F$18,1)))+Pipeline!$U$19*Pipeline!$D$19*MIN(1,MAX(0,(64-Pipeline!$E$19+1)/MAX(Pipeline!$F$19,1)))+Pipeline!$U$20*Pipeline!$D$20*MIN(1,MAX(0,(64-Pipeline!$E$20+1)/MAX(Pipeline!$F$20,1)))+Pipeline!$U$21*Pipeline!$D$21*MIN(1,MAX(0,(64-Pipeline!$E$21+1)/MAX(Pipeline!$F$21,1)))+Pipeline!$U$22*Pipeline!$D$22*MIN(1,MAX(0,(64-Pipeline!$E$22+1)/MAX(Pipeline!$F$22,1))))/Hipótesis!$C$17</f>
        <v>1066.5173967709</v>
      </c>
      <c r="BO18" s="119" t="n">
        <f aca="false">(Pipeline!$U$16*Pipeline!$D$16*MIN(1,MAX(0,(65-Pipeline!$E$16+1)/MAX(Pipeline!$F$16,1)))+Pipeline!$U$17*Pipeline!$D$17*MIN(1,MAX(0,(65-Pipeline!$E$17+1)/MAX(Pipeline!$F$17,1)))+Pipeline!$U$18*Pipeline!$D$18*MIN(1,MAX(0,(65-Pipeline!$E$18+1)/MAX(Pipeline!$F$18,1)))+Pipeline!$U$19*Pipeline!$D$19*MIN(1,MAX(0,(65-Pipeline!$E$19+1)/MAX(Pipeline!$F$19,1)))+Pipeline!$U$20*Pipeline!$D$20*MIN(1,MAX(0,(65-Pipeline!$E$20+1)/MAX(Pipeline!$F$20,1)))+Pipeline!$U$21*Pipeline!$D$21*MIN(1,MAX(0,(65-Pipeline!$E$21+1)/MAX(Pipeline!$F$21,1)))+Pipeline!$U$22*Pipeline!$D$22*MIN(1,MAX(0,(65-Pipeline!$E$22+1)/MAX(Pipeline!$F$22,1))))/Hipótesis!$C$17</f>
        <v>1066.5173967709</v>
      </c>
      <c r="BP18" s="119" t="n">
        <f aca="false">(Pipeline!$U$16*Pipeline!$D$16*MIN(1,MAX(0,(66-Pipeline!$E$16+1)/MAX(Pipeline!$F$16,1)))+Pipeline!$U$17*Pipeline!$D$17*MIN(1,MAX(0,(66-Pipeline!$E$17+1)/MAX(Pipeline!$F$17,1)))+Pipeline!$U$18*Pipeline!$D$18*MIN(1,MAX(0,(66-Pipeline!$E$18+1)/MAX(Pipeline!$F$18,1)))+Pipeline!$U$19*Pipeline!$D$19*MIN(1,MAX(0,(66-Pipeline!$E$19+1)/MAX(Pipeline!$F$19,1)))+Pipeline!$U$20*Pipeline!$D$20*MIN(1,MAX(0,(66-Pipeline!$E$20+1)/MAX(Pipeline!$F$20,1)))+Pipeline!$U$21*Pipeline!$D$21*MIN(1,MAX(0,(66-Pipeline!$E$21+1)/MAX(Pipeline!$F$21,1)))+Pipeline!$U$22*Pipeline!$D$22*MIN(1,MAX(0,(66-Pipeline!$E$22+1)/MAX(Pipeline!$F$22,1))))/Hipótesis!$C$17</f>
        <v>1066.5173967709</v>
      </c>
      <c r="BQ18" s="119" t="n">
        <f aca="false">(Pipeline!$U$16*Pipeline!$D$16*MIN(1,MAX(0,(67-Pipeline!$E$16+1)/MAX(Pipeline!$F$16,1)))+Pipeline!$U$17*Pipeline!$D$17*MIN(1,MAX(0,(67-Pipeline!$E$17+1)/MAX(Pipeline!$F$17,1)))+Pipeline!$U$18*Pipeline!$D$18*MIN(1,MAX(0,(67-Pipeline!$E$18+1)/MAX(Pipeline!$F$18,1)))+Pipeline!$U$19*Pipeline!$D$19*MIN(1,MAX(0,(67-Pipeline!$E$19+1)/MAX(Pipeline!$F$19,1)))+Pipeline!$U$20*Pipeline!$D$20*MIN(1,MAX(0,(67-Pipeline!$E$20+1)/MAX(Pipeline!$F$20,1)))+Pipeline!$U$21*Pipeline!$D$21*MIN(1,MAX(0,(67-Pipeline!$E$21+1)/MAX(Pipeline!$F$21,1)))+Pipeline!$U$22*Pipeline!$D$22*MIN(1,MAX(0,(67-Pipeline!$E$22+1)/MAX(Pipeline!$F$22,1))))/Hipótesis!$C$17</f>
        <v>1066.5173967709</v>
      </c>
      <c r="BR18" s="119" t="n">
        <f aca="false">(Pipeline!$U$16*Pipeline!$D$16*MIN(1,MAX(0,(68-Pipeline!$E$16+1)/MAX(Pipeline!$F$16,1)))+Pipeline!$U$17*Pipeline!$D$17*MIN(1,MAX(0,(68-Pipeline!$E$17+1)/MAX(Pipeline!$F$17,1)))+Pipeline!$U$18*Pipeline!$D$18*MIN(1,MAX(0,(68-Pipeline!$E$18+1)/MAX(Pipeline!$F$18,1)))+Pipeline!$U$19*Pipeline!$D$19*MIN(1,MAX(0,(68-Pipeline!$E$19+1)/MAX(Pipeline!$F$19,1)))+Pipeline!$U$20*Pipeline!$D$20*MIN(1,MAX(0,(68-Pipeline!$E$20+1)/MAX(Pipeline!$F$20,1)))+Pipeline!$U$21*Pipeline!$D$21*MIN(1,MAX(0,(68-Pipeline!$E$21+1)/MAX(Pipeline!$F$21,1)))+Pipeline!$U$22*Pipeline!$D$22*MIN(1,MAX(0,(68-Pipeline!$E$22+1)/MAX(Pipeline!$F$22,1))))/Hipótesis!$C$17</f>
        <v>1066.5173967709</v>
      </c>
      <c r="BS18" s="119" t="n">
        <f aca="false">(Pipeline!$U$16*Pipeline!$D$16*MIN(1,MAX(0,(69-Pipeline!$E$16+1)/MAX(Pipeline!$F$16,1)))+Pipeline!$U$17*Pipeline!$D$17*MIN(1,MAX(0,(69-Pipeline!$E$17+1)/MAX(Pipeline!$F$17,1)))+Pipeline!$U$18*Pipeline!$D$18*MIN(1,MAX(0,(69-Pipeline!$E$18+1)/MAX(Pipeline!$F$18,1)))+Pipeline!$U$19*Pipeline!$D$19*MIN(1,MAX(0,(69-Pipeline!$E$19+1)/MAX(Pipeline!$F$19,1)))+Pipeline!$U$20*Pipeline!$D$20*MIN(1,MAX(0,(69-Pipeline!$E$20+1)/MAX(Pipeline!$F$20,1)))+Pipeline!$U$21*Pipeline!$D$21*MIN(1,MAX(0,(69-Pipeline!$E$21+1)/MAX(Pipeline!$F$21,1)))+Pipeline!$U$22*Pipeline!$D$22*MIN(1,MAX(0,(69-Pipeline!$E$22+1)/MAX(Pipeline!$F$22,1))))/Hipótesis!$C$17</f>
        <v>1066.5173967709</v>
      </c>
      <c r="BT18" s="119" t="n">
        <f aca="false">(Pipeline!$U$16*Pipeline!$D$16*MIN(1,MAX(0,(70-Pipeline!$E$16+1)/MAX(Pipeline!$F$16,1)))+Pipeline!$U$17*Pipeline!$D$17*MIN(1,MAX(0,(70-Pipeline!$E$17+1)/MAX(Pipeline!$F$17,1)))+Pipeline!$U$18*Pipeline!$D$18*MIN(1,MAX(0,(70-Pipeline!$E$18+1)/MAX(Pipeline!$F$18,1)))+Pipeline!$U$19*Pipeline!$D$19*MIN(1,MAX(0,(70-Pipeline!$E$19+1)/MAX(Pipeline!$F$19,1)))+Pipeline!$U$20*Pipeline!$D$20*MIN(1,MAX(0,(70-Pipeline!$E$20+1)/MAX(Pipeline!$F$20,1)))+Pipeline!$U$21*Pipeline!$D$21*MIN(1,MAX(0,(70-Pipeline!$E$21+1)/MAX(Pipeline!$F$21,1)))+Pipeline!$U$22*Pipeline!$D$22*MIN(1,MAX(0,(70-Pipeline!$E$22+1)/MAX(Pipeline!$F$22,1))))/Hipótesis!$C$17</f>
        <v>1066.5173967709</v>
      </c>
      <c r="BU18" s="119" t="n">
        <f aca="false">(Pipeline!$U$16*Pipeline!$D$16*MIN(1,MAX(0,(71-Pipeline!$E$16+1)/MAX(Pipeline!$F$16,1)))+Pipeline!$U$17*Pipeline!$D$17*MIN(1,MAX(0,(71-Pipeline!$E$17+1)/MAX(Pipeline!$F$17,1)))+Pipeline!$U$18*Pipeline!$D$18*MIN(1,MAX(0,(71-Pipeline!$E$18+1)/MAX(Pipeline!$F$18,1)))+Pipeline!$U$19*Pipeline!$D$19*MIN(1,MAX(0,(71-Pipeline!$E$19+1)/MAX(Pipeline!$F$19,1)))+Pipeline!$U$20*Pipeline!$D$20*MIN(1,MAX(0,(71-Pipeline!$E$20+1)/MAX(Pipeline!$F$20,1)))+Pipeline!$U$21*Pipeline!$D$21*MIN(1,MAX(0,(71-Pipeline!$E$21+1)/MAX(Pipeline!$F$21,1)))+Pipeline!$U$22*Pipeline!$D$22*MIN(1,MAX(0,(71-Pipeline!$E$22+1)/MAX(Pipeline!$F$22,1))))/Hipótesis!$C$17</f>
        <v>1066.5173967709</v>
      </c>
      <c r="BV18" s="119" t="n">
        <f aca="false">(Pipeline!$U$16*Pipeline!$D$16*MIN(1,MAX(0,(72-Pipeline!$E$16+1)/MAX(Pipeline!$F$16,1)))+Pipeline!$U$17*Pipeline!$D$17*MIN(1,MAX(0,(72-Pipeline!$E$17+1)/MAX(Pipeline!$F$17,1)))+Pipeline!$U$18*Pipeline!$D$18*MIN(1,MAX(0,(72-Pipeline!$E$18+1)/MAX(Pipeline!$F$18,1)))+Pipeline!$U$19*Pipeline!$D$19*MIN(1,MAX(0,(72-Pipeline!$E$19+1)/MAX(Pipeline!$F$19,1)))+Pipeline!$U$20*Pipeline!$D$20*MIN(1,MAX(0,(72-Pipeline!$E$20+1)/MAX(Pipeline!$F$20,1)))+Pipeline!$U$21*Pipeline!$D$21*MIN(1,MAX(0,(72-Pipeline!$E$21+1)/MAX(Pipeline!$F$21,1)))+Pipeline!$U$22*Pipeline!$D$22*MIN(1,MAX(0,(72-Pipeline!$E$22+1)/MAX(Pipeline!$F$22,1))))/Hipótesis!$C$17</f>
        <v>1066.5173967709</v>
      </c>
      <c r="BW18" s="119" t="n">
        <f aca="false">(Pipeline!$U$16*Pipeline!$D$16*MIN(1,MAX(0,(73-Pipeline!$E$16+1)/MAX(Pipeline!$F$16,1)))+Pipeline!$U$17*Pipeline!$D$17*MIN(1,MAX(0,(73-Pipeline!$E$17+1)/MAX(Pipeline!$F$17,1)))+Pipeline!$U$18*Pipeline!$D$18*MIN(1,MAX(0,(73-Pipeline!$E$18+1)/MAX(Pipeline!$F$18,1)))+Pipeline!$U$19*Pipeline!$D$19*MIN(1,MAX(0,(73-Pipeline!$E$19+1)/MAX(Pipeline!$F$19,1)))+Pipeline!$U$20*Pipeline!$D$20*MIN(1,MAX(0,(73-Pipeline!$E$20+1)/MAX(Pipeline!$F$20,1)))+Pipeline!$U$21*Pipeline!$D$21*MIN(1,MAX(0,(73-Pipeline!$E$21+1)/MAX(Pipeline!$F$21,1)))+Pipeline!$U$22*Pipeline!$D$22*MIN(1,MAX(0,(73-Pipeline!$E$22+1)/MAX(Pipeline!$F$22,1))))/Hipótesis!$C$17</f>
        <v>1066.5173967709</v>
      </c>
      <c r="BX18" s="119" t="n">
        <f aca="false">(Pipeline!$U$16*Pipeline!$D$16*MIN(1,MAX(0,(74-Pipeline!$E$16+1)/MAX(Pipeline!$F$16,1)))+Pipeline!$U$17*Pipeline!$D$17*MIN(1,MAX(0,(74-Pipeline!$E$17+1)/MAX(Pipeline!$F$17,1)))+Pipeline!$U$18*Pipeline!$D$18*MIN(1,MAX(0,(74-Pipeline!$E$18+1)/MAX(Pipeline!$F$18,1)))+Pipeline!$U$19*Pipeline!$D$19*MIN(1,MAX(0,(74-Pipeline!$E$19+1)/MAX(Pipeline!$F$19,1)))+Pipeline!$U$20*Pipeline!$D$20*MIN(1,MAX(0,(74-Pipeline!$E$20+1)/MAX(Pipeline!$F$20,1)))+Pipeline!$U$21*Pipeline!$D$21*MIN(1,MAX(0,(74-Pipeline!$E$21+1)/MAX(Pipeline!$F$21,1)))+Pipeline!$U$22*Pipeline!$D$22*MIN(1,MAX(0,(74-Pipeline!$E$22+1)/MAX(Pipeline!$F$22,1))))/Hipótesis!$C$17</f>
        <v>1066.5173967709</v>
      </c>
      <c r="BY18" s="119" t="n">
        <f aca="false">(Pipeline!$U$16*Pipeline!$D$16*MIN(1,MAX(0,(75-Pipeline!$E$16+1)/MAX(Pipeline!$F$16,1)))+Pipeline!$U$17*Pipeline!$D$17*MIN(1,MAX(0,(75-Pipeline!$E$17+1)/MAX(Pipeline!$F$17,1)))+Pipeline!$U$18*Pipeline!$D$18*MIN(1,MAX(0,(75-Pipeline!$E$18+1)/MAX(Pipeline!$F$18,1)))+Pipeline!$U$19*Pipeline!$D$19*MIN(1,MAX(0,(75-Pipeline!$E$19+1)/MAX(Pipeline!$F$19,1)))+Pipeline!$U$20*Pipeline!$D$20*MIN(1,MAX(0,(75-Pipeline!$E$20+1)/MAX(Pipeline!$F$20,1)))+Pipeline!$U$21*Pipeline!$D$21*MIN(1,MAX(0,(75-Pipeline!$E$21+1)/MAX(Pipeline!$F$21,1)))+Pipeline!$U$22*Pipeline!$D$22*MIN(1,MAX(0,(75-Pipeline!$E$22+1)/MAX(Pipeline!$F$22,1))))/Hipótesis!$C$17</f>
        <v>1066.5173967709</v>
      </c>
      <c r="BZ18" s="119" t="n">
        <f aca="false">(Pipeline!$U$16*Pipeline!$D$16*MIN(1,MAX(0,(76-Pipeline!$E$16+1)/MAX(Pipeline!$F$16,1)))+Pipeline!$U$17*Pipeline!$D$17*MIN(1,MAX(0,(76-Pipeline!$E$17+1)/MAX(Pipeline!$F$17,1)))+Pipeline!$U$18*Pipeline!$D$18*MIN(1,MAX(0,(76-Pipeline!$E$18+1)/MAX(Pipeline!$F$18,1)))+Pipeline!$U$19*Pipeline!$D$19*MIN(1,MAX(0,(76-Pipeline!$E$19+1)/MAX(Pipeline!$F$19,1)))+Pipeline!$U$20*Pipeline!$D$20*MIN(1,MAX(0,(76-Pipeline!$E$20+1)/MAX(Pipeline!$F$20,1)))+Pipeline!$U$21*Pipeline!$D$21*MIN(1,MAX(0,(76-Pipeline!$E$21+1)/MAX(Pipeline!$F$21,1)))+Pipeline!$U$22*Pipeline!$D$22*MIN(1,MAX(0,(76-Pipeline!$E$22+1)/MAX(Pipeline!$F$22,1))))/Hipótesis!$C$17</f>
        <v>1066.5173967709</v>
      </c>
      <c r="CA18" s="119" t="n">
        <f aca="false">(Pipeline!$U$16*Pipeline!$D$16*MIN(1,MAX(0,(77-Pipeline!$E$16+1)/MAX(Pipeline!$F$16,1)))+Pipeline!$U$17*Pipeline!$D$17*MIN(1,MAX(0,(77-Pipeline!$E$17+1)/MAX(Pipeline!$F$17,1)))+Pipeline!$U$18*Pipeline!$D$18*MIN(1,MAX(0,(77-Pipeline!$E$18+1)/MAX(Pipeline!$F$18,1)))+Pipeline!$U$19*Pipeline!$D$19*MIN(1,MAX(0,(77-Pipeline!$E$19+1)/MAX(Pipeline!$F$19,1)))+Pipeline!$U$20*Pipeline!$D$20*MIN(1,MAX(0,(77-Pipeline!$E$20+1)/MAX(Pipeline!$F$20,1)))+Pipeline!$U$21*Pipeline!$D$21*MIN(1,MAX(0,(77-Pipeline!$E$21+1)/MAX(Pipeline!$F$21,1)))+Pipeline!$U$22*Pipeline!$D$22*MIN(1,MAX(0,(77-Pipeline!$E$22+1)/MAX(Pipeline!$F$22,1))))/Hipótesis!$C$17</f>
        <v>1066.5173967709</v>
      </c>
      <c r="CB18" s="119" t="n">
        <f aca="false">(Pipeline!$U$16*Pipeline!$D$16*MIN(1,MAX(0,(78-Pipeline!$E$16+1)/MAX(Pipeline!$F$16,1)))+Pipeline!$U$17*Pipeline!$D$17*MIN(1,MAX(0,(78-Pipeline!$E$17+1)/MAX(Pipeline!$F$17,1)))+Pipeline!$U$18*Pipeline!$D$18*MIN(1,MAX(0,(78-Pipeline!$E$18+1)/MAX(Pipeline!$F$18,1)))+Pipeline!$U$19*Pipeline!$D$19*MIN(1,MAX(0,(78-Pipeline!$E$19+1)/MAX(Pipeline!$F$19,1)))+Pipeline!$U$20*Pipeline!$D$20*MIN(1,MAX(0,(78-Pipeline!$E$20+1)/MAX(Pipeline!$F$20,1)))+Pipeline!$U$21*Pipeline!$D$21*MIN(1,MAX(0,(78-Pipeline!$E$21+1)/MAX(Pipeline!$F$21,1)))+Pipeline!$U$22*Pipeline!$D$22*MIN(1,MAX(0,(78-Pipeline!$E$22+1)/MAX(Pipeline!$F$22,1))))/Hipótesis!$C$17</f>
        <v>1066.5173967709</v>
      </c>
      <c r="CC18" s="119" t="n">
        <f aca="false">(Pipeline!$U$16*Pipeline!$D$16*MIN(1,MAX(0,(79-Pipeline!$E$16+1)/MAX(Pipeline!$F$16,1)))+Pipeline!$U$17*Pipeline!$D$17*MIN(1,MAX(0,(79-Pipeline!$E$17+1)/MAX(Pipeline!$F$17,1)))+Pipeline!$U$18*Pipeline!$D$18*MIN(1,MAX(0,(79-Pipeline!$E$18+1)/MAX(Pipeline!$F$18,1)))+Pipeline!$U$19*Pipeline!$D$19*MIN(1,MAX(0,(79-Pipeline!$E$19+1)/MAX(Pipeline!$F$19,1)))+Pipeline!$U$20*Pipeline!$D$20*MIN(1,MAX(0,(79-Pipeline!$E$20+1)/MAX(Pipeline!$F$20,1)))+Pipeline!$U$21*Pipeline!$D$21*MIN(1,MAX(0,(79-Pipeline!$E$21+1)/MAX(Pipeline!$F$21,1)))+Pipeline!$U$22*Pipeline!$D$22*MIN(1,MAX(0,(79-Pipeline!$E$22+1)/MAX(Pipeline!$F$22,1))))/Hipótesis!$C$17</f>
        <v>1066.5173967709</v>
      </c>
      <c r="CD18" s="119" t="n">
        <f aca="false">(Pipeline!$U$16*Pipeline!$D$16*MIN(1,MAX(0,(80-Pipeline!$E$16+1)/MAX(Pipeline!$F$16,1)))+Pipeline!$U$17*Pipeline!$D$17*MIN(1,MAX(0,(80-Pipeline!$E$17+1)/MAX(Pipeline!$F$17,1)))+Pipeline!$U$18*Pipeline!$D$18*MIN(1,MAX(0,(80-Pipeline!$E$18+1)/MAX(Pipeline!$F$18,1)))+Pipeline!$U$19*Pipeline!$D$19*MIN(1,MAX(0,(80-Pipeline!$E$19+1)/MAX(Pipeline!$F$19,1)))+Pipeline!$U$20*Pipeline!$D$20*MIN(1,MAX(0,(80-Pipeline!$E$20+1)/MAX(Pipeline!$F$20,1)))+Pipeline!$U$21*Pipeline!$D$21*MIN(1,MAX(0,(80-Pipeline!$E$21+1)/MAX(Pipeline!$F$21,1)))+Pipeline!$U$22*Pipeline!$D$22*MIN(1,MAX(0,(80-Pipeline!$E$22+1)/MAX(Pipeline!$F$22,1))))/Hipótesis!$C$17</f>
        <v>1066.5173967709</v>
      </c>
      <c r="CE18" s="119" t="n">
        <f aca="false">(Pipeline!$U$16*Pipeline!$D$16*MIN(1,MAX(0,(81-Pipeline!$E$16+1)/MAX(Pipeline!$F$16,1)))+Pipeline!$U$17*Pipeline!$D$17*MIN(1,MAX(0,(81-Pipeline!$E$17+1)/MAX(Pipeline!$F$17,1)))+Pipeline!$U$18*Pipeline!$D$18*MIN(1,MAX(0,(81-Pipeline!$E$18+1)/MAX(Pipeline!$F$18,1)))+Pipeline!$U$19*Pipeline!$D$19*MIN(1,MAX(0,(81-Pipeline!$E$19+1)/MAX(Pipeline!$F$19,1)))+Pipeline!$U$20*Pipeline!$D$20*MIN(1,MAX(0,(81-Pipeline!$E$20+1)/MAX(Pipeline!$F$20,1)))+Pipeline!$U$21*Pipeline!$D$21*MIN(1,MAX(0,(81-Pipeline!$E$21+1)/MAX(Pipeline!$F$21,1)))+Pipeline!$U$22*Pipeline!$D$22*MIN(1,MAX(0,(81-Pipeline!$E$22+1)/MAX(Pipeline!$F$22,1))))/Hipótesis!$C$17</f>
        <v>1066.5173967709</v>
      </c>
      <c r="CF18" s="119" t="n">
        <f aca="false">(Pipeline!$U$16*Pipeline!$D$16*MIN(1,MAX(0,(82-Pipeline!$E$16+1)/MAX(Pipeline!$F$16,1)))+Pipeline!$U$17*Pipeline!$D$17*MIN(1,MAX(0,(82-Pipeline!$E$17+1)/MAX(Pipeline!$F$17,1)))+Pipeline!$U$18*Pipeline!$D$18*MIN(1,MAX(0,(82-Pipeline!$E$18+1)/MAX(Pipeline!$F$18,1)))+Pipeline!$U$19*Pipeline!$D$19*MIN(1,MAX(0,(82-Pipeline!$E$19+1)/MAX(Pipeline!$F$19,1)))+Pipeline!$U$20*Pipeline!$D$20*MIN(1,MAX(0,(82-Pipeline!$E$20+1)/MAX(Pipeline!$F$20,1)))+Pipeline!$U$21*Pipeline!$D$21*MIN(1,MAX(0,(82-Pipeline!$E$21+1)/MAX(Pipeline!$F$21,1)))+Pipeline!$U$22*Pipeline!$D$22*MIN(1,MAX(0,(82-Pipeline!$E$22+1)/MAX(Pipeline!$F$22,1))))/Hipótesis!$C$17</f>
        <v>1066.5173967709</v>
      </c>
      <c r="CG18" s="119" t="n">
        <f aca="false">(Pipeline!$U$16*Pipeline!$D$16*MIN(1,MAX(0,(83-Pipeline!$E$16+1)/MAX(Pipeline!$F$16,1)))+Pipeline!$U$17*Pipeline!$D$17*MIN(1,MAX(0,(83-Pipeline!$E$17+1)/MAX(Pipeline!$F$17,1)))+Pipeline!$U$18*Pipeline!$D$18*MIN(1,MAX(0,(83-Pipeline!$E$18+1)/MAX(Pipeline!$F$18,1)))+Pipeline!$U$19*Pipeline!$D$19*MIN(1,MAX(0,(83-Pipeline!$E$19+1)/MAX(Pipeline!$F$19,1)))+Pipeline!$U$20*Pipeline!$D$20*MIN(1,MAX(0,(83-Pipeline!$E$20+1)/MAX(Pipeline!$F$20,1)))+Pipeline!$U$21*Pipeline!$D$21*MIN(1,MAX(0,(83-Pipeline!$E$21+1)/MAX(Pipeline!$F$21,1)))+Pipeline!$U$22*Pipeline!$D$22*MIN(1,MAX(0,(83-Pipeline!$E$22+1)/MAX(Pipeline!$F$22,1))))/Hipótesis!$C$17</f>
        <v>1066.5173967709</v>
      </c>
      <c r="CH18" s="119" t="n">
        <f aca="false">(Pipeline!$U$16*Pipeline!$D$16*MIN(1,MAX(0,(84-Pipeline!$E$16+1)/MAX(Pipeline!$F$16,1)))+Pipeline!$U$17*Pipeline!$D$17*MIN(1,MAX(0,(84-Pipeline!$E$17+1)/MAX(Pipeline!$F$17,1)))+Pipeline!$U$18*Pipeline!$D$18*MIN(1,MAX(0,(84-Pipeline!$E$18+1)/MAX(Pipeline!$F$18,1)))+Pipeline!$U$19*Pipeline!$D$19*MIN(1,MAX(0,(84-Pipeline!$E$19+1)/MAX(Pipeline!$F$19,1)))+Pipeline!$U$20*Pipeline!$D$20*MIN(1,MAX(0,(84-Pipeline!$E$20+1)/MAX(Pipeline!$F$20,1)))+Pipeline!$U$21*Pipeline!$D$21*MIN(1,MAX(0,(84-Pipeline!$E$21+1)/MAX(Pipeline!$F$21,1)))+Pipeline!$U$22*Pipeline!$D$22*MIN(1,MAX(0,(84-Pipeline!$E$22+1)/MAX(Pipeline!$F$22,1))))/Hipótesis!$C$17</f>
        <v>1066.5173967709</v>
      </c>
    </row>
    <row r="19" customFormat="false" ht="13.5" hidden="false" customHeight="true" outlineLevel="0" collapsed="false">
      <c r="A19" s="6" t="s">
        <v>527</v>
      </c>
      <c r="C19" s="109" t="n">
        <f aca="false">Pipeline!$W$16*Pipeline!$D$16*MIN(1,MAX(0,(1-Pipeline!$E$16+1)/MAX(Pipeline!$F$16,1)))+Pipeline!$W$17*Pipeline!$D$17*MIN(1,MAX(0,(1-Pipeline!$E$17+1)/MAX(Pipeline!$F$17,1)))+Pipeline!$W$18*Pipeline!$D$18*MIN(1,MAX(0,(1-Pipeline!$E$18+1)/MAX(Pipeline!$F$18,1)))+Pipeline!$W$19*Pipeline!$D$19*MIN(1,MAX(0,(1-Pipeline!$E$19+1)/MAX(Pipeline!$F$19,1)))+Pipeline!$W$20*Pipeline!$D$20*MIN(1,MAX(0,(1-Pipeline!$E$20+1)/MAX(Pipeline!$F$20,1)))+Pipeline!$W$21*Pipeline!$D$21*MIN(1,MAX(0,(1-Pipeline!$E$21+1)/MAX(Pipeline!$F$21,1)))+Pipeline!$W$22*Pipeline!$D$22*MIN(1,MAX(0,(1-Pipeline!$E$22+1)/MAX(Pipeline!$F$22,1)))</f>
        <v>106.083333333333</v>
      </c>
      <c r="D19" s="109" t="n">
        <f aca="false">Pipeline!$W$16*Pipeline!$D$16*MIN(1,MAX(0,(2-Pipeline!$E$16+1)/MAX(Pipeline!$F$16,1)))+Pipeline!$W$17*Pipeline!$D$17*MIN(1,MAX(0,(2-Pipeline!$E$17+1)/MAX(Pipeline!$F$17,1)))+Pipeline!$W$18*Pipeline!$D$18*MIN(1,MAX(0,(2-Pipeline!$E$18+1)/MAX(Pipeline!$F$18,1)))+Pipeline!$W$19*Pipeline!$D$19*MIN(1,MAX(0,(2-Pipeline!$E$19+1)/MAX(Pipeline!$F$19,1)))+Pipeline!$W$20*Pipeline!$D$20*MIN(1,MAX(0,(2-Pipeline!$E$20+1)/MAX(Pipeline!$F$20,1)))+Pipeline!$W$21*Pipeline!$D$21*MIN(1,MAX(0,(2-Pipeline!$E$21+1)/MAX(Pipeline!$F$21,1)))+Pipeline!$W$22*Pipeline!$D$22*MIN(1,MAX(0,(2-Pipeline!$E$22+1)/MAX(Pipeline!$F$22,1)))</f>
        <v>228.59431372549</v>
      </c>
      <c r="E19" s="109" t="n">
        <f aca="false">Pipeline!$W$16*Pipeline!$D$16*MIN(1,MAX(0,(3-Pipeline!$E$16+1)/MAX(Pipeline!$F$16,1)))+Pipeline!$W$17*Pipeline!$D$17*MIN(1,MAX(0,(3-Pipeline!$E$17+1)/MAX(Pipeline!$F$17,1)))+Pipeline!$W$18*Pipeline!$D$18*MIN(1,MAX(0,(3-Pipeline!$E$18+1)/MAX(Pipeline!$F$18,1)))+Pipeline!$W$19*Pipeline!$D$19*MIN(1,MAX(0,(3-Pipeline!$E$19+1)/MAX(Pipeline!$F$19,1)))+Pipeline!$W$20*Pipeline!$D$20*MIN(1,MAX(0,(3-Pipeline!$E$20+1)/MAX(Pipeline!$F$20,1)))+Pipeline!$W$21*Pipeline!$D$21*MIN(1,MAX(0,(3-Pipeline!$E$21+1)/MAX(Pipeline!$F$21,1)))+Pipeline!$W$22*Pipeline!$D$22*MIN(1,MAX(0,(3-Pipeline!$E$22+1)/MAX(Pipeline!$F$22,1)))</f>
        <v>567.492245648259</v>
      </c>
      <c r="F19" s="109" t="n">
        <f aca="false">Pipeline!$W$16*Pipeline!$D$16*MIN(1,MAX(0,(4-Pipeline!$E$16+1)/MAX(Pipeline!$F$16,1)))+Pipeline!$W$17*Pipeline!$D$17*MIN(1,MAX(0,(4-Pipeline!$E$17+1)/MAX(Pipeline!$F$17,1)))+Pipeline!$W$18*Pipeline!$D$18*MIN(1,MAX(0,(4-Pipeline!$E$18+1)/MAX(Pipeline!$F$18,1)))+Pipeline!$W$19*Pipeline!$D$19*MIN(1,MAX(0,(4-Pipeline!$E$19+1)/MAX(Pipeline!$F$19,1)))+Pipeline!$W$20*Pipeline!$D$20*MIN(1,MAX(0,(4-Pipeline!$E$20+1)/MAX(Pipeline!$F$20,1)))+Pipeline!$W$21*Pipeline!$D$21*MIN(1,MAX(0,(4-Pipeline!$E$21+1)/MAX(Pipeline!$F$21,1)))+Pipeline!$W$22*Pipeline!$D$22*MIN(1,MAX(0,(4-Pipeline!$E$22+1)/MAX(Pipeline!$F$22,1)))</f>
        <v>800.306844237695</v>
      </c>
      <c r="G19" s="109" t="n">
        <f aca="false">Pipeline!$W$16*Pipeline!$D$16*MIN(1,MAX(0,(5-Pipeline!$E$16+1)/MAX(Pipeline!$F$16,1)))+Pipeline!$W$17*Pipeline!$D$17*MIN(1,MAX(0,(5-Pipeline!$E$17+1)/MAX(Pipeline!$F$17,1)))+Pipeline!$W$18*Pipeline!$D$18*MIN(1,MAX(0,(5-Pipeline!$E$18+1)/MAX(Pipeline!$F$18,1)))+Pipeline!$W$19*Pipeline!$D$19*MIN(1,MAX(0,(5-Pipeline!$E$19+1)/MAX(Pipeline!$F$19,1)))+Pipeline!$W$20*Pipeline!$D$20*MIN(1,MAX(0,(5-Pipeline!$E$20+1)/MAX(Pipeline!$F$20,1)))+Pipeline!$W$21*Pipeline!$D$21*MIN(1,MAX(0,(5-Pipeline!$E$21+1)/MAX(Pipeline!$F$21,1)))+Pipeline!$W$22*Pipeline!$D$22*MIN(1,MAX(0,(5-Pipeline!$E$22+1)/MAX(Pipeline!$F$22,1)))</f>
        <v>1016.69379576831</v>
      </c>
      <c r="H19" s="109" t="n">
        <f aca="false">Pipeline!$W$16*Pipeline!$D$16*MIN(1,MAX(0,(6-Pipeline!$E$16+1)/MAX(Pipeline!$F$16,1)))+Pipeline!$W$17*Pipeline!$D$17*MIN(1,MAX(0,(6-Pipeline!$E$17+1)/MAX(Pipeline!$F$17,1)))+Pipeline!$W$18*Pipeline!$D$18*MIN(1,MAX(0,(6-Pipeline!$E$18+1)/MAX(Pipeline!$F$18,1)))+Pipeline!$W$19*Pipeline!$D$19*MIN(1,MAX(0,(6-Pipeline!$E$19+1)/MAX(Pipeline!$F$19,1)))+Pipeline!$W$20*Pipeline!$D$20*MIN(1,MAX(0,(6-Pipeline!$E$20+1)/MAX(Pipeline!$F$20,1)))+Pipeline!$W$21*Pipeline!$D$21*MIN(1,MAX(0,(6-Pipeline!$E$21+1)/MAX(Pipeline!$F$21,1)))+Pipeline!$W$22*Pipeline!$D$22*MIN(1,MAX(0,(6-Pipeline!$E$22+1)/MAX(Pipeline!$F$22,1)))</f>
        <v>1421.31420318127</v>
      </c>
      <c r="I19" s="109" t="n">
        <f aca="false">Pipeline!$W$16*Pipeline!$D$16*MIN(1,MAX(0,(7-Pipeline!$E$16+1)/MAX(Pipeline!$F$16,1)))+Pipeline!$W$17*Pipeline!$D$17*MIN(1,MAX(0,(7-Pipeline!$E$17+1)/MAX(Pipeline!$F$17,1)))+Pipeline!$W$18*Pipeline!$D$18*MIN(1,MAX(0,(7-Pipeline!$E$18+1)/MAX(Pipeline!$F$18,1)))+Pipeline!$W$19*Pipeline!$D$19*MIN(1,MAX(0,(7-Pipeline!$E$19+1)/MAX(Pipeline!$F$19,1)))+Pipeline!$W$20*Pipeline!$D$20*MIN(1,MAX(0,(7-Pipeline!$E$20+1)/MAX(Pipeline!$F$20,1)))+Pipeline!$W$21*Pipeline!$D$21*MIN(1,MAX(0,(7-Pipeline!$E$21+1)/MAX(Pipeline!$F$21,1)))+Pipeline!$W$22*Pipeline!$D$22*MIN(1,MAX(0,(7-Pipeline!$E$22+1)/MAX(Pipeline!$F$22,1)))</f>
        <v>1825.93461059424</v>
      </c>
      <c r="J19" s="109" t="n">
        <f aca="false">Pipeline!$W$16*Pipeline!$D$16*MIN(1,MAX(0,(8-Pipeline!$E$16+1)/MAX(Pipeline!$F$16,1)))+Pipeline!$W$17*Pipeline!$D$17*MIN(1,MAX(0,(8-Pipeline!$E$17+1)/MAX(Pipeline!$F$17,1)))+Pipeline!$W$18*Pipeline!$D$18*MIN(1,MAX(0,(8-Pipeline!$E$18+1)/MAX(Pipeline!$F$18,1)))+Pipeline!$W$19*Pipeline!$D$19*MIN(1,MAX(0,(8-Pipeline!$E$19+1)/MAX(Pipeline!$F$19,1)))+Pipeline!$W$20*Pipeline!$D$20*MIN(1,MAX(0,(8-Pipeline!$E$20+1)/MAX(Pipeline!$F$20,1)))+Pipeline!$W$21*Pipeline!$D$21*MIN(1,MAX(0,(8-Pipeline!$E$21+1)/MAX(Pipeline!$F$21,1)))+Pipeline!$W$22*Pipeline!$D$22*MIN(1,MAX(0,(8-Pipeline!$E$22+1)/MAX(Pipeline!$F$22,1)))</f>
        <v>2230.5550180072</v>
      </c>
      <c r="K19" s="109" t="n">
        <f aca="false">Pipeline!$W$16*Pipeline!$D$16*MIN(1,MAX(0,(9-Pipeline!$E$16+1)/MAX(Pipeline!$F$16,1)))+Pipeline!$W$17*Pipeline!$D$17*MIN(1,MAX(0,(9-Pipeline!$E$17+1)/MAX(Pipeline!$F$17,1)))+Pipeline!$W$18*Pipeline!$D$18*MIN(1,MAX(0,(9-Pipeline!$E$18+1)/MAX(Pipeline!$F$18,1)))+Pipeline!$W$19*Pipeline!$D$19*MIN(1,MAX(0,(9-Pipeline!$E$19+1)/MAX(Pipeline!$F$19,1)))+Pipeline!$W$20*Pipeline!$D$20*MIN(1,MAX(0,(9-Pipeline!$E$20+1)/MAX(Pipeline!$F$20,1)))+Pipeline!$W$21*Pipeline!$D$21*MIN(1,MAX(0,(9-Pipeline!$E$21+1)/MAX(Pipeline!$F$21,1)))+Pipeline!$W$22*Pipeline!$D$22*MIN(1,MAX(0,(9-Pipeline!$E$22+1)/MAX(Pipeline!$F$22,1)))</f>
        <v>2635.17542542017</v>
      </c>
      <c r="L19" s="109" t="n">
        <f aca="false">Pipeline!$W$16*Pipeline!$D$16*MIN(1,MAX(0,(10-Pipeline!$E$16+1)/MAX(Pipeline!$F$16,1)))+Pipeline!$W$17*Pipeline!$D$17*MIN(1,MAX(0,(10-Pipeline!$E$17+1)/MAX(Pipeline!$F$17,1)))+Pipeline!$W$18*Pipeline!$D$18*MIN(1,MAX(0,(10-Pipeline!$E$18+1)/MAX(Pipeline!$F$18,1)))+Pipeline!$W$19*Pipeline!$D$19*MIN(1,MAX(0,(10-Pipeline!$E$19+1)/MAX(Pipeline!$F$19,1)))+Pipeline!$W$20*Pipeline!$D$20*MIN(1,MAX(0,(10-Pipeline!$E$20+1)/MAX(Pipeline!$F$20,1)))+Pipeline!$W$21*Pipeline!$D$21*MIN(1,MAX(0,(10-Pipeline!$E$21+1)/MAX(Pipeline!$F$21,1)))+Pipeline!$W$22*Pipeline!$D$22*MIN(1,MAX(0,(10-Pipeline!$E$22+1)/MAX(Pipeline!$F$22,1)))</f>
        <v>3039.79583283313</v>
      </c>
      <c r="M19" s="109" t="n">
        <f aca="false">Pipeline!$W$16*Pipeline!$D$16*MIN(1,MAX(0,(11-Pipeline!$E$16+1)/MAX(Pipeline!$F$16,1)))+Pipeline!$W$17*Pipeline!$D$17*MIN(1,MAX(0,(11-Pipeline!$E$17+1)/MAX(Pipeline!$F$17,1)))+Pipeline!$W$18*Pipeline!$D$18*MIN(1,MAX(0,(11-Pipeline!$E$18+1)/MAX(Pipeline!$F$18,1)))+Pipeline!$W$19*Pipeline!$D$19*MIN(1,MAX(0,(11-Pipeline!$E$19+1)/MAX(Pipeline!$F$19,1)))+Pipeline!$W$20*Pipeline!$D$20*MIN(1,MAX(0,(11-Pipeline!$E$20+1)/MAX(Pipeline!$F$20,1)))+Pipeline!$W$21*Pipeline!$D$21*MIN(1,MAX(0,(11-Pipeline!$E$21+1)/MAX(Pipeline!$F$21,1)))+Pipeline!$W$22*Pipeline!$D$22*MIN(1,MAX(0,(11-Pipeline!$E$22+1)/MAX(Pipeline!$F$22,1)))</f>
        <v>3228.02928871549</v>
      </c>
      <c r="N19" s="109" t="n">
        <f aca="false">Pipeline!$W$16*Pipeline!$D$16*MIN(1,MAX(0,(12-Pipeline!$E$16+1)/MAX(Pipeline!$F$16,1)))+Pipeline!$W$17*Pipeline!$D$17*MIN(1,MAX(0,(12-Pipeline!$E$17+1)/MAX(Pipeline!$F$17,1)))+Pipeline!$W$18*Pipeline!$D$18*MIN(1,MAX(0,(12-Pipeline!$E$18+1)/MAX(Pipeline!$F$18,1)))+Pipeline!$W$19*Pipeline!$D$19*MIN(1,MAX(0,(12-Pipeline!$E$19+1)/MAX(Pipeline!$F$19,1)))+Pipeline!$W$20*Pipeline!$D$20*MIN(1,MAX(0,(12-Pipeline!$E$20+1)/MAX(Pipeline!$F$20,1)))+Pipeline!$W$21*Pipeline!$D$21*MIN(1,MAX(0,(12-Pipeline!$E$21+1)/MAX(Pipeline!$F$21,1)))+Pipeline!$W$22*Pipeline!$D$22*MIN(1,MAX(0,(12-Pipeline!$E$22+1)/MAX(Pipeline!$F$22,1)))</f>
        <v>3690.0568622449</v>
      </c>
      <c r="O19" s="109" t="n">
        <f aca="false">Pipeline!$W$16*Pipeline!$D$16*MIN(1,MAX(0,(13-Pipeline!$E$16+1)/MAX(Pipeline!$F$16,1)))+Pipeline!$W$17*Pipeline!$D$17*MIN(1,MAX(0,(13-Pipeline!$E$17+1)/MAX(Pipeline!$F$17,1)))+Pipeline!$W$18*Pipeline!$D$18*MIN(1,MAX(0,(13-Pipeline!$E$18+1)/MAX(Pipeline!$F$18,1)))+Pipeline!$W$19*Pipeline!$D$19*MIN(1,MAX(0,(13-Pipeline!$E$19+1)/MAX(Pipeline!$F$19,1)))+Pipeline!$W$20*Pipeline!$D$20*MIN(1,MAX(0,(13-Pipeline!$E$20+1)/MAX(Pipeline!$F$20,1)))+Pipeline!$W$21*Pipeline!$D$21*MIN(1,MAX(0,(13-Pipeline!$E$21+1)/MAX(Pipeline!$F$21,1)))+Pipeline!$W$22*Pipeline!$D$22*MIN(1,MAX(0,(13-Pipeline!$E$22+1)/MAX(Pipeline!$F$22,1)))</f>
        <v>4152.08443577431</v>
      </c>
      <c r="P19" s="109" t="n">
        <f aca="false">Pipeline!$W$16*Pipeline!$D$16*MIN(1,MAX(0,(14-Pipeline!$E$16+1)/MAX(Pipeline!$F$16,1)))+Pipeline!$W$17*Pipeline!$D$17*MIN(1,MAX(0,(14-Pipeline!$E$17+1)/MAX(Pipeline!$F$17,1)))+Pipeline!$W$18*Pipeline!$D$18*MIN(1,MAX(0,(14-Pipeline!$E$18+1)/MAX(Pipeline!$F$18,1)))+Pipeline!$W$19*Pipeline!$D$19*MIN(1,MAX(0,(14-Pipeline!$E$19+1)/MAX(Pipeline!$F$19,1)))+Pipeline!$W$20*Pipeline!$D$20*MIN(1,MAX(0,(14-Pipeline!$E$20+1)/MAX(Pipeline!$F$20,1)))+Pipeline!$W$21*Pipeline!$D$21*MIN(1,MAX(0,(14-Pipeline!$E$21+1)/MAX(Pipeline!$F$21,1)))+Pipeline!$W$22*Pipeline!$D$22*MIN(1,MAX(0,(14-Pipeline!$E$22+1)/MAX(Pipeline!$F$22,1)))</f>
        <v>4535.39620048019</v>
      </c>
      <c r="Q19" s="109" t="n">
        <f aca="false">Pipeline!$W$16*Pipeline!$D$16*MIN(1,MAX(0,(15-Pipeline!$E$16+1)/MAX(Pipeline!$F$16,1)))+Pipeline!$W$17*Pipeline!$D$17*MIN(1,MAX(0,(15-Pipeline!$E$17+1)/MAX(Pipeline!$F$17,1)))+Pipeline!$W$18*Pipeline!$D$18*MIN(1,MAX(0,(15-Pipeline!$E$18+1)/MAX(Pipeline!$F$18,1)))+Pipeline!$W$19*Pipeline!$D$19*MIN(1,MAX(0,(15-Pipeline!$E$19+1)/MAX(Pipeline!$F$19,1)))+Pipeline!$W$20*Pipeline!$D$20*MIN(1,MAX(0,(15-Pipeline!$E$20+1)/MAX(Pipeline!$F$20,1)))+Pipeline!$W$21*Pipeline!$D$21*MIN(1,MAX(0,(15-Pipeline!$E$21+1)/MAX(Pipeline!$F$21,1)))+Pipeline!$W$22*Pipeline!$D$22*MIN(1,MAX(0,(15-Pipeline!$E$22+1)/MAX(Pipeline!$F$22,1)))</f>
        <v>4918.70796518607</v>
      </c>
      <c r="R19" s="109" t="n">
        <f aca="false">Pipeline!$W$16*Pipeline!$D$16*MIN(1,MAX(0,(16-Pipeline!$E$16+1)/MAX(Pipeline!$F$16,1)))+Pipeline!$W$17*Pipeline!$D$17*MIN(1,MAX(0,(16-Pipeline!$E$17+1)/MAX(Pipeline!$F$17,1)))+Pipeline!$W$18*Pipeline!$D$18*MIN(1,MAX(0,(16-Pipeline!$E$18+1)/MAX(Pipeline!$F$18,1)))+Pipeline!$W$19*Pipeline!$D$19*MIN(1,MAX(0,(16-Pipeline!$E$19+1)/MAX(Pipeline!$F$19,1)))+Pipeline!$W$20*Pipeline!$D$20*MIN(1,MAX(0,(16-Pipeline!$E$20+1)/MAX(Pipeline!$F$20,1)))+Pipeline!$W$21*Pipeline!$D$21*MIN(1,MAX(0,(16-Pipeline!$E$21+1)/MAX(Pipeline!$F$21,1)))+Pipeline!$W$22*Pipeline!$D$22*MIN(1,MAX(0,(16-Pipeline!$E$22+1)/MAX(Pipeline!$F$22,1)))</f>
        <v>5302.01972989196</v>
      </c>
      <c r="S19" s="109" t="n">
        <f aca="false">Pipeline!$W$16*Pipeline!$D$16*MIN(1,MAX(0,(17-Pipeline!$E$16+1)/MAX(Pipeline!$F$16,1)))+Pipeline!$W$17*Pipeline!$D$17*MIN(1,MAX(0,(17-Pipeline!$E$17+1)/MAX(Pipeline!$F$17,1)))+Pipeline!$W$18*Pipeline!$D$18*MIN(1,MAX(0,(17-Pipeline!$E$18+1)/MAX(Pipeline!$F$18,1)))+Pipeline!$W$19*Pipeline!$D$19*MIN(1,MAX(0,(17-Pipeline!$E$19+1)/MAX(Pipeline!$F$19,1)))+Pipeline!$W$20*Pipeline!$D$20*MIN(1,MAX(0,(17-Pipeline!$E$20+1)/MAX(Pipeline!$F$20,1)))+Pipeline!$W$21*Pipeline!$D$21*MIN(1,MAX(0,(17-Pipeline!$E$21+1)/MAX(Pipeline!$F$21,1)))+Pipeline!$W$22*Pipeline!$D$22*MIN(1,MAX(0,(17-Pipeline!$E$22+1)/MAX(Pipeline!$F$22,1)))</f>
        <v>5685.33149459784</v>
      </c>
      <c r="T19" s="109" t="n">
        <f aca="false">Pipeline!$W$16*Pipeline!$D$16*MIN(1,MAX(0,(18-Pipeline!$E$16+1)/MAX(Pipeline!$F$16,1)))+Pipeline!$W$17*Pipeline!$D$17*MIN(1,MAX(0,(18-Pipeline!$E$17+1)/MAX(Pipeline!$F$17,1)))+Pipeline!$W$18*Pipeline!$D$18*MIN(1,MAX(0,(18-Pipeline!$E$18+1)/MAX(Pipeline!$F$18,1)))+Pipeline!$W$19*Pipeline!$D$19*MIN(1,MAX(0,(18-Pipeline!$E$19+1)/MAX(Pipeline!$F$19,1)))+Pipeline!$W$20*Pipeline!$D$20*MIN(1,MAX(0,(18-Pipeline!$E$20+1)/MAX(Pipeline!$F$20,1)))+Pipeline!$W$21*Pipeline!$D$21*MIN(1,MAX(0,(18-Pipeline!$E$21+1)/MAX(Pipeline!$F$21,1)))+Pipeline!$W$22*Pipeline!$D$22*MIN(1,MAX(0,(18-Pipeline!$E$22+1)/MAX(Pipeline!$F$22,1)))</f>
        <v>6068.64325930372</v>
      </c>
      <c r="U19" s="109" t="n">
        <f aca="false">Pipeline!$W$16*Pipeline!$D$16*MIN(1,MAX(0,(19-Pipeline!$E$16+1)/MAX(Pipeline!$F$16,1)))+Pipeline!$W$17*Pipeline!$D$17*MIN(1,MAX(0,(19-Pipeline!$E$17+1)/MAX(Pipeline!$F$17,1)))+Pipeline!$W$18*Pipeline!$D$18*MIN(1,MAX(0,(19-Pipeline!$E$18+1)/MAX(Pipeline!$F$18,1)))+Pipeline!$W$19*Pipeline!$D$19*MIN(1,MAX(0,(19-Pipeline!$E$19+1)/MAX(Pipeline!$F$19,1)))+Pipeline!$W$20*Pipeline!$D$20*MIN(1,MAX(0,(19-Pipeline!$E$20+1)/MAX(Pipeline!$F$20,1)))+Pipeline!$W$21*Pipeline!$D$21*MIN(1,MAX(0,(19-Pipeline!$E$21+1)/MAX(Pipeline!$F$21,1)))+Pipeline!$W$22*Pipeline!$D$22*MIN(1,MAX(0,(19-Pipeline!$E$22+1)/MAX(Pipeline!$F$22,1)))</f>
        <v>6451.9550240096</v>
      </c>
      <c r="V19" s="109" t="n">
        <f aca="false">Pipeline!$W$16*Pipeline!$D$16*MIN(1,MAX(0,(20-Pipeline!$E$16+1)/MAX(Pipeline!$F$16,1)))+Pipeline!$W$17*Pipeline!$D$17*MIN(1,MAX(0,(20-Pipeline!$E$17+1)/MAX(Pipeline!$F$17,1)))+Pipeline!$W$18*Pipeline!$D$18*MIN(1,MAX(0,(20-Pipeline!$E$18+1)/MAX(Pipeline!$F$18,1)))+Pipeline!$W$19*Pipeline!$D$19*MIN(1,MAX(0,(20-Pipeline!$E$19+1)/MAX(Pipeline!$F$19,1)))+Pipeline!$W$20*Pipeline!$D$20*MIN(1,MAX(0,(20-Pipeline!$E$20+1)/MAX(Pipeline!$F$20,1)))+Pipeline!$W$21*Pipeline!$D$21*MIN(1,MAX(0,(20-Pipeline!$E$21+1)/MAX(Pipeline!$F$21,1)))+Pipeline!$W$22*Pipeline!$D$22*MIN(1,MAX(0,(20-Pipeline!$E$22+1)/MAX(Pipeline!$F$22,1)))</f>
        <v>6835.26678871549</v>
      </c>
      <c r="W19" s="109" t="n">
        <f aca="false">Pipeline!$W$16*Pipeline!$D$16*MIN(1,MAX(0,(21-Pipeline!$E$16+1)/MAX(Pipeline!$F$16,1)))+Pipeline!$W$17*Pipeline!$D$17*MIN(1,MAX(0,(21-Pipeline!$E$17+1)/MAX(Pipeline!$F$17,1)))+Pipeline!$W$18*Pipeline!$D$18*MIN(1,MAX(0,(21-Pipeline!$E$18+1)/MAX(Pipeline!$F$18,1)))+Pipeline!$W$19*Pipeline!$D$19*MIN(1,MAX(0,(21-Pipeline!$E$19+1)/MAX(Pipeline!$F$19,1)))+Pipeline!$W$20*Pipeline!$D$20*MIN(1,MAX(0,(21-Pipeline!$E$20+1)/MAX(Pipeline!$F$20,1)))+Pipeline!$W$21*Pipeline!$D$21*MIN(1,MAX(0,(21-Pipeline!$E$21+1)/MAX(Pipeline!$F$21,1)))+Pipeline!$W$22*Pipeline!$D$22*MIN(1,MAX(0,(21-Pipeline!$E$22+1)/MAX(Pipeline!$F$22,1)))</f>
        <v>7218.57855342137</v>
      </c>
      <c r="X19" s="109" t="n">
        <f aca="false">Pipeline!$W$16*Pipeline!$D$16*MIN(1,MAX(0,(22-Pipeline!$E$16+1)/MAX(Pipeline!$F$16,1)))+Pipeline!$W$17*Pipeline!$D$17*MIN(1,MAX(0,(22-Pipeline!$E$17+1)/MAX(Pipeline!$F$17,1)))+Pipeline!$W$18*Pipeline!$D$18*MIN(1,MAX(0,(22-Pipeline!$E$18+1)/MAX(Pipeline!$F$18,1)))+Pipeline!$W$19*Pipeline!$D$19*MIN(1,MAX(0,(22-Pipeline!$E$19+1)/MAX(Pipeline!$F$19,1)))+Pipeline!$W$20*Pipeline!$D$20*MIN(1,MAX(0,(22-Pipeline!$E$20+1)/MAX(Pipeline!$F$20,1)))+Pipeline!$W$21*Pipeline!$D$21*MIN(1,MAX(0,(22-Pipeline!$E$21+1)/MAX(Pipeline!$F$21,1)))+Pipeline!$W$22*Pipeline!$D$22*MIN(1,MAX(0,(22-Pipeline!$E$22+1)/MAX(Pipeline!$F$22,1)))</f>
        <v>7328.09620048019</v>
      </c>
      <c r="Y19" s="109" t="n">
        <f aca="false">Pipeline!$W$16*Pipeline!$D$16*MIN(1,MAX(0,(23-Pipeline!$E$16+1)/MAX(Pipeline!$F$16,1)))+Pipeline!$W$17*Pipeline!$D$17*MIN(1,MAX(0,(23-Pipeline!$E$17+1)/MAX(Pipeline!$F$17,1)))+Pipeline!$W$18*Pipeline!$D$18*MIN(1,MAX(0,(23-Pipeline!$E$18+1)/MAX(Pipeline!$F$18,1)))+Pipeline!$W$19*Pipeline!$D$19*MIN(1,MAX(0,(23-Pipeline!$E$19+1)/MAX(Pipeline!$F$19,1)))+Pipeline!$W$20*Pipeline!$D$20*MIN(1,MAX(0,(23-Pipeline!$E$20+1)/MAX(Pipeline!$F$20,1)))+Pipeline!$W$21*Pipeline!$D$21*MIN(1,MAX(0,(23-Pipeline!$E$21+1)/MAX(Pipeline!$F$21,1)))+Pipeline!$W$22*Pipeline!$D$22*MIN(1,MAX(0,(23-Pipeline!$E$22+1)/MAX(Pipeline!$F$22,1)))</f>
        <v>7437.61384753902</v>
      </c>
      <c r="Z19" s="109" t="n">
        <f aca="false">Pipeline!$W$16*Pipeline!$D$16*MIN(1,MAX(0,(24-Pipeline!$E$16+1)/MAX(Pipeline!$F$16,1)))+Pipeline!$W$17*Pipeline!$D$17*MIN(1,MAX(0,(24-Pipeline!$E$17+1)/MAX(Pipeline!$F$17,1)))+Pipeline!$W$18*Pipeline!$D$18*MIN(1,MAX(0,(24-Pipeline!$E$18+1)/MAX(Pipeline!$F$18,1)))+Pipeline!$W$19*Pipeline!$D$19*MIN(1,MAX(0,(24-Pipeline!$E$19+1)/MAX(Pipeline!$F$19,1)))+Pipeline!$W$20*Pipeline!$D$20*MIN(1,MAX(0,(24-Pipeline!$E$20+1)/MAX(Pipeline!$F$20,1)))+Pipeline!$W$21*Pipeline!$D$21*MIN(1,MAX(0,(24-Pipeline!$E$21+1)/MAX(Pipeline!$F$21,1)))+Pipeline!$W$22*Pipeline!$D$22*MIN(1,MAX(0,(24-Pipeline!$E$22+1)/MAX(Pipeline!$F$22,1)))</f>
        <v>7437.61384753902</v>
      </c>
      <c r="AA19" s="109" t="n">
        <f aca="false">Pipeline!$W$16*Pipeline!$D$16*MIN(1,MAX(0,(25-Pipeline!$E$16+1)/MAX(Pipeline!$F$16,1)))+Pipeline!$W$17*Pipeline!$D$17*MIN(1,MAX(0,(25-Pipeline!$E$17+1)/MAX(Pipeline!$F$17,1)))+Pipeline!$W$18*Pipeline!$D$18*MIN(1,MAX(0,(25-Pipeline!$E$18+1)/MAX(Pipeline!$F$18,1)))+Pipeline!$W$19*Pipeline!$D$19*MIN(1,MAX(0,(25-Pipeline!$E$19+1)/MAX(Pipeline!$F$19,1)))+Pipeline!$W$20*Pipeline!$D$20*MIN(1,MAX(0,(25-Pipeline!$E$20+1)/MAX(Pipeline!$F$20,1)))+Pipeline!$W$21*Pipeline!$D$21*MIN(1,MAX(0,(25-Pipeline!$E$21+1)/MAX(Pipeline!$F$21,1)))+Pipeline!$W$22*Pipeline!$D$22*MIN(1,MAX(0,(25-Pipeline!$E$22+1)/MAX(Pipeline!$F$22,1)))</f>
        <v>7437.61384753902</v>
      </c>
      <c r="AB19" s="109" t="n">
        <f aca="false">Pipeline!$W$16*Pipeline!$D$16*MIN(1,MAX(0,(26-Pipeline!$E$16+1)/MAX(Pipeline!$F$16,1)))+Pipeline!$W$17*Pipeline!$D$17*MIN(1,MAX(0,(26-Pipeline!$E$17+1)/MAX(Pipeline!$F$17,1)))+Pipeline!$W$18*Pipeline!$D$18*MIN(1,MAX(0,(26-Pipeline!$E$18+1)/MAX(Pipeline!$F$18,1)))+Pipeline!$W$19*Pipeline!$D$19*MIN(1,MAX(0,(26-Pipeline!$E$19+1)/MAX(Pipeline!$F$19,1)))+Pipeline!$W$20*Pipeline!$D$20*MIN(1,MAX(0,(26-Pipeline!$E$20+1)/MAX(Pipeline!$F$20,1)))+Pipeline!$W$21*Pipeline!$D$21*MIN(1,MAX(0,(26-Pipeline!$E$21+1)/MAX(Pipeline!$F$21,1)))+Pipeline!$W$22*Pipeline!$D$22*MIN(1,MAX(0,(26-Pipeline!$E$22+1)/MAX(Pipeline!$F$22,1)))</f>
        <v>7437.61384753902</v>
      </c>
      <c r="AC19" s="109" t="n">
        <f aca="false">Pipeline!$W$16*Pipeline!$D$16*MIN(1,MAX(0,(27-Pipeline!$E$16+1)/MAX(Pipeline!$F$16,1)))+Pipeline!$W$17*Pipeline!$D$17*MIN(1,MAX(0,(27-Pipeline!$E$17+1)/MAX(Pipeline!$F$17,1)))+Pipeline!$W$18*Pipeline!$D$18*MIN(1,MAX(0,(27-Pipeline!$E$18+1)/MAX(Pipeline!$F$18,1)))+Pipeline!$W$19*Pipeline!$D$19*MIN(1,MAX(0,(27-Pipeline!$E$19+1)/MAX(Pipeline!$F$19,1)))+Pipeline!$W$20*Pipeline!$D$20*MIN(1,MAX(0,(27-Pipeline!$E$20+1)/MAX(Pipeline!$F$20,1)))+Pipeline!$W$21*Pipeline!$D$21*MIN(1,MAX(0,(27-Pipeline!$E$21+1)/MAX(Pipeline!$F$21,1)))+Pipeline!$W$22*Pipeline!$D$22*MIN(1,MAX(0,(27-Pipeline!$E$22+1)/MAX(Pipeline!$F$22,1)))</f>
        <v>7437.61384753902</v>
      </c>
      <c r="AD19" s="109" t="n">
        <f aca="false">Pipeline!$W$16*Pipeline!$D$16*MIN(1,MAX(0,(28-Pipeline!$E$16+1)/MAX(Pipeline!$F$16,1)))+Pipeline!$W$17*Pipeline!$D$17*MIN(1,MAX(0,(28-Pipeline!$E$17+1)/MAX(Pipeline!$F$17,1)))+Pipeline!$W$18*Pipeline!$D$18*MIN(1,MAX(0,(28-Pipeline!$E$18+1)/MAX(Pipeline!$F$18,1)))+Pipeline!$W$19*Pipeline!$D$19*MIN(1,MAX(0,(28-Pipeline!$E$19+1)/MAX(Pipeline!$F$19,1)))+Pipeline!$W$20*Pipeline!$D$20*MIN(1,MAX(0,(28-Pipeline!$E$20+1)/MAX(Pipeline!$F$20,1)))+Pipeline!$W$21*Pipeline!$D$21*MIN(1,MAX(0,(28-Pipeline!$E$21+1)/MAX(Pipeline!$F$21,1)))+Pipeline!$W$22*Pipeline!$D$22*MIN(1,MAX(0,(28-Pipeline!$E$22+1)/MAX(Pipeline!$F$22,1)))</f>
        <v>7437.61384753902</v>
      </c>
      <c r="AE19" s="109" t="n">
        <f aca="false">Pipeline!$W$16*Pipeline!$D$16*MIN(1,MAX(0,(29-Pipeline!$E$16+1)/MAX(Pipeline!$F$16,1)))+Pipeline!$W$17*Pipeline!$D$17*MIN(1,MAX(0,(29-Pipeline!$E$17+1)/MAX(Pipeline!$F$17,1)))+Pipeline!$W$18*Pipeline!$D$18*MIN(1,MAX(0,(29-Pipeline!$E$18+1)/MAX(Pipeline!$F$18,1)))+Pipeline!$W$19*Pipeline!$D$19*MIN(1,MAX(0,(29-Pipeline!$E$19+1)/MAX(Pipeline!$F$19,1)))+Pipeline!$W$20*Pipeline!$D$20*MIN(1,MAX(0,(29-Pipeline!$E$20+1)/MAX(Pipeline!$F$20,1)))+Pipeline!$W$21*Pipeline!$D$21*MIN(1,MAX(0,(29-Pipeline!$E$21+1)/MAX(Pipeline!$F$21,1)))+Pipeline!$W$22*Pipeline!$D$22*MIN(1,MAX(0,(29-Pipeline!$E$22+1)/MAX(Pipeline!$F$22,1)))</f>
        <v>7437.61384753902</v>
      </c>
      <c r="AF19" s="109" t="n">
        <f aca="false">Pipeline!$W$16*Pipeline!$D$16*MIN(1,MAX(0,(30-Pipeline!$E$16+1)/MAX(Pipeline!$F$16,1)))+Pipeline!$W$17*Pipeline!$D$17*MIN(1,MAX(0,(30-Pipeline!$E$17+1)/MAX(Pipeline!$F$17,1)))+Pipeline!$W$18*Pipeline!$D$18*MIN(1,MAX(0,(30-Pipeline!$E$18+1)/MAX(Pipeline!$F$18,1)))+Pipeline!$W$19*Pipeline!$D$19*MIN(1,MAX(0,(30-Pipeline!$E$19+1)/MAX(Pipeline!$F$19,1)))+Pipeline!$W$20*Pipeline!$D$20*MIN(1,MAX(0,(30-Pipeline!$E$20+1)/MAX(Pipeline!$F$20,1)))+Pipeline!$W$21*Pipeline!$D$21*MIN(1,MAX(0,(30-Pipeline!$E$21+1)/MAX(Pipeline!$F$21,1)))+Pipeline!$W$22*Pipeline!$D$22*MIN(1,MAX(0,(30-Pipeline!$E$22+1)/MAX(Pipeline!$F$22,1)))</f>
        <v>7437.61384753902</v>
      </c>
      <c r="AG19" s="109" t="n">
        <f aca="false">Pipeline!$W$16*Pipeline!$D$16*MIN(1,MAX(0,(31-Pipeline!$E$16+1)/MAX(Pipeline!$F$16,1)))+Pipeline!$W$17*Pipeline!$D$17*MIN(1,MAX(0,(31-Pipeline!$E$17+1)/MAX(Pipeline!$F$17,1)))+Pipeline!$W$18*Pipeline!$D$18*MIN(1,MAX(0,(31-Pipeline!$E$18+1)/MAX(Pipeline!$F$18,1)))+Pipeline!$W$19*Pipeline!$D$19*MIN(1,MAX(0,(31-Pipeline!$E$19+1)/MAX(Pipeline!$F$19,1)))+Pipeline!$W$20*Pipeline!$D$20*MIN(1,MAX(0,(31-Pipeline!$E$20+1)/MAX(Pipeline!$F$20,1)))+Pipeline!$W$21*Pipeline!$D$21*MIN(1,MAX(0,(31-Pipeline!$E$21+1)/MAX(Pipeline!$F$21,1)))+Pipeline!$W$22*Pipeline!$D$22*MIN(1,MAX(0,(31-Pipeline!$E$22+1)/MAX(Pipeline!$F$22,1)))</f>
        <v>7437.61384753902</v>
      </c>
      <c r="AH19" s="109" t="n">
        <f aca="false">Pipeline!$W$16*Pipeline!$D$16*MIN(1,MAX(0,(32-Pipeline!$E$16+1)/MAX(Pipeline!$F$16,1)))+Pipeline!$W$17*Pipeline!$D$17*MIN(1,MAX(0,(32-Pipeline!$E$17+1)/MAX(Pipeline!$F$17,1)))+Pipeline!$W$18*Pipeline!$D$18*MIN(1,MAX(0,(32-Pipeline!$E$18+1)/MAX(Pipeline!$F$18,1)))+Pipeline!$W$19*Pipeline!$D$19*MIN(1,MAX(0,(32-Pipeline!$E$19+1)/MAX(Pipeline!$F$19,1)))+Pipeline!$W$20*Pipeline!$D$20*MIN(1,MAX(0,(32-Pipeline!$E$20+1)/MAX(Pipeline!$F$20,1)))+Pipeline!$W$21*Pipeline!$D$21*MIN(1,MAX(0,(32-Pipeline!$E$21+1)/MAX(Pipeline!$F$21,1)))+Pipeline!$W$22*Pipeline!$D$22*MIN(1,MAX(0,(32-Pipeline!$E$22+1)/MAX(Pipeline!$F$22,1)))</f>
        <v>7437.61384753902</v>
      </c>
      <c r="AI19" s="109" t="n">
        <f aca="false">Pipeline!$W$16*Pipeline!$D$16*MIN(1,MAX(0,(33-Pipeline!$E$16+1)/MAX(Pipeline!$F$16,1)))+Pipeline!$W$17*Pipeline!$D$17*MIN(1,MAX(0,(33-Pipeline!$E$17+1)/MAX(Pipeline!$F$17,1)))+Pipeline!$W$18*Pipeline!$D$18*MIN(1,MAX(0,(33-Pipeline!$E$18+1)/MAX(Pipeline!$F$18,1)))+Pipeline!$W$19*Pipeline!$D$19*MIN(1,MAX(0,(33-Pipeline!$E$19+1)/MAX(Pipeline!$F$19,1)))+Pipeline!$W$20*Pipeline!$D$20*MIN(1,MAX(0,(33-Pipeline!$E$20+1)/MAX(Pipeline!$F$20,1)))+Pipeline!$W$21*Pipeline!$D$21*MIN(1,MAX(0,(33-Pipeline!$E$21+1)/MAX(Pipeline!$F$21,1)))+Pipeline!$W$22*Pipeline!$D$22*MIN(1,MAX(0,(33-Pipeline!$E$22+1)/MAX(Pipeline!$F$22,1)))</f>
        <v>7437.61384753902</v>
      </c>
      <c r="AJ19" s="109" t="n">
        <f aca="false">Pipeline!$W$16*Pipeline!$D$16*MIN(1,MAX(0,(34-Pipeline!$E$16+1)/MAX(Pipeline!$F$16,1)))+Pipeline!$W$17*Pipeline!$D$17*MIN(1,MAX(0,(34-Pipeline!$E$17+1)/MAX(Pipeline!$F$17,1)))+Pipeline!$W$18*Pipeline!$D$18*MIN(1,MAX(0,(34-Pipeline!$E$18+1)/MAX(Pipeline!$F$18,1)))+Pipeline!$W$19*Pipeline!$D$19*MIN(1,MAX(0,(34-Pipeline!$E$19+1)/MAX(Pipeline!$F$19,1)))+Pipeline!$W$20*Pipeline!$D$20*MIN(1,MAX(0,(34-Pipeline!$E$20+1)/MAX(Pipeline!$F$20,1)))+Pipeline!$W$21*Pipeline!$D$21*MIN(1,MAX(0,(34-Pipeline!$E$21+1)/MAX(Pipeline!$F$21,1)))+Pipeline!$W$22*Pipeline!$D$22*MIN(1,MAX(0,(34-Pipeline!$E$22+1)/MAX(Pipeline!$F$22,1)))</f>
        <v>7437.61384753902</v>
      </c>
      <c r="AK19" s="109" t="n">
        <f aca="false">Pipeline!$W$16*Pipeline!$D$16*MIN(1,MAX(0,(35-Pipeline!$E$16+1)/MAX(Pipeline!$F$16,1)))+Pipeline!$W$17*Pipeline!$D$17*MIN(1,MAX(0,(35-Pipeline!$E$17+1)/MAX(Pipeline!$F$17,1)))+Pipeline!$W$18*Pipeline!$D$18*MIN(1,MAX(0,(35-Pipeline!$E$18+1)/MAX(Pipeline!$F$18,1)))+Pipeline!$W$19*Pipeline!$D$19*MIN(1,MAX(0,(35-Pipeline!$E$19+1)/MAX(Pipeline!$F$19,1)))+Pipeline!$W$20*Pipeline!$D$20*MIN(1,MAX(0,(35-Pipeline!$E$20+1)/MAX(Pipeline!$F$20,1)))+Pipeline!$W$21*Pipeline!$D$21*MIN(1,MAX(0,(35-Pipeline!$E$21+1)/MAX(Pipeline!$F$21,1)))+Pipeline!$W$22*Pipeline!$D$22*MIN(1,MAX(0,(35-Pipeline!$E$22+1)/MAX(Pipeline!$F$22,1)))</f>
        <v>7437.61384753902</v>
      </c>
      <c r="AL19" s="109" t="n">
        <f aca="false">Pipeline!$W$16*Pipeline!$D$16*MIN(1,MAX(0,(36-Pipeline!$E$16+1)/MAX(Pipeline!$F$16,1)))+Pipeline!$W$17*Pipeline!$D$17*MIN(1,MAX(0,(36-Pipeline!$E$17+1)/MAX(Pipeline!$F$17,1)))+Pipeline!$W$18*Pipeline!$D$18*MIN(1,MAX(0,(36-Pipeline!$E$18+1)/MAX(Pipeline!$F$18,1)))+Pipeline!$W$19*Pipeline!$D$19*MIN(1,MAX(0,(36-Pipeline!$E$19+1)/MAX(Pipeline!$F$19,1)))+Pipeline!$W$20*Pipeline!$D$20*MIN(1,MAX(0,(36-Pipeline!$E$20+1)/MAX(Pipeline!$F$20,1)))+Pipeline!$W$21*Pipeline!$D$21*MIN(1,MAX(0,(36-Pipeline!$E$21+1)/MAX(Pipeline!$F$21,1)))+Pipeline!$W$22*Pipeline!$D$22*MIN(1,MAX(0,(36-Pipeline!$E$22+1)/MAX(Pipeline!$F$22,1)))</f>
        <v>7437.61384753902</v>
      </c>
      <c r="AM19" s="109" t="n">
        <f aca="false">Pipeline!$W$16*Pipeline!$D$16*MIN(1,MAX(0,(37-Pipeline!$E$16+1)/MAX(Pipeline!$F$16,1)))+Pipeline!$W$17*Pipeline!$D$17*MIN(1,MAX(0,(37-Pipeline!$E$17+1)/MAX(Pipeline!$F$17,1)))+Pipeline!$W$18*Pipeline!$D$18*MIN(1,MAX(0,(37-Pipeline!$E$18+1)/MAX(Pipeline!$F$18,1)))+Pipeline!$W$19*Pipeline!$D$19*MIN(1,MAX(0,(37-Pipeline!$E$19+1)/MAX(Pipeline!$F$19,1)))+Pipeline!$W$20*Pipeline!$D$20*MIN(1,MAX(0,(37-Pipeline!$E$20+1)/MAX(Pipeline!$F$20,1)))+Pipeline!$W$21*Pipeline!$D$21*MIN(1,MAX(0,(37-Pipeline!$E$21+1)/MAX(Pipeline!$F$21,1)))+Pipeline!$W$22*Pipeline!$D$22*MIN(1,MAX(0,(37-Pipeline!$E$22+1)/MAX(Pipeline!$F$22,1)))</f>
        <v>7437.61384753902</v>
      </c>
      <c r="AN19" s="109" t="n">
        <f aca="false">Pipeline!$W$16*Pipeline!$D$16*MIN(1,MAX(0,(38-Pipeline!$E$16+1)/MAX(Pipeline!$F$16,1)))+Pipeline!$W$17*Pipeline!$D$17*MIN(1,MAX(0,(38-Pipeline!$E$17+1)/MAX(Pipeline!$F$17,1)))+Pipeline!$W$18*Pipeline!$D$18*MIN(1,MAX(0,(38-Pipeline!$E$18+1)/MAX(Pipeline!$F$18,1)))+Pipeline!$W$19*Pipeline!$D$19*MIN(1,MAX(0,(38-Pipeline!$E$19+1)/MAX(Pipeline!$F$19,1)))+Pipeline!$W$20*Pipeline!$D$20*MIN(1,MAX(0,(38-Pipeline!$E$20+1)/MAX(Pipeline!$F$20,1)))+Pipeline!$W$21*Pipeline!$D$21*MIN(1,MAX(0,(38-Pipeline!$E$21+1)/MAX(Pipeline!$F$21,1)))+Pipeline!$W$22*Pipeline!$D$22*MIN(1,MAX(0,(38-Pipeline!$E$22+1)/MAX(Pipeline!$F$22,1)))</f>
        <v>7437.61384753902</v>
      </c>
      <c r="AO19" s="109" t="n">
        <f aca="false">Pipeline!$W$16*Pipeline!$D$16*MIN(1,MAX(0,(39-Pipeline!$E$16+1)/MAX(Pipeline!$F$16,1)))+Pipeline!$W$17*Pipeline!$D$17*MIN(1,MAX(0,(39-Pipeline!$E$17+1)/MAX(Pipeline!$F$17,1)))+Pipeline!$W$18*Pipeline!$D$18*MIN(1,MAX(0,(39-Pipeline!$E$18+1)/MAX(Pipeline!$F$18,1)))+Pipeline!$W$19*Pipeline!$D$19*MIN(1,MAX(0,(39-Pipeline!$E$19+1)/MAX(Pipeline!$F$19,1)))+Pipeline!$W$20*Pipeline!$D$20*MIN(1,MAX(0,(39-Pipeline!$E$20+1)/MAX(Pipeline!$F$20,1)))+Pipeline!$W$21*Pipeline!$D$21*MIN(1,MAX(0,(39-Pipeline!$E$21+1)/MAX(Pipeline!$F$21,1)))+Pipeline!$W$22*Pipeline!$D$22*MIN(1,MAX(0,(39-Pipeline!$E$22+1)/MAX(Pipeline!$F$22,1)))</f>
        <v>7437.61384753902</v>
      </c>
      <c r="AP19" s="109" t="n">
        <f aca="false">Pipeline!$W$16*Pipeline!$D$16*MIN(1,MAX(0,(40-Pipeline!$E$16+1)/MAX(Pipeline!$F$16,1)))+Pipeline!$W$17*Pipeline!$D$17*MIN(1,MAX(0,(40-Pipeline!$E$17+1)/MAX(Pipeline!$F$17,1)))+Pipeline!$W$18*Pipeline!$D$18*MIN(1,MAX(0,(40-Pipeline!$E$18+1)/MAX(Pipeline!$F$18,1)))+Pipeline!$W$19*Pipeline!$D$19*MIN(1,MAX(0,(40-Pipeline!$E$19+1)/MAX(Pipeline!$F$19,1)))+Pipeline!$W$20*Pipeline!$D$20*MIN(1,MAX(0,(40-Pipeline!$E$20+1)/MAX(Pipeline!$F$20,1)))+Pipeline!$W$21*Pipeline!$D$21*MIN(1,MAX(0,(40-Pipeline!$E$21+1)/MAX(Pipeline!$F$21,1)))+Pipeline!$W$22*Pipeline!$D$22*MIN(1,MAX(0,(40-Pipeline!$E$22+1)/MAX(Pipeline!$F$22,1)))</f>
        <v>7437.61384753902</v>
      </c>
      <c r="AQ19" s="109" t="n">
        <f aca="false">Pipeline!$W$16*Pipeline!$D$16*MIN(1,MAX(0,(41-Pipeline!$E$16+1)/MAX(Pipeline!$F$16,1)))+Pipeline!$W$17*Pipeline!$D$17*MIN(1,MAX(0,(41-Pipeline!$E$17+1)/MAX(Pipeline!$F$17,1)))+Pipeline!$W$18*Pipeline!$D$18*MIN(1,MAX(0,(41-Pipeline!$E$18+1)/MAX(Pipeline!$F$18,1)))+Pipeline!$W$19*Pipeline!$D$19*MIN(1,MAX(0,(41-Pipeline!$E$19+1)/MAX(Pipeline!$F$19,1)))+Pipeline!$W$20*Pipeline!$D$20*MIN(1,MAX(0,(41-Pipeline!$E$20+1)/MAX(Pipeline!$F$20,1)))+Pipeline!$W$21*Pipeline!$D$21*MIN(1,MAX(0,(41-Pipeline!$E$21+1)/MAX(Pipeline!$F$21,1)))+Pipeline!$W$22*Pipeline!$D$22*MIN(1,MAX(0,(41-Pipeline!$E$22+1)/MAX(Pipeline!$F$22,1)))</f>
        <v>7437.61384753902</v>
      </c>
      <c r="AR19" s="109" t="n">
        <f aca="false">Pipeline!$W$16*Pipeline!$D$16*MIN(1,MAX(0,(42-Pipeline!$E$16+1)/MAX(Pipeline!$F$16,1)))+Pipeline!$W$17*Pipeline!$D$17*MIN(1,MAX(0,(42-Pipeline!$E$17+1)/MAX(Pipeline!$F$17,1)))+Pipeline!$W$18*Pipeline!$D$18*MIN(1,MAX(0,(42-Pipeline!$E$18+1)/MAX(Pipeline!$F$18,1)))+Pipeline!$W$19*Pipeline!$D$19*MIN(1,MAX(0,(42-Pipeline!$E$19+1)/MAX(Pipeline!$F$19,1)))+Pipeline!$W$20*Pipeline!$D$20*MIN(1,MAX(0,(42-Pipeline!$E$20+1)/MAX(Pipeline!$F$20,1)))+Pipeline!$W$21*Pipeline!$D$21*MIN(1,MAX(0,(42-Pipeline!$E$21+1)/MAX(Pipeline!$F$21,1)))+Pipeline!$W$22*Pipeline!$D$22*MIN(1,MAX(0,(42-Pipeline!$E$22+1)/MAX(Pipeline!$F$22,1)))</f>
        <v>7437.61384753902</v>
      </c>
      <c r="AS19" s="109" t="n">
        <f aca="false">Pipeline!$W$16*Pipeline!$D$16*MIN(1,MAX(0,(43-Pipeline!$E$16+1)/MAX(Pipeline!$F$16,1)))+Pipeline!$W$17*Pipeline!$D$17*MIN(1,MAX(0,(43-Pipeline!$E$17+1)/MAX(Pipeline!$F$17,1)))+Pipeline!$W$18*Pipeline!$D$18*MIN(1,MAX(0,(43-Pipeline!$E$18+1)/MAX(Pipeline!$F$18,1)))+Pipeline!$W$19*Pipeline!$D$19*MIN(1,MAX(0,(43-Pipeline!$E$19+1)/MAX(Pipeline!$F$19,1)))+Pipeline!$W$20*Pipeline!$D$20*MIN(1,MAX(0,(43-Pipeline!$E$20+1)/MAX(Pipeline!$F$20,1)))+Pipeline!$W$21*Pipeline!$D$21*MIN(1,MAX(0,(43-Pipeline!$E$21+1)/MAX(Pipeline!$F$21,1)))+Pipeline!$W$22*Pipeline!$D$22*MIN(1,MAX(0,(43-Pipeline!$E$22+1)/MAX(Pipeline!$F$22,1)))</f>
        <v>7437.61384753902</v>
      </c>
      <c r="AT19" s="109" t="n">
        <f aca="false">Pipeline!$W$16*Pipeline!$D$16*MIN(1,MAX(0,(44-Pipeline!$E$16+1)/MAX(Pipeline!$F$16,1)))+Pipeline!$W$17*Pipeline!$D$17*MIN(1,MAX(0,(44-Pipeline!$E$17+1)/MAX(Pipeline!$F$17,1)))+Pipeline!$W$18*Pipeline!$D$18*MIN(1,MAX(0,(44-Pipeline!$E$18+1)/MAX(Pipeline!$F$18,1)))+Pipeline!$W$19*Pipeline!$D$19*MIN(1,MAX(0,(44-Pipeline!$E$19+1)/MAX(Pipeline!$F$19,1)))+Pipeline!$W$20*Pipeline!$D$20*MIN(1,MAX(0,(44-Pipeline!$E$20+1)/MAX(Pipeline!$F$20,1)))+Pipeline!$W$21*Pipeline!$D$21*MIN(1,MAX(0,(44-Pipeline!$E$21+1)/MAX(Pipeline!$F$21,1)))+Pipeline!$W$22*Pipeline!$D$22*MIN(1,MAX(0,(44-Pipeline!$E$22+1)/MAX(Pipeline!$F$22,1)))</f>
        <v>7437.61384753902</v>
      </c>
      <c r="AU19" s="109" t="n">
        <f aca="false">Pipeline!$W$16*Pipeline!$D$16*MIN(1,MAX(0,(45-Pipeline!$E$16+1)/MAX(Pipeline!$F$16,1)))+Pipeline!$W$17*Pipeline!$D$17*MIN(1,MAX(0,(45-Pipeline!$E$17+1)/MAX(Pipeline!$F$17,1)))+Pipeline!$W$18*Pipeline!$D$18*MIN(1,MAX(0,(45-Pipeline!$E$18+1)/MAX(Pipeline!$F$18,1)))+Pipeline!$W$19*Pipeline!$D$19*MIN(1,MAX(0,(45-Pipeline!$E$19+1)/MAX(Pipeline!$F$19,1)))+Pipeline!$W$20*Pipeline!$D$20*MIN(1,MAX(0,(45-Pipeline!$E$20+1)/MAX(Pipeline!$F$20,1)))+Pipeline!$W$21*Pipeline!$D$21*MIN(1,MAX(0,(45-Pipeline!$E$21+1)/MAX(Pipeline!$F$21,1)))+Pipeline!$W$22*Pipeline!$D$22*MIN(1,MAX(0,(45-Pipeline!$E$22+1)/MAX(Pipeline!$F$22,1)))</f>
        <v>7437.61384753902</v>
      </c>
      <c r="AV19" s="109" t="n">
        <f aca="false">Pipeline!$W$16*Pipeline!$D$16*MIN(1,MAX(0,(46-Pipeline!$E$16+1)/MAX(Pipeline!$F$16,1)))+Pipeline!$W$17*Pipeline!$D$17*MIN(1,MAX(0,(46-Pipeline!$E$17+1)/MAX(Pipeline!$F$17,1)))+Pipeline!$W$18*Pipeline!$D$18*MIN(1,MAX(0,(46-Pipeline!$E$18+1)/MAX(Pipeline!$F$18,1)))+Pipeline!$W$19*Pipeline!$D$19*MIN(1,MAX(0,(46-Pipeline!$E$19+1)/MAX(Pipeline!$F$19,1)))+Pipeline!$W$20*Pipeline!$D$20*MIN(1,MAX(0,(46-Pipeline!$E$20+1)/MAX(Pipeline!$F$20,1)))+Pipeline!$W$21*Pipeline!$D$21*MIN(1,MAX(0,(46-Pipeline!$E$21+1)/MAX(Pipeline!$F$21,1)))+Pipeline!$W$22*Pipeline!$D$22*MIN(1,MAX(0,(46-Pipeline!$E$22+1)/MAX(Pipeline!$F$22,1)))</f>
        <v>7437.61384753902</v>
      </c>
      <c r="AW19" s="109" t="n">
        <f aca="false">Pipeline!$W$16*Pipeline!$D$16*MIN(1,MAX(0,(47-Pipeline!$E$16+1)/MAX(Pipeline!$F$16,1)))+Pipeline!$W$17*Pipeline!$D$17*MIN(1,MAX(0,(47-Pipeline!$E$17+1)/MAX(Pipeline!$F$17,1)))+Pipeline!$W$18*Pipeline!$D$18*MIN(1,MAX(0,(47-Pipeline!$E$18+1)/MAX(Pipeline!$F$18,1)))+Pipeline!$W$19*Pipeline!$D$19*MIN(1,MAX(0,(47-Pipeline!$E$19+1)/MAX(Pipeline!$F$19,1)))+Pipeline!$W$20*Pipeline!$D$20*MIN(1,MAX(0,(47-Pipeline!$E$20+1)/MAX(Pipeline!$F$20,1)))+Pipeline!$W$21*Pipeline!$D$21*MIN(1,MAX(0,(47-Pipeline!$E$21+1)/MAX(Pipeline!$F$21,1)))+Pipeline!$W$22*Pipeline!$D$22*MIN(1,MAX(0,(47-Pipeline!$E$22+1)/MAX(Pipeline!$F$22,1)))</f>
        <v>7437.61384753902</v>
      </c>
      <c r="AX19" s="109" t="n">
        <f aca="false">Pipeline!$W$16*Pipeline!$D$16*MIN(1,MAX(0,(48-Pipeline!$E$16+1)/MAX(Pipeline!$F$16,1)))+Pipeline!$W$17*Pipeline!$D$17*MIN(1,MAX(0,(48-Pipeline!$E$17+1)/MAX(Pipeline!$F$17,1)))+Pipeline!$W$18*Pipeline!$D$18*MIN(1,MAX(0,(48-Pipeline!$E$18+1)/MAX(Pipeline!$F$18,1)))+Pipeline!$W$19*Pipeline!$D$19*MIN(1,MAX(0,(48-Pipeline!$E$19+1)/MAX(Pipeline!$F$19,1)))+Pipeline!$W$20*Pipeline!$D$20*MIN(1,MAX(0,(48-Pipeline!$E$20+1)/MAX(Pipeline!$F$20,1)))+Pipeline!$W$21*Pipeline!$D$21*MIN(1,MAX(0,(48-Pipeline!$E$21+1)/MAX(Pipeline!$F$21,1)))+Pipeline!$W$22*Pipeline!$D$22*MIN(1,MAX(0,(48-Pipeline!$E$22+1)/MAX(Pipeline!$F$22,1)))</f>
        <v>7437.61384753902</v>
      </c>
      <c r="AY19" s="109" t="n">
        <f aca="false">Pipeline!$W$16*Pipeline!$D$16*MIN(1,MAX(0,(49-Pipeline!$E$16+1)/MAX(Pipeline!$F$16,1)))+Pipeline!$W$17*Pipeline!$D$17*MIN(1,MAX(0,(49-Pipeline!$E$17+1)/MAX(Pipeline!$F$17,1)))+Pipeline!$W$18*Pipeline!$D$18*MIN(1,MAX(0,(49-Pipeline!$E$18+1)/MAX(Pipeline!$F$18,1)))+Pipeline!$W$19*Pipeline!$D$19*MIN(1,MAX(0,(49-Pipeline!$E$19+1)/MAX(Pipeline!$F$19,1)))+Pipeline!$W$20*Pipeline!$D$20*MIN(1,MAX(0,(49-Pipeline!$E$20+1)/MAX(Pipeline!$F$20,1)))+Pipeline!$W$21*Pipeline!$D$21*MIN(1,MAX(0,(49-Pipeline!$E$21+1)/MAX(Pipeline!$F$21,1)))+Pipeline!$W$22*Pipeline!$D$22*MIN(1,MAX(0,(49-Pipeline!$E$22+1)/MAX(Pipeline!$F$22,1)))</f>
        <v>7437.61384753902</v>
      </c>
      <c r="AZ19" s="109" t="n">
        <f aca="false">Pipeline!$W$16*Pipeline!$D$16*MIN(1,MAX(0,(50-Pipeline!$E$16+1)/MAX(Pipeline!$F$16,1)))+Pipeline!$W$17*Pipeline!$D$17*MIN(1,MAX(0,(50-Pipeline!$E$17+1)/MAX(Pipeline!$F$17,1)))+Pipeline!$W$18*Pipeline!$D$18*MIN(1,MAX(0,(50-Pipeline!$E$18+1)/MAX(Pipeline!$F$18,1)))+Pipeline!$W$19*Pipeline!$D$19*MIN(1,MAX(0,(50-Pipeline!$E$19+1)/MAX(Pipeline!$F$19,1)))+Pipeline!$W$20*Pipeline!$D$20*MIN(1,MAX(0,(50-Pipeline!$E$20+1)/MAX(Pipeline!$F$20,1)))+Pipeline!$W$21*Pipeline!$D$21*MIN(1,MAX(0,(50-Pipeline!$E$21+1)/MAX(Pipeline!$F$21,1)))+Pipeline!$W$22*Pipeline!$D$22*MIN(1,MAX(0,(50-Pipeline!$E$22+1)/MAX(Pipeline!$F$22,1)))</f>
        <v>7437.61384753902</v>
      </c>
      <c r="BA19" s="109" t="n">
        <f aca="false">Pipeline!$W$16*Pipeline!$D$16*MIN(1,MAX(0,(51-Pipeline!$E$16+1)/MAX(Pipeline!$F$16,1)))+Pipeline!$W$17*Pipeline!$D$17*MIN(1,MAX(0,(51-Pipeline!$E$17+1)/MAX(Pipeline!$F$17,1)))+Pipeline!$W$18*Pipeline!$D$18*MIN(1,MAX(0,(51-Pipeline!$E$18+1)/MAX(Pipeline!$F$18,1)))+Pipeline!$W$19*Pipeline!$D$19*MIN(1,MAX(0,(51-Pipeline!$E$19+1)/MAX(Pipeline!$F$19,1)))+Pipeline!$W$20*Pipeline!$D$20*MIN(1,MAX(0,(51-Pipeline!$E$20+1)/MAX(Pipeline!$F$20,1)))+Pipeline!$W$21*Pipeline!$D$21*MIN(1,MAX(0,(51-Pipeline!$E$21+1)/MAX(Pipeline!$F$21,1)))+Pipeline!$W$22*Pipeline!$D$22*MIN(1,MAX(0,(51-Pipeline!$E$22+1)/MAX(Pipeline!$F$22,1)))</f>
        <v>7437.61384753902</v>
      </c>
      <c r="BB19" s="109" t="n">
        <f aca="false">Pipeline!$W$16*Pipeline!$D$16*MIN(1,MAX(0,(52-Pipeline!$E$16+1)/MAX(Pipeline!$F$16,1)))+Pipeline!$W$17*Pipeline!$D$17*MIN(1,MAX(0,(52-Pipeline!$E$17+1)/MAX(Pipeline!$F$17,1)))+Pipeline!$W$18*Pipeline!$D$18*MIN(1,MAX(0,(52-Pipeline!$E$18+1)/MAX(Pipeline!$F$18,1)))+Pipeline!$W$19*Pipeline!$D$19*MIN(1,MAX(0,(52-Pipeline!$E$19+1)/MAX(Pipeline!$F$19,1)))+Pipeline!$W$20*Pipeline!$D$20*MIN(1,MAX(0,(52-Pipeline!$E$20+1)/MAX(Pipeline!$F$20,1)))+Pipeline!$W$21*Pipeline!$D$21*MIN(1,MAX(0,(52-Pipeline!$E$21+1)/MAX(Pipeline!$F$21,1)))+Pipeline!$W$22*Pipeline!$D$22*MIN(1,MAX(0,(52-Pipeline!$E$22+1)/MAX(Pipeline!$F$22,1)))</f>
        <v>7437.61384753902</v>
      </c>
      <c r="BC19" s="109" t="n">
        <f aca="false">Pipeline!$W$16*Pipeline!$D$16*MIN(1,MAX(0,(53-Pipeline!$E$16+1)/MAX(Pipeline!$F$16,1)))+Pipeline!$W$17*Pipeline!$D$17*MIN(1,MAX(0,(53-Pipeline!$E$17+1)/MAX(Pipeline!$F$17,1)))+Pipeline!$W$18*Pipeline!$D$18*MIN(1,MAX(0,(53-Pipeline!$E$18+1)/MAX(Pipeline!$F$18,1)))+Pipeline!$W$19*Pipeline!$D$19*MIN(1,MAX(0,(53-Pipeline!$E$19+1)/MAX(Pipeline!$F$19,1)))+Pipeline!$W$20*Pipeline!$D$20*MIN(1,MAX(0,(53-Pipeline!$E$20+1)/MAX(Pipeline!$F$20,1)))+Pipeline!$W$21*Pipeline!$D$21*MIN(1,MAX(0,(53-Pipeline!$E$21+1)/MAX(Pipeline!$F$21,1)))+Pipeline!$W$22*Pipeline!$D$22*MIN(1,MAX(0,(53-Pipeline!$E$22+1)/MAX(Pipeline!$F$22,1)))</f>
        <v>7437.61384753902</v>
      </c>
      <c r="BD19" s="109" t="n">
        <f aca="false">Pipeline!$W$16*Pipeline!$D$16*MIN(1,MAX(0,(54-Pipeline!$E$16+1)/MAX(Pipeline!$F$16,1)))+Pipeline!$W$17*Pipeline!$D$17*MIN(1,MAX(0,(54-Pipeline!$E$17+1)/MAX(Pipeline!$F$17,1)))+Pipeline!$W$18*Pipeline!$D$18*MIN(1,MAX(0,(54-Pipeline!$E$18+1)/MAX(Pipeline!$F$18,1)))+Pipeline!$W$19*Pipeline!$D$19*MIN(1,MAX(0,(54-Pipeline!$E$19+1)/MAX(Pipeline!$F$19,1)))+Pipeline!$W$20*Pipeline!$D$20*MIN(1,MAX(0,(54-Pipeline!$E$20+1)/MAX(Pipeline!$F$20,1)))+Pipeline!$W$21*Pipeline!$D$21*MIN(1,MAX(0,(54-Pipeline!$E$21+1)/MAX(Pipeline!$F$21,1)))+Pipeline!$W$22*Pipeline!$D$22*MIN(1,MAX(0,(54-Pipeline!$E$22+1)/MAX(Pipeline!$F$22,1)))</f>
        <v>7437.61384753902</v>
      </c>
      <c r="BE19" s="109" t="n">
        <f aca="false">Pipeline!$W$16*Pipeline!$D$16*MIN(1,MAX(0,(55-Pipeline!$E$16+1)/MAX(Pipeline!$F$16,1)))+Pipeline!$W$17*Pipeline!$D$17*MIN(1,MAX(0,(55-Pipeline!$E$17+1)/MAX(Pipeline!$F$17,1)))+Pipeline!$W$18*Pipeline!$D$18*MIN(1,MAX(0,(55-Pipeline!$E$18+1)/MAX(Pipeline!$F$18,1)))+Pipeline!$W$19*Pipeline!$D$19*MIN(1,MAX(0,(55-Pipeline!$E$19+1)/MAX(Pipeline!$F$19,1)))+Pipeline!$W$20*Pipeline!$D$20*MIN(1,MAX(0,(55-Pipeline!$E$20+1)/MAX(Pipeline!$F$20,1)))+Pipeline!$W$21*Pipeline!$D$21*MIN(1,MAX(0,(55-Pipeline!$E$21+1)/MAX(Pipeline!$F$21,1)))+Pipeline!$W$22*Pipeline!$D$22*MIN(1,MAX(0,(55-Pipeline!$E$22+1)/MAX(Pipeline!$F$22,1)))</f>
        <v>7437.61384753902</v>
      </c>
      <c r="BF19" s="109" t="n">
        <f aca="false">Pipeline!$W$16*Pipeline!$D$16*MIN(1,MAX(0,(56-Pipeline!$E$16+1)/MAX(Pipeline!$F$16,1)))+Pipeline!$W$17*Pipeline!$D$17*MIN(1,MAX(0,(56-Pipeline!$E$17+1)/MAX(Pipeline!$F$17,1)))+Pipeline!$W$18*Pipeline!$D$18*MIN(1,MAX(0,(56-Pipeline!$E$18+1)/MAX(Pipeline!$F$18,1)))+Pipeline!$W$19*Pipeline!$D$19*MIN(1,MAX(0,(56-Pipeline!$E$19+1)/MAX(Pipeline!$F$19,1)))+Pipeline!$W$20*Pipeline!$D$20*MIN(1,MAX(0,(56-Pipeline!$E$20+1)/MAX(Pipeline!$F$20,1)))+Pipeline!$W$21*Pipeline!$D$21*MIN(1,MAX(0,(56-Pipeline!$E$21+1)/MAX(Pipeline!$F$21,1)))+Pipeline!$W$22*Pipeline!$D$22*MIN(1,MAX(0,(56-Pipeline!$E$22+1)/MAX(Pipeline!$F$22,1)))</f>
        <v>7437.61384753902</v>
      </c>
      <c r="BG19" s="109" t="n">
        <f aca="false">Pipeline!$W$16*Pipeline!$D$16*MIN(1,MAX(0,(57-Pipeline!$E$16+1)/MAX(Pipeline!$F$16,1)))+Pipeline!$W$17*Pipeline!$D$17*MIN(1,MAX(0,(57-Pipeline!$E$17+1)/MAX(Pipeline!$F$17,1)))+Pipeline!$W$18*Pipeline!$D$18*MIN(1,MAX(0,(57-Pipeline!$E$18+1)/MAX(Pipeline!$F$18,1)))+Pipeline!$W$19*Pipeline!$D$19*MIN(1,MAX(0,(57-Pipeline!$E$19+1)/MAX(Pipeline!$F$19,1)))+Pipeline!$W$20*Pipeline!$D$20*MIN(1,MAX(0,(57-Pipeline!$E$20+1)/MAX(Pipeline!$F$20,1)))+Pipeline!$W$21*Pipeline!$D$21*MIN(1,MAX(0,(57-Pipeline!$E$21+1)/MAX(Pipeline!$F$21,1)))+Pipeline!$W$22*Pipeline!$D$22*MIN(1,MAX(0,(57-Pipeline!$E$22+1)/MAX(Pipeline!$F$22,1)))</f>
        <v>7437.61384753902</v>
      </c>
      <c r="BH19" s="109" t="n">
        <f aca="false">Pipeline!$W$16*Pipeline!$D$16*MIN(1,MAX(0,(58-Pipeline!$E$16+1)/MAX(Pipeline!$F$16,1)))+Pipeline!$W$17*Pipeline!$D$17*MIN(1,MAX(0,(58-Pipeline!$E$17+1)/MAX(Pipeline!$F$17,1)))+Pipeline!$W$18*Pipeline!$D$18*MIN(1,MAX(0,(58-Pipeline!$E$18+1)/MAX(Pipeline!$F$18,1)))+Pipeline!$W$19*Pipeline!$D$19*MIN(1,MAX(0,(58-Pipeline!$E$19+1)/MAX(Pipeline!$F$19,1)))+Pipeline!$W$20*Pipeline!$D$20*MIN(1,MAX(0,(58-Pipeline!$E$20+1)/MAX(Pipeline!$F$20,1)))+Pipeline!$W$21*Pipeline!$D$21*MIN(1,MAX(0,(58-Pipeline!$E$21+1)/MAX(Pipeline!$F$21,1)))+Pipeline!$W$22*Pipeline!$D$22*MIN(1,MAX(0,(58-Pipeline!$E$22+1)/MAX(Pipeline!$F$22,1)))</f>
        <v>7437.61384753902</v>
      </c>
      <c r="BI19" s="109" t="n">
        <f aca="false">Pipeline!$W$16*Pipeline!$D$16*MIN(1,MAX(0,(59-Pipeline!$E$16+1)/MAX(Pipeline!$F$16,1)))+Pipeline!$W$17*Pipeline!$D$17*MIN(1,MAX(0,(59-Pipeline!$E$17+1)/MAX(Pipeline!$F$17,1)))+Pipeline!$W$18*Pipeline!$D$18*MIN(1,MAX(0,(59-Pipeline!$E$18+1)/MAX(Pipeline!$F$18,1)))+Pipeline!$W$19*Pipeline!$D$19*MIN(1,MAX(0,(59-Pipeline!$E$19+1)/MAX(Pipeline!$F$19,1)))+Pipeline!$W$20*Pipeline!$D$20*MIN(1,MAX(0,(59-Pipeline!$E$20+1)/MAX(Pipeline!$F$20,1)))+Pipeline!$W$21*Pipeline!$D$21*MIN(1,MAX(0,(59-Pipeline!$E$21+1)/MAX(Pipeline!$F$21,1)))+Pipeline!$W$22*Pipeline!$D$22*MIN(1,MAX(0,(59-Pipeline!$E$22+1)/MAX(Pipeline!$F$22,1)))</f>
        <v>7437.61384753902</v>
      </c>
      <c r="BJ19" s="109" t="n">
        <f aca="false">Pipeline!$W$16*Pipeline!$D$16*MIN(1,MAX(0,(60-Pipeline!$E$16+1)/MAX(Pipeline!$F$16,1)))+Pipeline!$W$17*Pipeline!$D$17*MIN(1,MAX(0,(60-Pipeline!$E$17+1)/MAX(Pipeline!$F$17,1)))+Pipeline!$W$18*Pipeline!$D$18*MIN(1,MAX(0,(60-Pipeline!$E$18+1)/MAX(Pipeline!$F$18,1)))+Pipeline!$W$19*Pipeline!$D$19*MIN(1,MAX(0,(60-Pipeline!$E$19+1)/MAX(Pipeline!$F$19,1)))+Pipeline!$W$20*Pipeline!$D$20*MIN(1,MAX(0,(60-Pipeline!$E$20+1)/MAX(Pipeline!$F$20,1)))+Pipeline!$W$21*Pipeline!$D$21*MIN(1,MAX(0,(60-Pipeline!$E$21+1)/MAX(Pipeline!$F$21,1)))+Pipeline!$W$22*Pipeline!$D$22*MIN(1,MAX(0,(60-Pipeline!$E$22+1)/MAX(Pipeline!$F$22,1)))</f>
        <v>7437.61384753902</v>
      </c>
      <c r="BK19" s="109" t="n">
        <f aca="false">Pipeline!$W$16*Pipeline!$D$16*MIN(1,MAX(0,(61-Pipeline!$E$16+1)/MAX(Pipeline!$F$16,1)))+Pipeline!$W$17*Pipeline!$D$17*MIN(1,MAX(0,(61-Pipeline!$E$17+1)/MAX(Pipeline!$F$17,1)))+Pipeline!$W$18*Pipeline!$D$18*MIN(1,MAX(0,(61-Pipeline!$E$18+1)/MAX(Pipeline!$F$18,1)))+Pipeline!$W$19*Pipeline!$D$19*MIN(1,MAX(0,(61-Pipeline!$E$19+1)/MAX(Pipeline!$F$19,1)))+Pipeline!$W$20*Pipeline!$D$20*MIN(1,MAX(0,(61-Pipeline!$E$20+1)/MAX(Pipeline!$F$20,1)))+Pipeline!$W$21*Pipeline!$D$21*MIN(1,MAX(0,(61-Pipeline!$E$21+1)/MAX(Pipeline!$F$21,1)))+Pipeline!$W$22*Pipeline!$D$22*MIN(1,MAX(0,(61-Pipeline!$E$22+1)/MAX(Pipeline!$F$22,1)))</f>
        <v>7437.61384753902</v>
      </c>
      <c r="BL19" s="109" t="n">
        <f aca="false">Pipeline!$W$16*Pipeline!$D$16*MIN(1,MAX(0,(62-Pipeline!$E$16+1)/MAX(Pipeline!$F$16,1)))+Pipeline!$W$17*Pipeline!$D$17*MIN(1,MAX(0,(62-Pipeline!$E$17+1)/MAX(Pipeline!$F$17,1)))+Pipeline!$W$18*Pipeline!$D$18*MIN(1,MAX(0,(62-Pipeline!$E$18+1)/MAX(Pipeline!$F$18,1)))+Pipeline!$W$19*Pipeline!$D$19*MIN(1,MAX(0,(62-Pipeline!$E$19+1)/MAX(Pipeline!$F$19,1)))+Pipeline!$W$20*Pipeline!$D$20*MIN(1,MAX(0,(62-Pipeline!$E$20+1)/MAX(Pipeline!$F$20,1)))+Pipeline!$W$21*Pipeline!$D$21*MIN(1,MAX(0,(62-Pipeline!$E$21+1)/MAX(Pipeline!$F$21,1)))+Pipeline!$W$22*Pipeline!$D$22*MIN(1,MAX(0,(62-Pipeline!$E$22+1)/MAX(Pipeline!$F$22,1)))</f>
        <v>7437.61384753902</v>
      </c>
      <c r="BM19" s="109" t="n">
        <f aca="false">Pipeline!$W$16*Pipeline!$D$16*MIN(1,MAX(0,(63-Pipeline!$E$16+1)/MAX(Pipeline!$F$16,1)))+Pipeline!$W$17*Pipeline!$D$17*MIN(1,MAX(0,(63-Pipeline!$E$17+1)/MAX(Pipeline!$F$17,1)))+Pipeline!$W$18*Pipeline!$D$18*MIN(1,MAX(0,(63-Pipeline!$E$18+1)/MAX(Pipeline!$F$18,1)))+Pipeline!$W$19*Pipeline!$D$19*MIN(1,MAX(0,(63-Pipeline!$E$19+1)/MAX(Pipeline!$F$19,1)))+Pipeline!$W$20*Pipeline!$D$20*MIN(1,MAX(0,(63-Pipeline!$E$20+1)/MAX(Pipeline!$F$20,1)))+Pipeline!$W$21*Pipeline!$D$21*MIN(1,MAX(0,(63-Pipeline!$E$21+1)/MAX(Pipeline!$F$21,1)))+Pipeline!$W$22*Pipeline!$D$22*MIN(1,MAX(0,(63-Pipeline!$E$22+1)/MAX(Pipeline!$F$22,1)))</f>
        <v>7437.61384753902</v>
      </c>
      <c r="BN19" s="109" t="n">
        <f aca="false">Pipeline!$W$16*Pipeline!$D$16*MIN(1,MAX(0,(64-Pipeline!$E$16+1)/MAX(Pipeline!$F$16,1)))+Pipeline!$W$17*Pipeline!$D$17*MIN(1,MAX(0,(64-Pipeline!$E$17+1)/MAX(Pipeline!$F$17,1)))+Pipeline!$W$18*Pipeline!$D$18*MIN(1,MAX(0,(64-Pipeline!$E$18+1)/MAX(Pipeline!$F$18,1)))+Pipeline!$W$19*Pipeline!$D$19*MIN(1,MAX(0,(64-Pipeline!$E$19+1)/MAX(Pipeline!$F$19,1)))+Pipeline!$W$20*Pipeline!$D$20*MIN(1,MAX(0,(64-Pipeline!$E$20+1)/MAX(Pipeline!$F$20,1)))+Pipeline!$W$21*Pipeline!$D$21*MIN(1,MAX(0,(64-Pipeline!$E$21+1)/MAX(Pipeline!$F$21,1)))+Pipeline!$W$22*Pipeline!$D$22*MIN(1,MAX(0,(64-Pipeline!$E$22+1)/MAX(Pipeline!$F$22,1)))</f>
        <v>7437.61384753902</v>
      </c>
      <c r="BO19" s="109" t="n">
        <f aca="false">Pipeline!$W$16*Pipeline!$D$16*MIN(1,MAX(0,(65-Pipeline!$E$16+1)/MAX(Pipeline!$F$16,1)))+Pipeline!$W$17*Pipeline!$D$17*MIN(1,MAX(0,(65-Pipeline!$E$17+1)/MAX(Pipeline!$F$17,1)))+Pipeline!$W$18*Pipeline!$D$18*MIN(1,MAX(0,(65-Pipeline!$E$18+1)/MAX(Pipeline!$F$18,1)))+Pipeline!$W$19*Pipeline!$D$19*MIN(1,MAX(0,(65-Pipeline!$E$19+1)/MAX(Pipeline!$F$19,1)))+Pipeline!$W$20*Pipeline!$D$20*MIN(1,MAX(0,(65-Pipeline!$E$20+1)/MAX(Pipeline!$F$20,1)))+Pipeline!$W$21*Pipeline!$D$21*MIN(1,MAX(0,(65-Pipeline!$E$21+1)/MAX(Pipeline!$F$21,1)))+Pipeline!$W$22*Pipeline!$D$22*MIN(1,MAX(0,(65-Pipeline!$E$22+1)/MAX(Pipeline!$F$22,1)))</f>
        <v>7437.61384753902</v>
      </c>
      <c r="BP19" s="109" t="n">
        <f aca="false">Pipeline!$W$16*Pipeline!$D$16*MIN(1,MAX(0,(66-Pipeline!$E$16+1)/MAX(Pipeline!$F$16,1)))+Pipeline!$W$17*Pipeline!$D$17*MIN(1,MAX(0,(66-Pipeline!$E$17+1)/MAX(Pipeline!$F$17,1)))+Pipeline!$W$18*Pipeline!$D$18*MIN(1,MAX(0,(66-Pipeline!$E$18+1)/MAX(Pipeline!$F$18,1)))+Pipeline!$W$19*Pipeline!$D$19*MIN(1,MAX(0,(66-Pipeline!$E$19+1)/MAX(Pipeline!$F$19,1)))+Pipeline!$W$20*Pipeline!$D$20*MIN(1,MAX(0,(66-Pipeline!$E$20+1)/MAX(Pipeline!$F$20,1)))+Pipeline!$W$21*Pipeline!$D$21*MIN(1,MAX(0,(66-Pipeline!$E$21+1)/MAX(Pipeline!$F$21,1)))+Pipeline!$W$22*Pipeline!$D$22*MIN(1,MAX(0,(66-Pipeline!$E$22+1)/MAX(Pipeline!$F$22,1)))</f>
        <v>7437.61384753902</v>
      </c>
      <c r="BQ19" s="109" t="n">
        <f aca="false">Pipeline!$W$16*Pipeline!$D$16*MIN(1,MAX(0,(67-Pipeline!$E$16+1)/MAX(Pipeline!$F$16,1)))+Pipeline!$W$17*Pipeline!$D$17*MIN(1,MAX(0,(67-Pipeline!$E$17+1)/MAX(Pipeline!$F$17,1)))+Pipeline!$W$18*Pipeline!$D$18*MIN(1,MAX(0,(67-Pipeline!$E$18+1)/MAX(Pipeline!$F$18,1)))+Pipeline!$W$19*Pipeline!$D$19*MIN(1,MAX(0,(67-Pipeline!$E$19+1)/MAX(Pipeline!$F$19,1)))+Pipeline!$W$20*Pipeline!$D$20*MIN(1,MAX(0,(67-Pipeline!$E$20+1)/MAX(Pipeline!$F$20,1)))+Pipeline!$W$21*Pipeline!$D$21*MIN(1,MAX(0,(67-Pipeline!$E$21+1)/MAX(Pipeline!$F$21,1)))+Pipeline!$W$22*Pipeline!$D$22*MIN(1,MAX(0,(67-Pipeline!$E$22+1)/MAX(Pipeline!$F$22,1)))</f>
        <v>7437.61384753902</v>
      </c>
      <c r="BR19" s="109" t="n">
        <f aca="false">Pipeline!$W$16*Pipeline!$D$16*MIN(1,MAX(0,(68-Pipeline!$E$16+1)/MAX(Pipeline!$F$16,1)))+Pipeline!$W$17*Pipeline!$D$17*MIN(1,MAX(0,(68-Pipeline!$E$17+1)/MAX(Pipeline!$F$17,1)))+Pipeline!$W$18*Pipeline!$D$18*MIN(1,MAX(0,(68-Pipeline!$E$18+1)/MAX(Pipeline!$F$18,1)))+Pipeline!$W$19*Pipeline!$D$19*MIN(1,MAX(0,(68-Pipeline!$E$19+1)/MAX(Pipeline!$F$19,1)))+Pipeline!$W$20*Pipeline!$D$20*MIN(1,MAX(0,(68-Pipeline!$E$20+1)/MAX(Pipeline!$F$20,1)))+Pipeline!$W$21*Pipeline!$D$21*MIN(1,MAX(0,(68-Pipeline!$E$21+1)/MAX(Pipeline!$F$21,1)))+Pipeline!$W$22*Pipeline!$D$22*MIN(1,MAX(0,(68-Pipeline!$E$22+1)/MAX(Pipeline!$F$22,1)))</f>
        <v>7437.61384753902</v>
      </c>
      <c r="BS19" s="109" t="n">
        <f aca="false">Pipeline!$W$16*Pipeline!$D$16*MIN(1,MAX(0,(69-Pipeline!$E$16+1)/MAX(Pipeline!$F$16,1)))+Pipeline!$W$17*Pipeline!$D$17*MIN(1,MAX(0,(69-Pipeline!$E$17+1)/MAX(Pipeline!$F$17,1)))+Pipeline!$W$18*Pipeline!$D$18*MIN(1,MAX(0,(69-Pipeline!$E$18+1)/MAX(Pipeline!$F$18,1)))+Pipeline!$W$19*Pipeline!$D$19*MIN(1,MAX(0,(69-Pipeline!$E$19+1)/MAX(Pipeline!$F$19,1)))+Pipeline!$W$20*Pipeline!$D$20*MIN(1,MAX(0,(69-Pipeline!$E$20+1)/MAX(Pipeline!$F$20,1)))+Pipeline!$W$21*Pipeline!$D$21*MIN(1,MAX(0,(69-Pipeline!$E$21+1)/MAX(Pipeline!$F$21,1)))+Pipeline!$W$22*Pipeline!$D$22*MIN(1,MAX(0,(69-Pipeline!$E$22+1)/MAX(Pipeline!$F$22,1)))</f>
        <v>7437.61384753902</v>
      </c>
      <c r="BT19" s="109" t="n">
        <f aca="false">Pipeline!$W$16*Pipeline!$D$16*MIN(1,MAX(0,(70-Pipeline!$E$16+1)/MAX(Pipeline!$F$16,1)))+Pipeline!$W$17*Pipeline!$D$17*MIN(1,MAX(0,(70-Pipeline!$E$17+1)/MAX(Pipeline!$F$17,1)))+Pipeline!$W$18*Pipeline!$D$18*MIN(1,MAX(0,(70-Pipeline!$E$18+1)/MAX(Pipeline!$F$18,1)))+Pipeline!$W$19*Pipeline!$D$19*MIN(1,MAX(0,(70-Pipeline!$E$19+1)/MAX(Pipeline!$F$19,1)))+Pipeline!$W$20*Pipeline!$D$20*MIN(1,MAX(0,(70-Pipeline!$E$20+1)/MAX(Pipeline!$F$20,1)))+Pipeline!$W$21*Pipeline!$D$21*MIN(1,MAX(0,(70-Pipeline!$E$21+1)/MAX(Pipeline!$F$21,1)))+Pipeline!$W$22*Pipeline!$D$22*MIN(1,MAX(0,(70-Pipeline!$E$22+1)/MAX(Pipeline!$F$22,1)))</f>
        <v>7437.61384753902</v>
      </c>
      <c r="BU19" s="109" t="n">
        <f aca="false">Pipeline!$W$16*Pipeline!$D$16*MIN(1,MAX(0,(71-Pipeline!$E$16+1)/MAX(Pipeline!$F$16,1)))+Pipeline!$W$17*Pipeline!$D$17*MIN(1,MAX(0,(71-Pipeline!$E$17+1)/MAX(Pipeline!$F$17,1)))+Pipeline!$W$18*Pipeline!$D$18*MIN(1,MAX(0,(71-Pipeline!$E$18+1)/MAX(Pipeline!$F$18,1)))+Pipeline!$W$19*Pipeline!$D$19*MIN(1,MAX(0,(71-Pipeline!$E$19+1)/MAX(Pipeline!$F$19,1)))+Pipeline!$W$20*Pipeline!$D$20*MIN(1,MAX(0,(71-Pipeline!$E$20+1)/MAX(Pipeline!$F$20,1)))+Pipeline!$W$21*Pipeline!$D$21*MIN(1,MAX(0,(71-Pipeline!$E$21+1)/MAX(Pipeline!$F$21,1)))+Pipeline!$W$22*Pipeline!$D$22*MIN(1,MAX(0,(71-Pipeline!$E$22+1)/MAX(Pipeline!$F$22,1)))</f>
        <v>7437.61384753902</v>
      </c>
      <c r="BV19" s="109" t="n">
        <f aca="false">Pipeline!$W$16*Pipeline!$D$16*MIN(1,MAX(0,(72-Pipeline!$E$16+1)/MAX(Pipeline!$F$16,1)))+Pipeline!$W$17*Pipeline!$D$17*MIN(1,MAX(0,(72-Pipeline!$E$17+1)/MAX(Pipeline!$F$17,1)))+Pipeline!$W$18*Pipeline!$D$18*MIN(1,MAX(0,(72-Pipeline!$E$18+1)/MAX(Pipeline!$F$18,1)))+Pipeline!$W$19*Pipeline!$D$19*MIN(1,MAX(0,(72-Pipeline!$E$19+1)/MAX(Pipeline!$F$19,1)))+Pipeline!$W$20*Pipeline!$D$20*MIN(1,MAX(0,(72-Pipeline!$E$20+1)/MAX(Pipeline!$F$20,1)))+Pipeline!$W$21*Pipeline!$D$21*MIN(1,MAX(0,(72-Pipeline!$E$21+1)/MAX(Pipeline!$F$21,1)))+Pipeline!$W$22*Pipeline!$D$22*MIN(1,MAX(0,(72-Pipeline!$E$22+1)/MAX(Pipeline!$F$22,1)))</f>
        <v>7437.61384753902</v>
      </c>
      <c r="BW19" s="109" t="n">
        <f aca="false">Pipeline!$W$16*Pipeline!$D$16*MIN(1,MAX(0,(73-Pipeline!$E$16+1)/MAX(Pipeline!$F$16,1)))+Pipeline!$W$17*Pipeline!$D$17*MIN(1,MAX(0,(73-Pipeline!$E$17+1)/MAX(Pipeline!$F$17,1)))+Pipeline!$W$18*Pipeline!$D$18*MIN(1,MAX(0,(73-Pipeline!$E$18+1)/MAX(Pipeline!$F$18,1)))+Pipeline!$W$19*Pipeline!$D$19*MIN(1,MAX(0,(73-Pipeline!$E$19+1)/MAX(Pipeline!$F$19,1)))+Pipeline!$W$20*Pipeline!$D$20*MIN(1,MAX(0,(73-Pipeline!$E$20+1)/MAX(Pipeline!$F$20,1)))+Pipeline!$W$21*Pipeline!$D$21*MIN(1,MAX(0,(73-Pipeline!$E$21+1)/MAX(Pipeline!$F$21,1)))+Pipeline!$W$22*Pipeline!$D$22*MIN(1,MAX(0,(73-Pipeline!$E$22+1)/MAX(Pipeline!$F$22,1)))</f>
        <v>7437.61384753902</v>
      </c>
      <c r="BX19" s="109" t="n">
        <f aca="false">Pipeline!$W$16*Pipeline!$D$16*MIN(1,MAX(0,(74-Pipeline!$E$16+1)/MAX(Pipeline!$F$16,1)))+Pipeline!$W$17*Pipeline!$D$17*MIN(1,MAX(0,(74-Pipeline!$E$17+1)/MAX(Pipeline!$F$17,1)))+Pipeline!$W$18*Pipeline!$D$18*MIN(1,MAX(0,(74-Pipeline!$E$18+1)/MAX(Pipeline!$F$18,1)))+Pipeline!$W$19*Pipeline!$D$19*MIN(1,MAX(0,(74-Pipeline!$E$19+1)/MAX(Pipeline!$F$19,1)))+Pipeline!$W$20*Pipeline!$D$20*MIN(1,MAX(0,(74-Pipeline!$E$20+1)/MAX(Pipeline!$F$20,1)))+Pipeline!$W$21*Pipeline!$D$21*MIN(1,MAX(0,(74-Pipeline!$E$21+1)/MAX(Pipeline!$F$21,1)))+Pipeline!$W$22*Pipeline!$D$22*MIN(1,MAX(0,(74-Pipeline!$E$22+1)/MAX(Pipeline!$F$22,1)))</f>
        <v>7437.61384753902</v>
      </c>
      <c r="BY19" s="109" t="n">
        <f aca="false">Pipeline!$W$16*Pipeline!$D$16*MIN(1,MAX(0,(75-Pipeline!$E$16+1)/MAX(Pipeline!$F$16,1)))+Pipeline!$W$17*Pipeline!$D$17*MIN(1,MAX(0,(75-Pipeline!$E$17+1)/MAX(Pipeline!$F$17,1)))+Pipeline!$W$18*Pipeline!$D$18*MIN(1,MAX(0,(75-Pipeline!$E$18+1)/MAX(Pipeline!$F$18,1)))+Pipeline!$W$19*Pipeline!$D$19*MIN(1,MAX(0,(75-Pipeline!$E$19+1)/MAX(Pipeline!$F$19,1)))+Pipeline!$W$20*Pipeline!$D$20*MIN(1,MAX(0,(75-Pipeline!$E$20+1)/MAX(Pipeline!$F$20,1)))+Pipeline!$W$21*Pipeline!$D$21*MIN(1,MAX(0,(75-Pipeline!$E$21+1)/MAX(Pipeline!$F$21,1)))+Pipeline!$W$22*Pipeline!$D$22*MIN(1,MAX(0,(75-Pipeline!$E$22+1)/MAX(Pipeline!$F$22,1)))</f>
        <v>7437.61384753902</v>
      </c>
      <c r="BZ19" s="109" t="n">
        <f aca="false">Pipeline!$W$16*Pipeline!$D$16*MIN(1,MAX(0,(76-Pipeline!$E$16+1)/MAX(Pipeline!$F$16,1)))+Pipeline!$W$17*Pipeline!$D$17*MIN(1,MAX(0,(76-Pipeline!$E$17+1)/MAX(Pipeline!$F$17,1)))+Pipeline!$W$18*Pipeline!$D$18*MIN(1,MAX(0,(76-Pipeline!$E$18+1)/MAX(Pipeline!$F$18,1)))+Pipeline!$W$19*Pipeline!$D$19*MIN(1,MAX(0,(76-Pipeline!$E$19+1)/MAX(Pipeline!$F$19,1)))+Pipeline!$W$20*Pipeline!$D$20*MIN(1,MAX(0,(76-Pipeline!$E$20+1)/MAX(Pipeline!$F$20,1)))+Pipeline!$W$21*Pipeline!$D$21*MIN(1,MAX(0,(76-Pipeline!$E$21+1)/MAX(Pipeline!$F$21,1)))+Pipeline!$W$22*Pipeline!$D$22*MIN(1,MAX(0,(76-Pipeline!$E$22+1)/MAX(Pipeline!$F$22,1)))</f>
        <v>7437.61384753902</v>
      </c>
      <c r="CA19" s="109" t="n">
        <f aca="false">Pipeline!$W$16*Pipeline!$D$16*MIN(1,MAX(0,(77-Pipeline!$E$16+1)/MAX(Pipeline!$F$16,1)))+Pipeline!$W$17*Pipeline!$D$17*MIN(1,MAX(0,(77-Pipeline!$E$17+1)/MAX(Pipeline!$F$17,1)))+Pipeline!$W$18*Pipeline!$D$18*MIN(1,MAX(0,(77-Pipeline!$E$18+1)/MAX(Pipeline!$F$18,1)))+Pipeline!$W$19*Pipeline!$D$19*MIN(1,MAX(0,(77-Pipeline!$E$19+1)/MAX(Pipeline!$F$19,1)))+Pipeline!$W$20*Pipeline!$D$20*MIN(1,MAX(0,(77-Pipeline!$E$20+1)/MAX(Pipeline!$F$20,1)))+Pipeline!$W$21*Pipeline!$D$21*MIN(1,MAX(0,(77-Pipeline!$E$21+1)/MAX(Pipeline!$F$21,1)))+Pipeline!$W$22*Pipeline!$D$22*MIN(1,MAX(0,(77-Pipeline!$E$22+1)/MAX(Pipeline!$F$22,1)))</f>
        <v>7437.61384753902</v>
      </c>
      <c r="CB19" s="109" t="n">
        <f aca="false">Pipeline!$W$16*Pipeline!$D$16*MIN(1,MAX(0,(78-Pipeline!$E$16+1)/MAX(Pipeline!$F$16,1)))+Pipeline!$W$17*Pipeline!$D$17*MIN(1,MAX(0,(78-Pipeline!$E$17+1)/MAX(Pipeline!$F$17,1)))+Pipeline!$W$18*Pipeline!$D$18*MIN(1,MAX(0,(78-Pipeline!$E$18+1)/MAX(Pipeline!$F$18,1)))+Pipeline!$W$19*Pipeline!$D$19*MIN(1,MAX(0,(78-Pipeline!$E$19+1)/MAX(Pipeline!$F$19,1)))+Pipeline!$W$20*Pipeline!$D$20*MIN(1,MAX(0,(78-Pipeline!$E$20+1)/MAX(Pipeline!$F$20,1)))+Pipeline!$W$21*Pipeline!$D$21*MIN(1,MAX(0,(78-Pipeline!$E$21+1)/MAX(Pipeline!$F$21,1)))+Pipeline!$W$22*Pipeline!$D$22*MIN(1,MAX(0,(78-Pipeline!$E$22+1)/MAX(Pipeline!$F$22,1)))</f>
        <v>7437.61384753902</v>
      </c>
      <c r="CC19" s="109" t="n">
        <f aca="false">Pipeline!$W$16*Pipeline!$D$16*MIN(1,MAX(0,(79-Pipeline!$E$16+1)/MAX(Pipeline!$F$16,1)))+Pipeline!$W$17*Pipeline!$D$17*MIN(1,MAX(0,(79-Pipeline!$E$17+1)/MAX(Pipeline!$F$17,1)))+Pipeline!$W$18*Pipeline!$D$18*MIN(1,MAX(0,(79-Pipeline!$E$18+1)/MAX(Pipeline!$F$18,1)))+Pipeline!$W$19*Pipeline!$D$19*MIN(1,MAX(0,(79-Pipeline!$E$19+1)/MAX(Pipeline!$F$19,1)))+Pipeline!$W$20*Pipeline!$D$20*MIN(1,MAX(0,(79-Pipeline!$E$20+1)/MAX(Pipeline!$F$20,1)))+Pipeline!$W$21*Pipeline!$D$21*MIN(1,MAX(0,(79-Pipeline!$E$21+1)/MAX(Pipeline!$F$21,1)))+Pipeline!$W$22*Pipeline!$D$22*MIN(1,MAX(0,(79-Pipeline!$E$22+1)/MAX(Pipeline!$F$22,1)))</f>
        <v>7437.61384753902</v>
      </c>
      <c r="CD19" s="109" t="n">
        <f aca="false">Pipeline!$W$16*Pipeline!$D$16*MIN(1,MAX(0,(80-Pipeline!$E$16+1)/MAX(Pipeline!$F$16,1)))+Pipeline!$W$17*Pipeline!$D$17*MIN(1,MAX(0,(80-Pipeline!$E$17+1)/MAX(Pipeline!$F$17,1)))+Pipeline!$W$18*Pipeline!$D$18*MIN(1,MAX(0,(80-Pipeline!$E$18+1)/MAX(Pipeline!$F$18,1)))+Pipeline!$W$19*Pipeline!$D$19*MIN(1,MAX(0,(80-Pipeline!$E$19+1)/MAX(Pipeline!$F$19,1)))+Pipeline!$W$20*Pipeline!$D$20*MIN(1,MAX(0,(80-Pipeline!$E$20+1)/MAX(Pipeline!$F$20,1)))+Pipeline!$W$21*Pipeline!$D$21*MIN(1,MAX(0,(80-Pipeline!$E$21+1)/MAX(Pipeline!$F$21,1)))+Pipeline!$W$22*Pipeline!$D$22*MIN(1,MAX(0,(80-Pipeline!$E$22+1)/MAX(Pipeline!$F$22,1)))</f>
        <v>7437.61384753902</v>
      </c>
      <c r="CE19" s="109" t="n">
        <f aca="false">Pipeline!$W$16*Pipeline!$D$16*MIN(1,MAX(0,(81-Pipeline!$E$16+1)/MAX(Pipeline!$F$16,1)))+Pipeline!$W$17*Pipeline!$D$17*MIN(1,MAX(0,(81-Pipeline!$E$17+1)/MAX(Pipeline!$F$17,1)))+Pipeline!$W$18*Pipeline!$D$18*MIN(1,MAX(0,(81-Pipeline!$E$18+1)/MAX(Pipeline!$F$18,1)))+Pipeline!$W$19*Pipeline!$D$19*MIN(1,MAX(0,(81-Pipeline!$E$19+1)/MAX(Pipeline!$F$19,1)))+Pipeline!$W$20*Pipeline!$D$20*MIN(1,MAX(0,(81-Pipeline!$E$20+1)/MAX(Pipeline!$F$20,1)))+Pipeline!$W$21*Pipeline!$D$21*MIN(1,MAX(0,(81-Pipeline!$E$21+1)/MAX(Pipeline!$F$21,1)))+Pipeline!$W$22*Pipeline!$D$22*MIN(1,MAX(0,(81-Pipeline!$E$22+1)/MAX(Pipeline!$F$22,1)))</f>
        <v>7437.61384753902</v>
      </c>
      <c r="CF19" s="109" t="n">
        <f aca="false">Pipeline!$W$16*Pipeline!$D$16*MIN(1,MAX(0,(82-Pipeline!$E$16+1)/MAX(Pipeline!$F$16,1)))+Pipeline!$W$17*Pipeline!$D$17*MIN(1,MAX(0,(82-Pipeline!$E$17+1)/MAX(Pipeline!$F$17,1)))+Pipeline!$W$18*Pipeline!$D$18*MIN(1,MAX(0,(82-Pipeline!$E$18+1)/MAX(Pipeline!$F$18,1)))+Pipeline!$W$19*Pipeline!$D$19*MIN(1,MAX(0,(82-Pipeline!$E$19+1)/MAX(Pipeline!$F$19,1)))+Pipeline!$W$20*Pipeline!$D$20*MIN(1,MAX(0,(82-Pipeline!$E$20+1)/MAX(Pipeline!$F$20,1)))+Pipeline!$W$21*Pipeline!$D$21*MIN(1,MAX(0,(82-Pipeline!$E$21+1)/MAX(Pipeline!$F$21,1)))+Pipeline!$W$22*Pipeline!$D$22*MIN(1,MAX(0,(82-Pipeline!$E$22+1)/MAX(Pipeline!$F$22,1)))</f>
        <v>7437.61384753902</v>
      </c>
      <c r="CG19" s="109" t="n">
        <f aca="false">Pipeline!$W$16*Pipeline!$D$16*MIN(1,MAX(0,(83-Pipeline!$E$16+1)/MAX(Pipeline!$F$16,1)))+Pipeline!$W$17*Pipeline!$D$17*MIN(1,MAX(0,(83-Pipeline!$E$17+1)/MAX(Pipeline!$F$17,1)))+Pipeline!$W$18*Pipeline!$D$18*MIN(1,MAX(0,(83-Pipeline!$E$18+1)/MAX(Pipeline!$F$18,1)))+Pipeline!$W$19*Pipeline!$D$19*MIN(1,MAX(0,(83-Pipeline!$E$19+1)/MAX(Pipeline!$F$19,1)))+Pipeline!$W$20*Pipeline!$D$20*MIN(1,MAX(0,(83-Pipeline!$E$20+1)/MAX(Pipeline!$F$20,1)))+Pipeline!$W$21*Pipeline!$D$21*MIN(1,MAX(0,(83-Pipeline!$E$21+1)/MAX(Pipeline!$F$21,1)))+Pipeline!$W$22*Pipeline!$D$22*MIN(1,MAX(0,(83-Pipeline!$E$22+1)/MAX(Pipeline!$F$22,1)))</f>
        <v>7437.61384753902</v>
      </c>
      <c r="CH19" s="109" t="n">
        <f aca="false">Pipeline!$W$16*Pipeline!$D$16*MIN(1,MAX(0,(84-Pipeline!$E$16+1)/MAX(Pipeline!$F$16,1)))+Pipeline!$W$17*Pipeline!$D$17*MIN(1,MAX(0,(84-Pipeline!$E$17+1)/MAX(Pipeline!$F$17,1)))+Pipeline!$W$18*Pipeline!$D$18*MIN(1,MAX(0,(84-Pipeline!$E$18+1)/MAX(Pipeline!$F$18,1)))+Pipeline!$W$19*Pipeline!$D$19*MIN(1,MAX(0,(84-Pipeline!$E$19+1)/MAX(Pipeline!$F$19,1)))+Pipeline!$W$20*Pipeline!$D$20*MIN(1,MAX(0,(84-Pipeline!$E$20+1)/MAX(Pipeline!$F$20,1)))+Pipeline!$W$21*Pipeline!$D$21*MIN(1,MAX(0,(84-Pipeline!$E$21+1)/MAX(Pipeline!$F$21,1)))+Pipeline!$W$22*Pipeline!$D$22*MIN(1,MAX(0,(84-Pipeline!$E$22+1)/MAX(Pipeline!$F$22,1)))</f>
        <v>7437.61384753902</v>
      </c>
    </row>
    <row r="20" customFormat="false" ht="13.5" hidden="false" customHeight="true" outlineLevel="0" collapsed="false">
      <c r="A20" s="6" t="s">
        <v>528</v>
      </c>
      <c r="C20" s="119" t="n">
        <f aca="false">Pipeline!$S$16*Pipeline!$D$16*MIN(1,MAX(0,(1-Pipeline!$E$16+1)/MAX(Pipeline!$F$16,1)))+Pipeline!$S$17*Pipeline!$D$17*MIN(1,MAX(0,(1-Pipeline!$E$17+1)/MAX(Pipeline!$F$17,1)))+Pipeline!$S$18*Pipeline!$D$18*MIN(1,MAX(0,(1-Pipeline!$E$18+1)/MAX(Pipeline!$F$18,1)))+Pipeline!$S$19*Pipeline!$D$19*MIN(1,MAX(0,(1-Pipeline!$E$19+1)/MAX(Pipeline!$F$19,1)))+Pipeline!$S$20*Pipeline!$D$20*MIN(1,MAX(0,(1-Pipeline!$E$20+1)/MAX(Pipeline!$F$20,1)))+Pipeline!$S$21*Pipeline!$D$21*MIN(1,MAX(0,(1-Pipeline!$E$21+1)/MAX(Pipeline!$F$21,1)))+Pipeline!$S$22*Pipeline!$D$22*MIN(1,MAX(0,(1-Pipeline!$E$22+1)/MAX(Pipeline!$F$22,1)))</f>
        <v>12.3975</v>
      </c>
      <c r="D20" s="119" t="n">
        <f aca="false">Pipeline!$S$16*Pipeline!$D$16*MIN(1,MAX(0,(2-Pipeline!$E$16+1)/MAX(Pipeline!$F$16,1)))+Pipeline!$S$17*Pipeline!$D$17*MIN(1,MAX(0,(2-Pipeline!$E$17+1)/MAX(Pipeline!$F$17,1)))+Pipeline!$S$18*Pipeline!$D$18*MIN(1,MAX(0,(2-Pipeline!$E$18+1)/MAX(Pipeline!$F$18,1)))+Pipeline!$S$19*Pipeline!$D$19*MIN(1,MAX(0,(2-Pipeline!$E$19+1)/MAX(Pipeline!$F$19,1)))+Pipeline!$S$20*Pipeline!$D$20*MIN(1,MAX(0,(2-Pipeline!$E$20+1)/MAX(Pipeline!$F$20,1)))+Pipeline!$S$21*Pipeline!$D$21*MIN(1,MAX(0,(2-Pipeline!$E$21+1)/MAX(Pipeline!$F$21,1)))+Pipeline!$S$22*Pipeline!$D$22*MIN(1,MAX(0,(2-Pipeline!$E$22+1)/MAX(Pipeline!$F$22,1)))</f>
        <v>27.405</v>
      </c>
      <c r="E20" s="119" t="n">
        <f aca="false">Pipeline!$S$16*Pipeline!$D$16*MIN(1,MAX(0,(3-Pipeline!$E$16+1)/MAX(Pipeline!$F$16,1)))+Pipeline!$S$17*Pipeline!$D$17*MIN(1,MAX(0,(3-Pipeline!$E$17+1)/MAX(Pipeline!$F$17,1)))+Pipeline!$S$18*Pipeline!$D$18*MIN(1,MAX(0,(3-Pipeline!$E$18+1)/MAX(Pipeline!$F$18,1)))+Pipeline!$S$19*Pipeline!$D$19*MIN(1,MAX(0,(3-Pipeline!$E$19+1)/MAX(Pipeline!$F$19,1)))+Pipeline!$S$20*Pipeline!$D$20*MIN(1,MAX(0,(3-Pipeline!$E$20+1)/MAX(Pipeline!$F$20,1)))+Pipeline!$S$21*Pipeline!$D$21*MIN(1,MAX(0,(3-Pipeline!$E$21+1)/MAX(Pipeline!$F$21,1)))+Pipeline!$S$22*Pipeline!$D$22*MIN(1,MAX(0,(3-Pipeline!$E$22+1)/MAX(Pipeline!$F$22,1)))</f>
        <v>75.69</v>
      </c>
      <c r="F20" s="119" t="n">
        <f aca="false">Pipeline!$S$16*Pipeline!$D$16*MIN(1,MAX(0,(4-Pipeline!$E$16+1)/MAX(Pipeline!$F$16,1)))+Pipeline!$S$17*Pipeline!$D$17*MIN(1,MAX(0,(4-Pipeline!$E$17+1)/MAX(Pipeline!$F$17,1)))+Pipeline!$S$18*Pipeline!$D$18*MIN(1,MAX(0,(4-Pipeline!$E$18+1)/MAX(Pipeline!$F$18,1)))+Pipeline!$S$19*Pipeline!$D$19*MIN(1,MAX(0,(4-Pipeline!$E$19+1)/MAX(Pipeline!$F$19,1)))+Pipeline!$S$20*Pipeline!$D$20*MIN(1,MAX(0,(4-Pipeline!$E$20+1)/MAX(Pipeline!$F$20,1)))+Pipeline!$S$21*Pipeline!$D$21*MIN(1,MAX(0,(4-Pipeline!$E$21+1)/MAX(Pipeline!$F$21,1)))+Pipeline!$S$22*Pipeline!$D$22*MIN(1,MAX(0,(4-Pipeline!$E$22+1)/MAX(Pipeline!$F$22,1)))</f>
        <v>111.5775</v>
      </c>
      <c r="G20" s="119" t="n">
        <f aca="false">Pipeline!$S$16*Pipeline!$D$16*MIN(1,MAX(0,(5-Pipeline!$E$16+1)/MAX(Pipeline!$F$16,1)))+Pipeline!$S$17*Pipeline!$D$17*MIN(1,MAX(0,(5-Pipeline!$E$17+1)/MAX(Pipeline!$F$17,1)))+Pipeline!$S$18*Pipeline!$D$18*MIN(1,MAX(0,(5-Pipeline!$E$18+1)/MAX(Pipeline!$F$18,1)))+Pipeline!$S$19*Pipeline!$D$19*MIN(1,MAX(0,(5-Pipeline!$E$19+1)/MAX(Pipeline!$F$19,1)))+Pipeline!$S$20*Pipeline!$D$20*MIN(1,MAX(0,(5-Pipeline!$E$20+1)/MAX(Pipeline!$F$20,1)))+Pipeline!$S$21*Pipeline!$D$21*MIN(1,MAX(0,(5-Pipeline!$E$21+1)/MAX(Pipeline!$F$21,1)))+Pipeline!$S$22*Pipeline!$D$22*MIN(1,MAX(0,(5-Pipeline!$E$22+1)/MAX(Pipeline!$F$22,1)))</f>
        <v>144.855</v>
      </c>
      <c r="H20" s="119" t="n">
        <f aca="false">Pipeline!$S$16*Pipeline!$D$16*MIN(1,MAX(0,(6-Pipeline!$E$16+1)/MAX(Pipeline!$F$16,1)))+Pipeline!$S$17*Pipeline!$D$17*MIN(1,MAX(0,(6-Pipeline!$E$17+1)/MAX(Pipeline!$F$17,1)))+Pipeline!$S$18*Pipeline!$D$18*MIN(1,MAX(0,(6-Pipeline!$E$18+1)/MAX(Pipeline!$F$18,1)))+Pipeline!$S$19*Pipeline!$D$19*MIN(1,MAX(0,(6-Pipeline!$E$19+1)/MAX(Pipeline!$F$19,1)))+Pipeline!$S$20*Pipeline!$D$20*MIN(1,MAX(0,(6-Pipeline!$E$20+1)/MAX(Pipeline!$F$20,1)))+Pipeline!$S$21*Pipeline!$D$21*MIN(1,MAX(0,(6-Pipeline!$E$21+1)/MAX(Pipeline!$F$21,1)))+Pipeline!$S$22*Pipeline!$D$22*MIN(1,MAX(0,(6-Pipeline!$E$22+1)/MAX(Pipeline!$F$22,1)))</f>
        <v>208.03875</v>
      </c>
      <c r="I20" s="119" t="n">
        <f aca="false">Pipeline!$S$16*Pipeline!$D$16*MIN(1,MAX(0,(7-Pipeline!$E$16+1)/MAX(Pipeline!$F$16,1)))+Pipeline!$S$17*Pipeline!$D$17*MIN(1,MAX(0,(7-Pipeline!$E$17+1)/MAX(Pipeline!$F$17,1)))+Pipeline!$S$18*Pipeline!$D$18*MIN(1,MAX(0,(7-Pipeline!$E$18+1)/MAX(Pipeline!$F$18,1)))+Pipeline!$S$19*Pipeline!$D$19*MIN(1,MAX(0,(7-Pipeline!$E$19+1)/MAX(Pipeline!$F$19,1)))+Pipeline!$S$20*Pipeline!$D$20*MIN(1,MAX(0,(7-Pipeline!$E$20+1)/MAX(Pipeline!$F$20,1)))+Pipeline!$S$21*Pipeline!$D$21*MIN(1,MAX(0,(7-Pipeline!$E$21+1)/MAX(Pipeline!$F$21,1)))+Pipeline!$S$22*Pipeline!$D$22*MIN(1,MAX(0,(7-Pipeline!$E$22+1)/MAX(Pipeline!$F$22,1)))</f>
        <v>271.2225</v>
      </c>
      <c r="J20" s="119" t="n">
        <f aca="false">Pipeline!$S$16*Pipeline!$D$16*MIN(1,MAX(0,(8-Pipeline!$E$16+1)/MAX(Pipeline!$F$16,1)))+Pipeline!$S$17*Pipeline!$D$17*MIN(1,MAX(0,(8-Pipeline!$E$17+1)/MAX(Pipeline!$F$17,1)))+Pipeline!$S$18*Pipeline!$D$18*MIN(1,MAX(0,(8-Pipeline!$E$18+1)/MAX(Pipeline!$F$18,1)))+Pipeline!$S$19*Pipeline!$D$19*MIN(1,MAX(0,(8-Pipeline!$E$19+1)/MAX(Pipeline!$F$19,1)))+Pipeline!$S$20*Pipeline!$D$20*MIN(1,MAX(0,(8-Pipeline!$E$20+1)/MAX(Pipeline!$F$20,1)))+Pipeline!$S$21*Pipeline!$D$21*MIN(1,MAX(0,(8-Pipeline!$E$21+1)/MAX(Pipeline!$F$21,1)))+Pipeline!$S$22*Pipeline!$D$22*MIN(1,MAX(0,(8-Pipeline!$E$22+1)/MAX(Pipeline!$F$22,1)))</f>
        <v>334.40625</v>
      </c>
      <c r="K20" s="119" t="n">
        <f aca="false">Pipeline!$S$16*Pipeline!$D$16*MIN(1,MAX(0,(9-Pipeline!$E$16+1)/MAX(Pipeline!$F$16,1)))+Pipeline!$S$17*Pipeline!$D$17*MIN(1,MAX(0,(9-Pipeline!$E$17+1)/MAX(Pipeline!$F$17,1)))+Pipeline!$S$18*Pipeline!$D$18*MIN(1,MAX(0,(9-Pipeline!$E$18+1)/MAX(Pipeline!$F$18,1)))+Pipeline!$S$19*Pipeline!$D$19*MIN(1,MAX(0,(9-Pipeline!$E$19+1)/MAX(Pipeline!$F$19,1)))+Pipeline!$S$20*Pipeline!$D$20*MIN(1,MAX(0,(9-Pipeline!$E$20+1)/MAX(Pipeline!$F$20,1)))+Pipeline!$S$21*Pipeline!$D$21*MIN(1,MAX(0,(9-Pipeline!$E$21+1)/MAX(Pipeline!$F$21,1)))+Pipeline!$S$22*Pipeline!$D$22*MIN(1,MAX(0,(9-Pipeline!$E$22+1)/MAX(Pipeline!$F$22,1)))</f>
        <v>397.59</v>
      </c>
      <c r="L20" s="119" t="n">
        <f aca="false">Pipeline!$S$16*Pipeline!$D$16*MIN(1,MAX(0,(10-Pipeline!$E$16+1)/MAX(Pipeline!$F$16,1)))+Pipeline!$S$17*Pipeline!$D$17*MIN(1,MAX(0,(10-Pipeline!$E$17+1)/MAX(Pipeline!$F$17,1)))+Pipeline!$S$18*Pipeline!$D$18*MIN(1,MAX(0,(10-Pipeline!$E$18+1)/MAX(Pipeline!$F$18,1)))+Pipeline!$S$19*Pipeline!$D$19*MIN(1,MAX(0,(10-Pipeline!$E$19+1)/MAX(Pipeline!$F$19,1)))+Pipeline!$S$20*Pipeline!$D$20*MIN(1,MAX(0,(10-Pipeline!$E$20+1)/MAX(Pipeline!$F$20,1)))+Pipeline!$S$21*Pipeline!$D$21*MIN(1,MAX(0,(10-Pipeline!$E$21+1)/MAX(Pipeline!$F$21,1)))+Pipeline!$S$22*Pipeline!$D$22*MIN(1,MAX(0,(10-Pipeline!$E$22+1)/MAX(Pipeline!$F$22,1)))</f>
        <v>460.77375</v>
      </c>
      <c r="M20" s="119" t="n">
        <f aca="false">Pipeline!$S$16*Pipeline!$D$16*MIN(1,MAX(0,(11-Pipeline!$E$16+1)/MAX(Pipeline!$F$16,1)))+Pipeline!$S$17*Pipeline!$D$17*MIN(1,MAX(0,(11-Pipeline!$E$17+1)/MAX(Pipeline!$F$17,1)))+Pipeline!$S$18*Pipeline!$D$18*MIN(1,MAX(0,(11-Pipeline!$E$18+1)/MAX(Pipeline!$F$18,1)))+Pipeline!$S$19*Pipeline!$D$19*MIN(1,MAX(0,(11-Pipeline!$E$19+1)/MAX(Pipeline!$F$19,1)))+Pipeline!$S$20*Pipeline!$D$20*MIN(1,MAX(0,(11-Pipeline!$E$20+1)/MAX(Pipeline!$F$20,1)))+Pipeline!$S$21*Pipeline!$D$21*MIN(1,MAX(0,(11-Pipeline!$E$21+1)/MAX(Pipeline!$F$21,1)))+Pipeline!$S$22*Pipeline!$D$22*MIN(1,MAX(0,(11-Pipeline!$E$22+1)/MAX(Pipeline!$F$22,1)))</f>
        <v>490.68</v>
      </c>
      <c r="N20" s="119" t="n">
        <f aca="false">Pipeline!$S$16*Pipeline!$D$16*MIN(1,MAX(0,(12-Pipeline!$E$16+1)/MAX(Pipeline!$F$16,1)))+Pipeline!$S$17*Pipeline!$D$17*MIN(1,MAX(0,(12-Pipeline!$E$17+1)/MAX(Pipeline!$F$17,1)))+Pipeline!$S$18*Pipeline!$D$18*MIN(1,MAX(0,(12-Pipeline!$E$18+1)/MAX(Pipeline!$F$18,1)))+Pipeline!$S$19*Pipeline!$D$19*MIN(1,MAX(0,(12-Pipeline!$E$19+1)/MAX(Pipeline!$F$19,1)))+Pipeline!$S$20*Pipeline!$D$20*MIN(1,MAX(0,(12-Pipeline!$E$20+1)/MAX(Pipeline!$F$20,1)))+Pipeline!$S$21*Pipeline!$D$21*MIN(1,MAX(0,(12-Pipeline!$E$21+1)/MAX(Pipeline!$F$21,1)))+Pipeline!$S$22*Pipeline!$D$22*MIN(1,MAX(0,(12-Pipeline!$E$22+1)/MAX(Pipeline!$F$22,1)))</f>
        <v>564.08625</v>
      </c>
      <c r="O20" s="119" t="n">
        <f aca="false">Pipeline!$S$16*Pipeline!$D$16*MIN(1,MAX(0,(13-Pipeline!$E$16+1)/MAX(Pipeline!$F$16,1)))+Pipeline!$S$17*Pipeline!$D$17*MIN(1,MAX(0,(13-Pipeline!$E$17+1)/MAX(Pipeline!$F$17,1)))+Pipeline!$S$18*Pipeline!$D$18*MIN(1,MAX(0,(13-Pipeline!$E$18+1)/MAX(Pipeline!$F$18,1)))+Pipeline!$S$19*Pipeline!$D$19*MIN(1,MAX(0,(13-Pipeline!$E$19+1)/MAX(Pipeline!$F$19,1)))+Pipeline!$S$20*Pipeline!$D$20*MIN(1,MAX(0,(13-Pipeline!$E$20+1)/MAX(Pipeline!$F$20,1)))+Pipeline!$S$21*Pipeline!$D$21*MIN(1,MAX(0,(13-Pipeline!$E$21+1)/MAX(Pipeline!$F$21,1)))+Pipeline!$S$22*Pipeline!$D$22*MIN(1,MAX(0,(13-Pipeline!$E$22+1)/MAX(Pipeline!$F$22,1)))</f>
        <v>637.4925</v>
      </c>
      <c r="P20" s="119" t="n">
        <f aca="false">Pipeline!$S$16*Pipeline!$D$16*MIN(1,MAX(0,(14-Pipeline!$E$16+1)/MAX(Pipeline!$F$16,1)))+Pipeline!$S$17*Pipeline!$D$17*MIN(1,MAX(0,(14-Pipeline!$E$17+1)/MAX(Pipeline!$F$17,1)))+Pipeline!$S$18*Pipeline!$D$18*MIN(1,MAX(0,(14-Pipeline!$E$18+1)/MAX(Pipeline!$F$18,1)))+Pipeline!$S$19*Pipeline!$D$19*MIN(1,MAX(0,(14-Pipeline!$E$19+1)/MAX(Pipeline!$F$19,1)))+Pipeline!$S$20*Pipeline!$D$20*MIN(1,MAX(0,(14-Pipeline!$E$20+1)/MAX(Pipeline!$F$20,1)))+Pipeline!$S$21*Pipeline!$D$21*MIN(1,MAX(0,(14-Pipeline!$E$21+1)/MAX(Pipeline!$F$21,1)))+Pipeline!$S$22*Pipeline!$D$22*MIN(1,MAX(0,(14-Pipeline!$E$22+1)/MAX(Pipeline!$F$22,1)))</f>
        <v>698.3925</v>
      </c>
      <c r="Q20" s="119" t="n">
        <f aca="false">Pipeline!$S$16*Pipeline!$D$16*MIN(1,MAX(0,(15-Pipeline!$E$16+1)/MAX(Pipeline!$F$16,1)))+Pipeline!$S$17*Pipeline!$D$17*MIN(1,MAX(0,(15-Pipeline!$E$17+1)/MAX(Pipeline!$F$17,1)))+Pipeline!$S$18*Pipeline!$D$18*MIN(1,MAX(0,(15-Pipeline!$E$18+1)/MAX(Pipeline!$F$18,1)))+Pipeline!$S$19*Pipeline!$D$19*MIN(1,MAX(0,(15-Pipeline!$E$19+1)/MAX(Pipeline!$F$19,1)))+Pipeline!$S$20*Pipeline!$D$20*MIN(1,MAX(0,(15-Pipeline!$E$20+1)/MAX(Pipeline!$F$20,1)))+Pipeline!$S$21*Pipeline!$D$21*MIN(1,MAX(0,(15-Pipeline!$E$21+1)/MAX(Pipeline!$F$21,1)))+Pipeline!$S$22*Pipeline!$D$22*MIN(1,MAX(0,(15-Pipeline!$E$22+1)/MAX(Pipeline!$F$22,1)))</f>
        <v>759.2925</v>
      </c>
      <c r="R20" s="119" t="n">
        <f aca="false">Pipeline!$S$16*Pipeline!$D$16*MIN(1,MAX(0,(16-Pipeline!$E$16+1)/MAX(Pipeline!$F$16,1)))+Pipeline!$S$17*Pipeline!$D$17*MIN(1,MAX(0,(16-Pipeline!$E$17+1)/MAX(Pipeline!$F$17,1)))+Pipeline!$S$18*Pipeline!$D$18*MIN(1,MAX(0,(16-Pipeline!$E$18+1)/MAX(Pipeline!$F$18,1)))+Pipeline!$S$19*Pipeline!$D$19*MIN(1,MAX(0,(16-Pipeline!$E$19+1)/MAX(Pipeline!$F$19,1)))+Pipeline!$S$20*Pipeline!$D$20*MIN(1,MAX(0,(16-Pipeline!$E$20+1)/MAX(Pipeline!$F$20,1)))+Pipeline!$S$21*Pipeline!$D$21*MIN(1,MAX(0,(16-Pipeline!$E$21+1)/MAX(Pipeline!$F$21,1)))+Pipeline!$S$22*Pipeline!$D$22*MIN(1,MAX(0,(16-Pipeline!$E$22+1)/MAX(Pipeline!$F$22,1)))</f>
        <v>820.1925</v>
      </c>
      <c r="S20" s="119" t="n">
        <f aca="false">Pipeline!$S$16*Pipeline!$D$16*MIN(1,MAX(0,(17-Pipeline!$E$16+1)/MAX(Pipeline!$F$16,1)))+Pipeline!$S$17*Pipeline!$D$17*MIN(1,MAX(0,(17-Pipeline!$E$17+1)/MAX(Pipeline!$F$17,1)))+Pipeline!$S$18*Pipeline!$D$18*MIN(1,MAX(0,(17-Pipeline!$E$18+1)/MAX(Pipeline!$F$18,1)))+Pipeline!$S$19*Pipeline!$D$19*MIN(1,MAX(0,(17-Pipeline!$E$19+1)/MAX(Pipeline!$F$19,1)))+Pipeline!$S$20*Pipeline!$D$20*MIN(1,MAX(0,(17-Pipeline!$E$20+1)/MAX(Pipeline!$F$20,1)))+Pipeline!$S$21*Pipeline!$D$21*MIN(1,MAX(0,(17-Pipeline!$E$21+1)/MAX(Pipeline!$F$21,1)))+Pipeline!$S$22*Pipeline!$D$22*MIN(1,MAX(0,(17-Pipeline!$E$22+1)/MAX(Pipeline!$F$22,1)))</f>
        <v>881.0925</v>
      </c>
      <c r="T20" s="119" t="n">
        <f aca="false">Pipeline!$S$16*Pipeline!$D$16*MIN(1,MAX(0,(18-Pipeline!$E$16+1)/MAX(Pipeline!$F$16,1)))+Pipeline!$S$17*Pipeline!$D$17*MIN(1,MAX(0,(18-Pipeline!$E$17+1)/MAX(Pipeline!$F$17,1)))+Pipeline!$S$18*Pipeline!$D$18*MIN(1,MAX(0,(18-Pipeline!$E$18+1)/MAX(Pipeline!$F$18,1)))+Pipeline!$S$19*Pipeline!$D$19*MIN(1,MAX(0,(18-Pipeline!$E$19+1)/MAX(Pipeline!$F$19,1)))+Pipeline!$S$20*Pipeline!$D$20*MIN(1,MAX(0,(18-Pipeline!$E$20+1)/MAX(Pipeline!$F$20,1)))+Pipeline!$S$21*Pipeline!$D$21*MIN(1,MAX(0,(18-Pipeline!$E$21+1)/MAX(Pipeline!$F$21,1)))+Pipeline!$S$22*Pipeline!$D$22*MIN(1,MAX(0,(18-Pipeline!$E$22+1)/MAX(Pipeline!$F$22,1)))</f>
        <v>941.9925</v>
      </c>
      <c r="U20" s="119" t="n">
        <f aca="false">Pipeline!$S$16*Pipeline!$D$16*MIN(1,MAX(0,(19-Pipeline!$E$16+1)/MAX(Pipeline!$F$16,1)))+Pipeline!$S$17*Pipeline!$D$17*MIN(1,MAX(0,(19-Pipeline!$E$17+1)/MAX(Pipeline!$F$17,1)))+Pipeline!$S$18*Pipeline!$D$18*MIN(1,MAX(0,(19-Pipeline!$E$18+1)/MAX(Pipeline!$F$18,1)))+Pipeline!$S$19*Pipeline!$D$19*MIN(1,MAX(0,(19-Pipeline!$E$19+1)/MAX(Pipeline!$F$19,1)))+Pipeline!$S$20*Pipeline!$D$20*MIN(1,MAX(0,(19-Pipeline!$E$20+1)/MAX(Pipeline!$F$20,1)))+Pipeline!$S$21*Pipeline!$D$21*MIN(1,MAX(0,(19-Pipeline!$E$21+1)/MAX(Pipeline!$F$21,1)))+Pipeline!$S$22*Pipeline!$D$22*MIN(1,MAX(0,(19-Pipeline!$E$22+1)/MAX(Pipeline!$F$22,1)))</f>
        <v>1002.8925</v>
      </c>
      <c r="V20" s="119" t="n">
        <f aca="false">Pipeline!$S$16*Pipeline!$D$16*MIN(1,MAX(0,(20-Pipeline!$E$16+1)/MAX(Pipeline!$F$16,1)))+Pipeline!$S$17*Pipeline!$D$17*MIN(1,MAX(0,(20-Pipeline!$E$17+1)/MAX(Pipeline!$F$17,1)))+Pipeline!$S$18*Pipeline!$D$18*MIN(1,MAX(0,(20-Pipeline!$E$18+1)/MAX(Pipeline!$F$18,1)))+Pipeline!$S$19*Pipeline!$D$19*MIN(1,MAX(0,(20-Pipeline!$E$19+1)/MAX(Pipeline!$F$19,1)))+Pipeline!$S$20*Pipeline!$D$20*MIN(1,MAX(0,(20-Pipeline!$E$20+1)/MAX(Pipeline!$F$20,1)))+Pipeline!$S$21*Pipeline!$D$21*MIN(1,MAX(0,(20-Pipeline!$E$21+1)/MAX(Pipeline!$F$21,1)))+Pipeline!$S$22*Pipeline!$D$22*MIN(1,MAX(0,(20-Pipeline!$E$22+1)/MAX(Pipeline!$F$22,1)))</f>
        <v>1063.7925</v>
      </c>
      <c r="W20" s="119" t="n">
        <f aca="false">Pipeline!$S$16*Pipeline!$D$16*MIN(1,MAX(0,(21-Pipeline!$E$16+1)/MAX(Pipeline!$F$16,1)))+Pipeline!$S$17*Pipeline!$D$17*MIN(1,MAX(0,(21-Pipeline!$E$17+1)/MAX(Pipeline!$F$17,1)))+Pipeline!$S$18*Pipeline!$D$18*MIN(1,MAX(0,(21-Pipeline!$E$18+1)/MAX(Pipeline!$F$18,1)))+Pipeline!$S$19*Pipeline!$D$19*MIN(1,MAX(0,(21-Pipeline!$E$19+1)/MAX(Pipeline!$F$19,1)))+Pipeline!$S$20*Pipeline!$D$20*MIN(1,MAX(0,(21-Pipeline!$E$20+1)/MAX(Pipeline!$F$20,1)))+Pipeline!$S$21*Pipeline!$D$21*MIN(1,MAX(0,(21-Pipeline!$E$21+1)/MAX(Pipeline!$F$21,1)))+Pipeline!$S$22*Pipeline!$D$22*MIN(1,MAX(0,(21-Pipeline!$E$22+1)/MAX(Pipeline!$F$22,1)))</f>
        <v>1124.6925</v>
      </c>
      <c r="X20" s="119" t="n">
        <f aca="false">Pipeline!$S$16*Pipeline!$D$16*MIN(1,MAX(0,(22-Pipeline!$E$16+1)/MAX(Pipeline!$F$16,1)))+Pipeline!$S$17*Pipeline!$D$17*MIN(1,MAX(0,(22-Pipeline!$E$17+1)/MAX(Pipeline!$F$17,1)))+Pipeline!$S$18*Pipeline!$D$18*MIN(1,MAX(0,(22-Pipeline!$E$18+1)/MAX(Pipeline!$F$18,1)))+Pipeline!$S$19*Pipeline!$D$19*MIN(1,MAX(0,(22-Pipeline!$E$19+1)/MAX(Pipeline!$F$19,1)))+Pipeline!$S$20*Pipeline!$D$20*MIN(1,MAX(0,(22-Pipeline!$E$20+1)/MAX(Pipeline!$F$20,1)))+Pipeline!$S$21*Pipeline!$D$21*MIN(1,MAX(0,(22-Pipeline!$E$21+1)/MAX(Pipeline!$F$21,1)))+Pipeline!$S$22*Pipeline!$D$22*MIN(1,MAX(0,(22-Pipeline!$E$22+1)/MAX(Pipeline!$F$22,1)))</f>
        <v>1142.0925</v>
      </c>
      <c r="Y20" s="119" t="n">
        <f aca="false">Pipeline!$S$16*Pipeline!$D$16*MIN(1,MAX(0,(23-Pipeline!$E$16+1)/MAX(Pipeline!$F$16,1)))+Pipeline!$S$17*Pipeline!$D$17*MIN(1,MAX(0,(23-Pipeline!$E$17+1)/MAX(Pipeline!$F$17,1)))+Pipeline!$S$18*Pipeline!$D$18*MIN(1,MAX(0,(23-Pipeline!$E$18+1)/MAX(Pipeline!$F$18,1)))+Pipeline!$S$19*Pipeline!$D$19*MIN(1,MAX(0,(23-Pipeline!$E$19+1)/MAX(Pipeline!$F$19,1)))+Pipeline!$S$20*Pipeline!$D$20*MIN(1,MAX(0,(23-Pipeline!$E$20+1)/MAX(Pipeline!$F$20,1)))+Pipeline!$S$21*Pipeline!$D$21*MIN(1,MAX(0,(23-Pipeline!$E$21+1)/MAX(Pipeline!$F$21,1)))+Pipeline!$S$22*Pipeline!$D$22*MIN(1,MAX(0,(23-Pipeline!$E$22+1)/MAX(Pipeline!$F$22,1)))</f>
        <v>1159.4925</v>
      </c>
      <c r="Z20" s="119" t="n">
        <f aca="false">Pipeline!$S$16*Pipeline!$D$16*MIN(1,MAX(0,(24-Pipeline!$E$16+1)/MAX(Pipeline!$F$16,1)))+Pipeline!$S$17*Pipeline!$D$17*MIN(1,MAX(0,(24-Pipeline!$E$17+1)/MAX(Pipeline!$F$17,1)))+Pipeline!$S$18*Pipeline!$D$18*MIN(1,MAX(0,(24-Pipeline!$E$18+1)/MAX(Pipeline!$F$18,1)))+Pipeline!$S$19*Pipeline!$D$19*MIN(1,MAX(0,(24-Pipeline!$E$19+1)/MAX(Pipeline!$F$19,1)))+Pipeline!$S$20*Pipeline!$D$20*MIN(1,MAX(0,(24-Pipeline!$E$20+1)/MAX(Pipeline!$F$20,1)))+Pipeline!$S$21*Pipeline!$D$21*MIN(1,MAX(0,(24-Pipeline!$E$21+1)/MAX(Pipeline!$F$21,1)))+Pipeline!$S$22*Pipeline!$D$22*MIN(1,MAX(0,(24-Pipeline!$E$22+1)/MAX(Pipeline!$F$22,1)))</f>
        <v>1159.4925</v>
      </c>
      <c r="AA20" s="119" t="n">
        <f aca="false">Pipeline!$S$16*Pipeline!$D$16*MIN(1,MAX(0,(25-Pipeline!$E$16+1)/MAX(Pipeline!$F$16,1)))+Pipeline!$S$17*Pipeline!$D$17*MIN(1,MAX(0,(25-Pipeline!$E$17+1)/MAX(Pipeline!$F$17,1)))+Pipeline!$S$18*Pipeline!$D$18*MIN(1,MAX(0,(25-Pipeline!$E$18+1)/MAX(Pipeline!$F$18,1)))+Pipeline!$S$19*Pipeline!$D$19*MIN(1,MAX(0,(25-Pipeline!$E$19+1)/MAX(Pipeline!$F$19,1)))+Pipeline!$S$20*Pipeline!$D$20*MIN(1,MAX(0,(25-Pipeline!$E$20+1)/MAX(Pipeline!$F$20,1)))+Pipeline!$S$21*Pipeline!$D$21*MIN(1,MAX(0,(25-Pipeline!$E$21+1)/MAX(Pipeline!$F$21,1)))+Pipeline!$S$22*Pipeline!$D$22*MIN(1,MAX(0,(25-Pipeline!$E$22+1)/MAX(Pipeline!$F$22,1)))</f>
        <v>1159.4925</v>
      </c>
      <c r="AB20" s="119" t="n">
        <f aca="false">Pipeline!$S$16*Pipeline!$D$16*MIN(1,MAX(0,(26-Pipeline!$E$16+1)/MAX(Pipeline!$F$16,1)))+Pipeline!$S$17*Pipeline!$D$17*MIN(1,MAX(0,(26-Pipeline!$E$17+1)/MAX(Pipeline!$F$17,1)))+Pipeline!$S$18*Pipeline!$D$18*MIN(1,MAX(0,(26-Pipeline!$E$18+1)/MAX(Pipeline!$F$18,1)))+Pipeline!$S$19*Pipeline!$D$19*MIN(1,MAX(0,(26-Pipeline!$E$19+1)/MAX(Pipeline!$F$19,1)))+Pipeline!$S$20*Pipeline!$D$20*MIN(1,MAX(0,(26-Pipeline!$E$20+1)/MAX(Pipeline!$F$20,1)))+Pipeline!$S$21*Pipeline!$D$21*MIN(1,MAX(0,(26-Pipeline!$E$21+1)/MAX(Pipeline!$F$21,1)))+Pipeline!$S$22*Pipeline!$D$22*MIN(1,MAX(0,(26-Pipeline!$E$22+1)/MAX(Pipeline!$F$22,1)))</f>
        <v>1159.4925</v>
      </c>
      <c r="AC20" s="119" t="n">
        <f aca="false">Pipeline!$S$16*Pipeline!$D$16*MIN(1,MAX(0,(27-Pipeline!$E$16+1)/MAX(Pipeline!$F$16,1)))+Pipeline!$S$17*Pipeline!$D$17*MIN(1,MAX(0,(27-Pipeline!$E$17+1)/MAX(Pipeline!$F$17,1)))+Pipeline!$S$18*Pipeline!$D$18*MIN(1,MAX(0,(27-Pipeline!$E$18+1)/MAX(Pipeline!$F$18,1)))+Pipeline!$S$19*Pipeline!$D$19*MIN(1,MAX(0,(27-Pipeline!$E$19+1)/MAX(Pipeline!$F$19,1)))+Pipeline!$S$20*Pipeline!$D$20*MIN(1,MAX(0,(27-Pipeline!$E$20+1)/MAX(Pipeline!$F$20,1)))+Pipeline!$S$21*Pipeline!$D$21*MIN(1,MAX(0,(27-Pipeline!$E$21+1)/MAX(Pipeline!$F$21,1)))+Pipeline!$S$22*Pipeline!$D$22*MIN(1,MAX(0,(27-Pipeline!$E$22+1)/MAX(Pipeline!$F$22,1)))</f>
        <v>1159.4925</v>
      </c>
      <c r="AD20" s="119" t="n">
        <f aca="false">Pipeline!$S$16*Pipeline!$D$16*MIN(1,MAX(0,(28-Pipeline!$E$16+1)/MAX(Pipeline!$F$16,1)))+Pipeline!$S$17*Pipeline!$D$17*MIN(1,MAX(0,(28-Pipeline!$E$17+1)/MAX(Pipeline!$F$17,1)))+Pipeline!$S$18*Pipeline!$D$18*MIN(1,MAX(0,(28-Pipeline!$E$18+1)/MAX(Pipeline!$F$18,1)))+Pipeline!$S$19*Pipeline!$D$19*MIN(1,MAX(0,(28-Pipeline!$E$19+1)/MAX(Pipeline!$F$19,1)))+Pipeline!$S$20*Pipeline!$D$20*MIN(1,MAX(0,(28-Pipeline!$E$20+1)/MAX(Pipeline!$F$20,1)))+Pipeline!$S$21*Pipeline!$D$21*MIN(1,MAX(0,(28-Pipeline!$E$21+1)/MAX(Pipeline!$F$21,1)))+Pipeline!$S$22*Pipeline!$D$22*MIN(1,MAX(0,(28-Pipeline!$E$22+1)/MAX(Pipeline!$F$22,1)))</f>
        <v>1159.4925</v>
      </c>
      <c r="AE20" s="119" t="n">
        <f aca="false">Pipeline!$S$16*Pipeline!$D$16*MIN(1,MAX(0,(29-Pipeline!$E$16+1)/MAX(Pipeline!$F$16,1)))+Pipeline!$S$17*Pipeline!$D$17*MIN(1,MAX(0,(29-Pipeline!$E$17+1)/MAX(Pipeline!$F$17,1)))+Pipeline!$S$18*Pipeline!$D$18*MIN(1,MAX(0,(29-Pipeline!$E$18+1)/MAX(Pipeline!$F$18,1)))+Pipeline!$S$19*Pipeline!$D$19*MIN(1,MAX(0,(29-Pipeline!$E$19+1)/MAX(Pipeline!$F$19,1)))+Pipeline!$S$20*Pipeline!$D$20*MIN(1,MAX(0,(29-Pipeline!$E$20+1)/MAX(Pipeline!$F$20,1)))+Pipeline!$S$21*Pipeline!$D$21*MIN(1,MAX(0,(29-Pipeline!$E$21+1)/MAX(Pipeline!$F$21,1)))+Pipeline!$S$22*Pipeline!$D$22*MIN(1,MAX(0,(29-Pipeline!$E$22+1)/MAX(Pipeline!$F$22,1)))</f>
        <v>1159.4925</v>
      </c>
      <c r="AF20" s="119" t="n">
        <f aca="false">Pipeline!$S$16*Pipeline!$D$16*MIN(1,MAX(0,(30-Pipeline!$E$16+1)/MAX(Pipeline!$F$16,1)))+Pipeline!$S$17*Pipeline!$D$17*MIN(1,MAX(0,(30-Pipeline!$E$17+1)/MAX(Pipeline!$F$17,1)))+Pipeline!$S$18*Pipeline!$D$18*MIN(1,MAX(0,(30-Pipeline!$E$18+1)/MAX(Pipeline!$F$18,1)))+Pipeline!$S$19*Pipeline!$D$19*MIN(1,MAX(0,(30-Pipeline!$E$19+1)/MAX(Pipeline!$F$19,1)))+Pipeline!$S$20*Pipeline!$D$20*MIN(1,MAX(0,(30-Pipeline!$E$20+1)/MAX(Pipeline!$F$20,1)))+Pipeline!$S$21*Pipeline!$D$21*MIN(1,MAX(0,(30-Pipeline!$E$21+1)/MAX(Pipeline!$F$21,1)))+Pipeline!$S$22*Pipeline!$D$22*MIN(1,MAX(0,(30-Pipeline!$E$22+1)/MAX(Pipeline!$F$22,1)))</f>
        <v>1159.4925</v>
      </c>
      <c r="AG20" s="119" t="n">
        <f aca="false">Pipeline!$S$16*Pipeline!$D$16*MIN(1,MAX(0,(31-Pipeline!$E$16+1)/MAX(Pipeline!$F$16,1)))+Pipeline!$S$17*Pipeline!$D$17*MIN(1,MAX(0,(31-Pipeline!$E$17+1)/MAX(Pipeline!$F$17,1)))+Pipeline!$S$18*Pipeline!$D$18*MIN(1,MAX(0,(31-Pipeline!$E$18+1)/MAX(Pipeline!$F$18,1)))+Pipeline!$S$19*Pipeline!$D$19*MIN(1,MAX(0,(31-Pipeline!$E$19+1)/MAX(Pipeline!$F$19,1)))+Pipeline!$S$20*Pipeline!$D$20*MIN(1,MAX(0,(31-Pipeline!$E$20+1)/MAX(Pipeline!$F$20,1)))+Pipeline!$S$21*Pipeline!$D$21*MIN(1,MAX(0,(31-Pipeline!$E$21+1)/MAX(Pipeline!$F$21,1)))+Pipeline!$S$22*Pipeline!$D$22*MIN(1,MAX(0,(31-Pipeline!$E$22+1)/MAX(Pipeline!$F$22,1)))</f>
        <v>1159.4925</v>
      </c>
      <c r="AH20" s="119" t="n">
        <f aca="false">Pipeline!$S$16*Pipeline!$D$16*MIN(1,MAX(0,(32-Pipeline!$E$16+1)/MAX(Pipeline!$F$16,1)))+Pipeline!$S$17*Pipeline!$D$17*MIN(1,MAX(0,(32-Pipeline!$E$17+1)/MAX(Pipeline!$F$17,1)))+Pipeline!$S$18*Pipeline!$D$18*MIN(1,MAX(0,(32-Pipeline!$E$18+1)/MAX(Pipeline!$F$18,1)))+Pipeline!$S$19*Pipeline!$D$19*MIN(1,MAX(0,(32-Pipeline!$E$19+1)/MAX(Pipeline!$F$19,1)))+Pipeline!$S$20*Pipeline!$D$20*MIN(1,MAX(0,(32-Pipeline!$E$20+1)/MAX(Pipeline!$F$20,1)))+Pipeline!$S$21*Pipeline!$D$21*MIN(1,MAX(0,(32-Pipeline!$E$21+1)/MAX(Pipeline!$F$21,1)))+Pipeline!$S$22*Pipeline!$D$22*MIN(1,MAX(0,(32-Pipeline!$E$22+1)/MAX(Pipeline!$F$22,1)))</f>
        <v>1159.4925</v>
      </c>
      <c r="AI20" s="119" t="n">
        <f aca="false">Pipeline!$S$16*Pipeline!$D$16*MIN(1,MAX(0,(33-Pipeline!$E$16+1)/MAX(Pipeline!$F$16,1)))+Pipeline!$S$17*Pipeline!$D$17*MIN(1,MAX(0,(33-Pipeline!$E$17+1)/MAX(Pipeline!$F$17,1)))+Pipeline!$S$18*Pipeline!$D$18*MIN(1,MAX(0,(33-Pipeline!$E$18+1)/MAX(Pipeline!$F$18,1)))+Pipeline!$S$19*Pipeline!$D$19*MIN(1,MAX(0,(33-Pipeline!$E$19+1)/MAX(Pipeline!$F$19,1)))+Pipeline!$S$20*Pipeline!$D$20*MIN(1,MAX(0,(33-Pipeline!$E$20+1)/MAX(Pipeline!$F$20,1)))+Pipeline!$S$21*Pipeline!$D$21*MIN(1,MAX(0,(33-Pipeline!$E$21+1)/MAX(Pipeline!$F$21,1)))+Pipeline!$S$22*Pipeline!$D$22*MIN(1,MAX(0,(33-Pipeline!$E$22+1)/MAX(Pipeline!$F$22,1)))</f>
        <v>1159.4925</v>
      </c>
      <c r="AJ20" s="119" t="n">
        <f aca="false">Pipeline!$S$16*Pipeline!$D$16*MIN(1,MAX(0,(34-Pipeline!$E$16+1)/MAX(Pipeline!$F$16,1)))+Pipeline!$S$17*Pipeline!$D$17*MIN(1,MAX(0,(34-Pipeline!$E$17+1)/MAX(Pipeline!$F$17,1)))+Pipeline!$S$18*Pipeline!$D$18*MIN(1,MAX(0,(34-Pipeline!$E$18+1)/MAX(Pipeline!$F$18,1)))+Pipeline!$S$19*Pipeline!$D$19*MIN(1,MAX(0,(34-Pipeline!$E$19+1)/MAX(Pipeline!$F$19,1)))+Pipeline!$S$20*Pipeline!$D$20*MIN(1,MAX(0,(34-Pipeline!$E$20+1)/MAX(Pipeline!$F$20,1)))+Pipeline!$S$21*Pipeline!$D$21*MIN(1,MAX(0,(34-Pipeline!$E$21+1)/MAX(Pipeline!$F$21,1)))+Pipeline!$S$22*Pipeline!$D$22*MIN(1,MAX(0,(34-Pipeline!$E$22+1)/MAX(Pipeline!$F$22,1)))</f>
        <v>1159.4925</v>
      </c>
      <c r="AK20" s="119" t="n">
        <f aca="false">Pipeline!$S$16*Pipeline!$D$16*MIN(1,MAX(0,(35-Pipeline!$E$16+1)/MAX(Pipeline!$F$16,1)))+Pipeline!$S$17*Pipeline!$D$17*MIN(1,MAX(0,(35-Pipeline!$E$17+1)/MAX(Pipeline!$F$17,1)))+Pipeline!$S$18*Pipeline!$D$18*MIN(1,MAX(0,(35-Pipeline!$E$18+1)/MAX(Pipeline!$F$18,1)))+Pipeline!$S$19*Pipeline!$D$19*MIN(1,MAX(0,(35-Pipeline!$E$19+1)/MAX(Pipeline!$F$19,1)))+Pipeline!$S$20*Pipeline!$D$20*MIN(1,MAX(0,(35-Pipeline!$E$20+1)/MAX(Pipeline!$F$20,1)))+Pipeline!$S$21*Pipeline!$D$21*MIN(1,MAX(0,(35-Pipeline!$E$21+1)/MAX(Pipeline!$F$21,1)))+Pipeline!$S$22*Pipeline!$D$22*MIN(1,MAX(0,(35-Pipeline!$E$22+1)/MAX(Pipeline!$F$22,1)))</f>
        <v>1159.4925</v>
      </c>
      <c r="AL20" s="119" t="n">
        <f aca="false">Pipeline!$S$16*Pipeline!$D$16*MIN(1,MAX(0,(36-Pipeline!$E$16+1)/MAX(Pipeline!$F$16,1)))+Pipeline!$S$17*Pipeline!$D$17*MIN(1,MAX(0,(36-Pipeline!$E$17+1)/MAX(Pipeline!$F$17,1)))+Pipeline!$S$18*Pipeline!$D$18*MIN(1,MAX(0,(36-Pipeline!$E$18+1)/MAX(Pipeline!$F$18,1)))+Pipeline!$S$19*Pipeline!$D$19*MIN(1,MAX(0,(36-Pipeline!$E$19+1)/MAX(Pipeline!$F$19,1)))+Pipeline!$S$20*Pipeline!$D$20*MIN(1,MAX(0,(36-Pipeline!$E$20+1)/MAX(Pipeline!$F$20,1)))+Pipeline!$S$21*Pipeline!$D$21*MIN(1,MAX(0,(36-Pipeline!$E$21+1)/MAX(Pipeline!$F$21,1)))+Pipeline!$S$22*Pipeline!$D$22*MIN(1,MAX(0,(36-Pipeline!$E$22+1)/MAX(Pipeline!$F$22,1)))</f>
        <v>1159.4925</v>
      </c>
      <c r="AM20" s="119" t="n">
        <f aca="false">Pipeline!$S$16*Pipeline!$D$16*MIN(1,MAX(0,(37-Pipeline!$E$16+1)/MAX(Pipeline!$F$16,1)))+Pipeline!$S$17*Pipeline!$D$17*MIN(1,MAX(0,(37-Pipeline!$E$17+1)/MAX(Pipeline!$F$17,1)))+Pipeline!$S$18*Pipeline!$D$18*MIN(1,MAX(0,(37-Pipeline!$E$18+1)/MAX(Pipeline!$F$18,1)))+Pipeline!$S$19*Pipeline!$D$19*MIN(1,MAX(0,(37-Pipeline!$E$19+1)/MAX(Pipeline!$F$19,1)))+Pipeline!$S$20*Pipeline!$D$20*MIN(1,MAX(0,(37-Pipeline!$E$20+1)/MAX(Pipeline!$F$20,1)))+Pipeline!$S$21*Pipeline!$D$21*MIN(1,MAX(0,(37-Pipeline!$E$21+1)/MAX(Pipeline!$F$21,1)))+Pipeline!$S$22*Pipeline!$D$22*MIN(1,MAX(0,(37-Pipeline!$E$22+1)/MAX(Pipeline!$F$22,1)))</f>
        <v>1159.4925</v>
      </c>
      <c r="AN20" s="119" t="n">
        <f aca="false">Pipeline!$S$16*Pipeline!$D$16*MIN(1,MAX(0,(38-Pipeline!$E$16+1)/MAX(Pipeline!$F$16,1)))+Pipeline!$S$17*Pipeline!$D$17*MIN(1,MAX(0,(38-Pipeline!$E$17+1)/MAX(Pipeline!$F$17,1)))+Pipeline!$S$18*Pipeline!$D$18*MIN(1,MAX(0,(38-Pipeline!$E$18+1)/MAX(Pipeline!$F$18,1)))+Pipeline!$S$19*Pipeline!$D$19*MIN(1,MAX(0,(38-Pipeline!$E$19+1)/MAX(Pipeline!$F$19,1)))+Pipeline!$S$20*Pipeline!$D$20*MIN(1,MAX(0,(38-Pipeline!$E$20+1)/MAX(Pipeline!$F$20,1)))+Pipeline!$S$21*Pipeline!$D$21*MIN(1,MAX(0,(38-Pipeline!$E$21+1)/MAX(Pipeline!$F$21,1)))+Pipeline!$S$22*Pipeline!$D$22*MIN(1,MAX(0,(38-Pipeline!$E$22+1)/MAX(Pipeline!$F$22,1)))</f>
        <v>1159.4925</v>
      </c>
      <c r="AO20" s="119" t="n">
        <f aca="false">Pipeline!$S$16*Pipeline!$D$16*MIN(1,MAX(0,(39-Pipeline!$E$16+1)/MAX(Pipeline!$F$16,1)))+Pipeline!$S$17*Pipeline!$D$17*MIN(1,MAX(0,(39-Pipeline!$E$17+1)/MAX(Pipeline!$F$17,1)))+Pipeline!$S$18*Pipeline!$D$18*MIN(1,MAX(0,(39-Pipeline!$E$18+1)/MAX(Pipeline!$F$18,1)))+Pipeline!$S$19*Pipeline!$D$19*MIN(1,MAX(0,(39-Pipeline!$E$19+1)/MAX(Pipeline!$F$19,1)))+Pipeline!$S$20*Pipeline!$D$20*MIN(1,MAX(0,(39-Pipeline!$E$20+1)/MAX(Pipeline!$F$20,1)))+Pipeline!$S$21*Pipeline!$D$21*MIN(1,MAX(0,(39-Pipeline!$E$21+1)/MAX(Pipeline!$F$21,1)))+Pipeline!$S$22*Pipeline!$D$22*MIN(1,MAX(0,(39-Pipeline!$E$22+1)/MAX(Pipeline!$F$22,1)))</f>
        <v>1159.4925</v>
      </c>
      <c r="AP20" s="119" t="n">
        <f aca="false">Pipeline!$S$16*Pipeline!$D$16*MIN(1,MAX(0,(40-Pipeline!$E$16+1)/MAX(Pipeline!$F$16,1)))+Pipeline!$S$17*Pipeline!$D$17*MIN(1,MAX(0,(40-Pipeline!$E$17+1)/MAX(Pipeline!$F$17,1)))+Pipeline!$S$18*Pipeline!$D$18*MIN(1,MAX(0,(40-Pipeline!$E$18+1)/MAX(Pipeline!$F$18,1)))+Pipeline!$S$19*Pipeline!$D$19*MIN(1,MAX(0,(40-Pipeline!$E$19+1)/MAX(Pipeline!$F$19,1)))+Pipeline!$S$20*Pipeline!$D$20*MIN(1,MAX(0,(40-Pipeline!$E$20+1)/MAX(Pipeline!$F$20,1)))+Pipeline!$S$21*Pipeline!$D$21*MIN(1,MAX(0,(40-Pipeline!$E$21+1)/MAX(Pipeline!$F$21,1)))+Pipeline!$S$22*Pipeline!$D$22*MIN(1,MAX(0,(40-Pipeline!$E$22+1)/MAX(Pipeline!$F$22,1)))</f>
        <v>1159.4925</v>
      </c>
      <c r="AQ20" s="119" t="n">
        <f aca="false">Pipeline!$S$16*Pipeline!$D$16*MIN(1,MAX(0,(41-Pipeline!$E$16+1)/MAX(Pipeline!$F$16,1)))+Pipeline!$S$17*Pipeline!$D$17*MIN(1,MAX(0,(41-Pipeline!$E$17+1)/MAX(Pipeline!$F$17,1)))+Pipeline!$S$18*Pipeline!$D$18*MIN(1,MAX(0,(41-Pipeline!$E$18+1)/MAX(Pipeline!$F$18,1)))+Pipeline!$S$19*Pipeline!$D$19*MIN(1,MAX(0,(41-Pipeline!$E$19+1)/MAX(Pipeline!$F$19,1)))+Pipeline!$S$20*Pipeline!$D$20*MIN(1,MAX(0,(41-Pipeline!$E$20+1)/MAX(Pipeline!$F$20,1)))+Pipeline!$S$21*Pipeline!$D$21*MIN(1,MAX(0,(41-Pipeline!$E$21+1)/MAX(Pipeline!$F$21,1)))+Pipeline!$S$22*Pipeline!$D$22*MIN(1,MAX(0,(41-Pipeline!$E$22+1)/MAX(Pipeline!$F$22,1)))</f>
        <v>1159.4925</v>
      </c>
      <c r="AR20" s="119" t="n">
        <f aca="false">Pipeline!$S$16*Pipeline!$D$16*MIN(1,MAX(0,(42-Pipeline!$E$16+1)/MAX(Pipeline!$F$16,1)))+Pipeline!$S$17*Pipeline!$D$17*MIN(1,MAX(0,(42-Pipeline!$E$17+1)/MAX(Pipeline!$F$17,1)))+Pipeline!$S$18*Pipeline!$D$18*MIN(1,MAX(0,(42-Pipeline!$E$18+1)/MAX(Pipeline!$F$18,1)))+Pipeline!$S$19*Pipeline!$D$19*MIN(1,MAX(0,(42-Pipeline!$E$19+1)/MAX(Pipeline!$F$19,1)))+Pipeline!$S$20*Pipeline!$D$20*MIN(1,MAX(0,(42-Pipeline!$E$20+1)/MAX(Pipeline!$F$20,1)))+Pipeline!$S$21*Pipeline!$D$21*MIN(1,MAX(0,(42-Pipeline!$E$21+1)/MAX(Pipeline!$F$21,1)))+Pipeline!$S$22*Pipeline!$D$22*MIN(1,MAX(0,(42-Pipeline!$E$22+1)/MAX(Pipeline!$F$22,1)))</f>
        <v>1159.4925</v>
      </c>
      <c r="AS20" s="119" t="n">
        <f aca="false">Pipeline!$S$16*Pipeline!$D$16*MIN(1,MAX(0,(43-Pipeline!$E$16+1)/MAX(Pipeline!$F$16,1)))+Pipeline!$S$17*Pipeline!$D$17*MIN(1,MAX(0,(43-Pipeline!$E$17+1)/MAX(Pipeline!$F$17,1)))+Pipeline!$S$18*Pipeline!$D$18*MIN(1,MAX(0,(43-Pipeline!$E$18+1)/MAX(Pipeline!$F$18,1)))+Pipeline!$S$19*Pipeline!$D$19*MIN(1,MAX(0,(43-Pipeline!$E$19+1)/MAX(Pipeline!$F$19,1)))+Pipeline!$S$20*Pipeline!$D$20*MIN(1,MAX(0,(43-Pipeline!$E$20+1)/MAX(Pipeline!$F$20,1)))+Pipeline!$S$21*Pipeline!$D$21*MIN(1,MAX(0,(43-Pipeline!$E$21+1)/MAX(Pipeline!$F$21,1)))+Pipeline!$S$22*Pipeline!$D$22*MIN(1,MAX(0,(43-Pipeline!$E$22+1)/MAX(Pipeline!$F$22,1)))</f>
        <v>1159.4925</v>
      </c>
      <c r="AT20" s="119" t="n">
        <f aca="false">Pipeline!$S$16*Pipeline!$D$16*MIN(1,MAX(0,(44-Pipeline!$E$16+1)/MAX(Pipeline!$F$16,1)))+Pipeline!$S$17*Pipeline!$D$17*MIN(1,MAX(0,(44-Pipeline!$E$17+1)/MAX(Pipeline!$F$17,1)))+Pipeline!$S$18*Pipeline!$D$18*MIN(1,MAX(0,(44-Pipeline!$E$18+1)/MAX(Pipeline!$F$18,1)))+Pipeline!$S$19*Pipeline!$D$19*MIN(1,MAX(0,(44-Pipeline!$E$19+1)/MAX(Pipeline!$F$19,1)))+Pipeline!$S$20*Pipeline!$D$20*MIN(1,MAX(0,(44-Pipeline!$E$20+1)/MAX(Pipeline!$F$20,1)))+Pipeline!$S$21*Pipeline!$D$21*MIN(1,MAX(0,(44-Pipeline!$E$21+1)/MAX(Pipeline!$F$21,1)))+Pipeline!$S$22*Pipeline!$D$22*MIN(1,MAX(0,(44-Pipeline!$E$22+1)/MAX(Pipeline!$F$22,1)))</f>
        <v>1159.4925</v>
      </c>
      <c r="AU20" s="119" t="n">
        <f aca="false">Pipeline!$S$16*Pipeline!$D$16*MIN(1,MAX(0,(45-Pipeline!$E$16+1)/MAX(Pipeline!$F$16,1)))+Pipeline!$S$17*Pipeline!$D$17*MIN(1,MAX(0,(45-Pipeline!$E$17+1)/MAX(Pipeline!$F$17,1)))+Pipeline!$S$18*Pipeline!$D$18*MIN(1,MAX(0,(45-Pipeline!$E$18+1)/MAX(Pipeline!$F$18,1)))+Pipeline!$S$19*Pipeline!$D$19*MIN(1,MAX(0,(45-Pipeline!$E$19+1)/MAX(Pipeline!$F$19,1)))+Pipeline!$S$20*Pipeline!$D$20*MIN(1,MAX(0,(45-Pipeline!$E$20+1)/MAX(Pipeline!$F$20,1)))+Pipeline!$S$21*Pipeline!$D$21*MIN(1,MAX(0,(45-Pipeline!$E$21+1)/MAX(Pipeline!$F$21,1)))+Pipeline!$S$22*Pipeline!$D$22*MIN(1,MAX(0,(45-Pipeline!$E$22+1)/MAX(Pipeline!$F$22,1)))</f>
        <v>1159.4925</v>
      </c>
      <c r="AV20" s="119" t="n">
        <f aca="false">Pipeline!$S$16*Pipeline!$D$16*MIN(1,MAX(0,(46-Pipeline!$E$16+1)/MAX(Pipeline!$F$16,1)))+Pipeline!$S$17*Pipeline!$D$17*MIN(1,MAX(0,(46-Pipeline!$E$17+1)/MAX(Pipeline!$F$17,1)))+Pipeline!$S$18*Pipeline!$D$18*MIN(1,MAX(0,(46-Pipeline!$E$18+1)/MAX(Pipeline!$F$18,1)))+Pipeline!$S$19*Pipeline!$D$19*MIN(1,MAX(0,(46-Pipeline!$E$19+1)/MAX(Pipeline!$F$19,1)))+Pipeline!$S$20*Pipeline!$D$20*MIN(1,MAX(0,(46-Pipeline!$E$20+1)/MAX(Pipeline!$F$20,1)))+Pipeline!$S$21*Pipeline!$D$21*MIN(1,MAX(0,(46-Pipeline!$E$21+1)/MAX(Pipeline!$F$21,1)))+Pipeline!$S$22*Pipeline!$D$22*MIN(1,MAX(0,(46-Pipeline!$E$22+1)/MAX(Pipeline!$F$22,1)))</f>
        <v>1159.4925</v>
      </c>
      <c r="AW20" s="119" t="n">
        <f aca="false">Pipeline!$S$16*Pipeline!$D$16*MIN(1,MAX(0,(47-Pipeline!$E$16+1)/MAX(Pipeline!$F$16,1)))+Pipeline!$S$17*Pipeline!$D$17*MIN(1,MAX(0,(47-Pipeline!$E$17+1)/MAX(Pipeline!$F$17,1)))+Pipeline!$S$18*Pipeline!$D$18*MIN(1,MAX(0,(47-Pipeline!$E$18+1)/MAX(Pipeline!$F$18,1)))+Pipeline!$S$19*Pipeline!$D$19*MIN(1,MAX(0,(47-Pipeline!$E$19+1)/MAX(Pipeline!$F$19,1)))+Pipeline!$S$20*Pipeline!$D$20*MIN(1,MAX(0,(47-Pipeline!$E$20+1)/MAX(Pipeline!$F$20,1)))+Pipeline!$S$21*Pipeline!$D$21*MIN(1,MAX(0,(47-Pipeline!$E$21+1)/MAX(Pipeline!$F$21,1)))+Pipeline!$S$22*Pipeline!$D$22*MIN(1,MAX(0,(47-Pipeline!$E$22+1)/MAX(Pipeline!$F$22,1)))</f>
        <v>1159.4925</v>
      </c>
      <c r="AX20" s="119" t="n">
        <f aca="false">Pipeline!$S$16*Pipeline!$D$16*MIN(1,MAX(0,(48-Pipeline!$E$16+1)/MAX(Pipeline!$F$16,1)))+Pipeline!$S$17*Pipeline!$D$17*MIN(1,MAX(0,(48-Pipeline!$E$17+1)/MAX(Pipeline!$F$17,1)))+Pipeline!$S$18*Pipeline!$D$18*MIN(1,MAX(0,(48-Pipeline!$E$18+1)/MAX(Pipeline!$F$18,1)))+Pipeline!$S$19*Pipeline!$D$19*MIN(1,MAX(0,(48-Pipeline!$E$19+1)/MAX(Pipeline!$F$19,1)))+Pipeline!$S$20*Pipeline!$D$20*MIN(1,MAX(0,(48-Pipeline!$E$20+1)/MAX(Pipeline!$F$20,1)))+Pipeline!$S$21*Pipeline!$D$21*MIN(1,MAX(0,(48-Pipeline!$E$21+1)/MAX(Pipeline!$F$21,1)))+Pipeline!$S$22*Pipeline!$D$22*MIN(1,MAX(0,(48-Pipeline!$E$22+1)/MAX(Pipeline!$F$22,1)))</f>
        <v>1159.4925</v>
      </c>
      <c r="AY20" s="119" t="n">
        <f aca="false">Pipeline!$S$16*Pipeline!$D$16*MIN(1,MAX(0,(49-Pipeline!$E$16+1)/MAX(Pipeline!$F$16,1)))+Pipeline!$S$17*Pipeline!$D$17*MIN(1,MAX(0,(49-Pipeline!$E$17+1)/MAX(Pipeline!$F$17,1)))+Pipeline!$S$18*Pipeline!$D$18*MIN(1,MAX(0,(49-Pipeline!$E$18+1)/MAX(Pipeline!$F$18,1)))+Pipeline!$S$19*Pipeline!$D$19*MIN(1,MAX(0,(49-Pipeline!$E$19+1)/MAX(Pipeline!$F$19,1)))+Pipeline!$S$20*Pipeline!$D$20*MIN(1,MAX(0,(49-Pipeline!$E$20+1)/MAX(Pipeline!$F$20,1)))+Pipeline!$S$21*Pipeline!$D$21*MIN(1,MAX(0,(49-Pipeline!$E$21+1)/MAX(Pipeline!$F$21,1)))+Pipeline!$S$22*Pipeline!$D$22*MIN(1,MAX(0,(49-Pipeline!$E$22+1)/MAX(Pipeline!$F$22,1)))</f>
        <v>1159.4925</v>
      </c>
      <c r="AZ20" s="119" t="n">
        <f aca="false">Pipeline!$S$16*Pipeline!$D$16*MIN(1,MAX(0,(50-Pipeline!$E$16+1)/MAX(Pipeline!$F$16,1)))+Pipeline!$S$17*Pipeline!$D$17*MIN(1,MAX(0,(50-Pipeline!$E$17+1)/MAX(Pipeline!$F$17,1)))+Pipeline!$S$18*Pipeline!$D$18*MIN(1,MAX(0,(50-Pipeline!$E$18+1)/MAX(Pipeline!$F$18,1)))+Pipeline!$S$19*Pipeline!$D$19*MIN(1,MAX(0,(50-Pipeline!$E$19+1)/MAX(Pipeline!$F$19,1)))+Pipeline!$S$20*Pipeline!$D$20*MIN(1,MAX(0,(50-Pipeline!$E$20+1)/MAX(Pipeline!$F$20,1)))+Pipeline!$S$21*Pipeline!$D$21*MIN(1,MAX(0,(50-Pipeline!$E$21+1)/MAX(Pipeline!$F$21,1)))+Pipeline!$S$22*Pipeline!$D$22*MIN(1,MAX(0,(50-Pipeline!$E$22+1)/MAX(Pipeline!$F$22,1)))</f>
        <v>1159.4925</v>
      </c>
      <c r="BA20" s="119" t="n">
        <f aca="false">Pipeline!$S$16*Pipeline!$D$16*MIN(1,MAX(0,(51-Pipeline!$E$16+1)/MAX(Pipeline!$F$16,1)))+Pipeline!$S$17*Pipeline!$D$17*MIN(1,MAX(0,(51-Pipeline!$E$17+1)/MAX(Pipeline!$F$17,1)))+Pipeline!$S$18*Pipeline!$D$18*MIN(1,MAX(0,(51-Pipeline!$E$18+1)/MAX(Pipeline!$F$18,1)))+Pipeline!$S$19*Pipeline!$D$19*MIN(1,MAX(0,(51-Pipeline!$E$19+1)/MAX(Pipeline!$F$19,1)))+Pipeline!$S$20*Pipeline!$D$20*MIN(1,MAX(0,(51-Pipeline!$E$20+1)/MAX(Pipeline!$F$20,1)))+Pipeline!$S$21*Pipeline!$D$21*MIN(1,MAX(0,(51-Pipeline!$E$21+1)/MAX(Pipeline!$F$21,1)))+Pipeline!$S$22*Pipeline!$D$22*MIN(1,MAX(0,(51-Pipeline!$E$22+1)/MAX(Pipeline!$F$22,1)))</f>
        <v>1159.4925</v>
      </c>
      <c r="BB20" s="119" t="n">
        <f aca="false">Pipeline!$S$16*Pipeline!$D$16*MIN(1,MAX(0,(52-Pipeline!$E$16+1)/MAX(Pipeline!$F$16,1)))+Pipeline!$S$17*Pipeline!$D$17*MIN(1,MAX(0,(52-Pipeline!$E$17+1)/MAX(Pipeline!$F$17,1)))+Pipeline!$S$18*Pipeline!$D$18*MIN(1,MAX(0,(52-Pipeline!$E$18+1)/MAX(Pipeline!$F$18,1)))+Pipeline!$S$19*Pipeline!$D$19*MIN(1,MAX(0,(52-Pipeline!$E$19+1)/MAX(Pipeline!$F$19,1)))+Pipeline!$S$20*Pipeline!$D$20*MIN(1,MAX(0,(52-Pipeline!$E$20+1)/MAX(Pipeline!$F$20,1)))+Pipeline!$S$21*Pipeline!$D$21*MIN(1,MAX(0,(52-Pipeline!$E$21+1)/MAX(Pipeline!$F$21,1)))+Pipeline!$S$22*Pipeline!$D$22*MIN(1,MAX(0,(52-Pipeline!$E$22+1)/MAX(Pipeline!$F$22,1)))</f>
        <v>1159.4925</v>
      </c>
      <c r="BC20" s="119" t="n">
        <f aca="false">Pipeline!$S$16*Pipeline!$D$16*MIN(1,MAX(0,(53-Pipeline!$E$16+1)/MAX(Pipeline!$F$16,1)))+Pipeline!$S$17*Pipeline!$D$17*MIN(1,MAX(0,(53-Pipeline!$E$17+1)/MAX(Pipeline!$F$17,1)))+Pipeline!$S$18*Pipeline!$D$18*MIN(1,MAX(0,(53-Pipeline!$E$18+1)/MAX(Pipeline!$F$18,1)))+Pipeline!$S$19*Pipeline!$D$19*MIN(1,MAX(0,(53-Pipeline!$E$19+1)/MAX(Pipeline!$F$19,1)))+Pipeline!$S$20*Pipeline!$D$20*MIN(1,MAX(0,(53-Pipeline!$E$20+1)/MAX(Pipeline!$F$20,1)))+Pipeline!$S$21*Pipeline!$D$21*MIN(1,MAX(0,(53-Pipeline!$E$21+1)/MAX(Pipeline!$F$21,1)))+Pipeline!$S$22*Pipeline!$D$22*MIN(1,MAX(0,(53-Pipeline!$E$22+1)/MAX(Pipeline!$F$22,1)))</f>
        <v>1159.4925</v>
      </c>
      <c r="BD20" s="119" t="n">
        <f aca="false">Pipeline!$S$16*Pipeline!$D$16*MIN(1,MAX(0,(54-Pipeline!$E$16+1)/MAX(Pipeline!$F$16,1)))+Pipeline!$S$17*Pipeline!$D$17*MIN(1,MAX(0,(54-Pipeline!$E$17+1)/MAX(Pipeline!$F$17,1)))+Pipeline!$S$18*Pipeline!$D$18*MIN(1,MAX(0,(54-Pipeline!$E$18+1)/MAX(Pipeline!$F$18,1)))+Pipeline!$S$19*Pipeline!$D$19*MIN(1,MAX(0,(54-Pipeline!$E$19+1)/MAX(Pipeline!$F$19,1)))+Pipeline!$S$20*Pipeline!$D$20*MIN(1,MAX(0,(54-Pipeline!$E$20+1)/MAX(Pipeline!$F$20,1)))+Pipeline!$S$21*Pipeline!$D$21*MIN(1,MAX(0,(54-Pipeline!$E$21+1)/MAX(Pipeline!$F$21,1)))+Pipeline!$S$22*Pipeline!$D$22*MIN(1,MAX(0,(54-Pipeline!$E$22+1)/MAX(Pipeline!$F$22,1)))</f>
        <v>1159.4925</v>
      </c>
      <c r="BE20" s="119" t="n">
        <f aca="false">Pipeline!$S$16*Pipeline!$D$16*MIN(1,MAX(0,(55-Pipeline!$E$16+1)/MAX(Pipeline!$F$16,1)))+Pipeline!$S$17*Pipeline!$D$17*MIN(1,MAX(0,(55-Pipeline!$E$17+1)/MAX(Pipeline!$F$17,1)))+Pipeline!$S$18*Pipeline!$D$18*MIN(1,MAX(0,(55-Pipeline!$E$18+1)/MAX(Pipeline!$F$18,1)))+Pipeline!$S$19*Pipeline!$D$19*MIN(1,MAX(0,(55-Pipeline!$E$19+1)/MAX(Pipeline!$F$19,1)))+Pipeline!$S$20*Pipeline!$D$20*MIN(1,MAX(0,(55-Pipeline!$E$20+1)/MAX(Pipeline!$F$20,1)))+Pipeline!$S$21*Pipeline!$D$21*MIN(1,MAX(0,(55-Pipeline!$E$21+1)/MAX(Pipeline!$F$21,1)))+Pipeline!$S$22*Pipeline!$D$22*MIN(1,MAX(0,(55-Pipeline!$E$22+1)/MAX(Pipeline!$F$22,1)))</f>
        <v>1159.4925</v>
      </c>
      <c r="BF20" s="119" t="n">
        <f aca="false">Pipeline!$S$16*Pipeline!$D$16*MIN(1,MAX(0,(56-Pipeline!$E$16+1)/MAX(Pipeline!$F$16,1)))+Pipeline!$S$17*Pipeline!$D$17*MIN(1,MAX(0,(56-Pipeline!$E$17+1)/MAX(Pipeline!$F$17,1)))+Pipeline!$S$18*Pipeline!$D$18*MIN(1,MAX(0,(56-Pipeline!$E$18+1)/MAX(Pipeline!$F$18,1)))+Pipeline!$S$19*Pipeline!$D$19*MIN(1,MAX(0,(56-Pipeline!$E$19+1)/MAX(Pipeline!$F$19,1)))+Pipeline!$S$20*Pipeline!$D$20*MIN(1,MAX(0,(56-Pipeline!$E$20+1)/MAX(Pipeline!$F$20,1)))+Pipeline!$S$21*Pipeline!$D$21*MIN(1,MAX(0,(56-Pipeline!$E$21+1)/MAX(Pipeline!$F$21,1)))+Pipeline!$S$22*Pipeline!$D$22*MIN(1,MAX(0,(56-Pipeline!$E$22+1)/MAX(Pipeline!$F$22,1)))</f>
        <v>1159.4925</v>
      </c>
      <c r="BG20" s="119" t="n">
        <f aca="false">Pipeline!$S$16*Pipeline!$D$16*MIN(1,MAX(0,(57-Pipeline!$E$16+1)/MAX(Pipeline!$F$16,1)))+Pipeline!$S$17*Pipeline!$D$17*MIN(1,MAX(0,(57-Pipeline!$E$17+1)/MAX(Pipeline!$F$17,1)))+Pipeline!$S$18*Pipeline!$D$18*MIN(1,MAX(0,(57-Pipeline!$E$18+1)/MAX(Pipeline!$F$18,1)))+Pipeline!$S$19*Pipeline!$D$19*MIN(1,MAX(0,(57-Pipeline!$E$19+1)/MAX(Pipeline!$F$19,1)))+Pipeline!$S$20*Pipeline!$D$20*MIN(1,MAX(0,(57-Pipeline!$E$20+1)/MAX(Pipeline!$F$20,1)))+Pipeline!$S$21*Pipeline!$D$21*MIN(1,MAX(0,(57-Pipeline!$E$21+1)/MAX(Pipeline!$F$21,1)))+Pipeline!$S$22*Pipeline!$D$22*MIN(1,MAX(0,(57-Pipeline!$E$22+1)/MAX(Pipeline!$F$22,1)))</f>
        <v>1159.4925</v>
      </c>
      <c r="BH20" s="119" t="n">
        <f aca="false">Pipeline!$S$16*Pipeline!$D$16*MIN(1,MAX(0,(58-Pipeline!$E$16+1)/MAX(Pipeline!$F$16,1)))+Pipeline!$S$17*Pipeline!$D$17*MIN(1,MAX(0,(58-Pipeline!$E$17+1)/MAX(Pipeline!$F$17,1)))+Pipeline!$S$18*Pipeline!$D$18*MIN(1,MAX(0,(58-Pipeline!$E$18+1)/MAX(Pipeline!$F$18,1)))+Pipeline!$S$19*Pipeline!$D$19*MIN(1,MAX(0,(58-Pipeline!$E$19+1)/MAX(Pipeline!$F$19,1)))+Pipeline!$S$20*Pipeline!$D$20*MIN(1,MAX(0,(58-Pipeline!$E$20+1)/MAX(Pipeline!$F$20,1)))+Pipeline!$S$21*Pipeline!$D$21*MIN(1,MAX(0,(58-Pipeline!$E$21+1)/MAX(Pipeline!$F$21,1)))+Pipeline!$S$22*Pipeline!$D$22*MIN(1,MAX(0,(58-Pipeline!$E$22+1)/MAX(Pipeline!$F$22,1)))</f>
        <v>1159.4925</v>
      </c>
      <c r="BI20" s="119" t="n">
        <f aca="false">Pipeline!$S$16*Pipeline!$D$16*MIN(1,MAX(0,(59-Pipeline!$E$16+1)/MAX(Pipeline!$F$16,1)))+Pipeline!$S$17*Pipeline!$D$17*MIN(1,MAX(0,(59-Pipeline!$E$17+1)/MAX(Pipeline!$F$17,1)))+Pipeline!$S$18*Pipeline!$D$18*MIN(1,MAX(0,(59-Pipeline!$E$18+1)/MAX(Pipeline!$F$18,1)))+Pipeline!$S$19*Pipeline!$D$19*MIN(1,MAX(0,(59-Pipeline!$E$19+1)/MAX(Pipeline!$F$19,1)))+Pipeline!$S$20*Pipeline!$D$20*MIN(1,MAX(0,(59-Pipeline!$E$20+1)/MAX(Pipeline!$F$20,1)))+Pipeline!$S$21*Pipeline!$D$21*MIN(1,MAX(0,(59-Pipeline!$E$21+1)/MAX(Pipeline!$F$21,1)))+Pipeline!$S$22*Pipeline!$D$22*MIN(1,MAX(0,(59-Pipeline!$E$22+1)/MAX(Pipeline!$F$22,1)))</f>
        <v>1159.4925</v>
      </c>
      <c r="BJ20" s="119" t="n">
        <f aca="false">Pipeline!$S$16*Pipeline!$D$16*MIN(1,MAX(0,(60-Pipeline!$E$16+1)/MAX(Pipeline!$F$16,1)))+Pipeline!$S$17*Pipeline!$D$17*MIN(1,MAX(0,(60-Pipeline!$E$17+1)/MAX(Pipeline!$F$17,1)))+Pipeline!$S$18*Pipeline!$D$18*MIN(1,MAX(0,(60-Pipeline!$E$18+1)/MAX(Pipeline!$F$18,1)))+Pipeline!$S$19*Pipeline!$D$19*MIN(1,MAX(0,(60-Pipeline!$E$19+1)/MAX(Pipeline!$F$19,1)))+Pipeline!$S$20*Pipeline!$D$20*MIN(1,MAX(0,(60-Pipeline!$E$20+1)/MAX(Pipeline!$F$20,1)))+Pipeline!$S$21*Pipeline!$D$21*MIN(1,MAX(0,(60-Pipeline!$E$21+1)/MAX(Pipeline!$F$21,1)))+Pipeline!$S$22*Pipeline!$D$22*MIN(1,MAX(0,(60-Pipeline!$E$22+1)/MAX(Pipeline!$F$22,1)))</f>
        <v>1159.4925</v>
      </c>
      <c r="BK20" s="119" t="n">
        <f aca="false">Pipeline!$S$16*Pipeline!$D$16*MIN(1,MAX(0,(61-Pipeline!$E$16+1)/MAX(Pipeline!$F$16,1)))+Pipeline!$S$17*Pipeline!$D$17*MIN(1,MAX(0,(61-Pipeline!$E$17+1)/MAX(Pipeline!$F$17,1)))+Pipeline!$S$18*Pipeline!$D$18*MIN(1,MAX(0,(61-Pipeline!$E$18+1)/MAX(Pipeline!$F$18,1)))+Pipeline!$S$19*Pipeline!$D$19*MIN(1,MAX(0,(61-Pipeline!$E$19+1)/MAX(Pipeline!$F$19,1)))+Pipeline!$S$20*Pipeline!$D$20*MIN(1,MAX(0,(61-Pipeline!$E$20+1)/MAX(Pipeline!$F$20,1)))+Pipeline!$S$21*Pipeline!$D$21*MIN(1,MAX(0,(61-Pipeline!$E$21+1)/MAX(Pipeline!$F$21,1)))+Pipeline!$S$22*Pipeline!$D$22*MIN(1,MAX(0,(61-Pipeline!$E$22+1)/MAX(Pipeline!$F$22,1)))</f>
        <v>1159.4925</v>
      </c>
      <c r="BL20" s="119" t="n">
        <f aca="false">Pipeline!$S$16*Pipeline!$D$16*MIN(1,MAX(0,(62-Pipeline!$E$16+1)/MAX(Pipeline!$F$16,1)))+Pipeline!$S$17*Pipeline!$D$17*MIN(1,MAX(0,(62-Pipeline!$E$17+1)/MAX(Pipeline!$F$17,1)))+Pipeline!$S$18*Pipeline!$D$18*MIN(1,MAX(0,(62-Pipeline!$E$18+1)/MAX(Pipeline!$F$18,1)))+Pipeline!$S$19*Pipeline!$D$19*MIN(1,MAX(0,(62-Pipeline!$E$19+1)/MAX(Pipeline!$F$19,1)))+Pipeline!$S$20*Pipeline!$D$20*MIN(1,MAX(0,(62-Pipeline!$E$20+1)/MAX(Pipeline!$F$20,1)))+Pipeline!$S$21*Pipeline!$D$21*MIN(1,MAX(0,(62-Pipeline!$E$21+1)/MAX(Pipeline!$F$21,1)))+Pipeline!$S$22*Pipeline!$D$22*MIN(1,MAX(0,(62-Pipeline!$E$22+1)/MAX(Pipeline!$F$22,1)))</f>
        <v>1159.4925</v>
      </c>
      <c r="BM20" s="119" t="n">
        <f aca="false">Pipeline!$S$16*Pipeline!$D$16*MIN(1,MAX(0,(63-Pipeline!$E$16+1)/MAX(Pipeline!$F$16,1)))+Pipeline!$S$17*Pipeline!$D$17*MIN(1,MAX(0,(63-Pipeline!$E$17+1)/MAX(Pipeline!$F$17,1)))+Pipeline!$S$18*Pipeline!$D$18*MIN(1,MAX(0,(63-Pipeline!$E$18+1)/MAX(Pipeline!$F$18,1)))+Pipeline!$S$19*Pipeline!$D$19*MIN(1,MAX(0,(63-Pipeline!$E$19+1)/MAX(Pipeline!$F$19,1)))+Pipeline!$S$20*Pipeline!$D$20*MIN(1,MAX(0,(63-Pipeline!$E$20+1)/MAX(Pipeline!$F$20,1)))+Pipeline!$S$21*Pipeline!$D$21*MIN(1,MAX(0,(63-Pipeline!$E$21+1)/MAX(Pipeline!$F$21,1)))+Pipeline!$S$22*Pipeline!$D$22*MIN(1,MAX(0,(63-Pipeline!$E$22+1)/MAX(Pipeline!$F$22,1)))</f>
        <v>1159.4925</v>
      </c>
      <c r="BN20" s="119" t="n">
        <f aca="false">Pipeline!$S$16*Pipeline!$D$16*MIN(1,MAX(0,(64-Pipeline!$E$16+1)/MAX(Pipeline!$F$16,1)))+Pipeline!$S$17*Pipeline!$D$17*MIN(1,MAX(0,(64-Pipeline!$E$17+1)/MAX(Pipeline!$F$17,1)))+Pipeline!$S$18*Pipeline!$D$18*MIN(1,MAX(0,(64-Pipeline!$E$18+1)/MAX(Pipeline!$F$18,1)))+Pipeline!$S$19*Pipeline!$D$19*MIN(1,MAX(0,(64-Pipeline!$E$19+1)/MAX(Pipeline!$F$19,1)))+Pipeline!$S$20*Pipeline!$D$20*MIN(1,MAX(0,(64-Pipeline!$E$20+1)/MAX(Pipeline!$F$20,1)))+Pipeline!$S$21*Pipeline!$D$21*MIN(1,MAX(0,(64-Pipeline!$E$21+1)/MAX(Pipeline!$F$21,1)))+Pipeline!$S$22*Pipeline!$D$22*MIN(1,MAX(0,(64-Pipeline!$E$22+1)/MAX(Pipeline!$F$22,1)))</f>
        <v>1159.4925</v>
      </c>
      <c r="BO20" s="119" t="n">
        <f aca="false">Pipeline!$S$16*Pipeline!$D$16*MIN(1,MAX(0,(65-Pipeline!$E$16+1)/MAX(Pipeline!$F$16,1)))+Pipeline!$S$17*Pipeline!$D$17*MIN(1,MAX(0,(65-Pipeline!$E$17+1)/MAX(Pipeline!$F$17,1)))+Pipeline!$S$18*Pipeline!$D$18*MIN(1,MAX(0,(65-Pipeline!$E$18+1)/MAX(Pipeline!$F$18,1)))+Pipeline!$S$19*Pipeline!$D$19*MIN(1,MAX(0,(65-Pipeline!$E$19+1)/MAX(Pipeline!$F$19,1)))+Pipeline!$S$20*Pipeline!$D$20*MIN(1,MAX(0,(65-Pipeline!$E$20+1)/MAX(Pipeline!$F$20,1)))+Pipeline!$S$21*Pipeline!$D$21*MIN(1,MAX(0,(65-Pipeline!$E$21+1)/MAX(Pipeline!$F$21,1)))+Pipeline!$S$22*Pipeline!$D$22*MIN(1,MAX(0,(65-Pipeline!$E$22+1)/MAX(Pipeline!$F$22,1)))</f>
        <v>1159.4925</v>
      </c>
      <c r="BP20" s="119" t="n">
        <f aca="false">Pipeline!$S$16*Pipeline!$D$16*MIN(1,MAX(0,(66-Pipeline!$E$16+1)/MAX(Pipeline!$F$16,1)))+Pipeline!$S$17*Pipeline!$D$17*MIN(1,MAX(0,(66-Pipeline!$E$17+1)/MAX(Pipeline!$F$17,1)))+Pipeline!$S$18*Pipeline!$D$18*MIN(1,MAX(0,(66-Pipeline!$E$18+1)/MAX(Pipeline!$F$18,1)))+Pipeline!$S$19*Pipeline!$D$19*MIN(1,MAX(0,(66-Pipeline!$E$19+1)/MAX(Pipeline!$F$19,1)))+Pipeline!$S$20*Pipeline!$D$20*MIN(1,MAX(0,(66-Pipeline!$E$20+1)/MAX(Pipeline!$F$20,1)))+Pipeline!$S$21*Pipeline!$D$21*MIN(1,MAX(0,(66-Pipeline!$E$21+1)/MAX(Pipeline!$F$21,1)))+Pipeline!$S$22*Pipeline!$D$22*MIN(1,MAX(0,(66-Pipeline!$E$22+1)/MAX(Pipeline!$F$22,1)))</f>
        <v>1159.4925</v>
      </c>
      <c r="BQ20" s="119" t="n">
        <f aca="false">Pipeline!$S$16*Pipeline!$D$16*MIN(1,MAX(0,(67-Pipeline!$E$16+1)/MAX(Pipeline!$F$16,1)))+Pipeline!$S$17*Pipeline!$D$17*MIN(1,MAX(0,(67-Pipeline!$E$17+1)/MAX(Pipeline!$F$17,1)))+Pipeline!$S$18*Pipeline!$D$18*MIN(1,MAX(0,(67-Pipeline!$E$18+1)/MAX(Pipeline!$F$18,1)))+Pipeline!$S$19*Pipeline!$D$19*MIN(1,MAX(0,(67-Pipeline!$E$19+1)/MAX(Pipeline!$F$19,1)))+Pipeline!$S$20*Pipeline!$D$20*MIN(1,MAX(0,(67-Pipeline!$E$20+1)/MAX(Pipeline!$F$20,1)))+Pipeline!$S$21*Pipeline!$D$21*MIN(1,MAX(0,(67-Pipeline!$E$21+1)/MAX(Pipeline!$F$21,1)))+Pipeline!$S$22*Pipeline!$D$22*MIN(1,MAX(0,(67-Pipeline!$E$22+1)/MAX(Pipeline!$F$22,1)))</f>
        <v>1159.4925</v>
      </c>
      <c r="BR20" s="119" t="n">
        <f aca="false">Pipeline!$S$16*Pipeline!$D$16*MIN(1,MAX(0,(68-Pipeline!$E$16+1)/MAX(Pipeline!$F$16,1)))+Pipeline!$S$17*Pipeline!$D$17*MIN(1,MAX(0,(68-Pipeline!$E$17+1)/MAX(Pipeline!$F$17,1)))+Pipeline!$S$18*Pipeline!$D$18*MIN(1,MAX(0,(68-Pipeline!$E$18+1)/MAX(Pipeline!$F$18,1)))+Pipeline!$S$19*Pipeline!$D$19*MIN(1,MAX(0,(68-Pipeline!$E$19+1)/MAX(Pipeline!$F$19,1)))+Pipeline!$S$20*Pipeline!$D$20*MIN(1,MAX(0,(68-Pipeline!$E$20+1)/MAX(Pipeline!$F$20,1)))+Pipeline!$S$21*Pipeline!$D$21*MIN(1,MAX(0,(68-Pipeline!$E$21+1)/MAX(Pipeline!$F$21,1)))+Pipeline!$S$22*Pipeline!$D$22*MIN(1,MAX(0,(68-Pipeline!$E$22+1)/MAX(Pipeline!$F$22,1)))</f>
        <v>1159.4925</v>
      </c>
      <c r="BS20" s="119" t="n">
        <f aca="false">Pipeline!$S$16*Pipeline!$D$16*MIN(1,MAX(0,(69-Pipeline!$E$16+1)/MAX(Pipeline!$F$16,1)))+Pipeline!$S$17*Pipeline!$D$17*MIN(1,MAX(0,(69-Pipeline!$E$17+1)/MAX(Pipeline!$F$17,1)))+Pipeline!$S$18*Pipeline!$D$18*MIN(1,MAX(0,(69-Pipeline!$E$18+1)/MAX(Pipeline!$F$18,1)))+Pipeline!$S$19*Pipeline!$D$19*MIN(1,MAX(0,(69-Pipeline!$E$19+1)/MAX(Pipeline!$F$19,1)))+Pipeline!$S$20*Pipeline!$D$20*MIN(1,MAX(0,(69-Pipeline!$E$20+1)/MAX(Pipeline!$F$20,1)))+Pipeline!$S$21*Pipeline!$D$21*MIN(1,MAX(0,(69-Pipeline!$E$21+1)/MAX(Pipeline!$F$21,1)))+Pipeline!$S$22*Pipeline!$D$22*MIN(1,MAX(0,(69-Pipeline!$E$22+1)/MAX(Pipeline!$F$22,1)))</f>
        <v>1159.4925</v>
      </c>
      <c r="BT20" s="119" t="n">
        <f aca="false">Pipeline!$S$16*Pipeline!$D$16*MIN(1,MAX(0,(70-Pipeline!$E$16+1)/MAX(Pipeline!$F$16,1)))+Pipeline!$S$17*Pipeline!$D$17*MIN(1,MAX(0,(70-Pipeline!$E$17+1)/MAX(Pipeline!$F$17,1)))+Pipeline!$S$18*Pipeline!$D$18*MIN(1,MAX(0,(70-Pipeline!$E$18+1)/MAX(Pipeline!$F$18,1)))+Pipeline!$S$19*Pipeline!$D$19*MIN(1,MAX(0,(70-Pipeline!$E$19+1)/MAX(Pipeline!$F$19,1)))+Pipeline!$S$20*Pipeline!$D$20*MIN(1,MAX(0,(70-Pipeline!$E$20+1)/MAX(Pipeline!$F$20,1)))+Pipeline!$S$21*Pipeline!$D$21*MIN(1,MAX(0,(70-Pipeline!$E$21+1)/MAX(Pipeline!$F$21,1)))+Pipeline!$S$22*Pipeline!$D$22*MIN(1,MAX(0,(70-Pipeline!$E$22+1)/MAX(Pipeline!$F$22,1)))</f>
        <v>1159.4925</v>
      </c>
      <c r="BU20" s="119" t="n">
        <f aca="false">Pipeline!$S$16*Pipeline!$D$16*MIN(1,MAX(0,(71-Pipeline!$E$16+1)/MAX(Pipeline!$F$16,1)))+Pipeline!$S$17*Pipeline!$D$17*MIN(1,MAX(0,(71-Pipeline!$E$17+1)/MAX(Pipeline!$F$17,1)))+Pipeline!$S$18*Pipeline!$D$18*MIN(1,MAX(0,(71-Pipeline!$E$18+1)/MAX(Pipeline!$F$18,1)))+Pipeline!$S$19*Pipeline!$D$19*MIN(1,MAX(0,(71-Pipeline!$E$19+1)/MAX(Pipeline!$F$19,1)))+Pipeline!$S$20*Pipeline!$D$20*MIN(1,MAX(0,(71-Pipeline!$E$20+1)/MAX(Pipeline!$F$20,1)))+Pipeline!$S$21*Pipeline!$D$21*MIN(1,MAX(0,(71-Pipeline!$E$21+1)/MAX(Pipeline!$F$21,1)))+Pipeline!$S$22*Pipeline!$D$22*MIN(1,MAX(0,(71-Pipeline!$E$22+1)/MAX(Pipeline!$F$22,1)))</f>
        <v>1159.4925</v>
      </c>
      <c r="BV20" s="119" t="n">
        <f aca="false">Pipeline!$S$16*Pipeline!$D$16*MIN(1,MAX(0,(72-Pipeline!$E$16+1)/MAX(Pipeline!$F$16,1)))+Pipeline!$S$17*Pipeline!$D$17*MIN(1,MAX(0,(72-Pipeline!$E$17+1)/MAX(Pipeline!$F$17,1)))+Pipeline!$S$18*Pipeline!$D$18*MIN(1,MAX(0,(72-Pipeline!$E$18+1)/MAX(Pipeline!$F$18,1)))+Pipeline!$S$19*Pipeline!$D$19*MIN(1,MAX(0,(72-Pipeline!$E$19+1)/MAX(Pipeline!$F$19,1)))+Pipeline!$S$20*Pipeline!$D$20*MIN(1,MAX(0,(72-Pipeline!$E$20+1)/MAX(Pipeline!$F$20,1)))+Pipeline!$S$21*Pipeline!$D$21*MIN(1,MAX(0,(72-Pipeline!$E$21+1)/MAX(Pipeline!$F$21,1)))+Pipeline!$S$22*Pipeline!$D$22*MIN(1,MAX(0,(72-Pipeline!$E$22+1)/MAX(Pipeline!$F$22,1)))</f>
        <v>1159.4925</v>
      </c>
      <c r="BW20" s="119" t="n">
        <f aca="false">Pipeline!$S$16*Pipeline!$D$16*MIN(1,MAX(0,(73-Pipeline!$E$16+1)/MAX(Pipeline!$F$16,1)))+Pipeline!$S$17*Pipeline!$D$17*MIN(1,MAX(0,(73-Pipeline!$E$17+1)/MAX(Pipeline!$F$17,1)))+Pipeline!$S$18*Pipeline!$D$18*MIN(1,MAX(0,(73-Pipeline!$E$18+1)/MAX(Pipeline!$F$18,1)))+Pipeline!$S$19*Pipeline!$D$19*MIN(1,MAX(0,(73-Pipeline!$E$19+1)/MAX(Pipeline!$F$19,1)))+Pipeline!$S$20*Pipeline!$D$20*MIN(1,MAX(0,(73-Pipeline!$E$20+1)/MAX(Pipeline!$F$20,1)))+Pipeline!$S$21*Pipeline!$D$21*MIN(1,MAX(0,(73-Pipeline!$E$21+1)/MAX(Pipeline!$F$21,1)))+Pipeline!$S$22*Pipeline!$D$22*MIN(1,MAX(0,(73-Pipeline!$E$22+1)/MAX(Pipeline!$F$22,1)))</f>
        <v>1159.4925</v>
      </c>
      <c r="BX20" s="119" t="n">
        <f aca="false">Pipeline!$S$16*Pipeline!$D$16*MIN(1,MAX(0,(74-Pipeline!$E$16+1)/MAX(Pipeline!$F$16,1)))+Pipeline!$S$17*Pipeline!$D$17*MIN(1,MAX(0,(74-Pipeline!$E$17+1)/MAX(Pipeline!$F$17,1)))+Pipeline!$S$18*Pipeline!$D$18*MIN(1,MAX(0,(74-Pipeline!$E$18+1)/MAX(Pipeline!$F$18,1)))+Pipeline!$S$19*Pipeline!$D$19*MIN(1,MAX(0,(74-Pipeline!$E$19+1)/MAX(Pipeline!$F$19,1)))+Pipeline!$S$20*Pipeline!$D$20*MIN(1,MAX(0,(74-Pipeline!$E$20+1)/MAX(Pipeline!$F$20,1)))+Pipeline!$S$21*Pipeline!$D$21*MIN(1,MAX(0,(74-Pipeline!$E$21+1)/MAX(Pipeline!$F$21,1)))+Pipeline!$S$22*Pipeline!$D$22*MIN(1,MAX(0,(74-Pipeline!$E$22+1)/MAX(Pipeline!$F$22,1)))</f>
        <v>1159.4925</v>
      </c>
      <c r="BY20" s="119" t="n">
        <f aca="false">Pipeline!$S$16*Pipeline!$D$16*MIN(1,MAX(0,(75-Pipeline!$E$16+1)/MAX(Pipeline!$F$16,1)))+Pipeline!$S$17*Pipeline!$D$17*MIN(1,MAX(0,(75-Pipeline!$E$17+1)/MAX(Pipeline!$F$17,1)))+Pipeline!$S$18*Pipeline!$D$18*MIN(1,MAX(0,(75-Pipeline!$E$18+1)/MAX(Pipeline!$F$18,1)))+Pipeline!$S$19*Pipeline!$D$19*MIN(1,MAX(0,(75-Pipeline!$E$19+1)/MAX(Pipeline!$F$19,1)))+Pipeline!$S$20*Pipeline!$D$20*MIN(1,MAX(0,(75-Pipeline!$E$20+1)/MAX(Pipeline!$F$20,1)))+Pipeline!$S$21*Pipeline!$D$21*MIN(1,MAX(0,(75-Pipeline!$E$21+1)/MAX(Pipeline!$F$21,1)))+Pipeline!$S$22*Pipeline!$D$22*MIN(1,MAX(0,(75-Pipeline!$E$22+1)/MAX(Pipeline!$F$22,1)))</f>
        <v>1159.4925</v>
      </c>
      <c r="BZ20" s="119" t="n">
        <f aca="false">Pipeline!$S$16*Pipeline!$D$16*MIN(1,MAX(0,(76-Pipeline!$E$16+1)/MAX(Pipeline!$F$16,1)))+Pipeline!$S$17*Pipeline!$D$17*MIN(1,MAX(0,(76-Pipeline!$E$17+1)/MAX(Pipeline!$F$17,1)))+Pipeline!$S$18*Pipeline!$D$18*MIN(1,MAX(0,(76-Pipeline!$E$18+1)/MAX(Pipeline!$F$18,1)))+Pipeline!$S$19*Pipeline!$D$19*MIN(1,MAX(0,(76-Pipeline!$E$19+1)/MAX(Pipeline!$F$19,1)))+Pipeline!$S$20*Pipeline!$D$20*MIN(1,MAX(0,(76-Pipeline!$E$20+1)/MAX(Pipeline!$F$20,1)))+Pipeline!$S$21*Pipeline!$D$21*MIN(1,MAX(0,(76-Pipeline!$E$21+1)/MAX(Pipeline!$F$21,1)))+Pipeline!$S$22*Pipeline!$D$22*MIN(1,MAX(0,(76-Pipeline!$E$22+1)/MAX(Pipeline!$F$22,1)))</f>
        <v>1159.4925</v>
      </c>
      <c r="CA20" s="119" t="n">
        <f aca="false">Pipeline!$S$16*Pipeline!$D$16*MIN(1,MAX(0,(77-Pipeline!$E$16+1)/MAX(Pipeline!$F$16,1)))+Pipeline!$S$17*Pipeline!$D$17*MIN(1,MAX(0,(77-Pipeline!$E$17+1)/MAX(Pipeline!$F$17,1)))+Pipeline!$S$18*Pipeline!$D$18*MIN(1,MAX(0,(77-Pipeline!$E$18+1)/MAX(Pipeline!$F$18,1)))+Pipeline!$S$19*Pipeline!$D$19*MIN(1,MAX(0,(77-Pipeline!$E$19+1)/MAX(Pipeline!$F$19,1)))+Pipeline!$S$20*Pipeline!$D$20*MIN(1,MAX(0,(77-Pipeline!$E$20+1)/MAX(Pipeline!$F$20,1)))+Pipeline!$S$21*Pipeline!$D$21*MIN(1,MAX(0,(77-Pipeline!$E$21+1)/MAX(Pipeline!$F$21,1)))+Pipeline!$S$22*Pipeline!$D$22*MIN(1,MAX(0,(77-Pipeline!$E$22+1)/MAX(Pipeline!$F$22,1)))</f>
        <v>1159.4925</v>
      </c>
      <c r="CB20" s="119" t="n">
        <f aca="false">Pipeline!$S$16*Pipeline!$D$16*MIN(1,MAX(0,(78-Pipeline!$E$16+1)/MAX(Pipeline!$F$16,1)))+Pipeline!$S$17*Pipeline!$D$17*MIN(1,MAX(0,(78-Pipeline!$E$17+1)/MAX(Pipeline!$F$17,1)))+Pipeline!$S$18*Pipeline!$D$18*MIN(1,MAX(0,(78-Pipeline!$E$18+1)/MAX(Pipeline!$F$18,1)))+Pipeline!$S$19*Pipeline!$D$19*MIN(1,MAX(0,(78-Pipeline!$E$19+1)/MAX(Pipeline!$F$19,1)))+Pipeline!$S$20*Pipeline!$D$20*MIN(1,MAX(0,(78-Pipeline!$E$20+1)/MAX(Pipeline!$F$20,1)))+Pipeline!$S$21*Pipeline!$D$21*MIN(1,MAX(0,(78-Pipeline!$E$21+1)/MAX(Pipeline!$F$21,1)))+Pipeline!$S$22*Pipeline!$D$22*MIN(1,MAX(0,(78-Pipeline!$E$22+1)/MAX(Pipeline!$F$22,1)))</f>
        <v>1159.4925</v>
      </c>
      <c r="CC20" s="119" t="n">
        <f aca="false">Pipeline!$S$16*Pipeline!$D$16*MIN(1,MAX(0,(79-Pipeline!$E$16+1)/MAX(Pipeline!$F$16,1)))+Pipeline!$S$17*Pipeline!$D$17*MIN(1,MAX(0,(79-Pipeline!$E$17+1)/MAX(Pipeline!$F$17,1)))+Pipeline!$S$18*Pipeline!$D$18*MIN(1,MAX(0,(79-Pipeline!$E$18+1)/MAX(Pipeline!$F$18,1)))+Pipeline!$S$19*Pipeline!$D$19*MIN(1,MAX(0,(79-Pipeline!$E$19+1)/MAX(Pipeline!$F$19,1)))+Pipeline!$S$20*Pipeline!$D$20*MIN(1,MAX(0,(79-Pipeline!$E$20+1)/MAX(Pipeline!$F$20,1)))+Pipeline!$S$21*Pipeline!$D$21*MIN(1,MAX(0,(79-Pipeline!$E$21+1)/MAX(Pipeline!$F$21,1)))+Pipeline!$S$22*Pipeline!$D$22*MIN(1,MAX(0,(79-Pipeline!$E$22+1)/MAX(Pipeline!$F$22,1)))</f>
        <v>1159.4925</v>
      </c>
      <c r="CD20" s="119" t="n">
        <f aca="false">Pipeline!$S$16*Pipeline!$D$16*MIN(1,MAX(0,(80-Pipeline!$E$16+1)/MAX(Pipeline!$F$16,1)))+Pipeline!$S$17*Pipeline!$D$17*MIN(1,MAX(0,(80-Pipeline!$E$17+1)/MAX(Pipeline!$F$17,1)))+Pipeline!$S$18*Pipeline!$D$18*MIN(1,MAX(0,(80-Pipeline!$E$18+1)/MAX(Pipeline!$F$18,1)))+Pipeline!$S$19*Pipeline!$D$19*MIN(1,MAX(0,(80-Pipeline!$E$19+1)/MAX(Pipeline!$F$19,1)))+Pipeline!$S$20*Pipeline!$D$20*MIN(1,MAX(0,(80-Pipeline!$E$20+1)/MAX(Pipeline!$F$20,1)))+Pipeline!$S$21*Pipeline!$D$21*MIN(1,MAX(0,(80-Pipeline!$E$21+1)/MAX(Pipeline!$F$21,1)))+Pipeline!$S$22*Pipeline!$D$22*MIN(1,MAX(0,(80-Pipeline!$E$22+1)/MAX(Pipeline!$F$22,1)))</f>
        <v>1159.4925</v>
      </c>
      <c r="CE20" s="119" t="n">
        <f aca="false">Pipeline!$S$16*Pipeline!$D$16*MIN(1,MAX(0,(81-Pipeline!$E$16+1)/MAX(Pipeline!$F$16,1)))+Pipeline!$S$17*Pipeline!$D$17*MIN(1,MAX(0,(81-Pipeline!$E$17+1)/MAX(Pipeline!$F$17,1)))+Pipeline!$S$18*Pipeline!$D$18*MIN(1,MAX(0,(81-Pipeline!$E$18+1)/MAX(Pipeline!$F$18,1)))+Pipeline!$S$19*Pipeline!$D$19*MIN(1,MAX(0,(81-Pipeline!$E$19+1)/MAX(Pipeline!$F$19,1)))+Pipeline!$S$20*Pipeline!$D$20*MIN(1,MAX(0,(81-Pipeline!$E$20+1)/MAX(Pipeline!$F$20,1)))+Pipeline!$S$21*Pipeline!$D$21*MIN(1,MAX(0,(81-Pipeline!$E$21+1)/MAX(Pipeline!$F$21,1)))+Pipeline!$S$22*Pipeline!$D$22*MIN(1,MAX(0,(81-Pipeline!$E$22+1)/MAX(Pipeline!$F$22,1)))</f>
        <v>1159.4925</v>
      </c>
      <c r="CF20" s="119" t="n">
        <f aca="false">Pipeline!$S$16*Pipeline!$D$16*MIN(1,MAX(0,(82-Pipeline!$E$16+1)/MAX(Pipeline!$F$16,1)))+Pipeline!$S$17*Pipeline!$D$17*MIN(1,MAX(0,(82-Pipeline!$E$17+1)/MAX(Pipeline!$F$17,1)))+Pipeline!$S$18*Pipeline!$D$18*MIN(1,MAX(0,(82-Pipeline!$E$18+1)/MAX(Pipeline!$F$18,1)))+Pipeline!$S$19*Pipeline!$D$19*MIN(1,MAX(0,(82-Pipeline!$E$19+1)/MAX(Pipeline!$F$19,1)))+Pipeline!$S$20*Pipeline!$D$20*MIN(1,MAX(0,(82-Pipeline!$E$20+1)/MAX(Pipeline!$F$20,1)))+Pipeline!$S$21*Pipeline!$D$21*MIN(1,MAX(0,(82-Pipeline!$E$21+1)/MAX(Pipeline!$F$21,1)))+Pipeline!$S$22*Pipeline!$D$22*MIN(1,MAX(0,(82-Pipeline!$E$22+1)/MAX(Pipeline!$F$22,1)))</f>
        <v>1159.4925</v>
      </c>
      <c r="CG20" s="119" t="n">
        <f aca="false">Pipeline!$S$16*Pipeline!$D$16*MIN(1,MAX(0,(83-Pipeline!$E$16+1)/MAX(Pipeline!$F$16,1)))+Pipeline!$S$17*Pipeline!$D$17*MIN(1,MAX(0,(83-Pipeline!$E$17+1)/MAX(Pipeline!$F$17,1)))+Pipeline!$S$18*Pipeline!$D$18*MIN(1,MAX(0,(83-Pipeline!$E$18+1)/MAX(Pipeline!$F$18,1)))+Pipeline!$S$19*Pipeline!$D$19*MIN(1,MAX(0,(83-Pipeline!$E$19+1)/MAX(Pipeline!$F$19,1)))+Pipeline!$S$20*Pipeline!$D$20*MIN(1,MAX(0,(83-Pipeline!$E$20+1)/MAX(Pipeline!$F$20,1)))+Pipeline!$S$21*Pipeline!$D$21*MIN(1,MAX(0,(83-Pipeline!$E$21+1)/MAX(Pipeline!$F$21,1)))+Pipeline!$S$22*Pipeline!$D$22*MIN(1,MAX(0,(83-Pipeline!$E$22+1)/MAX(Pipeline!$F$22,1)))</f>
        <v>1159.4925</v>
      </c>
      <c r="CH20" s="119" t="n">
        <f aca="false">Pipeline!$S$16*Pipeline!$D$16*MIN(1,MAX(0,(84-Pipeline!$E$16+1)/MAX(Pipeline!$F$16,1)))+Pipeline!$S$17*Pipeline!$D$17*MIN(1,MAX(0,(84-Pipeline!$E$17+1)/MAX(Pipeline!$F$17,1)))+Pipeline!$S$18*Pipeline!$D$18*MIN(1,MAX(0,(84-Pipeline!$E$18+1)/MAX(Pipeline!$F$18,1)))+Pipeline!$S$19*Pipeline!$D$19*MIN(1,MAX(0,(84-Pipeline!$E$19+1)/MAX(Pipeline!$F$19,1)))+Pipeline!$S$20*Pipeline!$D$20*MIN(1,MAX(0,(84-Pipeline!$E$20+1)/MAX(Pipeline!$F$20,1)))+Pipeline!$S$21*Pipeline!$D$21*MIN(1,MAX(0,(84-Pipeline!$E$21+1)/MAX(Pipeline!$F$21,1)))+Pipeline!$S$22*Pipeline!$D$22*MIN(1,MAX(0,(84-Pipeline!$E$22+1)/MAX(Pipeline!$F$22,1)))</f>
        <v>1159.4925</v>
      </c>
    </row>
    <row r="21" customFormat="false" ht="13.5" hidden="false" customHeight="true" outlineLevel="0" collapsed="false">
      <c r="A21" s="6" t="s">
        <v>529</v>
      </c>
      <c r="C21" s="120" t="n">
        <f aca="false">IF(C18=0,1,MIN(1,C8/C18))</f>
        <v>1</v>
      </c>
      <c r="D21" s="120" t="n">
        <f aca="false">IF(D18=0,1,MIN(1,D8/D18))</f>
        <v>1</v>
      </c>
      <c r="E21" s="120" t="n">
        <f aca="false">IF(E18=0,1,MIN(1,E8/E18))</f>
        <v>1</v>
      </c>
      <c r="F21" s="120" t="n">
        <f aca="false">IF(F18=0,1,MIN(1,F8/F18))</f>
        <v>1</v>
      </c>
      <c r="G21" s="120" t="n">
        <f aca="false">IF(G18=0,1,MIN(1,G8/G18))</f>
        <v>1</v>
      </c>
      <c r="H21" s="120" t="n">
        <f aca="false">IF(H18=0,1,MIN(1,H8/H18))</f>
        <v>1</v>
      </c>
      <c r="I21" s="120" t="n">
        <f aca="false">IF(I18=0,1,MIN(1,I8/I18))</f>
        <v>1</v>
      </c>
      <c r="J21" s="120" t="n">
        <f aca="false">IF(J18=0,1,MIN(1,J8/J18))</f>
        <v>1</v>
      </c>
      <c r="K21" s="120" t="n">
        <f aca="false">IF(K18=0,1,MIN(1,K8/K18))</f>
        <v>1</v>
      </c>
      <c r="L21" s="120" t="n">
        <f aca="false">IF(L18=0,1,MIN(1,L8/L18))</f>
        <v>1</v>
      </c>
      <c r="M21" s="120" t="n">
        <f aca="false">IF(M18=0,1,MIN(1,M8/M18))</f>
        <v>1</v>
      </c>
      <c r="N21" s="120" t="n">
        <f aca="false">IF(N18=0,1,MIN(1,N8/N18))</f>
        <v>1</v>
      </c>
      <c r="O21" s="120" t="n">
        <f aca="false">IF(O18=0,1,MIN(1,O8/O18))</f>
        <v>1</v>
      </c>
      <c r="P21" s="120" t="n">
        <f aca="false">IF(P18=0,1,MIN(1,P8/P18))</f>
        <v>1</v>
      </c>
      <c r="Q21" s="120" t="n">
        <f aca="false">IF(Q18=0,1,MIN(1,Q8/Q18))</f>
        <v>1</v>
      </c>
      <c r="R21" s="120" t="n">
        <f aca="false">IF(R18=0,1,MIN(1,R8/R18))</f>
        <v>1</v>
      </c>
      <c r="S21" s="120" t="n">
        <f aca="false">IF(S18=0,1,MIN(1,S8/S18))</f>
        <v>1</v>
      </c>
      <c r="T21" s="120" t="n">
        <f aca="false">IF(T18=0,1,MIN(1,T8/T18))</f>
        <v>1</v>
      </c>
      <c r="U21" s="120" t="n">
        <f aca="false">IF(U18=0,1,MIN(1,U8/U18))</f>
        <v>1</v>
      </c>
      <c r="V21" s="120" t="n">
        <f aca="false">IF(V18=0,1,MIN(1,V8/V18))</f>
        <v>1</v>
      </c>
      <c r="W21" s="120" t="n">
        <f aca="false">IF(W18=0,1,MIN(1,W8/W18))</f>
        <v>1</v>
      </c>
      <c r="X21" s="120" t="n">
        <f aca="false">IF(X18=0,1,MIN(1,X8/X18))</f>
        <v>1</v>
      </c>
      <c r="Y21" s="120" t="n">
        <f aca="false">IF(Y18=0,1,MIN(1,Y8/Y18))</f>
        <v>1</v>
      </c>
      <c r="Z21" s="120" t="n">
        <f aca="false">IF(Z18=0,1,MIN(1,Z8/Z18))</f>
        <v>1</v>
      </c>
      <c r="AA21" s="120" t="n">
        <f aca="false">IF(AA18=0,1,MIN(1,AA8/AA18))</f>
        <v>1</v>
      </c>
      <c r="AB21" s="120" t="n">
        <f aca="false">IF(AB18=0,1,MIN(1,AB8/AB18))</f>
        <v>1</v>
      </c>
      <c r="AC21" s="120" t="n">
        <f aca="false">IF(AC18=0,1,MIN(1,AC8/AC18))</f>
        <v>1</v>
      </c>
      <c r="AD21" s="120" t="n">
        <f aca="false">IF(AD18=0,1,MIN(1,AD8/AD18))</f>
        <v>1</v>
      </c>
      <c r="AE21" s="120" t="n">
        <f aca="false">IF(AE18=0,1,MIN(1,AE8/AE18))</f>
        <v>1</v>
      </c>
      <c r="AF21" s="120" t="n">
        <f aca="false">IF(AF18=0,1,MIN(1,AF8/AF18))</f>
        <v>1</v>
      </c>
      <c r="AG21" s="120" t="n">
        <f aca="false">IF(AG18=0,1,MIN(1,AG8/AG18))</f>
        <v>1</v>
      </c>
      <c r="AH21" s="120" t="n">
        <f aca="false">IF(AH18=0,1,MIN(1,AH8/AH18))</f>
        <v>1</v>
      </c>
      <c r="AI21" s="120" t="n">
        <f aca="false">IF(AI18=0,1,MIN(1,AI8/AI18))</f>
        <v>1</v>
      </c>
      <c r="AJ21" s="120" t="n">
        <f aca="false">IF(AJ18=0,1,MIN(1,AJ8/AJ18))</f>
        <v>1</v>
      </c>
      <c r="AK21" s="120" t="n">
        <f aca="false">IF(AK18=0,1,MIN(1,AK8/AK18))</f>
        <v>1</v>
      </c>
      <c r="AL21" s="120" t="n">
        <f aca="false">IF(AL18=0,1,MIN(1,AL8/AL18))</f>
        <v>1</v>
      </c>
      <c r="AM21" s="120" t="n">
        <f aca="false">IF(AM18=0,1,MIN(1,AM8/AM18))</f>
        <v>1</v>
      </c>
      <c r="AN21" s="120" t="n">
        <f aca="false">IF(AN18=0,1,MIN(1,AN8/AN18))</f>
        <v>1</v>
      </c>
      <c r="AO21" s="120" t="n">
        <f aca="false">IF(AO18=0,1,MIN(1,AO8/AO18))</f>
        <v>1</v>
      </c>
      <c r="AP21" s="120" t="n">
        <f aca="false">IF(AP18=0,1,MIN(1,AP8/AP18))</f>
        <v>1</v>
      </c>
      <c r="AQ21" s="120" t="n">
        <f aca="false">IF(AQ18=0,1,MIN(1,AQ8/AQ18))</f>
        <v>1</v>
      </c>
      <c r="AR21" s="120" t="n">
        <f aca="false">IF(AR18=0,1,MIN(1,AR8/AR18))</f>
        <v>1</v>
      </c>
      <c r="AS21" s="120" t="n">
        <f aca="false">IF(AS18=0,1,MIN(1,AS8/AS18))</f>
        <v>1</v>
      </c>
      <c r="AT21" s="120" t="n">
        <f aca="false">IF(AT18=0,1,MIN(1,AT8/AT18))</f>
        <v>1</v>
      </c>
      <c r="AU21" s="120" t="n">
        <f aca="false">IF(AU18=0,1,MIN(1,AU8/AU18))</f>
        <v>1</v>
      </c>
      <c r="AV21" s="120" t="n">
        <f aca="false">IF(AV18=0,1,MIN(1,AV8/AV18))</f>
        <v>1</v>
      </c>
      <c r="AW21" s="120" t="n">
        <f aca="false">IF(AW18=0,1,MIN(1,AW8/AW18))</f>
        <v>1</v>
      </c>
      <c r="AX21" s="120" t="n">
        <f aca="false">IF(AX18=0,1,MIN(1,AX8/AX18))</f>
        <v>1</v>
      </c>
      <c r="AY21" s="120" t="n">
        <f aca="false">IF(AY18=0,1,MIN(1,AY8/AY18))</f>
        <v>1</v>
      </c>
      <c r="AZ21" s="120" t="n">
        <f aca="false">IF(AZ18=0,1,MIN(1,AZ8/AZ18))</f>
        <v>1</v>
      </c>
      <c r="BA21" s="120" t="n">
        <f aca="false">IF(BA18=0,1,MIN(1,BA8/BA18))</f>
        <v>1</v>
      </c>
      <c r="BB21" s="120" t="n">
        <f aca="false">IF(BB18=0,1,MIN(1,BB8/BB18))</f>
        <v>1</v>
      </c>
      <c r="BC21" s="120" t="n">
        <f aca="false">IF(BC18=0,1,MIN(1,BC8/BC18))</f>
        <v>1</v>
      </c>
      <c r="BD21" s="120" t="n">
        <f aca="false">IF(BD18=0,1,MIN(1,BD8/BD18))</f>
        <v>1</v>
      </c>
      <c r="BE21" s="120" t="n">
        <f aca="false">IF(BE18=0,1,MIN(1,BE8/BE18))</f>
        <v>1</v>
      </c>
      <c r="BF21" s="120" t="n">
        <f aca="false">IF(BF18=0,1,MIN(1,BF8/BF18))</f>
        <v>1</v>
      </c>
      <c r="BG21" s="120" t="n">
        <f aca="false">IF(BG18=0,1,MIN(1,BG8/BG18))</f>
        <v>1</v>
      </c>
      <c r="BH21" s="120" t="n">
        <f aca="false">IF(BH18=0,1,MIN(1,BH8/BH18))</f>
        <v>1</v>
      </c>
      <c r="BI21" s="120" t="n">
        <f aca="false">IF(BI18=0,1,MIN(1,BI8/BI18))</f>
        <v>1</v>
      </c>
      <c r="BJ21" s="120" t="n">
        <f aca="false">IF(BJ18=0,1,MIN(1,BJ8/BJ18))</f>
        <v>1</v>
      </c>
      <c r="BK21" s="120" t="n">
        <f aca="false">IF(BK18=0,1,MIN(1,BK8/BK18))</f>
        <v>1</v>
      </c>
      <c r="BL21" s="120" t="n">
        <f aca="false">IF(BL18=0,1,MIN(1,BL8/BL18))</f>
        <v>1</v>
      </c>
      <c r="BM21" s="120" t="n">
        <f aca="false">IF(BM18=0,1,MIN(1,BM8/BM18))</f>
        <v>1</v>
      </c>
      <c r="BN21" s="120" t="n">
        <f aca="false">IF(BN18=0,1,MIN(1,BN8/BN18))</f>
        <v>1</v>
      </c>
      <c r="BO21" s="120" t="n">
        <f aca="false">IF(BO18=0,1,MIN(1,BO8/BO18))</f>
        <v>1</v>
      </c>
      <c r="BP21" s="120" t="n">
        <f aca="false">IF(BP18=0,1,MIN(1,BP8/BP18))</f>
        <v>1</v>
      </c>
      <c r="BQ21" s="120" t="n">
        <f aca="false">IF(BQ18=0,1,MIN(1,BQ8/BQ18))</f>
        <v>1</v>
      </c>
      <c r="BR21" s="120" t="n">
        <f aca="false">IF(BR18=0,1,MIN(1,BR8/BR18))</f>
        <v>1</v>
      </c>
      <c r="BS21" s="120" t="n">
        <f aca="false">IF(BS18=0,1,MIN(1,BS8/BS18))</f>
        <v>1</v>
      </c>
      <c r="BT21" s="120" t="n">
        <f aca="false">IF(BT18=0,1,MIN(1,BT8/BT18))</f>
        <v>1</v>
      </c>
      <c r="BU21" s="120" t="n">
        <f aca="false">IF(BU18=0,1,MIN(1,BU8/BU18))</f>
        <v>1</v>
      </c>
      <c r="BV21" s="120" t="n">
        <f aca="false">IF(BV18=0,1,MIN(1,BV8/BV18))</f>
        <v>1</v>
      </c>
      <c r="BW21" s="120" t="n">
        <f aca="false">IF(BW18=0,1,MIN(1,BW8/BW18))</f>
        <v>1</v>
      </c>
      <c r="BX21" s="120" t="n">
        <f aca="false">IF(BX18=0,1,MIN(1,BX8/BX18))</f>
        <v>1</v>
      </c>
      <c r="BY21" s="120" t="n">
        <f aca="false">IF(BY18=0,1,MIN(1,BY8/BY18))</f>
        <v>1</v>
      </c>
      <c r="BZ21" s="120" t="n">
        <f aca="false">IF(BZ18=0,1,MIN(1,BZ8/BZ18))</f>
        <v>1</v>
      </c>
      <c r="CA21" s="120" t="n">
        <f aca="false">IF(CA18=0,1,MIN(1,CA8/CA18))</f>
        <v>1</v>
      </c>
      <c r="CB21" s="120" t="n">
        <f aca="false">IF(CB18=0,1,MIN(1,CB8/CB18))</f>
        <v>1</v>
      </c>
      <c r="CC21" s="120" t="n">
        <f aca="false">IF(CC18=0,1,MIN(1,CC8/CC18))</f>
        <v>1</v>
      </c>
      <c r="CD21" s="120" t="n">
        <f aca="false">IF(CD18=0,1,MIN(1,CD8/CD18))</f>
        <v>1</v>
      </c>
      <c r="CE21" s="120" t="n">
        <f aca="false">IF(CE18=0,1,MIN(1,CE8/CE18))</f>
        <v>1</v>
      </c>
      <c r="CF21" s="120" t="n">
        <f aca="false">IF(CF18=0,1,MIN(1,CF8/CF18))</f>
        <v>1</v>
      </c>
      <c r="CG21" s="120" t="n">
        <f aca="false">IF(CG18=0,1,MIN(1,CG8/CG18))</f>
        <v>1</v>
      </c>
      <c r="CH21" s="120" t="n">
        <f aca="false">IF(CH18=0,1,MIN(1,CH8/CH18))</f>
        <v>1</v>
      </c>
    </row>
    <row r="22" customFormat="false" ht="13.5" hidden="false" customHeight="true" outlineLevel="0" collapsed="false">
      <c r="A22" s="6" t="s">
        <v>530</v>
      </c>
      <c r="C22" s="120" t="n">
        <f aca="false">MIN(Hipótesis!$C$32,Hipótesis!$C$31+(Hipótesis!$C$32-Hipótesis!$C$31)*MAX(0,1-Hipótesis!$C$29)/Hipótesis!$C$33)</f>
        <v>0</v>
      </c>
      <c r="D22" s="120" t="n">
        <f aca="false">MIN(Hipótesis!$C$32,Hipótesis!$C$31+(Hipótesis!$C$32-Hipótesis!$C$31)*MAX(0,2-Hipótesis!$C$29)/Hipótesis!$C$33)</f>
        <v>0</v>
      </c>
      <c r="E22" s="120" t="n">
        <f aca="false">MIN(Hipótesis!$C$32,Hipótesis!$C$31+(Hipótesis!$C$32-Hipótesis!$C$31)*MAX(0,3-Hipótesis!$C$29)/Hipótesis!$C$33)</f>
        <v>0</v>
      </c>
      <c r="F22" s="120" t="n">
        <f aca="false">MIN(Hipótesis!$C$32,Hipótesis!$C$31+(Hipótesis!$C$32-Hipótesis!$C$31)*MAX(0,4-Hipótesis!$C$29)/Hipótesis!$C$33)</f>
        <v>0</v>
      </c>
      <c r="G22" s="120" t="n">
        <f aca="false">MIN(Hipótesis!$C$32,Hipótesis!$C$31+(Hipótesis!$C$32-Hipótesis!$C$31)*MAX(0,5-Hipótesis!$C$29)/Hipótesis!$C$33)</f>
        <v>0</v>
      </c>
      <c r="H22" s="120" t="n">
        <f aca="false">MIN(Hipótesis!$C$32,Hipótesis!$C$31+(Hipótesis!$C$32-Hipótesis!$C$31)*MAX(0,6-Hipótesis!$C$29)/Hipótesis!$C$33)</f>
        <v>0</v>
      </c>
      <c r="I22" s="120" t="n">
        <f aca="false">MIN(Hipótesis!$C$32,Hipótesis!$C$31+(Hipótesis!$C$32-Hipótesis!$C$31)*MAX(0,7-Hipótesis!$C$29)/Hipótesis!$C$33)</f>
        <v>0.0152777777777778</v>
      </c>
      <c r="J22" s="120" t="n">
        <f aca="false">MIN(Hipótesis!$C$32,Hipótesis!$C$31+(Hipótesis!$C$32-Hipótesis!$C$31)*MAX(0,8-Hipótesis!$C$29)/Hipótesis!$C$33)</f>
        <v>0.0305555555555556</v>
      </c>
      <c r="K22" s="120" t="n">
        <f aca="false">MIN(Hipótesis!$C$32,Hipótesis!$C$31+(Hipótesis!$C$32-Hipótesis!$C$31)*MAX(0,9-Hipótesis!$C$29)/Hipótesis!$C$33)</f>
        <v>0.0458333333333333</v>
      </c>
      <c r="L22" s="120" t="n">
        <f aca="false">MIN(Hipótesis!$C$32,Hipótesis!$C$31+(Hipótesis!$C$32-Hipótesis!$C$31)*MAX(0,10-Hipótesis!$C$29)/Hipótesis!$C$33)</f>
        <v>0.0611111111111111</v>
      </c>
      <c r="M22" s="120" t="n">
        <f aca="false">MIN(Hipótesis!$C$32,Hipótesis!$C$31+(Hipótesis!$C$32-Hipótesis!$C$31)*MAX(0,11-Hipótesis!$C$29)/Hipótesis!$C$33)</f>
        <v>0.0763888888888889</v>
      </c>
      <c r="N22" s="120" t="n">
        <f aca="false">MIN(Hipótesis!$C$32,Hipótesis!$C$31+(Hipótesis!$C$32-Hipótesis!$C$31)*MAX(0,12-Hipótesis!$C$29)/Hipótesis!$C$33)</f>
        <v>0.0916666666666667</v>
      </c>
      <c r="O22" s="120" t="n">
        <f aca="false">MIN(Hipótesis!$C$32,Hipótesis!$C$31+(Hipótesis!$C$32-Hipótesis!$C$31)*MAX(0,13-Hipótesis!$C$29)/Hipótesis!$C$33)</f>
        <v>0.106944444444444</v>
      </c>
      <c r="P22" s="120" t="n">
        <f aca="false">MIN(Hipótesis!$C$32,Hipótesis!$C$31+(Hipótesis!$C$32-Hipótesis!$C$31)*MAX(0,14-Hipótesis!$C$29)/Hipótesis!$C$33)</f>
        <v>0.122222222222222</v>
      </c>
      <c r="Q22" s="120" t="n">
        <f aca="false">MIN(Hipótesis!$C$32,Hipótesis!$C$31+(Hipótesis!$C$32-Hipótesis!$C$31)*MAX(0,15-Hipótesis!$C$29)/Hipótesis!$C$33)</f>
        <v>0.1375</v>
      </c>
      <c r="R22" s="120" t="n">
        <f aca="false">MIN(Hipótesis!$C$32,Hipótesis!$C$31+(Hipótesis!$C$32-Hipótesis!$C$31)*MAX(0,16-Hipótesis!$C$29)/Hipótesis!$C$33)</f>
        <v>0.152777777777778</v>
      </c>
      <c r="S22" s="120" t="n">
        <f aca="false">MIN(Hipótesis!$C$32,Hipótesis!$C$31+(Hipótesis!$C$32-Hipótesis!$C$31)*MAX(0,17-Hipótesis!$C$29)/Hipótesis!$C$33)</f>
        <v>0.168055555555556</v>
      </c>
      <c r="T22" s="120" t="n">
        <f aca="false">MIN(Hipótesis!$C$32,Hipótesis!$C$31+(Hipótesis!$C$32-Hipótesis!$C$31)*MAX(0,18-Hipótesis!$C$29)/Hipótesis!$C$33)</f>
        <v>0.183333333333333</v>
      </c>
      <c r="U22" s="120" t="n">
        <f aca="false">MIN(Hipótesis!$C$32,Hipótesis!$C$31+(Hipótesis!$C$32-Hipótesis!$C$31)*MAX(0,19-Hipótesis!$C$29)/Hipótesis!$C$33)</f>
        <v>0.198611111111111</v>
      </c>
      <c r="V22" s="120" t="n">
        <f aca="false">MIN(Hipótesis!$C$32,Hipótesis!$C$31+(Hipótesis!$C$32-Hipótesis!$C$31)*MAX(0,20-Hipótesis!$C$29)/Hipótesis!$C$33)</f>
        <v>0.213888888888889</v>
      </c>
      <c r="W22" s="120" t="n">
        <f aca="false">MIN(Hipótesis!$C$32,Hipótesis!$C$31+(Hipótesis!$C$32-Hipótesis!$C$31)*MAX(0,21-Hipótesis!$C$29)/Hipótesis!$C$33)</f>
        <v>0.229166666666667</v>
      </c>
      <c r="X22" s="120" t="n">
        <f aca="false">MIN(Hipótesis!$C$32,Hipótesis!$C$31+(Hipótesis!$C$32-Hipótesis!$C$31)*MAX(0,22-Hipótesis!$C$29)/Hipótesis!$C$33)</f>
        <v>0.244444444444444</v>
      </c>
      <c r="Y22" s="120" t="n">
        <f aca="false">MIN(Hipótesis!$C$32,Hipótesis!$C$31+(Hipótesis!$C$32-Hipótesis!$C$31)*MAX(0,23-Hipótesis!$C$29)/Hipótesis!$C$33)</f>
        <v>0.259722222222222</v>
      </c>
      <c r="Z22" s="120" t="n">
        <f aca="false">MIN(Hipótesis!$C$32,Hipótesis!$C$31+(Hipótesis!$C$32-Hipótesis!$C$31)*MAX(0,24-Hipótesis!$C$29)/Hipótesis!$C$33)</f>
        <v>0.275</v>
      </c>
      <c r="AA22" s="120" t="n">
        <f aca="false">MIN(Hipótesis!$C$32,Hipótesis!$C$31+(Hipótesis!$C$32-Hipótesis!$C$31)*MAX(0,25-Hipótesis!$C$29)/Hipótesis!$C$33)</f>
        <v>0.290277777777778</v>
      </c>
      <c r="AB22" s="120" t="n">
        <f aca="false">MIN(Hipótesis!$C$32,Hipótesis!$C$31+(Hipótesis!$C$32-Hipótesis!$C$31)*MAX(0,26-Hipótesis!$C$29)/Hipótesis!$C$33)</f>
        <v>0.305555555555556</v>
      </c>
      <c r="AC22" s="120" t="n">
        <f aca="false">MIN(Hipótesis!$C$32,Hipótesis!$C$31+(Hipótesis!$C$32-Hipótesis!$C$31)*MAX(0,27-Hipótesis!$C$29)/Hipótesis!$C$33)</f>
        <v>0.320833333333333</v>
      </c>
      <c r="AD22" s="120" t="n">
        <f aca="false">MIN(Hipótesis!$C$32,Hipótesis!$C$31+(Hipótesis!$C$32-Hipótesis!$C$31)*MAX(0,28-Hipótesis!$C$29)/Hipótesis!$C$33)</f>
        <v>0.336111111111111</v>
      </c>
      <c r="AE22" s="120" t="n">
        <f aca="false">MIN(Hipótesis!$C$32,Hipótesis!$C$31+(Hipótesis!$C$32-Hipótesis!$C$31)*MAX(0,29-Hipótesis!$C$29)/Hipótesis!$C$33)</f>
        <v>0.351388888888889</v>
      </c>
      <c r="AF22" s="120" t="n">
        <f aca="false">MIN(Hipótesis!$C$32,Hipótesis!$C$31+(Hipótesis!$C$32-Hipótesis!$C$31)*MAX(0,30-Hipótesis!$C$29)/Hipótesis!$C$33)</f>
        <v>0.366666666666667</v>
      </c>
      <c r="AG22" s="120" t="n">
        <f aca="false">MIN(Hipótesis!$C$32,Hipótesis!$C$31+(Hipótesis!$C$32-Hipótesis!$C$31)*MAX(0,31-Hipótesis!$C$29)/Hipótesis!$C$33)</f>
        <v>0.381944444444445</v>
      </c>
      <c r="AH22" s="120" t="n">
        <f aca="false">MIN(Hipótesis!$C$32,Hipótesis!$C$31+(Hipótesis!$C$32-Hipótesis!$C$31)*MAX(0,32-Hipótesis!$C$29)/Hipótesis!$C$33)</f>
        <v>0.397222222222222</v>
      </c>
      <c r="AI22" s="120" t="n">
        <f aca="false">MIN(Hipótesis!$C$32,Hipótesis!$C$31+(Hipótesis!$C$32-Hipótesis!$C$31)*MAX(0,33-Hipótesis!$C$29)/Hipótesis!$C$33)</f>
        <v>0.4125</v>
      </c>
      <c r="AJ22" s="120" t="n">
        <f aca="false">MIN(Hipótesis!$C$32,Hipótesis!$C$31+(Hipótesis!$C$32-Hipótesis!$C$31)*MAX(0,34-Hipótesis!$C$29)/Hipótesis!$C$33)</f>
        <v>0.427777777777778</v>
      </c>
      <c r="AK22" s="120" t="n">
        <f aca="false">MIN(Hipótesis!$C$32,Hipótesis!$C$31+(Hipótesis!$C$32-Hipótesis!$C$31)*MAX(0,35-Hipótesis!$C$29)/Hipótesis!$C$33)</f>
        <v>0.443055555555556</v>
      </c>
      <c r="AL22" s="120" t="n">
        <f aca="false">MIN(Hipótesis!$C$32,Hipótesis!$C$31+(Hipótesis!$C$32-Hipótesis!$C$31)*MAX(0,36-Hipótesis!$C$29)/Hipótesis!$C$33)</f>
        <v>0.458333333333333</v>
      </c>
      <c r="AM22" s="120" t="n">
        <f aca="false">MIN(Hipótesis!$C$32,Hipótesis!$C$31+(Hipótesis!$C$32-Hipótesis!$C$31)*MAX(0,37-Hipótesis!$C$29)/Hipótesis!$C$33)</f>
        <v>0.473611111111111</v>
      </c>
      <c r="AN22" s="120" t="n">
        <f aca="false">MIN(Hipótesis!$C$32,Hipótesis!$C$31+(Hipótesis!$C$32-Hipótesis!$C$31)*MAX(0,38-Hipótesis!$C$29)/Hipótesis!$C$33)</f>
        <v>0.488888888888889</v>
      </c>
      <c r="AO22" s="120" t="n">
        <f aca="false">MIN(Hipótesis!$C$32,Hipótesis!$C$31+(Hipótesis!$C$32-Hipótesis!$C$31)*MAX(0,39-Hipótesis!$C$29)/Hipótesis!$C$33)</f>
        <v>0.504166666666667</v>
      </c>
      <c r="AP22" s="120" t="n">
        <f aca="false">MIN(Hipótesis!$C$32,Hipótesis!$C$31+(Hipótesis!$C$32-Hipótesis!$C$31)*MAX(0,40-Hipótesis!$C$29)/Hipótesis!$C$33)</f>
        <v>0.519444444444445</v>
      </c>
      <c r="AQ22" s="120" t="n">
        <f aca="false">MIN(Hipótesis!$C$32,Hipótesis!$C$31+(Hipótesis!$C$32-Hipótesis!$C$31)*MAX(0,41-Hipótesis!$C$29)/Hipótesis!$C$33)</f>
        <v>0.534722222222222</v>
      </c>
      <c r="AR22" s="120" t="n">
        <f aca="false">MIN(Hipótesis!$C$32,Hipótesis!$C$31+(Hipótesis!$C$32-Hipótesis!$C$31)*MAX(0,42-Hipótesis!$C$29)/Hipótesis!$C$33)</f>
        <v>0.55</v>
      </c>
      <c r="AS22" s="120" t="n">
        <f aca="false">MIN(Hipótesis!$C$32,Hipótesis!$C$31+(Hipótesis!$C$32-Hipótesis!$C$31)*MAX(0,43-Hipótesis!$C$29)/Hipótesis!$C$33)</f>
        <v>0.55</v>
      </c>
      <c r="AT22" s="120" t="n">
        <f aca="false">MIN(Hipótesis!$C$32,Hipótesis!$C$31+(Hipótesis!$C$32-Hipótesis!$C$31)*MAX(0,44-Hipótesis!$C$29)/Hipótesis!$C$33)</f>
        <v>0.55</v>
      </c>
      <c r="AU22" s="120" t="n">
        <f aca="false">MIN(Hipótesis!$C$32,Hipótesis!$C$31+(Hipótesis!$C$32-Hipótesis!$C$31)*MAX(0,45-Hipótesis!$C$29)/Hipótesis!$C$33)</f>
        <v>0.55</v>
      </c>
      <c r="AV22" s="120" t="n">
        <f aca="false">MIN(Hipótesis!$C$32,Hipótesis!$C$31+(Hipótesis!$C$32-Hipótesis!$C$31)*MAX(0,46-Hipótesis!$C$29)/Hipótesis!$C$33)</f>
        <v>0.55</v>
      </c>
      <c r="AW22" s="120" t="n">
        <f aca="false">MIN(Hipótesis!$C$32,Hipótesis!$C$31+(Hipótesis!$C$32-Hipótesis!$C$31)*MAX(0,47-Hipótesis!$C$29)/Hipótesis!$C$33)</f>
        <v>0.55</v>
      </c>
      <c r="AX22" s="120" t="n">
        <f aca="false">MIN(Hipótesis!$C$32,Hipótesis!$C$31+(Hipótesis!$C$32-Hipótesis!$C$31)*MAX(0,48-Hipótesis!$C$29)/Hipótesis!$C$33)</f>
        <v>0.55</v>
      </c>
      <c r="AY22" s="120" t="n">
        <f aca="false">MIN(Hipótesis!$C$32,Hipótesis!$C$31+(Hipótesis!$C$32-Hipótesis!$C$31)*MAX(0,49-Hipótesis!$C$29)/Hipótesis!$C$33)</f>
        <v>0.55</v>
      </c>
      <c r="AZ22" s="120" t="n">
        <f aca="false">MIN(Hipótesis!$C$32,Hipótesis!$C$31+(Hipótesis!$C$32-Hipótesis!$C$31)*MAX(0,50-Hipótesis!$C$29)/Hipótesis!$C$33)</f>
        <v>0.55</v>
      </c>
      <c r="BA22" s="120" t="n">
        <f aca="false">MIN(Hipótesis!$C$32,Hipótesis!$C$31+(Hipótesis!$C$32-Hipótesis!$C$31)*MAX(0,51-Hipótesis!$C$29)/Hipótesis!$C$33)</f>
        <v>0.55</v>
      </c>
      <c r="BB22" s="120" t="n">
        <f aca="false">MIN(Hipótesis!$C$32,Hipótesis!$C$31+(Hipótesis!$C$32-Hipótesis!$C$31)*MAX(0,52-Hipótesis!$C$29)/Hipótesis!$C$33)</f>
        <v>0.55</v>
      </c>
      <c r="BC22" s="120" t="n">
        <f aca="false">MIN(Hipótesis!$C$32,Hipótesis!$C$31+(Hipótesis!$C$32-Hipótesis!$C$31)*MAX(0,53-Hipótesis!$C$29)/Hipótesis!$C$33)</f>
        <v>0.55</v>
      </c>
      <c r="BD22" s="120" t="n">
        <f aca="false">MIN(Hipótesis!$C$32,Hipótesis!$C$31+(Hipótesis!$C$32-Hipótesis!$C$31)*MAX(0,54-Hipótesis!$C$29)/Hipótesis!$C$33)</f>
        <v>0.55</v>
      </c>
      <c r="BE22" s="120" t="n">
        <f aca="false">MIN(Hipótesis!$C$32,Hipótesis!$C$31+(Hipótesis!$C$32-Hipótesis!$C$31)*MAX(0,55-Hipótesis!$C$29)/Hipótesis!$C$33)</f>
        <v>0.55</v>
      </c>
      <c r="BF22" s="120" t="n">
        <f aca="false">MIN(Hipótesis!$C$32,Hipótesis!$C$31+(Hipótesis!$C$32-Hipótesis!$C$31)*MAX(0,56-Hipótesis!$C$29)/Hipótesis!$C$33)</f>
        <v>0.55</v>
      </c>
      <c r="BG22" s="120" t="n">
        <f aca="false">MIN(Hipótesis!$C$32,Hipótesis!$C$31+(Hipótesis!$C$32-Hipótesis!$C$31)*MAX(0,57-Hipótesis!$C$29)/Hipótesis!$C$33)</f>
        <v>0.55</v>
      </c>
      <c r="BH22" s="120" t="n">
        <f aca="false">MIN(Hipótesis!$C$32,Hipótesis!$C$31+(Hipótesis!$C$32-Hipótesis!$C$31)*MAX(0,58-Hipótesis!$C$29)/Hipótesis!$C$33)</f>
        <v>0.55</v>
      </c>
      <c r="BI22" s="120" t="n">
        <f aca="false">MIN(Hipótesis!$C$32,Hipótesis!$C$31+(Hipótesis!$C$32-Hipótesis!$C$31)*MAX(0,59-Hipótesis!$C$29)/Hipótesis!$C$33)</f>
        <v>0.55</v>
      </c>
      <c r="BJ22" s="120" t="n">
        <f aca="false">MIN(Hipótesis!$C$32,Hipótesis!$C$31+(Hipótesis!$C$32-Hipótesis!$C$31)*MAX(0,60-Hipótesis!$C$29)/Hipótesis!$C$33)</f>
        <v>0.55</v>
      </c>
      <c r="BK22" s="120" t="n">
        <f aca="false">MIN(Hipótesis!$C$32,Hipótesis!$C$31+(Hipótesis!$C$32-Hipótesis!$C$31)*MAX(0,61-Hipótesis!$C$29)/Hipótesis!$C$33)</f>
        <v>0.55</v>
      </c>
      <c r="BL22" s="120" t="n">
        <f aca="false">MIN(Hipótesis!$C$32,Hipótesis!$C$31+(Hipótesis!$C$32-Hipótesis!$C$31)*MAX(0,62-Hipótesis!$C$29)/Hipótesis!$C$33)</f>
        <v>0.55</v>
      </c>
      <c r="BM22" s="120" t="n">
        <f aca="false">MIN(Hipótesis!$C$32,Hipótesis!$C$31+(Hipótesis!$C$32-Hipótesis!$C$31)*MAX(0,63-Hipótesis!$C$29)/Hipótesis!$C$33)</f>
        <v>0.55</v>
      </c>
      <c r="BN22" s="120" t="n">
        <f aca="false">MIN(Hipótesis!$C$32,Hipótesis!$C$31+(Hipótesis!$C$32-Hipótesis!$C$31)*MAX(0,64-Hipótesis!$C$29)/Hipótesis!$C$33)</f>
        <v>0.55</v>
      </c>
      <c r="BO22" s="120" t="n">
        <f aca="false">MIN(Hipótesis!$C$32,Hipótesis!$C$31+(Hipótesis!$C$32-Hipótesis!$C$31)*MAX(0,65-Hipótesis!$C$29)/Hipótesis!$C$33)</f>
        <v>0.55</v>
      </c>
      <c r="BP22" s="120" t="n">
        <f aca="false">MIN(Hipótesis!$C$32,Hipótesis!$C$31+(Hipótesis!$C$32-Hipótesis!$C$31)*MAX(0,66-Hipótesis!$C$29)/Hipótesis!$C$33)</f>
        <v>0.55</v>
      </c>
      <c r="BQ22" s="120" t="n">
        <f aca="false">MIN(Hipótesis!$C$32,Hipótesis!$C$31+(Hipótesis!$C$32-Hipótesis!$C$31)*MAX(0,67-Hipótesis!$C$29)/Hipótesis!$C$33)</f>
        <v>0.55</v>
      </c>
      <c r="BR22" s="120" t="n">
        <f aca="false">MIN(Hipótesis!$C$32,Hipótesis!$C$31+(Hipótesis!$C$32-Hipótesis!$C$31)*MAX(0,68-Hipótesis!$C$29)/Hipótesis!$C$33)</f>
        <v>0.55</v>
      </c>
      <c r="BS22" s="120" t="n">
        <f aca="false">MIN(Hipótesis!$C$32,Hipótesis!$C$31+(Hipótesis!$C$32-Hipótesis!$C$31)*MAX(0,69-Hipótesis!$C$29)/Hipótesis!$C$33)</f>
        <v>0.55</v>
      </c>
      <c r="BT22" s="120" t="n">
        <f aca="false">MIN(Hipótesis!$C$32,Hipótesis!$C$31+(Hipótesis!$C$32-Hipótesis!$C$31)*MAX(0,70-Hipótesis!$C$29)/Hipótesis!$C$33)</f>
        <v>0.55</v>
      </c>
      <c r="BU22" s="120" t="n">
        <f aca="false">MIN(Hipótesis!$C$32,Hipótesis!$C$31+(Hipótesis!$C$32-Hipótesis!$C$31)*MAX(0,71-Hipótesis!$C$29)/Hipótesis!$C$33)</f>
        <v>0.55</v>
      </c>
      <c r="BV22" s="120" t="n">
        <f aca="false">MIN(Hipótesis!$C$32,Hipótesis!$C$31+(Hipótesis!$C$32-Hipótesis!$C$31)*MAX(0,72-Hipótesis!$C$29)/Hipótesis!$C$33)</f>
        <v>0.55</v>
      </c>
      <c r="BW22" s="120" t="n">
        <f aca="false">MIN(Hipótesis!$C$32,Hipótesis!$C$31+(Hipótesis!$C$32-Hipótesis!$C$31)*MAX(0,73-Hipótesis!$C$29)/Hipótesis!$C$33)</f>
        <v>0.55</v>
      </c>
      <c r="BX22" s="120" t="n">
        <f aca="false">MIN(Hipótesis!$C$32,Hipótesis!$C$31+(Hipótesis!$C$32-Hipótesis!$C$31)*MAX(0,74-Hipótesis!$C$29)/Hipótesis!$C$33)</f>
        <v>0.55</v>
      </c>
      <c r="BY22" s="120" t="n">
        <f aca="false">MIN(Hipótesis!$C$32,Hipótesis!$C$31+(Hipótesis!$C$32-Hipótesis!$C$31)*MAX(0,75-Hipótesis!$C$29)/Hipótesis!$C$33)</f>
        <v>0.55</v>
      </c>
      <c r="BZ22" s="120" t="n">
        <f aca="false">MIN(Hipótesis!$C$32,Hipótesis!$C$31+(Hipótesis!$C$32-Hipótesis!$C$31)*MAX(0,76-Hipótesis!$C$29)/Hipótesis!$C$33)</f>
        <v>0.55</v>
      </c>
      <c r="CA22" s="120" t="n">
        <f aca="false">MIN(Hipótesis!$C$32,Hipótesis!$C$31+(Hipótesis!$C$32-Hipótesis!$C$31)*MAX(0,77-Hipótesis!$C$29)/Hipótesis!$C$33)</f>
        <v>0.55</v>
      </c>
      <c r="CB22" s="120" t="n">
        <f aca="false">MIN(Hipótesis!$C$32,Hipótesis!$C$31+(Hipótesis!$C$32-Hipótesis!$C$31)*MAX(0,78-Hipótesis!$C$29)/Hipótesis!$C$33)</f>
        <v>0.55</v>
      </c>
      <c r="CC22" s="120" t="n">
        <f aca="false">MIN(Hipótesis!$C$32,Hipótesis!$C$31+(Hipótesis!$C$32-Hipótesis!$C$31)*MAX(0,79-Hipótesis!$C$29)/Hipótesis!$C$33)</f>
        <v>0.55</v>
      </c>
      <c r="CD22" s="120" t="n">
        <f aca="false">MIN(Hipótesis!$C$32,Hipótesis!$C$31+(Hipótesis!$C$32-Hipótesis!$C$31)*MAX(0,80-Hipótesis!$C$29)/Hipótesis!$C$33)</f>
        <v>0.55</v>
      </c>
      <c r="CE22" s="120" t="n">
        <f aca="false">MIN(Hipótesis!$C$32,Hipótesis!$C$31+(Hipótesis!$C$32-Hipótesis!$C$31)*MAX(0,81-Hipótesis!$C$29)/Hipótesis!$C$33)</f>
        <v>0.55</v>
      </c>
      <c r="CF22" s="120" t="n">
        <f aca="false">MIN(Hipótesis!$C$32,Hipótesis!$C$31+(Hipótesis!$C$32-Hipótesis!$C$31)*MAX(0,82-Hipótesis!$C$29)/Hipótesis!$C$33)</f>
        <v>0.55</v>
      </c>
      <c r="CG22" s="120" t="n">
        <f aca="false">MIN(Hipótesis!$C$32,Hipótesis!$C$31+(Hipótesis!$C$32-Hipótesis!$C$31)*MAX(0,83-Hipótesis!$C$29)/Hipótesis!$C$33)</f>
        <v>0.55</v>
      </c>
      <c r="CH22" s="120" t="n">
        <f aca="false">MIN(Hipótesis!$C$32,Hipótesis!$C$31+(Hipótesis!$C$32-Hipótesis!$C$31)*MAX(0,84-Hipótesis!$C$29)/Hipótesis!$C$33)</f>
        <v>0.55</v>
      </c>
    </row>
    <row r="23" customFormat="false" ht="13.5" hidden="false" customHeight="true" outlineLevel="0" collapsed="false">
      <c r="A23" s="6" t="s">
        <v>531</v>
      </c>
      <c r="C23" s="110" t="n">
        <f aca="false">MAX(0,MIN(C8*C22,C8-C18*C21))</f>
        <v>0</v>
      </c>
      <c r="D23" s="110" t="n">
        <f aca="false">MAX(0,MIN(D8*D22,D8-D18*D21))</f>
        <v>0</v>
      </c>
      <c r="E23" s="110" t="n">
        <f aca="false">MAX(0,MIN(E8*E22,E8-E18*E21))</f>
        <v>0</v>
      </c>
      <c r="F23" s="110" t="n">
        <f aca="false">MAX(0,MIN(F8*F22,F8-F18*F21))</f>
        <v>0</v>
      </c>
      <c r="G23" s="110" t="n">
        <f aca="false">MAX(0,MIN(G8*G22,G8-G18*G21))</f>
        <v>0</v>
      </c>
      <c r="H23" s="110" t="n">
        <f aca="false">MAX(0,MIN(H8*H22,H8-H18*H21))</f>
        <v>0</v>
      </c>
      <c r="I23" s="110" t="n">
        <f aca="false">MAX(0,MIN(I8*I22,I8-I18*I21))</f>
        <v>44</v>
      </c>
      <c r="J23" s="110" t="n">
        <f aca="false">MAX(0,MIN(J8*J22,J8-J18*J21))</f>
        <v>88</v>
      </c>
      <c r="K23" s="110" t="n">
        <f aca="false">MAX(0,MIN(K8*K22,K8-K18*K21))</f>
        <v>132</v>
      </c>
      <c r="L23" s="110" t="n">
        <f aca="false">MAX(0,MIN(L8*L22,L8-L18*L21))</f>
        <v>176</v>
      </c>
      <c r="M23" s="110" t="n">
        <f aca="false">MAX(0,MIN(M8*M22,M8-M18*M21))</f>
        <v>220</v>
      </c>
      <c r="N23" s="110" t="n">
        <f aca="false">MAX(0,MIN(N8*N22,N8-N18*N21))</f>
        <v>264</v>
      </c>
      <c r="O23" s="110" t="n">
        <f aca="false">MAX(0,MIN(O8*O22,O8-O18*O21))</f>
        <v>308</v>
      </c>
      <c r="P23" s="110" t="n">
        <f aca="false">MAX(0,MIN(P8*P22,P8-P18*P21))</f>
        <v>352</v>
      </c>
      <c r="Q23" s="110" t="n">
        <f aca="false">MAX(0,MIN(Q8*Q22,Q8-Q18*Q21))</f>
        <v>396</v>
      </c>
      <c r="R23" s="110" t="n">
        <f aca="false">MAX(0,MIN(R8*R22,R8-R18*R21))</f>
        <v>440</v>
      </c>
      <c r="S23" s="110" t="n">
        <f aca="false">MAX(0,MIN(S8*S22,S8-S18*S21))</f>
        <v>484</v>
      </c>
      <c r="T23" s="110" t="n">
        <f aca="false">MAX(0,MIN(T8*T22,T8-T18*T21))</f>
        <v>528</v>
      </c>
      <c r="U23" s="110" t="n">
        <f aca="false">MAX(0,MIN(U8*U22,U8-U18*U21))</f>
        <v>572</v>
      </c>
      <c r="V23" s="110" t="n">
        <f aca="false">MAX(0,MIN(V8*V22,V8-V18*V21))</f>
        <v>616</v>
      </c>
      <c r="W23" s="110" t="n">
        <f aca="false">MAX(0,MIN(W8*W22,W8-W18*W21))</f>
        <v>660</v>
      </c>
      <c r="X23" s="110" t="n">
        <f aca="false">MAX(0,MIN(X8*X22,X8-X18*X21))</f>
        <v>704</v>
      </c>
      <c r="Y23" s="110" t="n">
        <f aca="false">MAX(0,MIN(Y8*Y22,Y8-Y18*Y21))</f>
        <v>748</v>
      </c>
      <c r="Z23" s="110" t="n">
        <f aca="false">MAX(0,MIN(Z8*Z22,Z8-Z18*Z21))</f>
        <v>792</v>
      </c>
      <c r="AA23" s="110" t="n">
        <f aca="false">MAX(0,MIN(AA8*AA22,AA8-AA18*AA21))</f>
        <v>836</v>
      </c>
      <c r="AB23" s="110" t="n">
        <f aca="false">MAX(0,MIN(AB8*AB22,AB8-AB18*AB21))</f>
        <v>880</v>
      </c>
      <c r="AC23" s="110" t="n">
        <f aca="false">MAX(0,MIN(AC8*AC22,AC8-AC18*AC21))</f>
        <v>924</v>
      </c>
      <c r="AD23" s="110" t="n">
        <f aca="false">MAX(0,MIN(AD8*AD22,AD8-AD18*AD21))</f>
        <v>968</v>
      </c>
      <c r="AE23" s="110" t="n">
        <f aca="false">MAX(0,MIN(AE8*AE22,AE8-AE18*AE21))</f>
        <v>1012</v>
      </c>
      <c r="AF23" s="110" t="n">
        <f aca="false">MAX(0,MIN(AF8*AF22,AF8-AF18*AF21))</f>
        <v>1056</v>
      </c>
      <c r="AG23" s="110" t="n">
        <f aca="false">MAX(0,MIN(AG8*AG22,AG8-AG18*AG21))</f>
        <v>1100</v>
      </c>
      <c r="AH23" s="110" t="n">
        <f aca="false">MAX(0,MIN(AH8*AH22,AH8-AH18*AH21))</f>
        <v>1144</v>
      </c>
      <c r="AI23" s="110" t="n">
        <f aca="false">MAX(0,MIN(AI8*AI22,AI8-AI18*AI21))</f>
        <v>1188</v>
      </c>
      <c r="AJ23" s="110" t="n">
        <f aca="false">MAX(0,MIN(AJ8*AJ22,AJ8-AJ18*AJ21))</f>
        <v>1232</v>
      </c>
      <c r="AK23" s="110" t="n">
        <f aca="false">MAX(0,MIN(AK8*AK22,AK8-AK18*AK21))</f>
        <v>1276</v>
      </c>
      <c r="AL23" s="110" t="n">
        <f aca="false">MAX(0,MIN(AL8*AL22,AL8-AL18*AL21))</f>
        <v>1320</v>
      </c>
      <c r="AM23" s="110" t="n">
        <f aca="false">MAX(0,MIN(AM8*AM22,AM8-AM18*AM21))</f>
        <v>1364</v>
      </c>
      <c r="AN23" s="110" t="n">
        <f aca="false">MAX(0,MIN(AN8*AN22,AN8-AN18*AN21))</f>
        <v>1408</v>
      </c>
      <c r="AO23" s="110" t="n">
        <f aca="false">MAX(0,MIN(AO8*AO22,AO8-AO18*AO21))</f>
        <v>1452</v>
      </c>
      <c r="AP23" s="110" t="n">
        <f aca="false">MAX(0,MIN(AP8*AP22,AP8-AP18*AP21))</f>
        <v>1496</v>
      </c>
      <c r="AQ23" s="110" t="n">
        <f aca="false">MAX(0,MIN(AQ8*AQ22,AQ8-AQ18*AQ21))</f>
        <v>1540</v>
      </c>
      <c r="AR23" s="110" t="n">
        <f aca="false">MAX(0,MIN(AR8*AR22,AR8-AR18*AR21))</f>
        <v>1584</v>
      </c>
      <c r="AS23" s="110" t="n">
        <f aca="false">MAX(0,MIN(AS8*AS22,AS8-AS18*AS21))</f>
        <v>1584</v>
      </c>
      <c r="AT23" s="110" t="n">
        <f aca="false">MAX(0,MIN(AT8*AT22,AT8-AT18*AT21))</f>
        <v>1584</v>
      </c>
      <c r="AU23" s="110" t="n">
        <f aca="false">MAX(0,MIN(AU8*AU22,AU8-AU18*AU21))</f>
        <v>1584</v>
      </c>
      <c r="AV23" s="110" t="n">
        <f aca="false">MAX(0,MIN(AV8*AV22,AV8-AV18*AV21))</f>
        <v>1584</v>
      </c>
      <c r="AW23" s="110" t="n">
        <f aca="false">MAX(0,MIN(AW8*AW22,AW8-AW18*AW21))</f>
        <v>1584</v>
      </c>
      <c r="AX23" s="110" t="n">
        <f aca="false">MAX(0,MIN(AX8*AX22,AX8-AX18*AX21))</f>
        <v>1584</v>
      </c>
      <c r="AY23" s="110" t="n">
        <f aca="false">MAX(0,MIN(AY8*AY22,AY8-AY18*AY21))</f>
        <v>1584</v>
      </c>
      <c r="AZ23" s="110" t="n">
        <f aca="false">MAX(0,MIN(AZ8*AZ22,AZ8-AZ18*AZ21))</f>
        <v>1584</v>
      </c>
      <c r="BA23" s="110" t="n">
        <f aca="false">MAX(0,MIN(BA8*BA22,BA8-BA18*BA21))</f>
        <v>1584</v>
      </c>
      <c r="BB23" s="110" t="n">
        <f aca="false">MAX(0,MIN(BB8*BB22,BB8-BB18*BB21))</f>
        <v>1584</v>
      </c>
      <c r="BC23" s="110" t="n">
        <f aca="false">MAX(0,MIN(BC8*BC22,BC8-BC18*BC21))</f>
        <v>1584</v>
      </c>
      <c r="BD23" s="110" t="n">
        <f aca="false">MAX(0,MIN(BD8*BD22,BD8-BD18*BD21))</f>
        <v>1584</v>
      </c>
      <c r="BE23" s="110" t="n">
        <f aca="false">MAX(0,MIN(BE8*BE22,BE8-BE18*BE21))</f>
        <v>1584</v>
      </c>
      <c r="BF23" s="110" t="n">
        <f aca="false">MAX(0,MIN(BF8*BF22,BF8-BF18*BF21))</f>
        <v>1584</v>
      </c>
      <c r="BG23" s="110" t="n">
        <f aca="false">MAX(0,MIN(BG8*BG22,BG8-BG18*BG21))</f>
        <v>1584</v>
      </c>
      <c r="BH23" s="110" t="n">
        <f aca="false">MAX(0,MIN(BH8*BH22,BH8-BH18*BH21))</f>
        <v>1584</v>
      </c>
      <c r="BI23" s="110" t="n">
        <f aca="false">MAX(0,MIN(BI8*BI22,BI8-BI18*BI21))</f>
        <v>1584</v>
      </c>
      <c r="BJ23" s="110" t="n">
        <f aca="false">MAX(0,MIN(BJ8*BJ22,BJ8-BJ18*BJ21))</f>
        <v>1584</v>
      </c>
      <c r="BK23" s="110" t="n">
        <f aca="false">MAX(0,MIN(BK8*BK22,BK8-BK18*BK21))</f>
        <v>1584</v>
      </c>
      <c r="BL23" s="110" t="n">
        <f aca="false">MAX(0,MIN(BL8*BL22,BL8-BL18*BL21))</f>
        <v>1584</v>
      </c>
      <c r="BM23" s="110" t="n">
        <f aca="false">MAX(0,MIN(BM8*BM22,BM8-BM18*BM21))</f>
        <v>1584</v>
      </c>
      <c r="BN23" s="110" t="n">
        <f aca="false">MAX(0,MIN(BN8*BN22,BN8-BN18*BN21))</f>
        <v>1584</v>
      </c>
      <c r="BO23" s="110" t="n">
        <f aca="false">MAX(0,MIN(BO8*BO22,BO8-BO18*BO21))</f>
        <v>1584</v>
      </c>
      <c r="BP23" s="110" t="n">
        <f aca="false">MAX(0,MIN(BP8*BP22,BP8-BP18*BP21))</f>
        <v>1584</v>
      </c>
      <c r="BQ23" s="110" t="n">
        <f aca="false">MAX(0,MIN(BQ8*BQ22,BQ8-BQ18*BQ21))</f>
        <v>1584</v>
      </c>
      <c r="BR23" s="110" t="n">
        <f aca="false">MAX(0,MIN(BR8*BR22,BR8-BR18*BR21))</f>
        <v>1584</v>
      </c>
      <c r="BS23" s="110" t="n">
        <f aca="false">MAX(0,MIN(BS8*BS22,BS8-BS18*BS21))</f>
        <v>1584</v>
      </c>
      <c r="BT23" s="110" t="n">
        <f aca="false">MAX(0,MIN(BT8*BT22,BT8-BT18*BT21))</f>
        <v>1584</v>
      </c>
      <c r="BU23" s="110" t="n">
        <f aca="false">MAX(0,MIN(BU8*BU22,BU8-BU18*BU21))</f>
        <v>1584</v>
      </c>
      <c r="BV23" s="110" t="n">
        <f aca="false">MAX(0,MIN(BV8*BV22,BV8-BV18*BV21))</f>
        <v>1584</v>
      </c>
      <c r="BW23" s="110" t="n">
        <f aca="false">MAX(0,MIN(BW8*BW22,BW8-BW18*BW21))</f>
        <v>1584</v>
      </c>
      <c r="BX23" s="110" t="n">
        <f aca="false">MAX(0,MIN(BX8*BX22,BX8-BX18*BX21))</f>
        <v>1584</v>
      </c>
      <c r="BY23" s="110" t="n">
        <f aca="false">MAX(0,MIN(BY8*BY22,BY8-BY18*BY21))</f>
        <v>1584</v>
      </c>
      <c r="BZ23" s="110" t="n">
        <f aca="false">MAX(0,MIN(BZ8*BZ22,BZ8-BZ18*BZ21))</f>
        <v>1584</v>
      </c>
      <c r="CA23" s="110" t="n">
        <f aca="false">MAX(0,MIN(CA8*CA22,CA8-CA18*CA21))</f>
        <v>1584</v>
      </c>
      <c r="CB23" s="110" t="n">
        <f aca="false">MAX(0,MIN(CB8*CB22,CB8-CB18*CB21))</f>
        <v>1584</v>
      </c>
      <c r="CC23" s="110" t="n">
        <f aca="false">MAX(0,MIN(CC8*CC22,CC8-CC18*CC21))</f>
        <v>1584</v>
      </c>
      <c r="CD23" s="110" t="n">
        <f aca="false">MAX(0,MIN(CD8*CD22,CD8-CD18*CD21))</f>
        <v>1584</v>
      </c>
      <c r="CE23" s="110" t="n">
        <f aca="false">MAX(0,MIN(CE8*CE22,CE8-CE18*CE21))</f>
        <v>1584</v>
      </c>
      <c r="CF23" s="110" t="n">
        <f aca="false">MAX(0,MIN(CF8*CF22,CF8-CF18*CF21))</f>
        <v>1584</v>
      </c>
      <c r="CG23" s="110" t="n">
        <f aca="false">MAX(0,MIN(CG8*CG22,CG8-CG18*CG21))</f>
        <v>1584</v>
      </c>
      <c r="CH23" s="110" t="n">
        <f aca="false">MAX(0,MIN(CH8*CH22,CH8-CH18*CH21))</f>
        <v>1584</v>
      </c>
    </row>
    <row r="24" customFormat="false" ht="13.5" hidden="false" customHeight="true" outlineLevel="0" collapsed="false">
      <c r="A24" s="22" t="s">
        <v>532</v>
      </c>
      <c r="C24" s="110" t="n">
        <f aca="false">C18*C21+C23</f>
        <v>43.7325510486046</v>
      </c>
      <c r="D24" s="110" t="n">
        <f aca="false">D18*D21+D23</f>
        <v>89.4948694968368</v>
      </c>
      <c r="E24" s="110" t="n">
        <f aca="false">E18*E21+E23</f>
        <v>168.951692513469</v>
      </c>
      <c r="F24" s="110" t="n">
        <f aca="false">F18*F21+F23</f>
        <v>204.675964481496</v>
      </c>
      <c r="G24" s="110" t="n">
        <f aca="false">G18*G21+G23</f>
        <v>238.370469049896</v>
      </c>
      <c r="H24" s="110" t="n">
        <f aca="false">H18*H21+H23</f>
        <v>295.322725072363</v>
      </c>
      <c r="I24" s="110" t="n">
        <f aca="false">I18*I21+I23</f>
        <v>396.27498109483</v>
      </c>
      <c r="J24" s="110" t="n">
        <f aca="false">J18*J21+J23</f>
        <v>497.227237117298</v>
      </c>
      <c r="K24" s="110" t="n">
        <f aca="false">K18*K21+K23</f>
        <v>598.179493139765</v>
      </c>
      <c r="L24" s="110" t="n">
        <f aca="false">L18*L21+L23</f>
        <v>699.131749162232</v>
      </c>
      <c r="M24" s="110" t="n">
        <f aca="false">M18*M21+M23</f>
        <v>766.3895006163</v>
      </c>
      <c r="N24" s="110" t="n">
        <f aca="false">N18*N21+N23</f>
        <v>867.47670873083</v>
      </c>
      <c r="O24" s="110" t="n">
        <f aca="false">O18*O21+O23</f>
        <v>968.563916845359</v>
      </c>
      <c r="P24" s="110" t="n">
        <f aca="false">P18*P21+P23</f>
        <v>1059.92515617001</v>
      </c>
      <c r="Q24" s="110" t="n">
        <f aca="false">Q18*Q21+Q23</f>
        <v>1151.28639549465</v>
      </c>
      <c r="R24" s="110" t="n">
        <f aca="false">R18*R21+R23</f>
        <v>1242.6476348193</v>
      </c>
      <c r="S24" s="110" t="n">
        <f aca="false">S18*S21+S23</f>
        <v>1334.00887414395</v>
      </c>
      <c r="T24" s="110" t="n">
        <f aca="false">T18*T21+T23</f>
        <v>1425.37011346859</v>
      </c>
      <c r="U24" s="110" t="n">
        <f aca="false">U18*U21+U23</f>
        <v>1516.73135279324</v>
      </c>
      <c r="V24" s="110" t="n">
        <f aca="false">V18*V21+V23</f>
        <v>1608.09259211789</v>
      </c>
      <c r="W24" s="110" t="n">
        <f aca="false">W18*W21+W23</f>
        <v>1699.45383144253</v>
      </c>
      <c r="X24" s="110" t="n">
        <f aca="false">X18*X21+X23</f>
        <v>1756.98561410672</v>
      </c>
      <c r="Y24" s="110" t="n">
        <f aca="false">Y18*Y21+Y23</f>
        <v>1814.5173967709</v>
      </c>
      <c r="Z24" s="110" t="n">
        <f aca="false">Z18*Z21+Z23</f>
        <v>1858.5173967709</v>
      </c>
      <c r="AA24" s="110" t="n">
        <f aca="false">AA18*AA21+AA23</f>
        <v>1902.5173967709</v>
      </c>
      <c r="AB24" s="110" t="n">
        <f aca="false">AB18*AB21+AB23</f>
        <v>1946.5173967709</v>
      </c>
      <c r="AC24" s="110" t="n">
        <f aca="false">AC18*AC21+AC23</f>
        <v>1990.5173967709</v>
      </c>
      <c r="AD24" s="110" t="n">
        <f aca="false">AD18*AD21+AD23</f>
        <v>2034.5173967709</v>
      </c>
      <c r="AE24" s="110" t="n">
        <f aca="false">AE18*AE21+AE23</f>
        <v>2078.5173967709</v>
      </c>
      <c r="AF24" s="110" t="n">
        <f aca="false">AF18*AF21+AF23</f>
        <v>2122.5173967709</v>
      </c>
      <c r="AG24" s="110" t="n">
        <f aca="false">AG18*AG21+AG23</f>
        <v>2166.5173967709</v>
      </c>
      <c r="AH24" s="110" t="n">
        <f aca="false">AH18*AH21+AH23</f>
        <v>2210.5173967709</v>
      </c>
      <c r="AI24" s="110" t="n">
        <f aca="false">AI18*AI21+AI23</f>
        <v>2254.5173967709</v>
      </c>
      <c r="AJ24" s="110" t="n">
        <f aca="false">AJ18*AJ21+AJ23</f>
        <v>2298.5173967709</v>
      </c>
      <c r="AK24" s="110" t="n">
        <f aca="false">AK18*AK21+AK23</f>
        <v>2342.5173967709</v>
      </c>
      <c r="AL24" s="110" t="n">
        <f aca="false">AL18*AL21+AL23</f>
        <v>2386.5173967709</v>
      </c>
      <c r="AM24" s="110" t="n">
        <f aca="false">AM18*AM21+AM23</f>
        <v>2430.5173967709</v>
      </c>
      <c r="AN24" s="110" t="n">
        <f aca="false">AN18*AN21+AN23</f>
        <v>2474.5173967709</v>
      </c>
      <c r="AO24" s="110" t="n">
        <f aca="false">AO18*AO21+AO23</f>
        <v>2518.5173967709</v>
      </c>
      <c r="AP24" s="110" t="n">
        <f aca="false">AP18*AP21+AP23</f>
        <v>2562.5173967709</v>
      </c>
      <c r="AQ24" s="110" t="n">
        <f aca="false">AQ18*AQ21+AQ23</f>
        <v>2606.5173967709</v>
      </c>
      <c r="AR24" s="110" t="n">
        <f aca="false">AR18*AR21+AR23</f>
        <v>2650.5173967709</v>
      </c>
      <c r="AS24" s="110" t="n">
        <f aca="false">AS18*AS21+AS23</f>
        <v>2650.5173967709</v>
      </c>
      <c r="AT24" s="110" t="n">
        <f aca="false">AT18*AT21+AT23</f>
        <v>2650.5173967709</v>
      </c>
      <c r="AU24" s="110" t="n">
        <f aca="false">AU18*AU21+AU23</f>
        <v>2650.5173967709</v>
      </c>
      <c r="AV24" s="110" t="n">
        <f aca="false">AV18*AV21+AV23</f>
        <v>2650.5173967709</v>
      </c>
      <c r="AW24" s="110" t="n">
        <f aca="false">AW18*AW21+AW23</f>
        <v>2650.5173967709</v>
      </c>
      <c r="AX24" s="110" t="n">
        <f aca="false">AX18*AX21+AX23</f>
        <v>2650.5173967709</v>
      </c>
      <c r="AY24" s="110" t="n">
        <f aca="false">AY18*AY21+AY23</f>
        <v>2650.5173967709</v>
      </c>
      <c r="AZ24" s="110" t="n">
        <f aca="false">AZ18*AZ21+AZ23</f>
        <v>2650.5173967709</v>
      </c>
      <c r="BA24" s="110" t="n">
        <f aca="false">BA18*BA21+BA23</f>
        <v>2650.5173967709</v>
      </c>
      <c r="BB24" s="110" t="n">
        <f aca="false">BB18*BB21+BB23</f>
        <v>2650.5173967709</v>
      </c>
      <c r="BC24" s="110" t="n">
        <f aca="false">BC18*BC21+BC23</f>
        <v>2650.5173967709</v>
      </c>
      <c r="BD24" s="110" t="n">
        <f aca="false">BD18*BD21+BD23</f>
        <v>2650.5173967709</v>
      </c>
      <c r="BE24" s="110" t="n">
        <f aca="false">BE18*BE21+BE23</f>
        <v>2650.5173967709</v>
      </c>
      <c r="BF24" s="110" t="n">
        <f aca="false">BF18*BF21+BF23</f>
        <v>2650.5173967709</v>
      </c>
      <c r="BG24" s="110" t="n">
        <f aca="false">BG18*BG21+BG23</f>
        <v>2650.5173967709</v>
      </c>
      <c r="BH24" s="110" t="n">
        <f aca="false">BH18*BH21+BH23</f>
        <v>2650.5173967709</v>
      </c>
      <c r="BI24" s="110" t="n">
        <f aca="false">BI18*BI21+BI23</f>
        <v>2650.5173967709</v>
      </c>
      <c r="BJ24" s="110" t="n">
        <f aca="false">BJ18*BJ21+BJ23</f>
        <v>2650.5173967709</v>
      </c>
      <c r="BK24" s="110" t="n">
        <f aca="false">BK18*BK21+BK23</f>
        <v>2650.5173967709</v>
      </c>
      <c r="BL24" s="110" t="n">
        <f aca="false">BL18*BL21+BL23</f>
        <v>2650.5173967709</v>
      </c>
      <c r="BM24" s="110" t="n">
        <f aca="false">BM18*BM21+BM23</f>
        <v>2650.5173967709</v>
      </c>
      <c r="BN24" s="110" t="n">
        <f aca="false">BN18*BN21+BN23</f>
        <v>2650.5173967709</v>
      </c>
      <c r="BO24" s="110" t="n">
        <f aca="false">BO18*BO21+BO23</f>
        <v>2650.5173967709</v>
      </c>
      <c r="BP24" s="110" t="n">
        <f aca="false">BP18*BP21+BP23</f>
        <v>2650.5173967709</v>
      </c>
      <c r="BQ24" s="110" t="n">
        <f aca="false">BQ18*BQ21+BQ23</f>
        <v>2650.5173967709</v>
      </c>
      <c r="BR24" s="110" t="n">
        <f aca="false">BR18*BR21+BR23</f>
        <v>2650.5173967709</v>
      </c>
      <c r="BS24" s="110" t="n">
        <f aca="false">BS18*BS21+BS23</f>
        <v>2650.5173967709</v>
      </c>
      <c r="BT24" s="110" t="n">
        <f aca="false">BT18*BT21+BT23</f>
        <v>2650.5173967709</v>
      </c>
      <c r="BU24" s="110" t="n">
        <f aca="false">BU18*BU21+BU23</f>
        <v>2650.5173967709</v>
      </c>
      <c r="BV24" s="110" t="n">
        <f aca="false">BV18*BV21+BV23</f>
        <v>2650.5173967709</v>
      </c>
      <c r="BW24" s="110" t="n">
        <f aca="false">BW18*BW21+BW23</f>
        <v>2650.5173967709</v>
      </c>
      <c r="BX24" s="110" t="n">
        <f aca="false">BX18*BX21+BX23</f>
        <v>2650.5173967709</v>
      </c>
      <c r="BY24" s="110" t="n">
        <f aca="false">BY18*BY21+BY23</f>
        <v>2650.5173967709</v>
      </c>
      <c r="BZ24" s="110" t="n">
        <f aca="false">BZ18*BZ21+BZ23</f>
        <v>2650.5173967709</v>
      </c>
      <c r="CA24" s="110" t="n">
        <f aca="false">CA18*CA21+CA23</f>
        <v>2650.5173967709</v>
      </c>
      <c r="CB24" s="110" t="n">
        <f aca="false">CB18*CB21+CB23</f>
        <v>2650.5173967709</v>
      </c>
      <c r="CC24" s="110" t="n">
        <f aca="false">CC18*CC21+CC23</f>
        <v>2650.5173967709</v>
      </c>
      <c r="CD24" s="110" t="n">
        <f aca="false">CD18*CD21+CD23</f>
        <v>2650.5173967709</v>
      </c>
      <c r="CE24" s="110" t="n">
        <f aca="false">CE18*CE21+CE23</f>
        <v>2650.5173967709</v>
      </c>
      <c r="CF24" s="110" t="n">
        <f aca="false">CF18*CF21+CF23</f>
        <v>2650.5173967709</v>
      </c>
      <c r="CG24" s="110" t="n">
        <f aca="false">CG18*CG21+CG23</f>
        <v>2650.5173967709</v>
      </c>
      <c r="CH24" s="110" t="n">
        <f aca="false">CH18*CH21+CH23</f>
        <v>2650.5173967709</v>
      </c>
    </row>
    <row r="25" customFormat="false" ht="13.5" hidden="false" customHeight="true" outlineLevel="0" collapsed="false">
      <c r="A25" s="6" t="s">
        <v>533</v>
      </c>
      <c r="C25" s="120" t="n">
        <f aca="false">IFERROR(C24/C8,0)</f>
        <v>0.0455547406756297</v>
      </c>
      <c r="D25" s="120" t="n">
        <f aca="false">IFERROR(D24/D8,0)</f>
        <v>0.0621492149283589</v>
      </c>
      <c r="E25" s="120" t="n">
        <f aca="false">IFERROR(E24/E8,0)</f>
        <v>0.0879956731840983</v>
      </c>
      <c r="F25" s="120" t="n">
        <f aca="false">IFERROR(F24/F8,0)</f>
        <v>0.0852816518672901</v>
      </c>
      <c r="G25" s="120" t="n">
        <f aca="false">IFERROR(G24/G8,0)</f>
        <v>0.0827675239756583</v>
      </c>
      <c r="H25" s="120" t="n">
        <f aca="false">IFERROR(H24/H8,0)</f>
        <v>0.102542612872348</v>
      </c>
      <c r="I25" s="120" t="n">
        <f aca="false">IFERROR(I24/I8,0)</f>
        <v>0.137595479546816</v>
      </c>
      <c r="J25" s="120" t="n">
        <f aca="false">IFERROR(J24/J8,0)</f>
        <v>0.172648346221284</v>
      </c>
      <c r="K25" s="120" t="n">
        <f aca="false">IFERROR(K24/K8,0)</f>
        <v>0.207701212895752</v>
      </c>
      <c r="L25" s="120" t="n">
        <f aca="false">IFERROR(L24/L8,0)</f>
        <v>0.24275407957022</v>
      </c>
      <c r="M25" s="120" t="n">
        <f aca="false">IFERROR(M24/M8,0)</f>
        <v>0.266107465491771</v>
      </c>
      <c r="N25" s="120" t="n">
        <f aca="false">IFERROR(N24/N8,0)</f>
        <v>0.301207190531538</v>
      </c>
      <c r="O25" s="120" t="n">
        <f aca="false">IFERROR(O24/O8,0)</f>
        <v>0.336306915571305</v>
      </c>
      <c r="P25" s="120" t="n">
        <f aca="false">IFERROR(P24/P8,0)</f>
        <v>0.368029568114585</v>
      </c>
      <c r="Q25" s="120" t="n">
        <f aca="false">IFERROR(Q24/Q8,0)</f>
        <v>0.399752220657866</v>
      </c>
      <c r="R25" s="120" t="n">
        <f aca="false">IFERROR(R24/R8,0)</f>
        <v>0.431474873201146</v>
      </c>
      <c r="S25" s="120" t="n">
        <f aca="false">IFERROR(S24/S8,0)</f>
        <v>0.463197525744426</v>
      </c>
      <c r="T25" s="120" t="n">
        <f aca="false">IFERROR(T24/T8,0)</f>
        <v>0.494920178287706</v>
      </c>
      <c r="U25" s="120" t="n">
        <f aca="false">IFERROR(U24/U8,0)</f>
        <v>0.526642830830986</v>
      </c>
      <c r="V25" s="120" t="n">
        <f aca="false">IFERROR(V24/V8,0)</f>
        <v>0.558365483374266</v>
      </c>
      <c r="W25" s="120" t="n">
        <f aca="false">IFERROR(W24/W8,0)</f>
        <v>0.590088135917546</v>
      </c>
      <c r="X25" s="120" t="n">
        <f aca="false">IFERROR(X24/X8,0)</f>
        <v>0.61006444934261</v>
      </c>
      <c r="Y25" s="120" t="n">
        <f aca="false">IFERROR(Y24/Y8,0)</f>
        <v>0.630040762767675</v>
      </c>
      <c r="Z25" s="120" t="n">
        <f aca="false">IFERROR(Z24/Z8,0)</f>
        <v>0.645318540545452</v>
      </c>
      <c r="AA25" s="120" t="n">
        <f aca="false">IFERROR(AA24/AA8,0)</f>
        <v>0.66059631832323</v>
      </c>
      <c r="AB25" s="120" t="n">
        <f aca="false">IFERROR(AB24/AB8,0)</f>
        <v>0.675874096101008</v>
      </c>
      <c r="AC25" s="120" t="n">
        <f aca="false">IFERROR(AC24/AC8,0)</f>
        <v>0.691151873878786</v>
      </c>
      <c r="AD25" s="120" t="n">
        <f aca="false">IFERROR(AD24/AD8,0)</f>
        <v>0.706429651656563</v>
      </c>
      <c r="AE25" s="120" t="n">
        <f aca="false">IFERROR(AE24/AE8,0)</f>
        <v>0.721707429434341</v>
      </c>
      <c r="AF25" s="120" t="n">
        <f aca="false">IFERROR(AF24/AF8,0)</f>
        <v>0.736985207212119</v>
      </c>
      <c r="AG25" s="120" t="n">
        <f aca="false">IFERROR(AG24/AG8,0)</f>
        <v>0.752262984989897</v>
      </c>
      <c r="AH25" s="120" t="n">
        <f aca="false">IFERROR(AH24/AH8,0)</f>
        <v>0.767540762767675</v>
      </c>
      <c r="AI25" s="120" t="n">
        <f aca="false">IFERROR(AI24/AI8,0)</f>
        <v>0.782818540545452</v>
      </c>
      <c r="AJ25" s="120" t="n">
        <f aca="false">IFERROR(AJ24/AJ8,0)</f>
        <v>0.79809631832323</v>
      </c>
      <c r="AK25" s="120" t="n">
        <f aca="false">IFERROR(AK24/AK8,0)</f>
        <v>0.813374096101008</v>
      </c>
      <c r="AL25" s="120" t="n">
        <f aca="false">IFERROR(AL24/AL8,0)</f>
        <v>0.828651873878786</v>
      </c>
      <c r="AM25" s="120" t="n">
        <f aca="false">IFERROR(AM24/AM8,0)</f>
        <v>0.843929651656563</v>
      </c>
      <c r="AN25" s="120" t="n">
        <f aca="false">IFERROR(AN24/AN8,0)</f>
        <v>0.859207429434341</v>
      </c>
      <c r="AO25" s="120" t="n">
        <f aca="false">IFERROR(AO24/AO8,0)</f>
        <v>0.874485207212119</v>
      </c>
      <c r="AP25" s="120" t="n">
        <f aca="false">IFERROR(AP24/AP8,0)</f>
        <v>0.889762984989897</v>
      </c>
      <c r="AQ25" s="120" t="n">
        <f aca="false">IFERROR(AQ24/AQ8,0)</f>
        <v>0.905040762767674</v>
      </c>
      <c r="AR25" s="120" t="n">
        <f aca="false">IFERROR(AR24/AR8,0)</f>
        <v>0.920318540545452</v>
      </c>
      <c r="AS25" s="120" t="n">
        <f aca="false">IFERROR(AS24/AS8,0)</f>
        <v>0.920318540545452</v>
      </c>
      <c r="AT25" s="120" t="n">
        <f aca="false">IFERROR(AT24/AT8,0)</f>
        <v>0.920318540545452</v>
      </c>
      <c r="AU25" s="120" t="n">
        <f aca="false">IFERROR(AU24/AU8,0)</f>
        <v>0.920318540545452</v>
      </c>
      <c r="AV25" s="120" t="n">
        <f aca="false">IFERROR(AV24/AV8,0)</f>
        <v>0.920318540545452</v>
      </c>
      <c r="AW25" s="120" t="n">
        <f aca="false">IFERROR(AW24/AW8,0)</f>
        <v>0.920318540545452</v>
      </c>
      <c r="AX25" s="120" t="n">
        <f aca="false">IFERROR(AX24/AX8,0)</f>
        <v>0.920318540545452</v>
      </c>
      <c r="AY25" s="120" t="n">
        <f aca="false">IFERROR(AY24/AY8,0)</f>
        <v>0.920318540545452</v>
      </c>
      <c r="AZ25" s="120" t="n">
        <f aca="false">IFERROR(AZ24/AZ8,0)</f>
        <v>0.920318540545452</v>
      </c>
      <c r="BA25" s="120" t="n">
        <f aca="false">IFERROR(BA24/BA8,0)</f>
        <v>0.920318540545452</v>
      </c>
      <c r="BB25" s="120" t="n">
        <f aca="false">IFERROR(BB24/BB8,0)</f>
        <v>0.920318540545452</v>
      </c>
      <c r="BC25" s="120" t="n">
        <f aca="false">IFERROR(BC24/BC8,0)</f>
        <v>0.920318540545452</v>
      </c>
      <c r="BD25" s="120" t="n">
        <f aca="false">IFERROR(BD24/BD8,0)</f>
        <v>0.920318540545452</v>
      </c>
      <c r="BE25" s="120" t="n">
        <f aca="false">IFERROR(BE24/BE8,0)</f>
        <v>0.920318540545452</v>
      </c>
      <c r="BF25" s="120" t="n">
        <f aca="false">IFERROR(BF24/BF8,0)</f>
        <v>0.920318540545452</v>
      </c>
      <c r="BG25" s="120" t="n">
        <f aca="false">IFERROR(BG24/BG8,0)</f>
        <v>0.920318540545452</v>
      </c>
      <c r="BH25" s="120" t="n">
        <f aca="false">IFERROR(BH24/BH8,0)</f>
        <v>0.920318540545452</v>
      </c>
      <c r="BI25" s="120" t="n">
        <f aca="false">IFERROR(BI24/BI8,0)</f>
        <v>0.920318540545452</v>
      </c>
      <c r="BJ25" s="120" t="n">
        <f aca="false">IFERROR(BJ24/BJ8,0)</f>
        <v>0.920318540545452</v>
      </c>
      <c r="BK25" s="120" t="n">
        <f aca="false">IFERROR(BK24/BK8,0)</f>
        <v>0.920318540545452</v>
      </c>
      <c r="BL25" s="120" t="n">
        <f aca="false">IFERROR(BL24/BL8,0)</f>
        <v>0.920318540545452</v>
      </c>
      <c r="BM25" s="120" t="n">
        <f aca="false">IFERROR(BM24/BM8,0)</f>
        <v>0.920318540545452</v>
      </c>
      <c r="BN25" s="120" t="n">
        <f aca="false">IFERROR(BN24/BN8,0)</f>
        <v>0.920318540545452</v>
      </c>
      <c r="BO25" s="120" t="n">
        <f aca="false">IFERROR(BO24/BO8,0)</f>
        <v>0.920318540545452</v>
      </c>
      <c r="BP25" s="120" t="n">
        <f aca="false">IFERROR(BP24/BP8,0)</f>
        <v>0.920318540545452</v>
      </c>
      <c r="BQ25" s="120" t="n">
        <f aca="false">IFERROR(BQ24/BQ8,0)</f>
        <v>0.920318540545452</v>
      </c>
      <c r="BR25" s="120" t="n">
        <f aca="false">IFERROR(BR24/BR8,0)</f>
        <v>0.920318540545452</v>
      </c>
      <c r="BS25" s="120" t="n">
        <f aca="false">IFERROR(BS24/BS8,0)</f>
        <v>0.920318540545452</v>
      </c>
      <c r="BT25" s="120" t="n">
        <f aca="false">IFERROR(BT24/BT8,0)</f>
        <v>0.920318540545452</v>
      </c>
      <c r="BU25" s="120" t="n">
        <f aca="false">IFERROR(BU24/BU8,0)</f>
        <v>0.920318540545452</v>
      </c>
      <c r="BV25" s="120" t="n">
        <f aca="false">IFERROR(BV24/BV8,0)</f>
        <v>0.920318540545452</v>
      </c>
      <c r="BW25" s="120" t="n">
        <f aca="false">IFERROR(BW24/BW8,0)</f>
        <v>0.920318540545452</v>
      </c>
      <c r="BX25" s="120" t="n">
        <f aca="false">IFERROR(BX24/BX8,0)</f>
        <v>0.920318540545452</v>
      </c>
      <c r="BY25" s="120" t="n">
        <f aca="false">IFERROR(BY24/BY8,0)</f>
        <v>0.920318540545452</v>
      </c>
      <c r="BZ25" s="120" t="n">
        <f aca="false">IFERROR(BZ24/BZ8,0)</f>
        <v>0.920318540545452</v>
      </c>
      <c r="CA25" s="120" t="n">
        <f aca="false">IFERROR(CA24/CA8,0)</f>
        <v>0.920318540545452</v>
      </c>
      <c r="CB25" s="120" t="n">
        <f aca="false">IFERROR(CB24/CB8,0)</f>
        <v>0.920318540545452</v>
      </c>
      <c r="CC25" s="120" t="n">
        <f aca="false">IFERROR(CC24/CC8,0)</f>
        <v>0.920318540545452</v>
      </c>
      <c r="CD25" s="120" t="n">
        <f aca="false">IFERROR(CD24/CD8,0)</f>
        <v>0.920318540545452</v>
      </c>
      <c r="CE25" s="120" t="n">
        <f aca="false">IFERROR(CE24/CE8,0)</f>
        <v>0.920318540545452</v>
      </c>
      <c r="CF25" s="120" t="n">
        <f aca="false">IFERROR(CF24/CF8,0)</f>
        <v>0.920318540545452</v>
      </c>
      <c r="CG25" s="120" t="n">
        <f aca="false">IFERROR(CG24/CG8,0)</f>
        <v>0.920318540545452</v>
      </c>
      <c r="CH25" s="120" t="n">
        <f aca="false">IFERROR(CH24/CH8,0)</f>
        <v>0.920318540545452</v>
      </c>
    </row>
    <row r="26" customFormat="false" ht="13.5" hidden="false" customHeight="true" outlineLevel="0" collapsed="false">
      <c r="A26" s="6" t="s">
        <v>262</v>
      </c>
      <c r="C26" s="110" t="n">
        <f aca="false">C20*C21+C23*Hipótesis!$C$23</f>
        <v>12.3975</v>
      </c>
      <c r="D26" s="110" t="n">
        <f aca="false">D20*D21+D23*Hipótesis!$C$23</f>
        <v>27.405</v>
      </c>
      <c r="E26" s="110" t="n">
        <f aca="false">E20*E21+E23*Hipótesis!$C$23</f>
        <v>75.69</v>
      </c>
      <c r="F26" s="110" t="n">
        <f aca="false">F20*F21+F23*Hipótesis!$C$23</f>
        <v>111.5775</v>
      </c>
      <c r="G26" s="110" t="n">
        <f aca="false">G20*G21+G23*Hipótesis!$C$23</f>
        <v>144.855</v>
      </c>
      <c r="H26" s="110" t="n">
        <f aca="false">H20*H21+H23*Hipótesis!$C$23</f>
        <v>208.03875</v>
      </c>
      <c r="I26" s="110" t="n">
        <f aca="false">I20*I21+I23*Hipótesis!$C$23</f>
        <v>321.296984860541</v>
      </c>
      <c r="J26" s="110" t="n">
        <f aca="false">J20*J21+J23*Hipótesis!$C$23</f>
        <v>434.555219721081</v>
      </c>
      <c r="K26" s="110" t="n">
        <f aca="false">K20*K21+K23*Hipótesis!$C$23</f>
        <v>547.813454581622</v>
      </c>
      <c r="L26" s="110" t="n">
        <f aca="false">L20*L21+L23*Hipótesis!$C$23</f>
        <v>661.071689442162</v>
      </c>
      <c r="M26" s="110" t="n">
        <f aca="false">M20*M21+M23*Hipótesis!$C$23</f>
        <v>741.052424302703</v>
      </c>
      <c r="N26" s="110" t="n">
        <f aca="false">N20*N21+N23*Hipótesis!$C$23</f>
        <v>864.533159163243</v>
      </c>
      <c r="O26" s="110" t="n">
        <f aca="false">O20*O21+O23*Hipótesis!$C$23</f>
        <v>988.013894023784</v>
      </c>
      <c r="P26" s="110" t="n">
        <f aca="false">P20*P21+P23*Hipótesis!$C$23</f>
        <v>1098.98837888432</v>
      </c>
      <c r="Q26" s="110" t="n">
        <f aca="false">Q20*Q21+Q23*Hipótesis!$C$23</f>
        <v>1209.96286374487</v>
      </c>
      <c r="R26" s="110" t="n">
        <f aca="false">R20*R21+R23*Hipótesis!$C$23</f>
        <v>1320.93734860541</v>
      </c>
      <c r="S26" s="110" t="n">
        <f aca="false">S20*S21+S23*Hipótesis!$C$23</f>
        <v>1431.91183346595</v>
      </c>
      <c r="T26" s="110" t="n">
        <f aca="false">T20*T21+T23*Hipótesis!$C$23</f>
        <v>1542.88631832649</v>
      </c>
      <c r="U26" s="110" t="n">
        <f aca="false">U20*U21+U23*Hipótesis!$C$23</f>
        <v>1653.86080318703</v>
      </c>
      <c r="V26" s="110" t="n">
        <f aca="false">V20*V21+V23*Hipótesis!$C$23</f>
        <v>1764.83528804757</v>
      </c>
      <c r="W26" s="110" t="n">
        <f aca="false">W20*W21+W23*Hipótesis!$C$23</f>
        <v>1875.80977290811</v>
      </c>
      <c r="X26" s="110" t="n">
        <f aca="false">X20*X21+X23*Hipótesis!$C$23</f>
        <v>1943.28425776865</v>
      </c>
      <c r="Y26" s="110" t="n">
        <f aca="false">Y20*Y21+Y23*Hipótesis!$C$23</f>
        <v>2010.75874262919</v>
      </c>
      <c r="Z26" s="110" t="n">
        <f aca="false">Z20*Z21+Z23*Hipótesis!$C$23</f>
        <v>2060.83322748973</v>
      </c>
      <c r="AA26" s="110" t="n">
        <f aca="false">AA20*AA21+AA23*Hipótesis!$C$23</f>
        <v>2110.90771235027</v>
      </c>
      <c r="AB26" s="110" t="n">
        <f aca="false">AB20*AB21+AB23*Hipótesis!$C$23</f>
        <v>2160.98219721081</v>
      </c>
      <c r="AC26" s="110" t="n">
        <f aca="false">AC20*AC21+AC23*Hipótesis!$C$23</f>
        <v>2211.05668207135</v>
      </c>
      <c r="AD26" s="110" t="n">
        <f aca="false">AD20*AD21+AD23*Hipótesis!$C$23</f>
        <v>2261.13116693189</v>
      </c>
      <c r="AE26" s="110" t="n">
        <f aca="false">AE20*AE21+AE23*Hipótesis!$C$23</f>
        <v>2311.20565179243</v>
      </c>
      <c r="AF26" s="110" t="n">
        <f aca="false">AF20*AF21+AF23*Hipótesis!$C$23</f>
        <v>2361.28013665297</v>
      </c>
      <c r="AG26" s="110" t="n">
        <f aca="false">AG20*AG21+AG23*Hipótesis!$C$23</f>
        <v>2411.35462151351</v>
      </c>
      <c r="AH26" s="110" t="n">
        <f aca="false">AH20*AH21+AH23*Hipótesis!$C$23</f>
        <v>2461.42910637405</v>
      </c>
      <c r="AI26" s="110" t="n">
        <f aca="false">AI20*AI21+AI23*Hipótesis!$C$23</f>
        <v>2511.50359123459</v>
      </c>
      <c r="AJ26" s="110" t="n">
        <f aca="false">AJ20*AJ21+AJ23*Hipótesis!$C$23</f>
        <v>2561.57807609514</v>
      </c>
      <c r="AK26" s="110" t="n">
        <f aca="false">AK20*AK21+AK23*Hipótesis!$C$23</f>
        <v>2611.65256095568</v>
      </c>
      <c r="AL26" s="110" t="n">
        <f aca="false">AL20*AL21+AL23*Hipótesis!$C$23</f>
        <v>2661.72704581622</v>
      </c>
      <c r="AM26" s="110" t="n">
        <f aca="false">AM20*AM21+AM23*Hipótesis!$C$23</f>
        <v>2711.80153067676</v>
      </c>
      <c r="AN26" s="110" t="n">
        <f aca="false">AN20*AN21+AN23*Hipótesis!$C$23</f>
        <v>2761.8760155373</v>
      </c>
      <c r="AO26" s="110" t="n">
        <f aca="false">AO20*AO21+AO23*Hipótesis!$C$23</f>
        <v>2811.95050039784</v>
      </c>
      <c r="AP26" s="110" t="n">
        <f aca="false">AP20*AP21+AP23*Hipótesis!$C$23</f>
        <v>2862.02498525838</v>
      </c>
      <c r="AQ26" s="110" t="n">
        <f aca="false">AQ20*AQ21+AQ23*Hipótesis!$C$23</f>
        <v>2912.09947011892</v>
      </c>
      <c r="AR26" s="110" t="n">
        <f aca="false">AR20*AR21+AR23*Hipótesis!$C$23</f>
        <v>2962.17395497946</v>
      </c>
      <c r="AS26" s="110" t="n">
        <f aca="false">AS20*AS21+AS23*Hipótesis!$C$23</f>
        <v>2962.17395497946</v>
      </c>
      <c r="AT26" s="110" t="n">
        <f aca="false">AT20*AT21+AT23*Hipótesis!$C$23</f>
        <v>2962.17395497946</v>
      </c>
      <c r="AU26" s="110" t="n">
        <f aca="false">AU20*AU21+AU23*Hipótesis!$C$23</f>
        <v>2962.17395497946</v>
      </c>
      <c r="AV26" s="110" t="n">
        <f aca="false">AV20*AV21+AV23*Hipótesis!$C$23</f>
        <v>2962.17395497946</v>
      </c>
      <c r="AW26" s="110" t="n">
        <f aca="false">AW20*AW21+AW23*Hipótesis!$C$23</f>
        <v>2962.17395497946</v>
      </c>
      <c r="AX26" s="110" t="n">
        <f aca="false">AX20*AX21+AX23*Hipótesis!$C$23</f>
        <v>2962.17395497946</v>
      </c>
      <c r="AY26" s="110" t="n">
        <f aca="false">AY20*AY21+AY23*Hipótesis!$C$23</f>
        <v>2962.17395497946</v>
      </c>
      <c r="AZ26" s="110" t="n">
        <f aca="false">AZ20*AZ21+AZ23*Hipótesis!$C$23</f>
        <v>2962.17395497946</v>
      </c>
      <c r="BA26" s="110" t="n">
        <f aca="false">BA20*BA21+BA23*Hipótesis!$C$23</f>
        <v>2962.17395497946</v>
      </c>
      <c r="BB26" s="110" t="n">
        <f aca="false">BB20*BB21+BB23*Hipótesis!$C$23</f>
        <v>2962.17395497946</v>
      </c>
      <c r="BC26" s="110" t="n">
        <f aca="false">BC20*BC21+BC23*Hipótesis!$C$23</f>
        <v>2962.17395497946</v>
      </c>
      <c r="BD26" s="110" t="n">
        <f aca="false">BD20*BD21+BD23*Hipótesis!$C$23</f>
        <v>2962.17395497946</v>
      </c>
      <c r="BE26" s="110" t="n">
        <f aca="false">BE20*BE21+BE23*Hipótesis!$C$23</f>
        <v>2962.17395497946</v>
      </c>
      <c r="BF26" s="110" t="n">
        <f aca="false">BF20*BF21+BF23*Hipótesis!$C$23</f>
        <v>2962.17395497946</v>
      </c>
      <c r="BG26" s="110" t="n">
        <f aca="false">BG20*BG21+BG23*Hipótesis!$C$23</f>
        <v>2962.17395497946</v>
      </c>
      <c r="BH26" s="110" t="n">
        <f aca="false">BH20*BH21+BH23*Hipótesis!$C$23</f>
        <v>2962.17395497946</v>
      </c>
      <c r="BI26" s="110" t="n">
        <f aca="false">BI20*BI21+BI23*Hipótesis!$C$23</f>
        <v>2962.17395497946</v>
      </c>
      <c r="BJ26" s="110" t="n">
        <f aca="false">BJ20*BJ21+BJ23*Hipótesis!$C$23</f>
        <v>2962.17395497946</v>
      </c>
      <c r="BK26" s="110" t="n">
        <f aca="false">BK20*BK21+BK23*Hipótesis!$C$23</f>
        <v>2962.17395497946</v>
      </c>
      <c r="BL26" s="110" t="n">
        <f aca="false">BL20*BL21+BL23*Hipótesis!$C$23</f>
        <v>2962.17395497946</v>
      </c>
      <c r="BM26" s="110" t="n">
        <f aca="false">BM20*BM21+BM23*Hipótesis!$C$23</f>
        <v>2962.17395497946</v>
      </c>
      <c r="BN26" s="110" t="n">
        <f aca="false">BN20*BN21+BN23*Hipótesis!$C$23</f>
        <v>2962.17395497946</v>
      </c>
      <c r="BO26" s="110" t="n">
        <f aca="false">BO20*BO21+BO23*Hipótesis!$C$23</f>
        <v>2962.17395497946</v>
      </c>
      <c r="BP26" s="110" t="n">
        <f aca="false">BP20*BP21+BP23*Hipótesis!$C$23</f>
        <v>2962.17395497946</v>
      </c>
      <c r="BQ26" s="110" t="n">
        <f aca="false">BQ20*BQ21+BQ23*Hipótesis!$C$23</f>
        <v>2962.17395497946</v>
      </c>
      <c r="BR26" s="110" t="n">
        <f aca="false">BR20*BR21+BR23*Hipótesis!$C$23</f>
        <v>2962.17395497946</v>
      </c>
      <c r="BS26" s="110" t="n">
        <f aca="false">BS20*BS21+BS23*Hipótesis!$C$23</f>
        <v>2962.17395497946</v>
      </c>
      <c r="BT26" s="110" t="n">
        <f aca="false">BT20*BT21+BT23*Hipótesis!$C$23</f>
        <v>2962.17395497946</v>
      </c>
      <c r="BU26" s="110" t="n">
        <f aca="false">BU20*BU21+BU23*Hipótesis!$C$23</f>
        <v>2962.17395497946</v>
      </c>
      <c r="BV26" s="110" t="n">
        <f aca="false">BV20*BV21+BV23*Hipótesis!$C$23</f>
        <v>2962.17395497946</v>
      </c>
      <c r="BW26" s="110" t="n">
        <f aca="false">BW20*BW21+BW23*Hipótesis!$C$23</f>
        <v>2962.17395497946</v>
      </c>
      <c r="BX26" s="110" t="n">
        <f aca="false">BX20*BX21+BX23*Hipótesis!$C$23</f>
        <v>2962.17395497946</v>
      </c>
      <c r="BY26" s="110" t="n">
        <f aca="false">BY20*BY21+BY23*Hipótesis!$C$23</f>
        <v>2962.17395497946</v>
      </c>
      <c r="BZ26" s="110" t="n">
        <f aca="false">BZ20*BZ21+BZ23*Hipótesis!$C$23</f>
        <v>2962.17395497946</v>
      </c>
      <c r="CA26" s="110" t="n">
        <f aca="false">CA20*CA21+CA23*Hipótesis!$C$23</f>
        <v>2962.17395497946</v>
      </c>
      <c r="CB26" s="110" t="n">
        <f aca="false">CB20*CB21+CB23*Hipótesis!$C$23</f>
        <v>2962.17395497946</v>
      </c>
      <c r="CC26" s="110" t="n">
        <f aca="false">CC20*CC21+CC23*Hipótesis!$C$23</f>
        <v>2962.17395497946</v>
      </c>
      <c r="CD26" s="110" t="n">
        <f aca="false">CD20*CD21+CD23*Hipótesis!$C$23</f>
        <v>2962.17395497946</v>
      </c>
      <c r="CE26" s="110" t="n">
        <f aca="false">CE20*CE21+CE23*Hipótesis!$C$23</f>
        <v>2962.17395497946</v>
      </c>
      <c r="CF26" s="110" t="n">
        <f aca="false">CF20*CF21+CF23*Hipótesis!$C$23</f>
        <v>2962.17395497946</v>
      </c>
      <c r="CG26" s="110" t="n">
        <f aca="false">CG20*CG21+CG23*Hipótesis!$C$23</f>
        <v>2962.17395497946</v>
      </c>
      <c r="CH26" s="110" t="n">
        <f aca="false">CH20*CH21+CH23*Hipótesis!$C$23</f>
        <v>2962.17395497946</v>
      </c>
    </row>
    <row r="27" customFormat="false" ht="13.5" hidden="false" customHeight="true" outlineLevel="0" collapsed="false">
      <c r="A27" s="6" t="s">
        <v>447</v>
      </c>
      <c r="C27" s="110" t="n">
        <f aca="false">C17*C21+C23*Hipótesis!$C$24</f>
        <v>111.865942028985</v>
      </c>
      <c r="D27" s="110" t="n">
        <f aca="false">D17*D21+D23*Hipótesis!$C$24</f>
        <v>240.419863597613</v>
      </c>
      <c r="E27" s="110" t="n">
        <f aca="false">E17*E21+E23*Hipótesis!$C$24</f>
        <v>585.726641199958</v>
      </c>
      <c r="F27" s="110" t="n">
        <f aca="false">F17*F21+F23*Hipótesis!$C$24</f>
        <v>819.167476773318</v>
      </c>
      <c r="G27" s="110" t="n">
        <f aca="false">G17*G21+G23*Hipótesis!$C$24</f>
        <v>1035.92033280704</v>
      </c>
      <c r="H27" s="110" t="n">
        <f aca="false">H17*H21+H23*Hipótesis!$C$24</f>
        <v>1443.88962106582</v>
      </c>
      <c r="I27" s="110" t="n">
        <f aca="false">I17*I21+I23*Hipótesis!$C$24</f>
        <v>2153.37844986514</v>
      </c>
      <c r="J27" s="110" t="n">
        <f aca="false">J17*J21+J23*Hipótesis!$C$24</f>
        <v>2862.86727866446</v>
      </c>
      <c r="K27" s="110" t="n">
        <f aca="false">K17*K21+K23*Hipótesis!$C$24</f>
        <v>3572.35610746378</v>
      </c>
      <c r="L27" s="110" t="n">
        <f aca="false">L17*L21+L23*Hipótesis!$C$24</f>
        <v>4281.84493626311</v>
      </c>
      <c r="M27" s="110" t="n">
        <f aca="false">M17*M21+M23*Hipótesis!$C$24</f>
        <v>4774.58090902871</v>
      </c>
      <c r="N27" s="110" t="n">
        <f aca="false">N17*N21+N23*Hipótesis!$C$24</f>
        <v>5545.44987412168</v>
      </c>
      <c r="O27" s="110" t="n">
        <f aca="false">O17*O21+O23*Hipótesis!$C$24</f>
        <v>6316.31883921465</v>
      </c>
      <c r="P27" s="110" t="n">
        <f aca="false">P17*P21+P23*Hipótesis!$C$24</f>
        <v>7007.2245690135</v>
      </c>
      <c r="Q27" s="110" t="n">
        <f aca="false">Q17*Q21+Q23*Hipótesis!$C$24</f>
        <v>7698.13029881236</v>
      </c>
      <c r="R27" s="110" t="n">
        <f aca="false">R17*R21+R23*Hipótesis!$C$24</f>
        <v>8389.03602861121</v>
      </c>
      <c r="S27" s="110" t="n">
        <f aca="false">S17*S21+S23*Hipótesis!$C$24</f>
        <v>9079.94175841006</v>
      </c>
      <c r="T27" s="110" t="n">
        <f aca="false">T17*T21+T23*Hipótesis!$C$24</f>
        <v>9770.84748820891</v>
      </c>
      <c r="U27" s="110" t="n">
        <f aca="false">U17*U21+U23*Hipótesis!$C$24</f>
        <v>10461.7532180078</v>
      </c>
      <c r="V27" s="110" t="n">
        <f aca="false">V17*V21+V23*Hipótesis!$C$24</f>
        <v>11152.6589478066</v>
      </c>
      <c r="W27" s="110" t="n">
        <f aca="false">W17*W21+W23*Hipótesis!$C$24</f>
        <v>11843.5646776055</v>
      </c>
      <c r="X27" s="110" t="n">
        <f aca="false">X17*X21+X23*Hipótesis!$C$24</f>
        <v>12256.337415077</v>
      </c>
      <c r="Y27" s="110" t="n">
        <f aca="false">Y17*Y21+Y23*Hipótesis!$C$24</f>
        <v>12669.1101525484</v>
      </c>
      <c r="Z27" s="110" t="n">
        <f aca="false">Z17*Z21+Z23*Hipótesis!$C$24</f>
        <v>12970.629693089</v>
      </c>
      <c r="AA27" s="110" t="n">
        <f aca="false">AA17*AA21+AA23*Hipótesis!$C$24</f>
        <v>13272.1492336295</v>
      </c>
      <c r="AB27" s="110" t="n">
        <f aca="false">AB17*AB21+AB23*Hipótesis!$C$24</f>
        <v>13573.6687741701</v>
      </c>
      <c r="AC27" s="110" t="n">
        <f aca="false">AC17*AC21+AC23*Hipótesis!$C$24</f>
        <v>13875.1883147106</v>
      </c>
      <c r="AD27" s="110" t="n">
        <f aca="false">AD17*AD21+AD23*Hipótesis!$C$24</f>
        <v>14176.7078552511</v>
      </c>
      <c r="AE27" s="110" t="n">
        <f aca="false">AE17*AE21+AE23*Hipótesis!$C$24</f>
        <v>14478.2273957917</v>
      </c>
      <c r="AF27" s="110" t="n">
        <f aca="false">AF17*AF21+AF23*Hipótesis!$C$24</f>
        <v>14779.7469363322</v>
      </c>
      <c r="AG27" s="110" t="n">
        <f aca="false">AG17*AG21+AG23*Hipótesis!$C$24</f>
        <v>15081.2664768728</v>
      </c>
      <c r="AH27" s="110" t="n">
        <f aca="false">AH17*AH21+AH23*Hipótesis!$C$24</f>
        <v>15382.7860174133</v>
      </c>
      <c r="AI27" s="110" t="n">
        <f aca="false">AI17*AI21+AI23*Hipótesis!$C$24</f>
        <v>15684.3055579539</v>
      </c>
      <c r="AJ27" s="110" t="n">
        <f aca="false">AJ17*AJ21+AJ23*Hipótesis!$C$24</f>
        <v>15985.8250984944</v>
      </c>
      <c r="AK27" s="110" t="n">
        <f aca="false">AK17*AK21+AK23*Hipótesis!$C$24</f>
        <v>16287.3446390349</v>
      </c>
      <c r="AL27" s="110" t="n">
        <f aca="false">AL17*AL21+AL23*Hipótesis!$C$24</f>
        <v>16588.8641795755</v>
      </c>
      <c r="AM27" s="110" t="n">
        <f aca="false">AM17*AM21+AM23*Hipótesis!$C$24</f>
        <v>16890.383720116</v>
      </c>
      <c r="AN27" s="110" t="n">
        <f aca="false">AN17*AN21+AN23*Hipótesis!$C$24</f>
        <v>17191.9032606566</v>
      </c>
      <c r="AO27" s="110" t="n">
        <f aca="false">AO17*AO21+AO23*Hipótesis!$C$24</f>
        <v>17493.4228011971</v>
      </c>
      <c r="AP27" s="110" t="n">
        <f aca="false">AP17*AP21+AP23*Hipótesis!$C$24</f>
        <v>17794.9423417376</v>
      </c>
      <c r="AQ27" s="110" t="n">
        <f aca="false">AQ17*AQ21+AQ23*Hipótesis!$C$24</f>
        <v>18096.4618822782</v>
      </c>
      <c r="AR27" s="110" t="n">
        <f aca="false">AR17*AR21+AR23*Hipótesis!$C$24</f>
        <v>18397.9814228187</v>
      </c>
      <c r="AS27" s="110" t="n">
        <f aca="false">AS17*AS21+AS23*Hipótesis!$C$24</f>
        <v>18397.9814228187</v>
      </c>
      <c r="AT27" s="110" t="n">
        <f aca="false">AT17*AT21+AT23*Hipótesis!$C$24</f>
        <v>18397.9814228187</v>
      </c>
      <c r="AU27" s="110" t="n">
        <f aca="false">AU17*AU21+AU23*Hipótesis!$C$24</f>
        <v>18397.9814228187</v>
      </c>
      <c r="AV27" s="110" t="n">
        <f aca="false">AV17*AV21+AV23*Hipótesis!$C$24</f>
        <v>18397.9814228187</v>
      </c>
      <c r="AW27" s="110" t="n">
        <f aca="false">AW17*AW21+AW23*Hipótesis!$C$24</f>
        <v>18397.9814228187</v>
      </c>
      <c r="AX27" s="110" t="n">
        <f aca="false">AX17*AX21+AX23*Hipótesis!$C$24</f>
        <v>18397.9814228187</v>
      </c>
      <c r="AY27" s="110" t="n">
        <f aca="false">AY17*AY21+AY23*Hipótesis!$C$24</f>
        <v>18397.9814228187</v>
      </c>
      <c r="AZ27" s="110" t="n">
        <f aca="false">AZ17*AZ21+AZ23*Hipótesis!$C$24</f>
        <v>18397.9814228187</v>
      </c>
      <c r="BA27" s="110" t="n">
        <f aca="false">BA17*BA21+BA23*Hipótesis!$C$24</f>
        <v>18397.9814228187</v>
      </c>
      <c r="BB27" s="110" t="n">
        <f aca="false">BB17*BB21+BB23*Hipótesis!$C$24</f>
        <v>18397.9814228187</v>
      </c>
      <c r="BC27" s="110" t="n">
        <f aca="false">BC17*BC21+BC23*Hipótesis!$C$24</f>
        <v>18397.9814228187</v>
      </c>
      <c r="BD27" s="110" t="n">
        <f aca="false">BD17*BD21+BD23*Hipótesis!$C$24</f>
        <v>18397.9814228187</v>
      </c>
      <c r="BE27" s="110" t="n">
        <f aca="false">BE17*BE21+BE23*Hipótesis!$C$24</f>
        <v>18397.9814228187</v>
      </c>
      <c r="BF27" s="110" t="n">
        <f aca="false">BF17*BF21+BF23*Hipótesis!$C$24</f>
        <v>18397.9814228187</v>
      </c>
      <c r="BG27" s="110" t="n">
        <f aca="false">BG17*BG21+BG23*Hipótesis!$C$24</f>
        <v>18397.9814228187</v>
      </c>
      <c r="BH27" s="110" t="n">
        <f aca="false">BH17*BH21+BH23*Hipótesis!$C$24</f>
        <v>18397.9814228187</v>
      </c>
      <c r="BI27" s="110" t="n">
        <f aca="false">BI17*BI21+BI23*Hipótesis!$C$24</f>
        <v>18397.9814228187</v>
      </c>
      <c r="BJ27" s="110" t="n">
        <f aca="false">BJ17*BJ21+BJ23*Hipótesis!$C$24</f>
        <v>18397.9814228187</v>
      </c>
      <c r="BK27" s="110" t="n">
        <f aca="false">BK17*BK21+BK23*Hipótesis!$C$24</f>
        <v>18397.9814228187</v>
      </c>
      <c r="BL27" s="110" t="n">
        <f aca="false">BL17*BL21+BL23*Hipótesis!$C$24</f>
        <v>18397.9814228187</v>
      </c>
      <c r="BM27" s="110" t="n">
        <f aca="false">BM17*BM21+BM23*Hipótesis!$C$24</f>
        <v>18397.9814228187</v>
      </c>
      <c r="BN27" s="110" t="n">
        <f aca="false">BN17*BN21+BN23*Hipótesis!$C$24</f>
        <v>18397.9814228187</v>
      </c>
      <c r="BO27" s="110" t="n">
        <f aca="false">BO17*BO21+BO23*Hipótesis!$C$24</f>
        <v>18397.9814228187</v>
      </c>
      <c r="BP27" s="110" t="n">
        <f aca="false">BP17*BP21+BP23*Hipótesis!$C$24</f>
        <v>18397.9814228187</v>
      </c>
      <c r="BQ27" s="110" t="n">
        <f aca="false">BQ17*BQ21+BQ23*Hipótesis!$C$24</f>
        <v>18397.9814228187</v>
      </c>
      <c r="BR27" s="110" t="n">
        <f aca="false">BR17*BR21+BR23*Hipótesis!$C$24</f>
        <v>18397.9814228187</v>
      </c>
      <c r="BS27" s="110" t="n">
        <f aca="false">BS17*BS21+BS23*Hipótesis!$C$24</f>
        <v>18397.9814228187</v>
      </c>
      <c r="BT27" s="110" t="n">
        <f aca="false">BT17*BT21+BT23*Hipótesis!$C$24</f>
        <v>18397.9814228187</v>
      </c>
      <c r="BU27" s="110" t="n">
        <f aca="false">BU17*BU21+BU23*Hipótesis!$C$24</f>
        <v>18397.9814228187</v>
      </c>
      <c r="BV27" s="110" t="n">
        <f aca="false">BV17*BV21+BV23*Hipótesis!$C$24</f>
        <v>18397.9814228187</v>
      </c>
      <c r="BW27" s="110" t="n">
        <f aca="false">BW17*BW21+BW23*Hipótesis!$C$24</f>
        <v>18397.9814228187</v>
      </c>
      <c r="BX27" s="110" t="n">
        <f aca="false">BX17*BX21+BX23*Hipótesis!$C$24</f>
        <v>18397.9814228187</v>
      </c>
      <c r="BY27" s="110" t="n">
        <f aca="false">BY17*BY21+BY23*Hipótesis!$C$24</f>
        <v>18397.9814228187</v>
      </c>
      <c r="BZ27" s="110" t="n">
        <f aca="false">BZ17*BZ21+BZ23*Hipótesis!$C$24</f>
        <v>18397.9814228187</v>
      </c>
      <c r="CA27" s="110" t="n">
        <f aca="false">CA17*CA21+CA23*Hipótesis!$C$24</f>
        <v>18397.9814228187</v>
      </c>
      <c r="CB27" s="110" t="n">
        <f aca="false">CB17*CB21+CB23*Hipótesis!$C$24</f>
        <v>18397.9814228187</v>
      </c>
      <c r="CC27" s="110" t="n">
        <f aca="false">CC17*CC21+CC23*Hipótesis!$C$24</f>
        <v>18397.9814228187</v>
      </c>
      <c r="CD27" s="110" t="n">
        <f aca="false">CD17*CD21+CD23*Hipótesis!$C$24</f>
        <v>18397.9814228187</v>
      </c>
      <c r="CE27" s="110" t="n">
        <f aca="false">CE17*CE21+CE23*Hipótesis!$C$24</f>
        <v>18397.9814228187</v>
      </c>
      <c r="CF27" s="110" t="n">
        <f aca="false">CF17*CF21+CF23*Hipótesis!$C$24</f>
        <v>18397.9814228187</v>
      </c>
      <c r="CG27" s="110" t="n">
        <f aca="false">CG17*CG21+CG23*Hipótesis!$C$24</f>
        <v>18397.9814228187</v>
      </c>
      <c r="CH27" s="110" t="n">
        <f aca="false">CH17*CH21+CH23*Hipótesis!$C$24</f>
        <v>18397.9814228187</v>
      </c>
    </row>
    <row r="28" customFormat="false" ht="13.5" hidden="false" customHeight="true" outlineLevel="0" collapsed="false">
      <c r="A28" s="6" t="s">
        <v>534</v>
      </c>
      <c r="C28" s="110" t="n">
        <f aca="false">C27*Producto!$D$8/60</f>
        <v>7.45772946859903</v>
      </c>
      <c r="D28" s="110" t="n">
        <f aca="false">D27*Producto!$D$8/60</f>
        <v>16.0279909065075</v>
      </c>
      <c r="E28" s="110" t="n">
        <f aca="false">E27*Producto!$D$8/60</f>
        <v>39.0484427466639</v>
      </c>
      <c r="F28" s="110" t="n">
        <f aca="false">F27*Producto!$D$8/60</f>
        <v>54.6111651182212</v>
      </c>
      <c r="G28" s="110" t="n">
        <f aca="false">G27*Producto!$D$8/60</f>
        <v>69.0613555204691</v>
      </c>
      <c r="H28" s="110" t="n">
        <f aca="false">H27*Producto!$D$8/60</f>
        <v>96.2593080710545</v>
      </c>
      <c r="I28" s="110" t="n">
        <f aca="false">I27*Producto!$D$8/60</f>
        <v>143.558563324343</v>
      </c>
      <c r="J28" s="110" t="n">
        <f aca="false">J27*Producto!$D$8/60</f>
        <v>190.857818577631</v>
      </c>
      <c r="K28" s="110" t="n">
        <f aca="false">K27*Producto!$D$8/60</f>
        <v>238.157073830919</v>
      </c>
      <c r="L28" s="110" t="n">
        <f aca="false">L27*Producto!$D$8/60</f>
        <v>285.456329084207</v>
      </c>
      <c r="M28" s="110" t="n">
        <f aca="false">M27*Producto!$D$8/60</f>
        <v>318.305393935247</v>
      </c>
      <c r="N28" s="110" t="n">
        <f aca="false">N27*Producto!$D$8/60</f>
        <v>369.696658274779</v>
      </c>
      <c r="O28" s="110" t="n">
        <f aca="false">O27*Producto!$D$8/60</f>
        <v>421.08792261431</v>
      </c>
      <c r="P28" s="110" t="n">
        <f aca="false">P27*Producto!$D$8/60</f>
        <v>467.1483046009</v>
      </c>
      <c r="Q28" s="110" t="n">
        <f aca="false">Q27*Producto!$D$8/60</f>
        <v>513.20868658749</v>
      </c>
      <c r="R28" s="110" t="n">
        <f aca="false">R27*Producto!$D$8/60</f>
        <v>559.269068574081</v>
      </c>
      <c r="S28" s="110" t="n">
        <f aca="false">S27*Producto!$D$8/60</f>
        <v>605.329450560671</v>
      </c>
      <c r="T28" s="110" t="n">
        <f aca="false">T27*Producto!$D$8/60</f>
        <v>651.389832547261</v>
      </c>
      <c r="U28" s="110" t="n">
        <f aca="false">U27*Producto!$D$8/60</f>
        <v>697.450214533851</v>
      </c>
      <c r="V28" s="110" t="n">
        <f aca="false">V27*Producto!$D$8/60</f>
        <v>743.510596520441</v>
      </c>
      <c r="W28" s="110" t="n">
        <f aca="false">W27*Producto!$D$8/60</f>
        <v>789.570978507031</v>
      </c>
      <c r="X28" s="110" t="n">
        <f aca="false">X27*Producto!$D$8/60</f>
        <v>817.089161005131</v>
      </c>
      <c r="Y28" s="110" t="n">
        <f aca="false">Y27*Producto!$D$8/60</f>
        <v>844.60734350323</v>
      </c>
      <c r="Z28" s="110" t="n">
        <f aca="false">Z27*Producto!$D$8/60</f>
        <v>864.708646205933</v>
      </c>
      <c r="AA28" s="110" t="n">
        <f aca="false">AA27*Producto!$D$8/60</f>
        <v>884.809948908635</v>
      </c>
      <c r="AB28" s="110" t="n">
        <f aca="false">AB27*Producto!$D$8/60</f>
        <v>904.911251611338</v>
      </c>
      <c r="AC28" s="110" t="n">
        <f aca="false">AC27*Producto!$D$8/60</f>
        <v>925.012554314041</v>
      </c>
      <c r="AD28" s="110" t="n">
        <f aca="false">AD27*Producto!$D$8/60</f>
        <v>945.113857016743</v>
      </c>
      <c r="AE28" s="110" t="n">
        <f aca="false">AE27*Producto!$D$8/60</f>
        <v>965.215159719446</v>
      </c>
      <c r="AF28" s="110" t="n">
        <f aca="false">AF27*Producto!$D$8/60</f>
        <v>985.316462422149</v>
      </c>
      <c r="AG28" s="110" t="n">
        <f aca="false">AG27*Producto!$D$8/60</f>
        <v>1005.41776512485</v>
      </c>
      <c r="AH28" s="110" t="n">
        <f aca="false">AH27*Producto!$D$8/60</f>
        <v>1025.51906782755</v>
      </c>
      <c r="AI28" s="110" t="n">
        <f aca="false">AI27*Producto!$D$8/60</f>
        <v>1045.62037053026</v>
      </c>
      <c r="AJ28" s="110" t="n">
        <f aca="false">AJ27*Producto!$D$8/60</f>
        <v>1065.72167323296</v>
      </c>
      <c r="AK28" s="110" t="n">
        <f aca="false">AK27*Producto!$D$8/60</f>
        <v>1085.82297593566</v>
      </c>
      <c r="AL28" s="110" t="n">
        <f aca="false">AL27*Producto!$D$8/60</f>
        <v>1105.92427863837</v>
      </c>
      <c r="AM28" s="110" t="n">
        <f aca="false">AM27*Producto!$D$8/60</f>
        <v>1126.02558134107</v>
      </c>
      <c r="AN28" s="110" t="n">
        <f aca="false">AN27*Producto!$D$8/60</f>
        <v>1146.12688404377</v>
      </c>
      <c r="AO28" s="110" t="n">
        <f aca="false">AO27*Producto!$D$8/60</f>
        <v>1166.22818674647</v>
      </c>
      <c r="AP28" s="110" t="n">
        <f aca="false">AP27*Producto!$D$8/60</f>
        <v>1186.32948944918</v>
      </c>
      <c r="AQ28" s="110" t="n">
        <f aca="false">AQ27*Producto!$D$8/60</f>
        <v>1206.43079215188</v>
      </c>
      <c r="AR28" s="110" t="n">
        <f aca="false">AR27*Producto!$D$8/60</f>
        <v>1226.53209485458</v>
      </c>
      <c r="AS28" s="110" t="n">
        <f aca="false">AS27*Producto!$D$8/60</f>
        <v>1226.53209485458</v>
      </c>
      <c r="AT28" s="110" t="n">
        <f aca="false">AT27*Producto!$D$8/60</f>
        <v>1226.53209485458</v>
      </c>
      <c r="AU28" s="110" t="n">
        <f aca="false">AU27*Producto!$D$8/60</f>
        <v>1226.53209485458</v>
      </c>
      <c r="AV28" s="110" t="n">
        <f aca="false">AV27*Producto!$D$8/60</f>
        <v>1226.53209485458</v>
      </c>
      <c r="AW28" s="110" t="n">
        <f aca="false">AW27*Producto!$D$8/60</f>
        <v>1226.53209485458</v>
      </c>
      <c r="AX28" s="110" t="n">
        <f aca="false">AX27*Producto!$D$8/60</f>
        <v>1226.53209485458</v>
      </c>
      <c r="AY28" s="110" t="n">
        <f aca="false">AY27*Producto!$D$8/60</f>
        <v>1226.53209485458</v>
      </c>
      <c r="AZ28" s="110" t="n">
        <f aca="false">AZ27*Producto!$D$8/60</f>
        <v>1226.53209485458</v>
      </c>
      <c r="BA28" s="110" t="n">
        <f aca="false">BA27*Producto!$D$8/60</f>
        <v>1226.53209485458</v>
      </c>
      <c r="BB28" s="110" t="n">
        <f aca="false">BB27*Producto!$D$8/60</f>
        <v>1226.53209485458</v>
      </c>
      <c r="BC28" s="110" t="n">
        <f aca="false">BC27*Producto!$D$8/60</f>
        <v>1226.53209485458</v>
      </c>
      <c r="BD28" s="110" t="n">
        <f aca="false">BD27*Producto!$D$8/60</f>
        <v>1226.53209485458</v>
      </c>
      <c r="BE28" s="110" t="n">
        <f aca="false">BE27*Producto!$D$8/60</f>
        <v>1226.53209485458</v>
      </c>
      <c r="BF28" s="110" t="n">
        <f aca="false">BF27*Producto!$D$8/60</f>
        <v>1226.53209485458</v>
      </c>
      <c r="BG28" s="110" t="n">
        <f aca="false">BG27*Producto!$D$8/60</f>
        <v>1226.53209485458</v>
      </c>
      <c r="BH28" s="110" t="n">
        <f aca="false">BH27*Producto!$D$8/60</f>
        <v>1226.53209485458</v>
      </c>
      <c r="BI28" s="110" t="n">
        <f aca="false">BI27*Producto!$D$8/60</f>
        <v>1226.53209485458</v>
      </c>
      <c r="BJ28" s="110" t="n">
        <f aca="false">BJ27*Producto!$D$8/60</f>
        <v>1226.53209485458</v>
      </c>
      <c r="BK28" s="110" t="n">
        <f aca="false">BK27*Producto!$D$8/60</f>
        <v>1226.53209485458</v>
      </c>
      <c r="BL28" s="110" t="n">
        <f aca="false">BL27*Producto!$D$8/60</f>
        <v>1226.53209485458</v>
      </c>
      <c r="BM28" s="110" t="n">
        <f aca="false">BM27*Producto!$D$8/60</f>
        <v>1226.53209485458</v>
      </c>
      <c r="BN28" s="110" t="n">
        <f aca="false">BN27*Producto!$D$8/60</f>
        <v>1226.53209485458</v>
      </c>
      <c r="BO28" s="110" t="n">
        <f aca="false">BO27*Producto!$D$8/60</f>
        <v>1226.53209485458</v>
      </c>
      <c r="BP28" s="110" t="n">
        <f aca="false">BP27*Producto!$D$8/60</f>
        <v>1226.53209485458</v>
      </c>
      <c r="BQ28" s="110" t="n">
        <f aca="false">BQ27*Producto!$D$8/60</f>
        <v>1226.53209485458</v>
      </c>
      <c r="BR28" s="110" t="n">
        <f aca="false">BR27*Producto!$D$8/60</f>
        <v>1226.53209485458</v>
      </c>
      <c r="BS28" s="110" t="n">
        <f aca="false">BS27*Producto!$D$8/60</f>
        <v>1226.53209485458</v>
      </c>
      <c r="BT28" s="110" t="n">
        <f aca="false">BT27*Producto!$D$8/60</f>
        <v>1226.53209485458</v>
      </c>
      <c r="BU28" s="110" t="n">
        <f aca="false">BU27*Producto!$D$8/60</f>
        <v>1226.53209485458</v>
      </c>
      <c r="BV28" s="110" t="n">
        <f aca="false">BV27*Producto!$D$8/60</f>
        <v>1226.53209485458</v>
      </c>
      <c r="BW28" s="110" t="n">
        <f aca="false">BW27*Producto!$D$8/60</f>
        <v>1226.53209485458</v>
      </c>
      <c r="BX28" s="110" t="n">
        <f aca="false">BX27*Producto!$D$8/60</f>
        <v>1226.53209485458</v>
      </c>
      <c r="BY28" s="110" t="n">
        <f aca="false">BY27*Producto!$D$8/60</f>
        <v>1226.53209485458</v>
      </c>
      <c r="BZ28" s="110" t="n">
        <f aca="false">BZ27*Producto!$D$8/60</f>
        <v>1226.53209485458</v>
      </c>
      <c r="CA28" s="110" t="n">
        <f aca="false">CA27*Producto!$D$8/60</f>
        <v>1226.53209485458</v>
      </c>
      <c r="CB28" s="110" t="n">
        <f aca="false">CB27*Producto!$D$8/60</f>
        <v>1226.53209485458</v>
      </c>
      <c r="CC28" s="110" t="n">
        <f aca="false">CC27*Producto!$D$8/60</f>
        <v>1226.53209485458</v>
      </c>
      <c r="CD28" s="110" t="n">
        <f aca="false">CD27*Producto!$D$8/60</f>
        <v>1226.53209485458</v>
      </c>
      <c r="CE28" s="110" t="n">
        <f aca="false">CE27*Producto!$D$8/60</f>
        <v>1226.53209485458</v>
      </c>
      <c r="CF28" s="110" t="n">
        <f aca="false">CF27*Producto!$D$8/60</f>
        <v>1226.53209485458</v>
      </c>
      <c r="CG28" s="110" t="n">
        <f aca="false">CG27*Producto!$D$8/60</f>
        <v>1226.53209485458</v>
      </c>
      <c r="CH28" s="110" t="n">
        <f aca="false">CH27*Producto!$D$8/60</f>
        <v>1226.53209485458</v>
      </c>
    </row>
    <row r="29" customFormat="false" ht="13.5" hidden="false" customHeight="true" outlineLevel="0" collapsed="false">
      <c r="A29" s="6" t="s">
        <v>535</v>
      </c>
      <c r="C29" s="110" t="n">
        <f aca="false">SUMPRODUCT((Hipótesis!$D$48:$D$53&lt;=1)*(Hipótesis!$B$48:$B$53)*(Hipótesis!$F$48:$F$53))</f>
        <v>320</v>
      </c>
      <c r="D29" s="110" t="n">
        <f aca="false">SUMPRODUCT((Hipótesis!$D$48:$D$53&lt;=2)*(Hipótesis!$B$48:$B$53)*(Hipótesis!$F$48:$F$53))</f>
        <v>320</v>
      </c>
      <c r="E29" s="110" t="n">
        <f aca="false">SUMPRODUCT((Hipótesis!$D$48:$D$53&lt;=3)*(Hipótesis!$B$48:$B$53)*(Hipótesis!$F$48:$F$53))</f>
        <v>320</v>
      </c>
      <c r="F29" s="110" t="n">
        <f aca="false">SUMPRODUCT((Hipótesis!$D$48:$D$53&lt;=4)*(Hipótesis!$B$48:$B$53)*(Hipótesis!$F$48:$F$53))</f>
        <v>320</v>
      </c>
      <c r="G29" s="110" t="n">
        <f aca="false">SUMPRODUCT((Hipótesis!$D$48:$D$53&lt;=5)*(Hipótesis!$B$48:$B$53)*(Hipótesis!$F$48:$F$53))</f>
        <v>320</v>
      </c>
      <c r="H29" s="110" t="n">
        <f aca="false">SUMPRODUCT((Hipótesis!$D$48:$D$53&lt;=6)*(Hipótesis!$B$48:$B$53)*(Hipótesis!$F$48:$F$53))</f>
        <v>320</v>
      </c>
      <c r="I29" s="110" t="n">
        <f aca="false">SUMPRODUCT((Hipótesis!$D$48:$D$53&lt;=7)*(Hipótesis!$B$48:$B$53)*(Hipótesis!$F$48:$F$53))</f>
        <v>320</v>
      </c>
      <c r="J29" s="110" t="n">
        <f aca="false">SUMPRODUCT((Hipótesis!$D$48:$D$53&lt;=8)*(Hipótesis!$B$48:$B$53)*(Hipótesis!$F$48:$F$53))</f>
        <v>320</v>
      </c>
      <c r="K29" s="110" t="n">
        <f aca="false">SUMPRODUCT((Hipótesis!$D$48:$D$53&lt;=9)*(Hipótesis!$B$48:$B$53)*(Hipótesis!$F$48:$F$53))</f>
        <v>320</v>
      </c>
      <c r="L29" s="110" t="n">
        <f aca="false">SUMPRODUCT((Hipótesis!$D$48:$D$53&lt;=10)*(Hipótesis!$B$48:$B$53)*(Hipótesis!$F$48:$F$53))</f>
        <v>320</v>
      </c>
      <c r="M29" s="110" t="n">
        <f aca="false">SUMPRODUCT((Hipótesis!$D$48:$D$53&lt;=11)*(Hipótesis!$B$48:$B$53)*(Hipótesis!$F$48:$F$53))</f>
        <v>320</v>
      </c>
      <c r="N29" s="110" t="n">
        <f aca="false">SUMPRODUCT((Hipótesis!$D$48:$D$53&lt;=12)*(Hipótesis!$B$48:$B$53)*(Hipótesis!$F$48:$F$53))</f>
        <v>320</v>
      </c>
      <c r="O29" s="110" t="n">
        <f aca="false">SUMPRODUCT((Hipótesis!$D$48:$D$53&lt;=13)*(Hipótesis!$B$48:$B$53)*(Hipótesis!$F$48:$F$53))</f>
        <v>320</v>
      </c>
      <c r="P29" s="110" t="n">
        <f aca="false">SUMPRODUCT((Hipótesis!$D$48:$D$53&lt;=14)*(Hipótesis!$B$48:$B$53)*(Hipótesis!$F$48:$F$53))</f>
        <v>320</v>
      </c>
      <c r="Q29" s="110" t="n">
        <f aca="false">SUMPRODUCT((Hipótesis!$D$48:$D$53&lt;=15)*(Hipótesis!$B$48:$B$53)*(Hipótesis!$F$48:$F$53))</f>
        <v>320</v>
      </c>
      <c r="R29" s="110" t="n">
        <f aca="false">SUMPRODUCT((Hipótesis!$D$48:$D$53&lt;=16)*(Hipótesis!$B$48:$B$53)*(Hipótesis!$F$48:$F$53))</f>
        <v>320</v>
      </c>
      <c r="S29" s="110" t="n">
        <f aca="false">SUMPRODUCT((Hipótesis!$D$48:$D$53&lt;=17)*(Hipótesis!$B$48:$B$53)*(Hipótesis!$F$48:$F$53))</f>
        <v>320</v>
      </c>
      <c r="T29" s="110" t="n">
        <f aca="false">SUMPRODUCT((Hipótesis!$D$48:$D$53&lt;=18)*(Hipótesis!$B$48:$B$53)*(Hipótesis!$F$48:$F$53))</f>
        <v>320</v>
      </c>
      <c r="U29" s="110" t="n">
        <f aca="false">SUMPRODUCT((Hipótesis!$D$48:$D$53&lt;=19)*(Hipótesis!$B$48:$B$53)*(Hipótesis!$F$48:$F$53))</f>
        <v>320</v>
      </c>
      <c r="V29" s="110" t="n">
        <f aca="false">SUMPRODUCT((Hipótesis!$D$48:$D$53&lt;=20)*(Hipótesis!$B$48:$B$53)*(Hipótesis!$F$48:$F$53))</f>
        <v>320</v>
      </c>
      <c r="W29" s="110" t="n">
        <f aca="false">SUMPRODUCT((Hipótesis!$D$48:$D$53&lt;=21)*(Hipótesis!$B$48:$B$53)*(Hipótesis!$F$48:$F$53))</f>
        <v>320</v>
      </c>
      <c r="X29" s="110" t="n">
        <f aca="false">SUMPRODUCT((Hipótesis!$D$48:$D$53&lt;=22)*(Hipótesis!$B$48:$B$53)*(Hipótesis!$F$48:$F$53))</f>
        <v>320</v>
      </c>
      <c r="Y29" s="110" t="n">
        <f aca="false">SUMPRODUCT((Hipótesis!$D$48:$D$53&lt;=23)*(Hipótesis!$B$48:$B$53)*(Hipótesis!$F$48:$F$53))</f>
        <v>320</v>
      </c>
      <c r="Z29" s="110" t="n">
        <f aca="false">SUMPRODUCT((Hipótesis!$D$48:$D$53&lt;=24)*(Hipótesis!$B$48:$B$53)*(Hipótesis!$F$48:$F$53))</f>
        <v>320</v>
      </c>
      <c r="AA29" s="110" t="n">
        <f aca="false">SUMPRODUCT((Hipótesis!$D$48:$D$53&lt;=25)*(Hipótesis!$B$48:$B$53)*(Hipótesis!$F$48:$F$53))</f>
        <v>320</v>
      </c>
      <c r="AB29" s="110" t="n">
        <f aca="false">SUMPRODUCT((Hipótesis!$D$48:$D$53&lt;=26)*(Hipótesis!$B$48:$B$53)*(Hipótesis!$F$48:$F$53))</f>
        <v>320</v>
      </c>
      <c r="AC29" s="110" t="n">
        <f aca="false">SUMPRODUCT((Hipótesis!$D$48:$D$53&lt;=27)*(Hipótesis!$B$48:$B$53)*(Hipótesis!$F$48:$F$53))</f>
        <v>320</v>
      </c>
      <c r="AD29" s="110" t="n">
        <f aca="false">SUMPRODUCT((Hipótesis!$D$48:$D$53&lt;=28)*(Hipótesis!$B$48:$B$53)*(Hipótesis!$F$48:$F$53))</f>
        <v>320</v>
      </c>
      <c r="AE29" s="110" t="n">
        <f aca="false">SUMPRODUCT((Hipótesis!$D$48:$D$53&lt;=29)*(Hipótesis!$B$48:$B$53)*(Hipótesis!$F$48:$F$53))</f>
        <v>320</v>
      </c>
      <c r="AF29" s="110" t="n">
        <f aca="false">SUMPRODUCT((Hipótesis!$D$48:$D$53&lt;=30)*(Hipótesis!$B$48:$B$53)*(Hipótesis!$F$48:$F$53))</f>
        <v>320</v>
      </c>
      <c r="AG29" s="110" t="n">
        <f aca="false">SUMPRODUCT((Hipótesis!$D$48:$D$53&lt;=31)*(Hipótesis!$B$48:$B$53)*(Hipótesis!$F$48:$F$53))</f>
        <v>320</v>
      </c>
      <c r="AH29" s="110" t="n">
        <f aca="false">SUMPRODUCT((Hipótesis!$D$48:$D$53&lt;=32)*(Hipótesis!$B$48:$B$53)*(Hipótesis!$F$48:$F$53))</f>
        <v>320</v>
      </c>
      <c r="AI29" s="110" t="n">
        <f aca="false">SUMPRODUCT((Hipótesis!$D$48:$D$53&lt;=33)*(Hipótesis!$B$48:$B$53)*(Hipótesis!$F$48:$F$53))</f>
        <v>320</v>
      </c>
      <c r="AJ29" s="110" t="n">
        <f aca="false">SUMPRODUCT((Hipótesis!$D$48:$D$53&lt;=34)*(Hipótesis!$B$48:$B$53)*(Hipótesis!$F$48:$F$53))</f>
        <v>320</v>
      </c>
      <c r="AK29" s="110" t="n">
        <f aca="false">SUMPRODUCT((Hipótesis!$D$48:$D$53&lt;=35)*(Hipótesis!$B$48:$B$53)*(Hipótesis!$F$48:$F$53))</f>
        <v>320</v>
      </c>
      <c r="AL29" s="110" t="n">
        <f aca="false">SUMPRODUCT((Hipótesis!$D$48:$D$53&lt;=36)*(Hipótesis!$B$48:$B$53)*(Hipótesis!$F$48:$F$53))</f>
        <v>320</v>
      </c>
      <c r="AM29" s="110" t="n">
        <f aca="false">SUMPRODUCT((Hipótesis!$D$48:$D$53&lt;=37)*(Hipótesis!$B$48:$B$53)*(Hipótesis!$F$48:$F$53))</f>
        <v>320</v>
      </c>
      <c r="AN29" s="110" t="n">
        <f aca="false">SUMPRODUCT((Hipótesis!$D$48:$D$53&lt;=38)*(Hipótesis!$B$48:$B$53)*(Hipótesis!$F$48:$F$53))</f>
        <v>320</v>
      </c>
      <c r="AO29" s="110" t="n">
        <f aca="false">SUMPRODUCT((Hipótesis!$D$48:$D$53&lt;=39)*(Hipótesis!$B$48:$B$53)*(Hipótesis!$F$48:$F$53))</f>
        <v>320</v>
      </c>
      <c r="AP29" s="110" t="n">
        <f aca="false">SUMPRODUCT((Hipótesis!$D$48:$D$53&lt;=40)*(Hipótesis!$B$48:$B$53)*(Hipótesis!$F$48:$F$53))</f>
        <v>320</v>
      </c>
      <c r="AQ29" s="110" t="n">
        <f aca="false">SUMPRODUCT((Hipótesis!$D$48:$D$53&lt;=41)*(Hipótesis!$B$48:$B$53)*(Hipótesis!$F$48:$F$53))</f>
        <v>320</v>
      </c>
      <c r="AR29" s="110" t="n">
        <f aca="false">SUMPRODUCT((Hipótesis!$D$48:$D$53&lt;=42)*(Hipótesis!$B$48:$B$53)*(Hipótesis!$F$48:$F$53))</f>
        <v>320</v>
      </c>
      <c r="AS29" s="110" t="n">
        <f aca="false">SUMPRODUCT((Hipótesis!$D$48:$D$53&lt;=43)*(Hipótesis!$B$48:$B$53)*(Hipótesis!$F$48:$F$53))</f>
        <v>320</v>
      </c>
      <c r="AT29" s="110" t="n">
        <f aca="false">SUMPRODUCT((Hipótesis!$D$48:$D$53&lt;=44)*(Hipótesis!$B$48:$B$53)*(Hipótesis!$F$48:$F$53))</f>
        <v>320</v>
      </c>
      <c r="AU29" s="110" t="n">
        <f aca="false">SUMPRODUCT((Hipótesis!$D$48:$D$53&lt;=45)*(Hipótesis!$B$48:$B$53)*(Hipótesis!$F$48:$F$53))</f>
        <v>320</v>
      </c>
      <c r="AV29" s="110" t="n">
        <f aca="false">SUMPRODUCT((Hipótesis!$D$48:$D$53&lt;=46)*(Hipótesis!$B$48:$B$53)*(Hipótesis!$F$48:$F$53))</f>
        <v>320</v>
      </c>
      <c r="AW29" s="110" t="n">
        <f aca="false">SUMPRODUCT((Hipótesis!$D$48:$D$53&lt;=47)*(Hipótesis!$B$48:$B$53)*(Hipótesis!$F$48:$F$53))</f>
        <v>320</v>
      </c>
      <c r="AX29" s="110" t="n">
        <f aca="false">SUMPRODUCT((Hipótesis!$D$48:$D$53&lt;=48)*(Hipótesis!$B$48:$B$53)*(Hipótesis!$F$48:$F$53))</f>
        <v>320</v>
      </c>
      <c r="AY29" s="110" t="n">
        <f aca="false">SUMPRODUCT((Hipótesis!$D$48:$D$53&lt;=49)*(Hipótesis!$B$48:$B$53)*(Hipótesis!$F$48:$F$53))</f>
        <v>320</v>
      </c>
      <c r="AZ29" s="110" t="n">
        <f aca="false">SUMPRODUCT((Hipótesis!$D$48:$D$53&lt;=50)*(Hipótesis!$B$48:$B$53)*(Hipótesis!$F$48:$F$53))</f>
        <v>320</v>
      </c>
      <c r="BA29" s="110" t="n">
        <f aca="false">SUMPRODUCT((Hipótesis!$D$48:$D$53&lt;=51)*(Hipótesis!$B$48:$B$53)*(Hipótesis!$F$48:$F$53))</f>
        <v>320</v>
      </c>
      <c r="BB29" s="110" t="n">
        <f aca="false">SUMPRODUCT((Hipótesis!$D$48:$D$53&lt;=52)*(Hipótesis!$B$48:$B$53)*(Hipótesis!$F$48:$F$53))</f>
        <v>320</v>
      </c>
      <c r="BC29" s="110" t="n">
        <f aca="false">SUMPRODUCT((Hipótesis!$D$48:$D$53&lt;=53)*(Hipótesis!$B$48:$B$53)*(Hipótesis!$F$48:$F$53))</f>
        <v>320</v>
      </c>
      <c r="BD29" s="110" t="n">
        <f aca="false">SUMPRODUCT((Hipótesis!$D$48:$D$53&lt;=54)*(Hipótesis!$B$48:$B$53)*(Hipótesis!$F$48:$F$53))</f>
        <v>320</v>
      </c>
      <c r="BE29" s="110" t="n">
        <f aca="false">SUMPRODUCT((Hipótesis!$D$48:$D$53&lt;=55)*(Hipótesis!$B$48:$B$53)*(Hipótesis!$F$48:$F$53))</f>
        <v>320</v>
      </c>
      <c r="BF29" s="110" t="n">
        <f aca="false">SUMPRODUCT((Hipótesis!$D$48:$D$53&lt;=56)*(Hipótesis!$B$48:$B$53)*(Hipótesis!$F$48:$F$53))</f>
        <v>320</v>
      </c>
      <c r="BG29" s="110" t="n">
        <f aca="false">SUMPRODUCT((Hipótesis!$D$48:$D$53&lt;=57)*(Hipótesis!$B$48:$B$53)*(Hipótesis!$F$48:$F$53))</f>
        <v>320</v>
      </c>
      <c r="BH29" s="110" t="n">
        <f aca="false">SUMPRODUCT((Hipótesis!$D$48:$D$53&lt;=58)*(Hipótesis!$B$48:$B$53)*(Hipótesis!$F$48:$F$53))</f>
        <v>320</v>
      </c>
      <c r="BI29" s="110" t="n">
        <f aca="false">SUMPRODUCT((Hipótesis!$D$48:$D$53&lt;=59)*(Hipótesis!$B$48:$B$53)*(Hipótesis!$F$48:$F$53))</f>
        <v>320</v>
      </c>
      <c r="BJ29" s="110" t="n">
        <f aca="false">SUMPRODUCT((Hipótesis!$D$48:$D$53&lt;=60)*(Hipótesis!$B$48:$B$53)*(Hipótesis!$F$48:$F$53))</f>
        <v>320</v>
      </c>
      <c r="BK29" s="110" t="n">
        <f aca="false">SUMPRODUCT((Hipótesis!$D$48:$D$53&lt;=61)*(Hipótesis!$B$48:$B$53)*(Hipótesis!$F$48:$F$53))</f>
        <v>320</v>
      </c>
      <c r="BL29" s="110" t="n">
        <f aca="false">SUMPRODUCT((Hipótesis!$D$48:$D$53&lt;=62)*(Hipótesis!$B$48:$B$53)*(Hipótesis!$F$48:$F$53))</f>
        <v>320</v>
      </c>
      <c r="BM29" s="110" t="n">
        <f aca="false">SUMPRODUCT((Hipótesis!$D$48:$D$53&lt;=63)*(Hipótesis!$B$48:$B$53)*(Hipótesis!$F$48:$F$53))</f>
        <v>320</v>
      </c>
      <c r="BN29" s="110" t="n">
        <f aca="false">SUMPRODUCT((Hipótesis!$D$48:$D$53&lt;=64)*(Hipótesis!$B$48:$B$53)*(Hipótesis!$F$48:$F$53))</f>
        <v>320</v>
      </c>
      <c r="BO29" s="110" t="n">
        <f aca="false">SUMPRODUCT((Hipótesis!$D$48:$D$53&lt;=65)*(Hipótesis!$B$48:$B$53)*(Hipótesis!$F$48:$F$53))</f>
        <v>320</v>
      </c>
      <c r="BP29" s="110" t="n">
        <f aca="false">SUMPRODUCT((Hipótesis!$D$48:$D$53&lt;=66)*(Hipótesis!$B$48:$B$53)*(Hipótesis!$F$48:$F$53))</f>
        <v>320</v>
      </c>
      <c r="BQ29" s="110" t="n">
        <f aca="false">SUMPRODUCT((Hipótesis!$D$48:$D$53&lt;=67)*(Hipótesis!$B$48:$B$53)*(Hipótesis!$F$48:$F$53))</f>
        <v>320</v>
      </c>
      <c r="BR29" s="110" t="n">
        <f aca="false">SUMPRODUCT((Hipótesis!$D$48:$D$53&lt;=68)*(Hipótesis!$B$48:$B$53)*(Hipótesis!$F$48:$F$53))</f>
        <v>320</v>
      </c>
      <c r="BS29" s="110" t="n">
        <f aca="false">SUMPRODUCT((Hipótesis!$D$48:$D$53&lt;=69)*(Hipótesis!$B$48:$B$53)*(Hipótesis!$F$48:$F$53))</f>
        <v>320</v>
      </c>
      <c r="BT29" s="110" t="n">
        <f aca="false">SUMPRODUCT((Hipótesis!$D$48:$D$53&lt;=70)*(Hipótesis!$B$48:$B$53)*(Hipótesis!$F$48:$F$53))</f>
        <v>320</v>
      </c>
      <c r="BU29" s="110" t="n">
        <f aca="false">SUMPRODUCT((Hipótesis!$D$48:$D$53&lt;=71)*(Hipótesis!$B$48:$B$53)*(Hipótesis!$F$48:$F$53))</f>
        <v>320</v>
      </c>
      <c r="BV29" s="110" t="n">
        <f aca="false">SUMPRODUCT((Hipótesis!$D$48:$D$53&lt;=72)*(Hipótesis!$B$48:$B$53)*(Hipótesis!$F$48:$F$53))</f>
        <v>320</v>
      </c>
      <c r="BW29" s="110" t="n">
        <f aca="false">SUMPRODUCT((Hipótesis!$D$48:$D$53&lt;=73)*(Hipótesis!$B$48:$B$53)*(Hipótesis!$F$48:$F$53))</f>
        <v>320</v>
      </c>
      <c r="BX29" s="110" t="n">
        <f aca="false">SUMPRODUCT((Hipótesis!$D$48:$D$53&lt;=74)*(Hipótesis!$B$48:$B$53)*(Hipótesis!$F$48:$F$53))</f>
        <v>320</v>
      </c>
      <c r="BY29" s="110" t="n">
        <f aca="false">SUMPRODUCT((Hipótesis!$D$48:$D$53&lt;=75)*(Hipótesis!$B$48:$B$53)*(Hipótesis!$F$48:$F$53))</f>
        <v>320</v>
      </c>
      <c r="BZ29" s="110" t="n">
        <f aca="false">SUMPRODUCT((Hipótesis!$D$48:$D$53&lt;=76)*(Hipótesis!$B$48:$B$53)*(Hipótesis!$F$48:$F$53))</f>
        <v>320</v>
      </c>
      <c r="CA29" s="110" t="n">
        <f aca="false">SUMPRODUCT((Hipótesis!$D$48:$D$53&lt;=77)*(Hipótesis!$B$48:$B$53)*(Hipótesis!$F$48:$F$53))</f>
        <v>320</v>
      </c>
      <c r="CB29" s="110" t="n">
        <f aca="false">SUMPRODUCT((Hipótesis!$D$48:$D$53&lt;=78)*(Hipótesis!$B$48:$B$53)*(Hipótesis!$F$48:$F$53))</f>
        <v>320</v>
      </c>
      <c r="CC29" s="110" t="n">
        <f aca="false">SUMPRODUCT((Hipótesis!$D$48:$D$53&lt;=79)*(Hipótesis!$B$48:$B$53)*(Hipótesis!$F$48:$F$53))</f>
        <v>320</v>
      </c>
      <c r="CD29" s="110" t="n">
        <f aca="false">SUMPRODUCT((Hipótesis!$D$48:$D$53&lt;=80)*(Hipótesis!$B$48:$B$53)*(Hipótesis!$F$48:$F$53))</f>
        <v>320</v>
      </c>
      <c r="CE29" s="110" t="n">
        <f aca="false">SUMPRODUCT((Hipótesis!$D$48:$D$53&lt;=81)*(Hipótesis!$B$48:$B$53)*(Hipótesis!$F$48:$F$53))</f>
        <v>320</v>
      </c>
      <c r="CF29" s="110" t="n">
        <f aca="false">SUMPRODUCT((Hipótesis!$D$48:$D$53&lt;=82)*(Hipótesis!$B$48:$B$53)*(Hipótesis!$F$48:$F$53))</f>
        <v>320</v>
      </c>
      <c r="CG29" s="110" t="n">
        <f aca="false">SUMPRODUCT((Hipótesis!$D$48:$D$53&lt;=83)*(Hipótesis!$B$48:$B$53)*(Hipótesis!$F$48:$F$53))</f>
        <v>320</v>
      </c>
      <c r="CH29" s="110" t="n">
        <f aca="false">SUMPRODUCT((Hipótesis!$D$48:$D$53&lt;=84)*(Hipótesis!$B$48:$B$53)*(Hipótesis!$F$48:$F$53))</f>
        <v>320</v>
      </c>
    </row>
    <row r="30" customFormat="false" ht="13.5" hidden="false" customHeight="true" outlineLevel="0" collapsed="false">
      <c r="A30" s="22" t="s">
        <v>536</v>
      </c>
      <c r="C30" s="110" t="n">
        <f aca="false">ROUNDUP(MAX(0,C28-C29)/Hipótesis!$D$63,0)</f>
        <v>0</v>
      </c>
      <c r="D30" s="110" t="n">
        <f aca="false">ROUNDUP(MAX(0,D28-D29)/Hipótesis!$D$63,0)</f>
        <v>0</v>
      </c>
      <c r="E30" s="110" t="n">
        <f aca="false">ROUNDUP(MAX(0,E28-E29)/Hipótesis!$D$63,0)</f>
        <v>0</v>
      </c>
      <c r="F30" s="110" t="n">
        <f aca="false">ROUNDUP(MAX(0,F28-F29)/Hipótesis!$D$63,0)</f>
        <v>0</v>
      </c>
      <c r="G30" s="110" t="n">
        <f aca="false">ROUNDUP(MAX(0,G28-G29)/Hipótesis!$D$63,0)</f>
        <v>0</v>
      </c>
      <c r="H30" s="110" t="n">
        <f aca="false">ROUNDUP(MAX(0,H28-H29)/Hipótesis!$D$63,0)</f>
        <v>0</v>
      </c>
      <c r="I30" s="110" t="n">
        <f aca="false">ROUNDUP(MAX(0,I28-I29)/Hipótesis!$D$63,0)</f>
        <v>0</v>
      </c>
      <c r="J30" s="110" t="n">
        <f aca="false">ROUNDUP(MAX(0,J28-J29)/Hipótesis!$D$63,0)</f>
        <v>0</v>
      </c>
      <c r="K30" s="110" t="n">
        <f aca="false">ROUNDUP(MAX(0,K28-K29)/Hipótesis!$D$63,0)</f>
        <v>0</v>
      </c>
      <c r="L30" s="110" t="n">
        <f aca="false">ROUNDUP(MAX(0,L28-L29)/Hipótesis!$D$63,0)</f>
        <v>0</v>
      </c>
      <c r="M30" s="110" t="n">
        <f aca="false">ROUNDUP(MAX(0,M28-M29)/Hipótesis!$D$63,0)</f>
        <v>0</v>
      </c>
      <c r="N30" s="110" t="n">
        <f aca="false">ROUNDUP(MAX(0,N28-N29)/Hipótesis!$D$63,0)</f>
        <v>1</v>
      </c>
      <c r="O30" s="110" t="n">
        <f aca="false">ROUNDUP(MAX(0,O28-O29)/Hipótesis!$D$63,0)</f>
        <v>1</v>
      </c>
      <c r="P30" s="110" t="n">
        <f aca="false">ROUNDUP(MAX(0,P28-P29)/Hipótesis!$D$63,0)</f>
        <v>1</v>
      </c>
      <c r="Q30" s="110" t="n">
        <f aca="false">ROUNDUP(MAX(0,Q28-Q29)/Hipótesis!$D$63,0)</f>
        <v>2</v>
      </c>
      <c r="R30" s="110" t="n">
        <f aca="false">ROUNDUP(MAX(0,R28-R29)/Hipótesis!$D$63,0)</f>
        <v>2</v>
      </c>
      <c r="S30" s="110" t="n">
        <f aca="false">ROUNDUP(MAX(0,S28-S29)/Hipótesis!$D$63,0)</f>
        <v>2</v>
      </c>
      <c r="T30" s="110" t="n">
        <f aca="false">ROUNDUP(MAX(0,T28-T29)/Hipótesis!$D$63,0)</f>
        <v>3</v>
      </c>
      <c r="U30" s="110" t="n">
        <f aca="false">ROUNDUP(MAX(0,U28-U29)/Hipótesis!$D$63,0)</f>
        <v>3</v>
      </c>
      <c r="V30" s="110" t="n">
        <f aca="false">ROUNDUP(MAX(0,V28-V29)/Hipótesis!$D$63,0)</f>
        <v>3</v>
      </c>
      <c r="W30" s="110" t="n">
        <f aca="false">ROUNDUP(MAX(0,W28-W29)/Hipótesis!$D$63,0)</f>
        <v>3</v>
      </c>
      <c r="X30" s="110" t="n">
        <f aca="false">ROUNDUP(MAX(0,X28-X29)/Hipótesis!$D$63,0)</f>
        <v>4</v>
      </c>
      <c r="Y30" s="110" t="n">
        <f aca="false">ROUNDUP(MAX(0,Y28-Y29)/Hipótesis!$D$63,0)</f>
        <v>4</v>
      </c>
      <c r="Z30" s="110" t="n">
        <f aca="false">ROUNDUP(MAX(0,Z28-Z29)/Hipótesis!$D$63,0)</f>
        <v>4</v>
      </c>
      <c r="AA30" s="110" t="n">
        <f aca="false">ROUNDUP(MAX(0,AA28-AA29)/Hipótesis!$D$63,0)</f>
        <v>4</v>
      </c>
      <c r="AB30" s="110" t="n">
        <f aca="false">ROUNDUP(MAX(0,AB28-AB29)/Hipótesis!$D$63,0)</f>
        <v>4</v>
      </c>
      <c r="AC30" s="110" t="n">
        <f aca="false">ROUNDUP(MAX(0,AC28-AC29)/Hipótesis!$D$63,0)</f>
        <v>4</v>
      </c>
      <c r="AD30" s="110" t="n">
        <f aca="false">ROUNDUP(MAX(0,AD28-AD29)/Hipótesis!$D$63,0)</f>
        <v>4</v>
      </c>
      <c r="AE30" s="110" t="n">
        <f aca="false">ROUNDUP(MAX(0,AE28-AE29)/Hipótesis!$D$63,0)</f>
        <v>5</v>
      </c>
      <c r="AF30" s="110" t="n">
        <f aca="false">ROUNDUP(MAX(0,AF28-AF29)/Hipótesis!$D$63,0)</f>
        <v>5</v>
      </c>
      <c r="AG30" s="110" t="n">
        <f aca="false">ROUNDUP(MAX(0,AG28-AG29)/Hipótesis!$D$63,0)</f>
        <v>5</v>
      </c>
      <c r="AH30" s="110" t="n">
        <f aca="false">ROUNDUP(MAX(0,AH28-AH29)/Hipótesis!$D$63,0)</f>
        <v>5</v>
      </c>
      <c r="AI30" s="110" t="n">
        <f aca="false">ROUNDUP(MAX(0,AI28-AI29)/Hipótesis!$D$63,0)</f>
        <v>5</v>
      </c>
      <c r="AJ30" s="110" t="n">
        <f aca="false">ROUNDUP(MAX(0,AJ28-AJ29)/Hipótesis!$D$63,0)</f>
        <v>5</v>
      </c>
      <c r="AK30" s="110" t="n">
        <f aca="false">ROUNDUP(MAX(0,AK28-AK29)/Hipótesis!$D$63,0)</f>
        <v>5</v>
      </c>
      <c r="AL30" s="110" t="n">
        <f aca="false">ROUNDUP(MAX(0,AL28-AL29)/Hipótesis!$D$63,0)</f>
        <v>5</v>
      </c>
      <c r="AM30" s="110" t="n">
        <f aca="false">ROUNDUP(MAX(0,AM28-AM29)/Hipótesis!$D$63,0)</f>
        <v>6</v>
      </c>
      <c r="AN30" s="110" t="n">
        <f aca="false">ROUNDUP(MAX(0,AN28-AN29)/Hipótesis!$D$63,0)</f>
        <v>6</v>
      </c>
      <c r="AO30" s="110" t="n">
        <f aca="false">ROUNDUP(MAX(0,AO28-AO29)/Hipótesis!$D$63,0)</f>
        <v>6</v>
      </c>
      <c r="AP30" s="110" t="n">
        <f aca="false">ROUNDUP(MAX(0,AP28-AP29)/Hipótesis!$D$63,0)</f>
        <v>6</v>
      </c>
      <c r="AQ30" s="110" t="n">
        <f aca="false">ROUNDUP(MAX(0,AQ28-AQ29)/Hipótesis!$D$63,0)</f>
        <v>6</v>
      </c>
      <c r="AR30" s="110" t="n">
        <f aca="false">ROUNDUP(MAX(0,AR28-AR29)/Hipótesis!$D$63,0)</f>
        <v>6</v>
      </c>
      <c r="AS30" s="110" t="n">
        <f aca="false">ROUNDUP(MAX(0,AS28-AS29)/Hipótesis!$D$63,0)</f>
        <v>6</v>
      </c>
      <c r="AT30" s="110" t="n">
        <f aca="false">ROUNDUP(MAX(0,AT28-AT29)/Hipótesis!$D$63,0)</f>
        <v>6</v>
      </c>
      <c r="AU30" s="110" t="n">
        <f aca="false">ROUNDUP(MAX(0,AU28-AU29)/Hipótesis!$D$63,0)</f>
        <v>6</v>
      </c>
      <c r="AV30" s="110" t="n">
        <f aca="false">ROUNDUP(MAX(0,AV28-AV29)/Hipótesis!$D$63,0)</f>
        <v>6</v>
      </c>
      <c r="AW30" s="110" t="n">
        <f aca="false">ROUNDUP(MAX(0,AW28-AW29)/Hipótesis!$D$63,0)</f>
        <v>6</v>
      </c>
      <c r="AX30" s="110" t="n">
        <f aca="false">ROUNDUP(MAX(0,AX28-AX29)/Hipótesis!$D$63,0)</f>
        <v>6</v>
      </c>
      <c r="AY30" s="110" t="n">
        <f aca="false">ROUNDUP(MAX(0,AY28-AY29)/Hipótesis!$D$63,0)</f>
        <v>6</v>
      </c>
      <c r="AZ30" s="110" t="n">
        <f aca="false">ROUNDUP(MAX(0,AZ28-AZ29)/Hipótesis!$D$63,0)</f>
        <v>6</v>
      </c>
      <c r="BA30" s="110" t="n">
        <f aca="false">ROUNDUP(MAX(0,BA28-BA29)/Hipótesis!$D$63,0)</f>
        <v>6</v>
      </c>
      <c r="BB30" s="110" t="n">
        <f aca="false">ROUNDUP(MAX(0,BB28-BB29)/Hipótesis!$D$63,0)</f>
        <v>6</v>
      </c>
      <c r="BC30" s="110" t="n">
        <f aca="false">ROUNDUP(MAX(0,BC28-BC29)/Hipótesis!$D$63,0)</f>
        <v>6</v>
      </c>
      <c r="BD30" s="110" t="n">
        <f aca="false">ROUNDUP(MAX(0,BD28-BD29)/Hipótesis!$D$63,0)</f>
        <v>6</v>
      </c>
      <c r="BE30" s="110" t="n">
        <f aca="false">ROUNDUP(MAX(0,BE28-BE29)/Hipótesis!$D$63,0)</f>
        <v>6</v>
      </c>
      <c r="BF30" s="110" t="n">
        <f aca="false">ROUNDUP(MAX(0,BF28-BF29)/Hipótesis!$D$63,0)</f>
        <v>6</v>
      </c>
      <c r="BG30" s="110" t="n">
        <f aca="false">ROUNDUP(MAX(0,BG28-BG29)/Hipótesis!$D$63,0)</f>
        <v>6</v>
      </c>
      <c r="BH30" s="110" t="n">
        <f aca="false">ROUNDUP(MAX(0,BH28-BH29)/Hipótesis!$D$63,0)</f>
        <v>6</v>
      </c>
      <c r="BI30" s="110" t="n">
        <f aca="false">ROUNDUP(MAX(0,BI28-BI29)/Hipótesis!$D$63,0)</f>
        <v>6</v>
      </c>
      <c r="BJ30" s="110" t="n">
        <f aca="false">ROUNDUP(MAX(0,BJ28-BJ29)/Hipótesis!$D$63,0)</f>
        <v>6</v>
      </c>
      <c r="BK30" s="110" t="n">
        <f aca="false">ROUNDUP(MAX(0,BK28-BK29)/Hipótesis!$D$63,0)</f>
        <v>6</v>
      </c>
      <c r="BL30" s="110" t="n">
        <f aca="false">ROUNDUP(MAX(0,BL28-BL29)/Hipótesis!$D$63,0)</f>
        <v>6</v>
      </c>
      <c r="BM30" s="110" t="n">
        <f aca="false">ROUNDUP(MAX(0,BM28-BM29)/Hipótesis!$D$63,0)</f>
        <v>6</v>
      </c>
      <c r="BN30" s="110" t="n">
        <f aca="false">ROUNDUP(MAX(0,BN28-BN29)/Hipótesis!$D$63,0)</f>
        <v>6</v>
      </c>
      <c r="BO30" s="110" t="n">
        <f aca="false">ROUNDUP(MAX(0,BO28-BO29)/Hipótesis!$D$63,0)</f>
        <v>6</v>
      </c>
      <c r="BP30" s="110" t="n">
        <f aca="false">ROUNDUP(MAX(0,BP28-BP29)/Hipótesis!$D$63,0)</f>
        <v>6</v>
      </c>
      <c r="BQ30" s="110" t="n">
        <f aca="false">ROUNDUP(MAX(0,BQ28-BQ29)/Hipótesis!$D$63,0)</f>
        <v>6</v>
      </c>
      <c r="BR30" s="110" t="n">
        <f aca="false">ROUNDUP(MAX(0,BR28-BR29)/Hipótesis!$D$63,0)</f>
        <v>6</v>
      </c>
      <c r="BS30" s="110" t="n">
        <f aca="false">ROUNDUP(MAX(0,BS28-BS29)/Hipótesis!$D$63,0)</f>
        <v>6</v>
      </c>
      <c r="BT30" s="110" t="n">
        <f aca="false">ROUNDUP(MAX(0,BT28-BT29)/Hipótesis!$D$63,0)</f>
        <v>6</v>
      </c>
      <c r="BU30" s="110" t="n">
        <f aca="false">ROUNDUP(MAX(0,BU28-BU29)/Hipótesis!$D$63,0)</f>
        <v>6</v>
      </c>
      <c r="BV30" s="110" t="n">
        <f aca="false">ROUNDUP(MAX(0,BV28-BV29)/Hipótesis!$D$63,0)</f>
        <v>6</v>
      </c>
      <c r="BW30" s="110" t="n">
        <f aca="false">ROUNDUP(MAX(0,BW28-BW29)/Hipótesis!$D$63,0)</f>
        <v>6</v>
      </c>
      <c r="BX30" s="110" t="n">
        <f aca="false">ROUNDUP(MAX(0,BX28-BX29)/Hipótesis!$D$63,0)</f>
        <v>6</v>
      </c>
      <c r="BY30" s="110" t="n">
        <f aca="false">ROUNDUP(MAX(0,BY28-BY29)/Hipótesis!$D$63,0)</f>
        <v>6</v>
      </c>
      <c r="BZ30" s="110" t="n">
        <f aca="false">ROUNDUP(MAX(0,BZ28-BZ29)/Hipótesis!$D$63,0)</f>
        <v>6</v>
      </c>
      <c r="CA30" s="110" t="n">
        <f aca="false">ROUNDUP(MAX(0,CA28-CA29)/Hipótesis!$D$63,0)</f>
        <v>6</v>
      </c>
      <c r="CB30" s="110" t="n">
        <f aca="false">ROUNDUP(MAX(0,CB28-CB29)/Hipótesis!$D$63,0)</f>
        <v>6</v>
      </c>
      <c r="CC30" s="110" t="n">
        <f aca="false">ROUNDUP(MAX(0,CC28-CC29)/Hipótesis!$D$63,0)</f>
        <v>6</v>
      </c>
      <c r="CD30" s="110" t="n">
        <f aca="false">ROUNDUP(MAX(0,CD28-CD29)/Hipótesis!$D$63,0)</f>
        <v>6</v>
      </c>
      <c r="CE30" s="110" t="n">
        <f aca="false">ROUNDUP(MAX(0,CE28-CE29)/Hipótesis!$D$63,0)</f>
        <v>6</v>
      </c>
      <c r="CF30" s="110" t="n">
        <f aca="false">ROUNDUP(MAX(0,CF28-CF29)/Hipótesis!$D$63,0)</f>
        <v>6</v>
      </c>
      <c r="CG30" s="110" t="n">
        <f aca="false">ROUNDUP(MAX(0,CG28-CG29)/Hipótesis!$D$63,0)</f>
        <v>6</v>
      </c>
      <c r="CH30" s="110" t="n">
        <f aca="false">ROUNDUP(MAX(0,CH28-CH29)/Hipótesis!$D$63,0)</f>
        <v>6</v>
      </c>
    </row>
    <row r="31" customFormat="false" ht="13.5" hidden="false" customHeight="true" outlineLevel="0" collapsed="false">
      <c r="A31" s="22" t="s">
        <v>537</v>
      </c>
      <c r="C31" s="110" t="n">
        <f aca="false">SUMPRODUCT((Hipótesis!$D$48:$D$53&lt;=1)*(Hipótesis!$B$48:$B$53))+C30</f>
        <v>4</v>
      </c>
      <c r="D31" s="110" t="n">
        <f aca="false">SUMPRODUCT((Hipótesis!$D$48:$D$53&lt;=2)*(Hipótesis!$B$48:$B$53))+D30</f>
        <v>4</v>
      </c>
      <c r="E31" s="110" t="n">
        <f aca="false">SUMPRODUCT((Hipótesis!$D$48:$D$53&lt;=3)*(Hipótesis!$B$48:$B$53))+E30</f>
        <v>4</v>
      </c>
      <c r="F31" s="110" t="n">
        <f aca="false">SUMPRODUCT((Hipótesis!$D$48:$D$53&lt;=4)*(Hipótesis!$B$48:$B$53))+F30</f>
        <v>4</v>
      </c>
      <c r="G31" s="110" t="n">
        <f aca="false">SUMPRODUCT((Hipótesis!$D$48:$D$53&lt;=5)*(Hipótesis!$B$48:$B$53))+G30</f>
        <v>4</v>
      </c>
      <c r="H31" s="110" t="n">
        <f aca="false">SUMPRODUCT((Hipótesis!$D$48:$D$53&lt;=6)*(Hipótesis!$B$48:$B$53))+H30</f>
        <v>4</v>
      </c>
      <c r="I31" s="110" t="n">
        <f aca="false">SUMPRODUCT((Hipótesis!$D$48:$D$53&lt;=7)*(Hipótesis!$B$48:$B$53))+I30</f>
        <v>4</v>
      </c>
      <c r="J31" s="110" t="n">
        <f aca="false">SUMPRODUCT((Hipótesis!$D$48:$D$53&lt;=8)*(Hipótesis!$B$48:$B$53))+J30</f>
        <v>4</v>
      </c>
      <c r="K31" s="110" t="n">
        <f aca="false">SUMPRODUCT((Hipótesis!$D$48:$D$53&lt;=9)*(Hipótesis!$B$48:$B$53))+K30</f>
        <v>4</v>
      </c>
      <c r="L31" s="110" t="n">
        <f aca="false">SUMPRODUCT((Hipótesis!$D$48:$D$53&lt;=10)*(Hipótesis!$B$48:$B$53))+L30</f>
        <v>4</v>
      </c>
      <c r="M31" s="110" t="n">
        <f aca="false">SUMPRODUCT((Hipótesis!$D$48:$D$53&lt;=11)*(Hipótesis!$B$48:$B$53))+M30</f>
        <v>4</v>
      </c>
      <c r="N31" s="110" t="n">
        <f aca="false">SUMPRODUCT((Hipótesis!$D$48:$D$53&lt;=12)*(Hipótesis!$B$48:$B$53))+N30</f>
        <v>5</v>
      </c>
      <c r="O31" s="110" t="n">
        <f aca="false">SUMPRODUCT((Hipótesis!$D$48:$D$53&lt;=13)*(Hipótesis!$B$48:$B$53))+O30</f>
        <v>5</v>
      </c>
      <c r="P31" s="110" t="n">
        <f aca="false">SUMPRODUCT((Hipótesis!$D$48:$D$53&lt;=14)*(Hipótesis!$B$48:$B$53))+P30</f>
        <v>5</v>
      </c>
      <c r="Q31" s="110" t="n">
        <f aca="false">SUMPRODUCT((Hipótesis!$D$48:$D$53&lt;=15)*(Hipótesis!$B$48:$B$53))+Q30</f>
        <v>6</v>
      </c>
      <c r="R31" s="110" t="n">
        <f aca="false">SUMPRODUCT((Hipótesis!$D$48:$D$53&lt;=16)*(Hipótesis!$B$48:$B$53))+R30</f>
        <v>6</v>
      </c>
      <c r="S31" s="110" t="n">
        <f aca="false">SUMPRODUCT((Hipótesis!$D$48:$D$53&lt;=17)*(Hipótesis!$B$48:$B$53))+S30</f>
        <v>6</v>
      </c>
      <c r="T31" s="110" t="n">
        <f aca="false">SUMPRODUCT((Hipótesis!$D$48:$D$53&lt;=18)*(Hipótesis!$B$48:$B$53))+T30</f>
        <v>7</v>
      </c>
      <c r="U31" s="110" t="n">
        <f aca="false">SUMPRODUCT((Hipótesis!$D$48:$D$53&lt;=19)*(Hipótesis!$B$48:$B$53))+U30</f>
        <v>7</v>
      </c>
      <c r="V31" s="110" t="n">
        <f aca="false">SUMPRODUCT((Hipótesis!$D$48:$D$53&lt;=20)*(Hipótesis!$B$48:$B$53))+V30</f>
        <v>8</v>
      </c>
      <c r="W31" s="110" t="n">
        <f aca="false">SUMPRODUCT((Hipótesis!$D$48:$D$53&lt;=21)*(Hipótesis!$B$48:$B$53))+W30</f>
        <v>8</v>
      </c>
      <c r="X31" s="110" t="n">
        <f aca="false">SUMPRODUCT((Hipótesis!$D$48:$D$53&lt;=22)*(Hipótesis!$B$48:$B$53))+X30</f>
        <v>9</v>
      </c>
      <c r="Y31" s="110" t="n">
        <f aca="false">SUMPRODUCT((Hipótesis!$D$48:$D$53&lt;=23)*(Hipótesis!$B$48:$B$53))+Y30</f>
        <v>9</v>
      </c>
      <c r="Z31" s="110" t="n">
        <f aca="false">SUMPRODUCT((Hipótesis!$D$48:$D$53&lt;=24)*(Hipótesis!$B$48:$B$53))+Z30</f>
        <v>9</v>
      </c>
      <c r="AA31" s="110" t="n">
        <f aca="false">SUMPRODUCT((Hipótesis!$D$48:$D$53&lt;=25)*(Hipótesis!$B$48:$B$53))+AA30</f>
        <v>9</v>
      </c>
      <c r="AB31" s="110" t="n">
        <f aca="false">SUMPRODUCT((Hipótesis!$D$48:$D$53&lt;=26)*(Hipótesis!$B$48:$B$53))+AB30</f>
        <v>9</v>
      </c>
      <c r="AC31" s="110" t="n">
        <f aca="false">SUMPRODUCT((Hipótesis!$D$48:$D$53&lt;=27)*(Hipótesis!$B$48:$B$53))+AC30</f>
        <v>9</v>
      </c>
      <c r="AD31" s="110" t="n">
        <f aca="false">SUMPRODUCT((Hipótesis!$D$48:$D$53&lt;=28)*(Hipótesis!$B$48:$B$53))+AD30</f>
        <v>9</v>
      </c>
      <c r="AE31" s="110" t="n">
        <f aca="false">SUMPRODUCT((Hipótesis!$D$48:$D$53&lt;=29)*(Hipótesis!$B$48:$B$53))+AE30</f>
        <v>10</v>
      </c>
      <c r="AF31" s="110" t="n">
        <f aca="false">SUMPRODUCT((Hipótesis!$D$48:$D$53&lt;=30)*(Hipótesis!$B$48:$B$53))+AF30</f>
        <v>10</v>
      </c>
      <c r="AG31" s="110" t="n">
        <f aca="false">SUMPRODUCT((Hipótesis!$D$48:$D$53&lt;=31)*(Hipótesis!$B$48:$B$53))+AG30</f>
        <v>10</v>
      </c>
      <c r="AH31" s="110" t="n">
        <f aca="false">SUMPRODUCT((Hipótesis!$D$48:$D$53&lt;=32)*(Hipótesis!$B$48:$B$53))+AH30</f>
        <v>10</v>
      </c>
      <c r="AI31" s="110" t="n">
        <f aca="false">SUMPRODUCT((Hipótesis!$D$48:$D$53&lt;=33)*(Hipótesis!$B$48:$B$53))+AI30</f>
        <v>10</v>
      </c>
      <c r="AJ31" s="110" t="n">
        <f aca="false">SUMPRODUCT((Hipótesis!$D$48:$D$53&lt;=34)*(Hipótesis!$B$48:$B$53))+AJ30</f>
        <v>10</v>
      </c>
      <c r="AK31" s="110" t="n">
        <f aca="false">SUMPRODUCT((Hipótesis!$D$48:$D$53&lt;=35)*(Hipótesis!$B$48:$B$53))+AK30</f>
        <v>10</v>
      </c>
      <c r="AL31" s="110" t="n">
        <f aca="false">SUMPRODUCT((Hipótesis!$D$48:$D$53&lt;=36)*(Hipótesis!$B$48:$B$53))+AL30</f>
        <v>10</v>
      </c>
      <c r="AM31" s="110" t="n">
        <f aca="false">SUMPRODUCT((Hipótesis!$D$48:$D$53&lt;=37)*(Hipótesis!$B$48:$B$53))+AM30</f>
        <v>11</v>
      </c>
      <c r="AN31" s="110" t="n">
        <f aca="false">SUMPRODUCT((Hipótesis!$D$48:$D$53&lt;=38)*(Hipótesis!$B$48:$B$53))+AN30</f>
        <v>11</v>
      </c>
      <c r="AO31" s="110" t="n">
        <f aca="false">SUMPRODUCT((Hipótesis!$D$48:$D$53&lt;=39)*(Hipótesis!$B$48:$B$53))+AO30</f>
        <v>11</v>
      </c>
      <c r="AP31" s="110" t="n">
        <f aca="false">SUMPRODUCT((Hipótesis!$D$48:$D$53&lt;=40)*(Hipótesis!$B$48:$B$53))+AP30</f>
        <v>11</v>
      </c>
      <c r="AQ31" s="110" t="n">
        <f aca="false">SUMPRODUCT((Hipótesis!$D$48:$D$53&lt;=41)*(Hipótesis!$B$48:$B$53))+AQ30</f>
        <v>11</v>
      </c>
      <c r="AR31" s="110" t="n">
        <f aca="false">SUMPRODUCT((Hipótesis!$D$48:$D$53&lt;=42)*(Hipótesis!$B$48:$B$53))+AR30</f>
        <v>11</v>
      </c>
      <c r="AS31" s="110" t="n">
        <f aca="false">SUMPRODUCT((Hipótesis!$D$48:$D$53&lt;=43)*(Hipótesis!$B$48:$B$53))+AS30</f>
        <v>11</v>
      </c>
      <c r="AT31" s="110" t="n">
        <f aca="false">SUMPRODUCT((Hipótesis!$D$48:$D$53&lt;=44)*(Hipótesis!$B$48:$B$53))+AT30</f>
        <v>11</v>
      </c>
      <c r="AU31" s="110" t="n">
        <f aca="false">SUMPRODUCT((Hipótesis!$D$48:$D$53&lt;=45)*(Hipótesis!$B$48:$B$53))+AU30</f>
        <v>11</v>
      </c>
      <c r="AV31" s="110" t="n">
        <f aca="false">SUMPRODUCT((Hipótesis!$D$48:$D$53&lt;=46)*(Hipótesis!$B$48:$B$53))+AV30</f>
        <v>11</v>
      </c>
      <c r="AW31" s="110" t="n">
        <f aca="false">SUMPRODUCT((Hipótesis!$D$48:$D$53&lt;=47)*(Hipótesis!$B$48:$B$53))+AW30</f>
        <v>11</v>
      </c>
      <c r="AX31" s="110" t="n">
        <f aca="false">SUMPRODUCT((Hipótesis!$D$48:$D$53&lt;=48)*(Hipótesis!$B$48:$B$53))+AX30</f>
        <v>11</v>
      </c>
      <c r="AY31" s="110" t="n">
        <f aca="false">SUMPRODUCT((Hipótesis!$D$48:$D$53&lt;=49)*(Hipótesis!$B$48:$B$53))+AY30</f>
        <v>11</v>
      </c>
      <c r="AZ31" s="110" t="n">
        <f aca="false">SUMPRODUCT((Hipótesis!$D$48:$D$53&lt;=50)*(Hipótesis!$B$48:$B$53))+AZ30</f>
        <v>11</v>
      </c>
      <c r="BA31" s="110" t="n">
        <f aca="false">SUMPRODUCT((Hipótesis!$D$48:$D$53&lt;=51)*(Hipótesis!$B$48:$B$53))+BA30</f>
        <v>11</v>
      </c>
      <c r="BB31" s="110" t="n">
        <f aca="false">SUMPRODUCT((Hipótesis!$D$48:$D$53&lt;=52)*(Hipótesis!$B$48:$B$53))+BB30</f>
        <v>11</v>
      </c>
      <c r="BC31" s="110" t="n">
        <f aca="false">SUMPRODUCT((Hipótesis!$D$48:$D$53&lt;=53)*(Hipótesis!$B$48:$B$53))+BC30</f>
        <v>11</v>
      </c>
      <c r="BD31" s="110" t="n">
        <f aca="false">SUMPRODUCT((Hipótesis!$D$48:$D$53&lt;=54)*(Hipótesis!$B$48:$B$53))+BD30</f>
        <v>11</v>
      </c>
      <c r="BE31" s="110" t="n">
        <f aca="false">SUMPRODUCT((Hipótesis!$D$48:$D$53&lt;=55)*(Hipótesis!$B$48:$B$53))+BE30</f>
        <v>11</v>
      </c>
      <c r="BF31" s="110" t="n">
        <f aca="false">SUMPRODUCT((Hipótesis!$D$48:$D$53&lt;=56)*(Hipótesis!$B$48:$B$53))+BF30</f>
        <v>11</v>
      </c>
      <c r="BG31" s="110" t="n">
        <f aca="false">SUMPRODUCT((Hipótesis!$D$48:$D$53&lt;=57)*(Hipótesis!$B$48:$B$53))+BG30</f>
        <v>11</v>
      </c>
      <c r="BH31" s="110" t="n">
        <f aca="false">SUMPRODUCT((Hipótesis!$D$48:$D$53&lt;=58)*(Hipótesis!$B$48:$B$53))+BH30</f>
        <v>11</v>
      </c>
      <c r="BI31" s="110" t="n">
        <f aca="false">SUMPRODUCT((Hipótesis!$D$48:$D$53&lt;=59)*(Hipótesis!$B$48:$B$53))+BI30</f>
        <v>11</v>
      </c>
      <c r="BJ31" s="110" t="n">
        <f aca="false">SUMPRODUCT((Hipótesis!$D$48:$D$53&lt;=60)*(Hipótesis!$B$48:$B$53))+BJ30</f>
        <v>11</v>
      </c>
      <c r="BK31" s="110" t="n">
        <f aca="false">SUMPRODUCT((Hipótesis!$D$48:$D$53&lt;=61)*(Hipótesis!$B$48:$B$53))+BK30</f>
        <v>11</v>
      </c>
      <c r="BL31" s="110" t="n">
        <f aca="false">SUMPRODUCT((Hipótesis!$D$48:$D$53&lt;=62)*(Hipótesis!$B$48:$B$53))+BL30</f>
        <v>11</v>
      </c>
      <c r="BM31" s="110" t="n">
        <f aca="false">SUMPRODUCT((Hipótesis!$D$48:$D$53&lt;=63)*(Hipótesis!$B$48:$B$53))+BM30</f>
        <v>11</v>
      </c>
      <c r="BN31" s="110" t="n">
        <f aca="false">SUMPRODUCT((Hipótesis!$D$48:$D$53&lt;=64)*(Hipótesis!$B$48:$B$53))+BN30</f>
        <v>11</v>
      </c>
      <c r="BO31" s="110" t="n">
        <f aca="false">SUMPRODUCT((Hipótesis!$D$48:$D$53&lt;=65)*(Hipótesis!$B$48:$B$53))+BO30</f>
        <v>11</v>
      </c>
      <c r="BP31" s="110" t="n">
        <f aca="false">SUMPRODUCT((Hipótesis!$D$48:$D$53&lt;=66)*(Hipótesis!$B$48:$B$53))+BP30</f>
        <v>11</v>
      </c>
      <c r="BQ31" s="110" t="n">
        <f aca="false">SUMPRODUCT((Hipótesis!$D$48:$D$53&lt;=67)*(Hipótesis!$B$48:$B$53))+BQ30</f>
        <v>11</v>
      </c>
      <c r="BR31" s="110" t="n">
        <f aca="false">SUMPRODUCT((Hipótesis!$D$48:$D$53&lt;=68)*(Hipótesis!$B$48:$B$53))+BR30</f>
        <v>11</v>
      </c>
      <c r="BS31" s="110" t="n">
        <f aca="false">SUMPRODUCT((Hipótesis!$D$48:$D$53&lt;=69)*(Hipótesis!$B$48:$B$53))+BS30</f>
        <v>11</v>
      </c>
      <c r="BT31" s="110" t="n">
        <f aca="false">SUMPRODUCT((Hipótesis!$D$48:$D$53&lt;=70)*(Hipótesis!$B$48:$B$53))+BT30</f>
        <v>11</v>
      </c>
      <c r="BU31" s="110" t="n">
        <f aca="false">SUMPRODUCT((Hipótesis!$D$48:$D$53&lt;=71)*(Hipótesis!$B$48:$B$53))+BU30</f>
        <v>11</v>
      </c>
      <c r="BV31" s="110" t="n">
        <f aca="false">SUMPRODUCT((Hipótesis!$D$48:$D$53&lt;=72)*(Hipótesis!$B$48:$B$53))+BV30</f>
        <v>11</v>
      </c>
      <c r="BW31" s="110" t="n">
        <f aca="false">SUMPRODUCT((Hipótesis!$D$48:$D$53&lt;=73)*(Hipótesis!$B$48:$B$53))+BW30</f>
        <v>11</v>
      </c>
      <c r="BX31" s="110" t="n">
        <f aca="false">SUMPRODUCT((Hipótesis!$D$48:$D$53&lt;=74)*(Hipótesis!$B$48:$B$53))+BX30</f>
        <v>11</v>
      </c>
      <c r="BY31" s="110" t="n">
        <f aca="false">SUMPRODUCT((Hipótesis!$D$48:$D$53&lt;=75)*(Hipótesis!$B$48:$B$53))+BY30</f>
        <v>11</v>
      </c>
      <c r="BZ31" s="110" t="n">
        <f aca="false">SUMPRODUCT((Hipótesis!$D$48:$D$53&lt;=76)*(Hipótesis!$B$48:$B$53))+BZ30</f>
        <v>11</v>
      </c>
      <c r="CA31" s="110" t="n">
        <f aca="false">SUMPRODUCT((Hipótesis!$D$48:$D$53&lt;=77)*(Hipótesis!$B$48:$B$53))+CA30</f>
        <v>11</v>
      </c>
      <c r="CB31" s="110" t="n">
        <f aca="false">SUMPRODUCT((Hipótesis!$D$48:$D$53&lt;=78)*(Hipótesis!$B$48:$B$53))+CB30</f>
        <v>11</v>
      </c>
      <c r="CC31" s="110" t="n">
        <f aca="false">SUMPRODUCT((Hipótesis!$D$48:$D$53&lt;=79)*(Hipótesis!$B$48:$B$53))+CC30</f>
        <v>11</v>
      </c>
      <c r="CD31" s="110" t="n">
        <f aca="false">SUMPRODUCT((Hipótesis!$D$48:$D$53&lt;=80)*(Hipótesis!$B$48:$B$53))+CD30</f>
        <v>11</v>
      </c>
      <c r="CE31" s="110" t="n">
        <f aca="false">SUMPRODUCT((Hipótesis!$D$48:$D$53&lt;=81)*(Hipótesis!$B$48:$B$53))+CE30</f>
        <v>11</v>
      </c>
      <c r="CF31" s="110" t="n">
        <f aca="false">SUMPRODUCT((Hipótesis!$D$48:$D$53&lt;=82)*(Hipótesis!$B$48:$B$53))+CF30</f>
        <v>11</v>
      </c>
      <c r="CG31" s="110" t="n">
        <f aca="false">SUMPRODUCT((Hipótesis!$D$48:$D$53&lt;=83)*(Hipótesis!$B$48:$B$53))+CG30</f>
        <v>11</v>
      </c>
      <c r="CH31" s="110" t="n">
        <f aca="false">SUMPRODUCT((Hipótesis!$D$48:$D$53&lt;=84)*(Hipótesis!$B$48:$B$53))+CH30</f>
        <v>11</v>
      </c>
    </row>
    <row r="32" customFormat="false" ht="13.5" hidden="false" customHeight="true" outlineLevel="0" collapsed="false"/>
    <row r="33" customFormat="false" ht="12.75" hidden="false" customHeight="true" outlineLevel="0" collapsed="false">
      <c r="A33" s="9" t="s">
        <v>538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</row>
    <row r="34" customFormat="false" ht="13.5" hidden="false" customHeight="true" outlineLevel="0" collapsed="false">
      <c r="A34" s="6" t="s">
        <v>539</v>
      </c>
      <c r="C34" s="109" t="n">
        <f aca="false">C16*C21*Hipótesis!$C$16</f>
        <v>1005.575</v>
      </c>
      <c r="D34" s="109" t="n">
        <f aca="false">D16*D21*Hipótesis!$C$16</f>
        <v>2089.45</v>
      </c>
      <c r="E34" s="109" t="n">
        <f aca="false">E16*E21*Hipótesis!$C$16</f>
        <v>4351.903125</v>
      </c>
      <c r="F34" s="109" t="n">
        <f aca="false">F16*F21*Hipótesis!$C$16</f>
        <v>5608.78125</v>
      </c>
      <c r="G34" s="109" t="n">
        <f aca="false">G16*G21*Hipótesis!$C$16</f>
        <v>6787.359375</v>
      </c>
      <c r="H34" s="109" t="n">
        <f aca="false">H16*H21*Hipótesis!$C$16</f>
        <v>8683.6875</v>
      </c>
      <c r="I34" s="109" t="n">
        <f aca="false">I16*I21*Hipótesis!$C$16</f>
        <v>10580.015625</v>
      </c>
      <c r="J34" s="109" t="n">
        <f aca="false">J16*J21*Hipótesis!$C$16</f>
        <v>12476.34375</v>
      </c>
      <c r="K34" s="109" t="n">
        <f aca="false">K16*K21*Hipótesis!$C$16</f>
        <v>14372.671875</v>
      </c>
      <c r="L34" s="109" t="n">
        <f aca="false">L16*L21*Hipótesis!$C$16</f>
        <v>16269</v>
      </c>
      <c r="M34" s="109" t="n">
        <f aca="false">M16*M21*Hipótesis!$C$16</f>
        <v>16986.75</v>
      </c>
      <c r="N34" s="109" t="n">
        <f aca="false">N16*N21*Hipótesis!$C$16</f>
        <v>18683.25</v>
      </c>
      <c r="O34" s="109" t="n">
        <f aca="false">O16*O21*Hipótesis!$C$16</f>
        <v>20379.75</v>
      </c>
      <c r="P34" s="109" t="n">
        <f aca="false">P16*P21*Hipótesis!$C$16</f>
        <v>21723.9</v>
      </c>
      <c r="Q34" s="109" t="n">
        <f aca="false">Q16*Q21*Hipótesis!$C$16</f>
        <v>23068.05</v>
      </c>
      <c r="R34" s="109" t="n">
        <f aca="false">R16*R21*Hipótesis!$C$16</f>
        <v>24412.2</v>
      </c>
      <c r="S34" s="109" t="n">
        <f aca="false">S16*S21*Hipótesis!$C$16</f>
        <v>25756.35</v>
      </c>
      <c r="T34" s="109" t="n">
        <f aca="false">T16*T21*Hipótesis!$C$16</f>
        <v>27100.5</v>
      </c>
      <c r="U34" s="109" t="n">
        <f aca="false">U16*U21*Hipótesis!$C$16</f>
        <v>28444.65</v>
      </c>
      <c r="V34" s="109" t="n">
        <f aca="false">V16*V21*Hipótesis!$C$16</f>
        <v>29788.8</v>
      </c>
      <c r="W34" s="109" t="n">
        <f aca="false">W16*W21*Hipótesis!$C$16</f>
        <v>31132.95</v>
      </c>
      <c r="X34" s="109" t="n">
        <f aca="false">X16*X21*Hipótesis!$C$16</f>
        <v>31498.35</v>
      </c>
      <c r="Y34" s="109" t="n">
        <f aca="false">Y16*Y21*Hipótesis!$C$16</f>
        <v>31863.75</v>
      </c>
      <c r="Z34" s="109" t="n">
        <f aca="false">Z16*Z21*Hipótesis!$C$16</f>
        <v>31863.75</v>
      </c>
      <c r="AA34" s="109" t="n">
        <f aca="false">AA16*AA21*Hipótesis!$C$16</f>
        <v>31863.75</v>
      </c>
      <c r="AB34" s="109" t="n">
        <f aca="false">AB16*AB21*Hipótesis!$C$16</f>
        <v>31863.75</v>
      </c>
      <c r="AC34" s="109" t="n">
        <f aca="false">AC16*AC21*Hipótesis!$C$16</f>
        <v>31863.75</v>
      </c>
      <c r="AD34" s="109" t="n">
        <f aca="false">AD16*AD21*Hipótesis!$C$16</f>
        <v>31863.75</v>
      </c>
      <c r="AE34" s="109" t="n">
        <f aca="false">AE16*AE21*Hipótesis!$C$16</f>
        <v>31863.75</v>
      </c>
      <c r="AF34" s="109" t="n">
        <f aca="false">AF16*AF21*Hipótesis!$C$16</f>
        <v>31863.75</v>
      </c>
      <c r="AG34" s="109" t="n">
        <f aca="false">AG16*AG21*Hipótesis!$C$16</f>
        <v>31863.75</v>
      </c>
      <c r="AH34" s="109" t="n">
        <f aca="false">AH16*AH21*Hipótesis!$C$16</f>
        <v>31863.75</v>
      </c>
      <c r="AI34" s="109" t="n">
        <f aca="false">AI16*AI21*Hipótesis!$C$16</f>
        <v>31863.75</v>
      </c>
      <c r="AJ34" s="109" t="n">
        <f aca="false">AJ16*AJ21*Hipótesis!$C$16</f>
        <v>31863.75</v>
      </c>
      <c r="AK34" s="109" t="n">
        <f aca="false">AK16*AK21*Hipótesis!$C$16</f>
        <v>31863.75</v>
      </c>
      <c r="AL34" s="109" t="n">
        <f aca="false">AL16*AL21*Hipótesis!$C$16</f>
        <v>31863.75</v>
      </c>
      <c r="AM34" s="109" t="n">
        <f aca="false">AM16*AM21*Hipótesis!$C$16</f>
        <v>31863.75</v>
      </c>
      <c r="AN34" s="109" t="n">
        <f aca="false">AN16*AN21*Hipótesis!$C$16</f>
        <v>31863.75</v>
      </c>
      <c r="AO34" s="109" t="n">
        <f aca="false">AO16*AO21*Hipótesis!$C$16</f>
        <v>31863.75</v>
      </c>
      <c r="AP34" s="109" t="n">
        <f aca="false">AP16*AP21*Hipótesis!$C$16</f>
        <v>31863.75</v>
      </c>
      <c r="AQ34" s="109" t="n">
        <f aca="false">AQ16*AQ21*Hipótesis!$C$16</f>
        <v>31863.75</v>
      </c>
      <c r="AR34" s="109" t="n">
        <f aca="false">AR16*AR21*Hipótesis!$C$16</f>
        <v>31863.75</v>
      </c>
      <c r="AS34" s="109" t="n">
        <f aca="false">AS16*AS21*Hipótesis!$C$16</f>
        <v>31863.75</v>
      </c>
      <c r="AT34" s="109" t="n">
        <f aca="false">AT16*AT21*Hipótesis!$C$16</f>
        <v>31863.75</v>
      </c>
      <c r="AU34" s="109" t="n">
        <f aca="false">AU16*AU21*Hipótesis!$C$16</f>
        <v>31863.75</v>
      </c>
      <c r="AV34" s="109" t="n">
        <f aca="false">AV16*AV21*Hipótesis!$C$16</f>
        <v>31863.75</v>
      </c>
      <c r="AW34" s="109" t="n">
        <f aca="false">AW16*AW21*Hipótesis!$C$16</f>
        <v>31863.75</v>
      </c>
      <c r="AX34" s="109" t="n">
        <f aca="false">AX16*AX21*Hipótesis!$C$16</f>
        <v>31863.75</v>
      </c>
      <c r="AY34" s="109" t="n">
        <f aca="false">AY16*AY21*Hipótesis!$C$16</f>
        <v>31863.75</v>
      </c>
      <c r="AZ34" s="109" t="n">
        <f aca="false">AZ16*AZ21*Hipótesis!$C$16</f>
        <v>31863.75</v>
      </c>
      <c r="BA34" s="109" t="n">
        <f aca="false">BA16*BA21*Hipótesis!$C$16</f>
        <v>31863.75</v>
      </c>
      <c r="BB34" s="109" t="n">
        <f aca="false">BB16*BB21*Hipótesis!$C$16</f>
        <v>31863.75</v>
      </c>
      <c r="BC34" s="109" t="n">
        <f aca="false">BC16*BC21*Hipótesis!$C$16</f>
        <v>31863.75</v>
      </c>
      <c r="BD34" s="109" t="n">
        <f aca="false">BD16*BD21*Hipótesis!$C$16</f>
        <v>31863.75</v>
      </c>
      <c r="BE34" s="109" t="n">
        <f aca="false">BE16*BE21*Hipótesis!$C$16</f>
        <v>31863.75</v>
      </c>
      <c r="BF34" s="109" t="n">
        <f aca="false">BF16*BF21*Hipótesis!$C$16</f>
        <v>31863.75</v>
      </c>
      <c r="BG34" s="109" t="n">
        <f aca="false">BG16*BG21*Hipótesis!$C$16</f>
        <v>31863.75</v>
      </c>
      <c r="BH34" s="109" t="n">
        <f aca="false">BH16*BH21*Hipótesis!$C$16</f>
        <v>31863.75</v>
      </c>
      <c r="BI34" s="109" t="n">
        <f aca="false">BI16*BI21*Hipótesis!$C$16</f>
        <v>31863.75</v>
      </c>
      <c r="BJ34" s="109" t="n">
        <f aca="false">BJ16*BJ21*Hipótesis!$C$16</f>
        <v>31863.75</v>
      </c>
      <c r="BK34" s="109" t="n">
        <f aca="false">BK16*BK21*Hipótesis!$C$16</f>
        <v>31863.75</v>
      </c>
      <c r="BL34" s="109" t="n">
        <f aca="false">BL16*BL21*Hipótesis!$C$16</f>
        <v>31863.75</v>
      </c>
      <c r="BM34" s="109" t="n">
        <f aca="false">BM16*BM21*Hipótesis!$C$16</f>
        <v>31863.75</v>
      </c>
      <c r="BN34" s="109" t="n">
        <f aca="false">BN16*BN21*Hipótesis!$C$16</f>
        <v>31863.75</v>
      </c>
      <c r="BO34" s="109" t="n">
        <f aca="false">BO16*BO21*Hipótesis!$C$16</f>
        <v>31863.75</v>
      </c>
      <c r="BP34" s="109" t="n">
        <f aca="false">BP16*BP21*Hipótesis!$C$16</f>
        <v>31863.75</v>
      </c>
      <c r="BQ34" s="109" t="n">
        <f aca="false">BQ16*BQ21*Hipótesis!$C$16</f>
        <v>31863.75</v>
      </c>
      <c r="BR34" s="109" t="n">
        <f aca="false">BR16*BR21*Hipótesis!$C$16</f>
        <v>31863.75</v>
      </c>
      <c r="BS34" s="109" t="n">
        <f aca="false">BS16*BS21*Hipótesis!$C$16</f>
        <v>31863.75</v>
      </c>
      <c r="BT34" s="109" t="n">
        <f aca="false">BT16*BT21*Hipótesis!$C$16</f>
        <v>31863.75</v>
      </c>
      <c r="BU34" s="109" t="n">
        <f aca="false">BU16*BU21*Hipótesis!$C$16</f>
        <v>31863.75</v>
      </c>
      <c r="BV34" s="109" t="n">
        <f aca="false">BV16*BV21*Hipótesis!$C$16</f>
        <v>31863.75</v>
      </c>
      <c r="BW34" s="109" t="n">
        <f aca="false">BW16*BW21*Hipótesis!$C$16</f>
        <v>31863.75</v>
      </c>
      <c r="BX34" s="109" t="n">
        <f aca="false">BX16*BX21*Hipótesis!$C$16</f>
        <v>31863.75</v>
      </c>
      <c r="BY34" s="109" t="n">
        <f aca="false">BY16*BY21*Hipótesis!$C$16</f>
        <v>31863.75</v>
      </c>
      <c r="BZ34" s="109" t="n">
        <f aca="false">BZ16*BZ21*Hipótesis!$C$16</f>
        <v>31863.75</v>
      </c>
      <c r="CA34" s="109" t="n">
        <f aca="false">CA16*CA21*Hipótesis!$C$16</f>
        <v>31863.75</v>
      </c>
      <c r="CB34" s="109" t="n">
        <f aca="false">CB16*CB21*Hipótesis!$C$16</f>
        <v>31863.75</v>
      </c>
      <c r="CC34" s="109" t="n">
        <f aca="false">CC16*CC21*Hipótesis!$C$16</f>
        <v>31863.75</v>
      </c>
      <c r="CD34" s="109" t="n">
        <f aca="false">CD16*CD21*Hipótesis!$C$16</f>
        <v>31863.75</v>
      </c>
      <c r="CE34" s="109" t="n">
        <f aca="false">CE16*CE21*Hipótesis!$C$16</f>
        <v>31863.75</v>
      </c>
      <c r="CF34" s="109" t="n">
        <f aca="false">CF16*CF21*Hipótesis!$C$16</f>
        <v>31863.75</v>
      </c>
      <c r="CG34" s="109" t="n">
        <f aca="false">CG16*CG21*Hipótesis!$C$16</f>
        <v>31863.75</v>
      </c>
      <c r="CH34" s="109" t="n">
        <f aca="false">CH16*CH21*Hipótesis!$C$16</f>
        <v>31863.75</v>
      </c>
    </row>
    <row r="35" customFormat="false" ht="13.5" hidden="false" customHeight="true" outlineLevel="0" collapsed="false">
      <c r="A35" s="6" t="s">
        <v>540</v>
      </c>
      <c r="C35" s="109" t="n">
        <f aca="false">C23*(Hipótesis!$C$30*Hipótesis!$C$20+(1-Hipótesis!$C$30)*Hipótesis!$C$21)</f>
        <v>0</v>
      </c>
      <c r="D35" s="109" t="n">
        <f aca="false">D23*(Hipótesis!$C$30*Hipótesis!$C$20+(1-Hipótesis!$C$30)*Hipótesis!$C$21)</f>
        <v>0</v>
      </c>
      <c r="E35" s="109" t="n">
        <f aca="false">E23*(Hipótesis!$C$30*Hipótesis!$C$20+(1-Hipótesis!$C$30)*Hipótesis!$C$21)</f>
        <v>0</v>
      </c>
      <c r="F35" s="109" t="n">
        <f aca="false">F23*(Hipótesis!$C$30*Hipótesis!$C$20+(1-Hipótesis!$C$30)*Hipótesis!$C$21)</f>
        <v>0</v>
      </c>
      <c r="G35" s="109" t="n">
        <f aca="false">G23*(Hipótesis!$C$30*Hipótesis!$C$20+(1-Hipótesis!$C$30)*Hipótesis!$C$21)</f>
        <v>0</v>
      </c>
      <c r="H35" s="109" t="n">
        <f aca="false">H23*(Hipótesis!$C$30*Hipótesis!$C$20+(1-Hipótesis!$C$30)*Hipótesis!$C$21)</f>
        <v>0</v>
      </c>
      <c r="I35" s="109" t="n">
        <f aca="false">I23*(Hipótesis!$C$30*Hipótesis!$C$20+(1-Hipótesis!$C$30)*Hipótesis!$C$21)</f>
        <v>1676.23931641514</v>
      </c>
      <c r="J35" s="109" t="n">
        <f aca="false">J23*(Hipótesis!$C$30*Hipótesis!$C$20+(1-Hipótesis!$C$30)*Hipótesis!$C$21)</f>
        <v>3352.47863283027</v>
      </c>
      <c r="K35" s="109" t="n">
        <f aca="false">K23*(Hipótesis!$C$30*Hipótesis!$C$20+(1-Hipótesis!$C$30)*Hipótesis!$C$21)</f>
        <v>5028.71794924541</v>
      </c>
      <c r="L35" s="109" t="n">
        <f aca="false">L23*(Hipótesis!$C$30*Hipótesis!$C$20+(1-Hipótesis!$C$30)*Hipótesis!$C$21)</f>
        <v>6704.95726566054</v>
      </c>
      <c r="M35" s="109" t="n">
        <f aca="false">M23*(Hipótesis!$C$30*Hipótesis!$C$20+(1-Hipótesis!$C$30)*Hipótesis!$C$21)</f>
        <v>8381.19658207568</v>
      </c>
      <c r="N35" s="109" t="n">
        <f aca="false">N23*(Hipótesis!$C$30*Hipótesis!$C$20+(1-Hipótesis!$C$30)*Hipótesis!$C$21)</f>
        <v>10057.4358984908</v>
      </c>
      <c r="O35" s="109" t="n">
        <f aca="false">O23*(Hipótesis!$C$30*Hipótesis!$C$20+(1-Hipótesis!$C$30)*Hipótesis!$C$21)</f>
        <v>11733.6752149059</v>
      </c>
      <c r="P35" s="109" t="n">
        <f aca="false">P23*(Hipótesis!$C$30*Hipótesis!$C$20+(1-Hipótesis!$C$30)*Hipótesis!$C$21)</f>
        <v>13409.9145313211</v>
      </c>
      <c r="Q35" s="109" t="n">
        <f aca="false">Q23*(Hipótesis!$C$30*Hipótesis!$C$20+(1-Hipótesis!$C$30)*Hipótesis!$C$21)</f>
        <v>15086.1538477362</v>
      </c>
      <c r="R35" s="109" t="n">
        <f aca="false">R23*(Hipótesis!$C$30*Hipótesis!$C$20+(1-Hipótesis!$C$30)*Hipótesis!$C$21)</f>
        <v>16762.3931641514</v>
      </c>
      <c r="S35" s="109" t="n">
        <f aca="false">S23*(Hipótesis!$C$30*Hipótesis!$C$20+(1-Hipótesis!$C$30)*Hipótesis!$C$21)</f>
        <v>18438.6324805665</v>
      </c>
      <c r="T35" s="109" t="n">
        <f aca="false">T23*(Hipótesis!$C$30*Hipótesis!$C$20+(1-Hipótesis!$C$30)*Hipótesis!$C$21)</f>
        <v>20114.8717969816</v>
      </c>
      <c r="U35" s="109" t="n">
        <f aca="false">U23*(Hipótesis!$C$30*Hipótesis!$C$20+(1-Hipótesis!$C$30)*Hipótesis!$C$21)</f>
        <v>21791.1111133968</v>
      </c>
      <c r="V35" s="109" t="n">
        <f aca="false">V23*(Hipótesis!$C$30*Hipótesis!$C$20+(1-Hipótesis!$C$30)*Hipótesis!$C$21)</f>
        <v>23467.3504298119</v>
      </c>
      <c r="W35" s="109" t="n">
        <f aca="false">W23*(Hipótesis!$C$30*Hipótesis!$C$20+(1-Hipótesis!$C$30)*Hipótesis!$C$21)</f>
        <v>25143.589746227</v>
      </c>
      <c r="X35" s="109" t="n">
        <f aca="false">X23*(Hipótesis!$C$30*Hipótesis!$C$20+(1-Hipótesis!$C$30)*Hipótesis!$C$21)</f>
        <v>26819.8290626422</v>
      </c>
      <c r="Y35" s="109" t="n">
        <f aca="false">Y23*(Hipótesis!$C$30*Hipótesis!$C$20+(1-Hipótesis!$C$30)*Hipótesis!$C$21)</f>
        <v>28496.0683790573</v>
      </c>
      <c r="Z35" s="109" t="n">
        <f aca="false">Z23*(Hipótesis!$C$30*Hipótesis!$C$20+(1-Hipótesis!$C$30)*Hipótesis!$C$21)</f>
        <v>30172.3076954724</v>
      </c>
      <c r="AA35" s="109" t="n">
        <f aca="false">AA23*(Hipótesis!$C$30*Hipótesis!$C$20+(1-Hipótesis!$C$30)*Hipótesis!$C$21)</f>
        <v>31848.5470118876</v>
      </c>
      <c r="AB35" s="109" t="n">
        <f aca="false">AB23*(Hipótesis!$C$30*Hipótesis!$C$20+(1-Hipótesis!$C$30)*Hipótesis!$C$21)</f>
        <v>33524.7863283027</v>
      </c>
      <c r="AC35" s="109" t="n">
        <f aca="false">AC23*(Hipótesis!$C$30*Hipótesis!$C$20+(1-Hipótesis!$C$30)*Hipótesis!$C$21)</f>
        <v>35201.0256447179</v>
      </c>
      <c r="AD35" s="109" t="n">
        <f aca="false">AD23*(Hipótesis!$C$30*Hipótesis!$C$20+(1-Hipótesis!$C$30)*Hipótesis!$C$21)</f>
        <v>36877.264961133</v>
      </c>
      <c r="AE35" s="109" t="n">
        <f aca="false">AE23*(Hipótesis!$C$30*Hipótesis!$C$20+(1-Hipótesis!$C$30)*Hipótesis!$C$21)</f>
        <v>38553.5042775481</v>
      </c>
      <c r="AF35" s="109" t="n">
        <f aca="false">AF23*(Hipótesis!$C$30*Hipótesis!$C$20+(1-Hipótesis!$C$30)*Hipótesis!$C$21)</f>
        <v>40229.7435939633</v>
      </c>
      <c r="AG35" s="109" t="n">
        <f aca="false">AG23*(Hipótesis!$C$30*Hipótesis!$C$20+(1-Hipótesis!$C$30)*Hipótesis!$C$21)</f>
        <v>41905.9829103784</v>
      </c>
      <c r="AH35" s="109" t="n">
        <f aca="false">AH23*(Hipótesis!$C$30*Hipótesis!$C$20+(1-Hipótesis!$C$30)*Hipótesis!$C$21)</f>
        <v>43582.2222267935</v>
      </c>
      <c r="AI35" s="109" t="n">
        <f aca="false">AI23*(Hipótesis!$C$30*Hipótesis!$C$20+(1-Hipótesis!$C$30)*Hipótesis!$C$21)</f>
        <v>45258.4615432087</v>
      </c>
      <c r="AJ35" s="109" t="n">
        <f aca="false">AJ23*(Hipótesis!$C$30*Hipótesis!$C$20+(1-Hipótesis!$C$30)*Hipótesis!$C$21)</f>
        <v>46934.7008596238</v>
      </c>
      <c r="AK35" s="109" t="n">
        <f aca="false">AK23*(Hipótesis!$C$30*Hipótesis!$C$20+(1-Hipótesis!$C$30)*Hipótesis!$C$21)</f>
        <v>48610.9401760389</v>
      </c>
      <c r="AL35" s="109" t="n">
        <f aca="false">AL23*(Hipótesis!$C$30*Hipótesis!$C$20+(1-Hipótesis!$C$30)*Hipótesis!$C$21)</f>
        <v>50287.1794924541</v>
      </c>
      <c r="AM35" s="109" t="n">
        <f aca="false">AM23*(Hipótesis!$C$30*Hipótesis!$C$20+(1-Hipótesis!$C$30)*Hipótesis!$C$21)</f>
        <v>51963.4188088692</v>
      </c>
      <c r="AN35" s="109" t="n">
        <f aca="false">AN23*(Hipótesis!$C$30*Hipótesis!$C$20+(1-Hipótesis!$C$30)*Hipótesis!$C$21)</f>
        <v>53639.6581252843</v>
      </c>
      <c r="AO35" s="109" t="n">
        <f aca="false">AO23*(Hipótesis!$C$30*Hipótesis!$C$20+(1-Hipótesis!$C$30)*Hipótesis!$C$21)</f>
        <v>55315.8974416995</v>
      </c>
      <c r="AP35" s="109" t="n">
        <f aca="false">AP23*(Hipótesis!$C$30*Hipótesis!$C$20+(1-Hipótesis!$C$30)*Hipótesis!$C$21)</f>
        <v>56992.1367581146</v>
      </c>
      <c r="AQ35" s="109" t="n">
        <f aca="false">AQ23*(Hipótesis!$C$30*Hipótesis!$C$20+(1-Hipótesis!$C$30)*Hipótesis!$C$21)</f>
        <v>58668.3760745297</v>
      </c>
      <c r="AR35" s="109" t="n">
        <f aca="false">AR23*(Hipótesis!$C$30*Hipótesis!$C$20+(1-Hipótesis!$C$30)*Hipótesis!$C$21)</f>
        <v>60344.6153909449</v>
      </c>
      <c r="AS35" s="109" t="n">
        <f aca="false">AS23*(Hipótesis!$C$30*Hipótesis!$C$20+(1-Hipótesis!$C$30)*Hipótesis!$C$21)</f>
        <v>60344.6153909449</v>
      </c>
      <c r="AT35" s="109" t="n">
        <f aca="false">AT23*(Hipótesis!$C$30*Hipótesis!$C$20+(1-Hipótesis!$C$30)*Hipótesis!$C$21)</f>
        <v>60344.6153909449</v>
      </c>
      <c r="AU35" s="109" t="n">
        <f aca="false">AU23*(Hipótesis!$C$30*Hipótesis!$C$20+(1-Hipótesis!$C$30)*Hipótesis!$C$21)</f>
        <v>60344.6153909449</v>
      </c>
      <c r="AV35" s="109" t="n">
        <f aca="false">AV23*(Hipótesis!$C$30*Hipótesis!$C$20+(1-Hipótesis!$C$30)*Hipótesis!$C$21)</f>
        <v>60344.6153909449</v>
      </c>
      <c r="AW35" s="109" t="n">
        <f aca="false">AW23*(Hipótesis!$C$30*Hipótesis!$C$20+(1-Hipótesis!$C$30)*Hipótesis!$C$21)</f>
        <v>60344.6153909449</v>
      </c>
      <c r="AX35" s="109" t="n">
        <f aca="false">AX23*(Hipótesis!$C$30*Hipótesis!$C$20+(1-Hipótesis!$C$30)*Hipótesis!$C$21)</f>
        <v>60344.6153909449</v>
      </c>
      <c r="AY35" s="109" t="n">
        <f aca="false">AY23*(Hipótesis!$C$30*Hipótesis!$C$20+(1-Hipótesis!$C$30)*Hipótesis!$C$21)</f>
        <v>60344.6153909449</v>
      </c>
      <c r="AZ35" s="109" t="n">
        <f aca="false">AZ23*(Hipótesis!$C$30*Hipótesis!$C$20+(1-Hipótesis!$C$30)*Hipótesis!$C$21)</f>
        <v>60344.6153909449</v>
      </c>
      <c r="BA35" s="109" t="n">
        <f aca="false">BA23*(Hipótesis!$C$30*Hipótesis!$C$20+(1-Hipótesis!$C$30)*Hipótesis!$C$21)</f>
        <v>60344.6153909449</v>
      </c>
      <c r="BB35" s="109" t="n">
        <f aca="false">BB23*(Hipótesis!$C$30*Hipótesis!$C$20+(1-Hipótesis!$C$30)*Hipótesis!$C$21)</f>
        <v>60344.6153909449</v>
      </c>
      <c r="BC35" s="109" t="n">
        <f aca="false">BC23*(Hipótesis!$C$30*Hipótesis!$C$20+(1-Hipótesis!$C$30)*Hipótesis!$C$21)</f>
        <v>60344.6153909449</v>
      </c>
      <c r="BD35" s="109" t="n">
        <f aca="false">BD23*(Hipótesis!$C$30*Hipótesis!$C$20+(1-Hipótesis!$C$30)*Hipótesis!$C$21)</f>
        <v>60344.6153909449</v>
      </c>
      <c r="BE35" s="109" t="n">
        <f aca="false">BE23*(Hipótesis!$C$30*Hipótesis!$C$20+(1-Hipótesis!$C$30)*Hipótesis!$C$21)</f>
        <v>60344.6153909449</v>
      </c>
      <c r="BF35" s="109" t="n">
        <f aca="false">BF23*(Hipótesis!$C$30*Hipótesis!$C$20+(1-Hipótesis!$C$30)*Hipótesis!$C$21)</f>
        <v>60344.6153909449</v>
      </c>
      <c r="BG35" s="109" t="n">
        <f aca="false">BG23*(Hipótesis!$C$30*Hipótesis!$C$20+(1-Hipótesis!$C$30)*Hipótesis!$C$21)</f>
        <v>60344.6153909449</v>
      </c>
      <c r="BH35" s="109" t="n">
        <f aca="false">BH23*(Hipótesis!$C$30*Hipótesis!$C$20+(1-Hipótesis!$C$30)*Hipótesis!$C$21)</f>
        <v>60344.6153909449</v>
      </c>
      <c r="BI35" s="109" t="n">
        <f aca="false">BI23*(Hipótesis!$C$30*Hipótesis!$C$20+(1-Hipótesis!$C$30)*Hipótesis!$C$21)</f>
        <v>60344.6153909449</v>
      </c>
      <c r="BJ35" s="109" t="n">
        <f aca="false">BJ23*(Hipótesis!$C$30*Hipótesis!$C$20+(1-Hipótesis!$C$30)*Hipótesis!$C$21)</f>
        <v>60344.6153909449</v>
      </c>
      <c r="BK35" s="109" t="n">
        <f aca="false">BK23*(Hipótesis!$C$30*Hipótesis!$C$20+(1-Hipótesis!$C$30)*Hipótesis!$C$21)</f>
        <v>60344.6153909449</v>
      </c>
      <c r="BL35" s="109" t="n">
        <f aca="false">BL23*(Hipótesis!$C$30*Hipótesis!$C$20+(1-Hipótesis!$C$30)*Hipótesis!$C$21)</f>
        <v>60344.6153909449</v>
      </c>
      <c r="BM35" s="109" t="n">
        <f aca="false">BM23*(Hipótesis!$C$30*Hipótesis!$C$20+(1-Hipótesis!$C$30)*Hipótesis!$C$21)</f>
        <v>60344.6153909449</v>
      </c>
      <c r="BN35" s="109" t="n">
        <f aca="false">BN23*(Hipótesis!$C$30*Hipótesis!$C$20+(1-Hipótesis!$C$30)*Hipótesis!$C$21)</f>
        <v>60344.6153909449</v>
      </c>
      <c r="BO35" s="109" t="n">
        <f aca="false">BO23*(Hipótesis!$C$30*Hipótesis!$C$20+(1-Hipótesis!$C$30)*Hipótesis!$C$21)</f>
        <v>60344.6153909449</v>
      </c>
      <c r="BP35" s="109" t="n">
        <f aca="false">BP23*(Hipótesis!$C$30*Hipótesis!$C$20+(1-Hipótesis!$C$30)*Hipótesis!$C$21)</f>
        <v>60344.6153909449</v>
      </c>
      <c r="BQ35" s="109" t="n">
        <f aca="false">BQ23*(Hipótesis!$C$30*Hipótesis!$C$20+(1-Hipótesis!$C$30)*Hipótesis!$C$21)</f>
        <v>60344.6153909449</v>
      </c>
      <c r="BR35" s="109" t="n">
        <f aca="false">BR23*(Hipótesis!$C$30*Hipótesis!$C$20+(1-Hipótesis!$C$30)*Hipótesis!$C$21)</f>
        <v>60344.6153909449</v>
      </c>
      <c r="BS35" s="109" t="n">
        <f aca="false">BS23*(Hipótesis!$C$30*Hipótesis!$C$20+(1-Hipótesis!$C$30)*Hipótesis!$C$21)</f>
        <v>60344.6153909449</v>
      </c>
      <c r="BT35" s="109" t="n">
        <f aca="false">BT23*(Hipótesis!$C$30*Hipótesis!$C$20+(1-Hipótesis!$C$30)*Hipótesis!$C$21)</f>
        <v>60344.6153909449</v>
      </c>
      <c r="BU35" s="109" t="n">
        <f aca="false">BU23*(Hipótesis!$C$30*Hipótesis!$C$20+(1-Hipótesis!$C$30)*Hipótesis!$C$21)</f>
        <v>60344.6153909449</v>
      </c>
      <c r="BV35" s="109" t="n">
        <f aca="false">BV23*(Hipótesis!$C$30*Hipótesis!$C$20+(1-Hipótesis!$C$30)*Hipótesis!$C$21)</f>
        <v>60344.6153909449</v>
      </c>
      <c r="BW35" s="109" t="n">
        <f aca="false">BW23*(Hipótesis!$C$30*Hipótesis!$C$20+(1-Hipótesis!$C$30)*Hipótesis!$C$21)</f>
        <v>60344.6153909449</v>
      </c>
      <c r="BX35" s="109" t="n">
        <f aca="false">BX23*(Hipótesis!$C$30*Hipótesis!$C$20+(1-Hipótesis!$C$30)*Hipótesis!$C$21)</f>
        <v>60344.6153909449</v>
      </c>
      <c r="BY35" s="109" t="n">
        <f aca="false">BY23*(Hipótesis!$C$30*Hipótesis!$C$20+(1-Hipótesis!$C$30)*Hipótesis!$C$21)</f>
        <v>60344.6153909449</v>
      </c>
      <c r="BZ35" s="109" t="n">
        <f aca="false">BZ23*(Hipótesis!$C$30*Hipótesis!$C$20+(1-Hipótesis!$C$30)*Hipótesis!$C$21)</f>
        <v>60344.6153909449</v>
      </c>
      <c r="CA35" s="109" t="n">
        <f aca="false">CA23*(Hipótesis!$C$30*Hipótesis!$C$20+(1-Hipótesis!$C$30)*Hipótesis!$C$21)</f>
        <v>60344.6153909449</v>
      </c>
      <c r="CB35" s="109" t="n">
        <f aca="false">CB23*(Hipótesis!$C$30*Hipótesis!$C$20+(1-Hipótesis!$C$30)*Hipótesis!$C$21)</f>
        <v>60344.6153909449</v>
      </c>
      <c r="CC35" s="109" t="n">
        <f aca="false">CC23*(Hipótesis!$C$30*Hipótesis!$C$20+(1-Hipótesis!$C$30)*Hipótesis!$C$21)</f>
        <v>60344.6153909449</v>
      </c>
      <c r="CD35" s="109" t="n">
        <f aca="false">CD23*(Hipótesis!$C$30*Hipótesis!$C$20+(1-Hipótesis!$C$30)*Hipótesis!$C$21)</f>
        <v>60344.6153909449</v>
      </c>
      <c r="CE35" s="109" t="n">
        <f aca="false">CE23*(Hipótesis!$C$30*Hipótesis!$C$20+(1-Hipótesis!$C$30)*Hipótesis!$C$21)</f>
        <v>60344.6153909449</v>
      </c>
      <c r="CF35" s="109" t="n">
        <f aca="false">CF23*(Hipótesis!$C$30*Hipótesis!$C$20+(1-Hipótesis!$C$30)*Hipótesis!$C$21)</f>
        <v>60344.6153909449</v>
      </c>
      <c r="CG35" s="109" t="n">
        <f aca="false">CG23*(Hipótesis!$C$30*Hipótesis!$C$20+(1-Hipótesis!$C$30)*Hipótesis!$C$21)</f>
        <v>60344.6153909449</v>
      </c>
      <c r="CH35" s="109" t="n">
        <f aca="false">CH23*(Hipótesis!$C$30*Hipótesis!$C$20+(1-Hipótesis!$C$30)*Hipótesis!$C$21)</f>
        <v>60344.6153909449</v>
      </c>
    </row>
    <row r="36" customFormat="false" ht="13.5" hidden="false" customHeight="true" outlineLevel="0" collapsed="false">
      <c r="A36" s="22" t="s">
        <v>541</v>
      </c>
      <c r="C36" s="109" t="n">
        <f aca="false">C34+C35</f>
        <v>1005.575</v>
      </c>
      <c r="D36" s="109" t="n">
        <f aca="false">D34+D35</f>
        <v>2089.45</v>
      </c>
      <c r="E36" s="109" t="n">
        <f aca="false">E34+E35</f>
        <v>4351.903125</v>
      </c>
      <c r="F36" s="109" t="n">
        <f aca="false">F34+F35</f>
        <v>5608.78125</v>
      </c>
      <c r="G36" s="109" t="n">
        <f aca="false">G34+G35</f>
        <v>6787.359375</v>
      </c>
      <c r="H36" s="109" t="n">
        <f aca="false">H34+H35</f>
        <v>8683.6875</v>
      </c>
      <c r="I36" s="109" t="n">
        <f aca="false">I34+I35</f>
        <v>12256.2549414151</v>
      </c>
      <c r="J36" s="109" t="n">
        <f aca="false">J34+J35</f>
        <v>15828.8223828303</v>
      </c>
      <c r="K36" s="109" t="n">
        <f aca="false">K34+K35</f>
        <v>19401.3898242454</v>
      </c>
      <c r="L36" s="109" t="n">
        <f aca="false">L34+L35</f>
        <v>22973.9572656605</v>
      </c>
      <c r="M36" s="109" t="n">
        <f aca="false">M34+M35</f>
        <v>25367.9465820757</v>
      </c>
      <c r="N36" s="109" t="n">
        <f aca="false">N34+N35</f>
        <v>28740.6858984908</v>
      </c>
      <c r="O36" s="109" t="n">
        <f aca="false">O34+O35</f>
        <v>32113.4252149059</v>
      </c>
      <c r="P36" s="109" t="n">
        <f aca="false">P34+P35</f>
        <v>35133.8145313211</v>
      </c>
      <c r="Q36" s="109" t="n">
        <f aca="false">Q34+Q35</f>
        <v>38154.2038477362</v>
      </c>
      <c r="R36" s="109" t="n">
        <f aca="false">R34+R35</f>
        <v>41174.5931641514</v>
      </c>
      <c r="S36" s="109" t="n">
        <f aca="false">S34+S35</f>
        <v>44194.9824805665</v>
      </c>
      <c r="T36" s="109" t="n">
        <f aca="false">T34+T35</f>
        <v>47215.3717969816</v>
      </c>
      <c r="U36" s="109" t="n">
        <f aca="false">U34+U35</f>
        <v>50235.7611133968</v>
      </c>
      <c r="V36" s="109" t="n">
        <f aca="false">V34+V35</f>
        <v>53256.1504298119</v>
      </c>
      <c r="W36" s="109" t="n">
        <f aca="false">W34+W35</f>
        <v>56276.539746227</v>
      </c>
      <c r="X36" s="109" t="n">
        <f aca="false">X34+X35</f>
        <v>58318.1790626422</v>
      </c>
      <c r="Y36" s="109" t="n">
        <f aca="false">Y34+Y35</f>
        <v>60359.8183790573</v>
      </c>
      <c r="Z36" s="109" t="n">
        <f aca="false">Z34+Z35</f>
        <v>62036.0576954724</v>
      </c>
      <c r="AA36" s="109" t="n">
        <f aca="false">AA34+AA35</f>
        <v>63712.2970118876</v>
      </c>
      <c r="AB36" s="109" t="n">
        <f aca="false">AB34+AB35</f>
        <v>65388.5363283027</v>
      </c>
      <c r="AC36" s="109" t="n">
        <f aca="false">AC34+AC35</f>
        <v>67064.7756447179</v>
      </c>
      <c r="AD36" s="109" t="n">
        <f aca="false">AD34+AD35</f>
        <v>68741.014961133</v>
      </c>
      <c r="AE36" s="109" t="n">
        <f aca="false">AE34+AE35</f>
        <v>70417.2542775481</v>
      </c>
      <c r="AF36" s="109" t="n">
        <f aca="false">AF34+AF35</f>
        <v>72093.4935939632</v>
      </c>
      <c r="AG36" s="109" t="n">
        <f aca="false">AG34+AG35</f>
        <v>73769.7329103784</v>
      </c>
      <c r="AH36" s="109" t="n">
        <f aca="false">AH34+AH35</f>
        <v>75445.9722267935</v>
      </c>
      <c r="AI36" s="109" t="n">
        <f aca="false">AI34+AI35</f>
        <v>77122.2115432087</v>
      </c>
      <c r="AJ36" s="109" t="n">
        <f aca="false">AJ34+AJ35</f>
        <v>78798.4508596238</v>
      </c>
      <c r="AK36" s="109" t="n">
        <f aca="false">AK34+AK35</f>
        <v>80474.6901760389</v>
      </c>
      <c r="AL36" s="109" t="n">
        <f aca="false">AL34+AL35</f>
        <v>82150.9294924541</v>
      </c>
      <c r="AM36" s="109" t="n">
        <f aca="false">AM34+AM35</f>
        <v>83827.1688088692</v>
      </c>
      <c r="AN36" s="109" t="n">
        <f aca="false">AN34+AN35</f>
        <v>85503.4081252843</v>
      </c>
      <c r="AO36" s="109" t="n">
        <f aca="false">AO34+AO35</f>
        <v>87179.6474416995</v>
      </c>
      <c r="AP36" s="109" t="n">
        <f aca="false">AP34+AP35</f>
        <v>88855.8867581146</v>
      </c>
      <c r="AQ36" s="109" t="n">
        <f aca="false">AQ34+AQ35</f>
        <v>90532.1260745298</v>
      </c>
      <c r="AR36" s="109" t="n">
        <f aca="false">AR34+AR35</f>
        <v>92208.3653909449</v>
      </c>
      <c r="AS36" s="109" t="n">
        <f aca="false">AS34+AS35</f>
        <v>92208.3653909449</v>
      </c>
      <c r="AT36" s="109" t="n">
        <f aca="false">AT34+AT35</f>
        <v>92208.3653909449</v>
      </c>
      <c r="AU36" s="109" t="n">
        <f aca="false">AU34+AU35</f>
        <v>92208.3653909449</v>
      </c>
      <c r="AV36" s="109" t="n">
        <f aca="false">AV34+AV35</f>
        <v>92208.3653909449</v>
      </c>
      <c r="AW36" s="109" t="n">
        <f aca="false">AW34+AW35</f>
        <v>92208.3653909449</v>
      </c>
      <c r="AX36" s="109" t="n">
        <f aca="false">AX34+AX35</f>
        <v>92208.3653909449</v>
      </c>
      <c r="AY36" s="109" t="n">
        <f aca="false">AY34+AY35</f>
        <v>92208.3653909449</v>
      </c>
      <c r="AZ36" s="109" t="n">
        <f aca="false">AZ34+AZ35</f>
        <v>92208.3653909449</v>
      </c>
      <c r="BA36" s="109" t="n">
        <f aca="false">BA34+BA35</f>
        <v>92208.3653909449</v>
      </c>
      <c r="BB36" s="109" t="n">
        <f aca="false">BB34+BB35</f>
        <v>92208.3653909449</v>
      </c>
      <c r="BC36" s="109" t="n">
        <f aca="false">BC34+BC35</f>
        <v>92208.3653909449</v>
      </c>
      <c r="BD36" s="109" t="n">
        <f aca="false">BD34+BD35</f>
        <v>92208.3653909449</v>
      </c>
      <c r="BE36" s="109" t="n">
        <f aca="false">BE34+BE35</f>
        <v>92208.3653909449</v>
      </c>
      <c r="BF36" s="109" t="n">
        <f aca="false">BF34+BF35</f>
        <v>92208.3653909449</v>
      </c>
      <c r="BG36" s="109" t="n">
        <f aca="false">BG34+BG35</f>
        <v>92208.3653909449</v>
      </c>
      <c r="BH36" s="109" t="n">
        <f aca="false">BH34+BH35</f>
        <v>92208.3653909449</v>
      </c>
      <c r="BI36" s="109" t="n">
        <f aca="false">BI34+BI35</f>
        <v>92208.3653909449</v>
      </c>
      <c r="BJ36" s="109" t="n">
        <f aca="false">BJ34+BJ35</f>
        <v>92208.3653909449</v>
      </c>
      <c r="BK36" s="109" t="n">
        <f aca="false">BK34+BK35</f>
        <v>92208.3653909449</v>
      </c>
      <c r="BL36" s="109" t="n">
        <f aca="false">BL34+BL35</f>
        <v>92208.3653909449</v>
      </c>
      <c r="BM36" s="109" t="n">
        <f aca="false">BM34+BM35</f>
        <v>92208.3653909449</v>
      </c>
      <c r="BN36" s="109" t="n">
        <f aca="false">BN34+BN35</f>
        <v>92208.3653909449</v>
      </c>
      <c r="BO36" s="109" t="n">
        <f aca="false">BO34+BO35</f>
        <v>92208.3653909449</v>
      </c>
      <c r="BP36" s="109" t="n">
        <f aca="false">BP34+BP35</f>
        <v>92208.3653909449</v>
      </c>
      <c r="BQ36" s="109" t="n">
        <f aca="false">BQ34+BQ35</f>
        <v>92208.3653909449</v>
      </c>
      <c r="BR36" s="109" t="n">
        <f aca="false">BR34+BR35</f>
        <v>92208.3653909449</v>
      </c>
      <c r="BS36" s="109" t="n">
        <f aca="false">BS34+BS35</f>
        <v>92208.3653909449</v>
      </c>
      <c r="BT36" s="109" t="n">
        <f aca="false">BT34+BT35</f>
        <v>92208.3653909449</v>
      </c>
      <c r="BU36" s="109" t="n">
        <f aca="false">BU34+BU35</f>
        <v>92208.3653909449</v>
      </c>
      <c r="BV36" s="109" t="n">
        <f aca="false">BV34+BV35</f>
        <v>92208.3653909449</v>
      </c>
      <c r="BW36" s="109" t="n">
        <f aca="false">BW34+BW35</f>
        <v>92208.3653909449</v>
      </c>
      <c r="BX36" s="109" t="n">
        <f aca="false">BX34+BX35</f>
        <v>92208.3653909449</v>
      </c>
      <c r="BY36" s="109" t="n">
        <f aca="false">BY34+BY35</f>
        <v>92208.3653909449</v>
      </c>
      <c r="BZ36" s="109" t="n">
        <f aca="false">BZ34+BZ35</f>
        <v>92208.3653909449</v>
      </c>
      <c r="CA36" s="109" t="n">
        <f aca="false">CA34+CA35</f>
        <v>92208.3653909449</v>
      </c>
      <c r="CB36" s="109" t="n">
        <f aca="false">CB34+CB35</f>
        <v>92208.3653909449</v>
      </c>
      <c r="CC36" s="109" t="n">
        <f aca="false">CC34+CC35</f>
        <v>92208.3653909449</v>
      </c>
      <c r="CD36" s="109" t="n">
        <f aca="false">CD34+CD35</f>
        <v>92208.3653909449</v>
      </c>
      <c r="CE36" s="109" t="n">
        <f aca="false">CE34+CE35</f>
        <v>92208.3653909449</v>
      </c>
      <c r="CF36" s="109" t="n">
        <f aca="false">CF34+CF35</f>
        <v>92208.3653909449</v>
      </c>
      <c r="CG36" s="109" t="n">
        <f aca="false">CG34+CG35</f>
        <v>92208.3653909449</v>
      </c>
      <c r="CH36" s="109" t="n">
        <f aca="false">CH34+CH35</f>
        <v>92208.3653909449</v>
      </c>
    </row>
    <row r="37" customFormat="false" ht="13.5" hidden="false" customHeight="true" outlineLevel="0" collapsed="false">
      <c r="A37" s="6" t="s">
        <v>542</v>
      </c>
      <c r="C37" s="109" t="n">
        <f aca="false">-C36*Hipótesis!$C$34</f>
        <v>-100.5575</v>
      </c>
      <c r="D37" s="109" t="n">
        <f aca="false">-D36*Hipótesis!$C$34</f>
        <v>-208.945</v>
      </c>
      <c r="E37" s="109" t="n">
        <f aca="false">-E36*Hipótesis!$C$34</f>
        <v>-435.1903125</v>
      </c>
      <c r="F37" s="109" t="n">
        <f aca="false">-F36*Hipótesis!$C$34</f>
        <v>-560.878125</v>
      </c>
      <c r="G37" s="109" t="n">
        <f aca="false">-G36*Hipótesis!$C$34</f>
        <v>-678.7359375</v>
      </c>
      <c r="H37" s="109" t="n">
        <f aca="false">-H36*Hipótesis!$C$34</f>
        <v>-868.36875</v>
      </c>
      <c r="I37" s="109" t="n">
        <f aca="false">-I36*Hipótesis!$C$34</f>
        <v>-1225.62549414151</v>
      </c>
      <c r="J37" s="109" t="n">
        <f aca="false">-J36*Hipótesis!$C$34</f>
        <v>-1582.88223828303</v>
      </c>
      <c r="K37" s="109" t="n">
        <f aca="false">-K36*Hipótesis!$C$34</f>
        <v>-1940.13898242454</v>
      </c>
      <c r="L37" s="109" t="n">
        <f aca="false">-L36*Hipótesis!$C$34</f>
        <v>-2297.39572656605</v>
      </c>
      <c r="M37" s="109" t="n">
        <f aca="false">-M36*Hipótesis!$C$34</f>
        <v>-2536.79465820757</v>
      </c>
      <c r="N37" s="109" t="n">
        <f aca="false">-N36*Hipótesis!$C$34</f>
        <v>-2874.06858984908</v>
      </c>
      <c r="O37" s="109" t="n">
        <f aca="false">-O36*Hipótesis!$C$34</f>
        <v>-3211.34252149059</v>
      </c>
      <c r="P37" s="109" t="n">
        <f aca="false">-P36*Hipótesis!$C$34</f>
        <v>-3513.38145313211</v>
      </c>
      <c r="Q37" s="109" t="n">
        <f aca="false">-Q36*Hipótesis!$C$34</f>
        <v>-3815.42038477362</v>
      </c>
      <c r="R37" s="109" t="n">
        <f aca="false">-R36*Hipótesis!$C$34</f>
        <v>-4117.45931641514</v>
      </c>
      <c r="S37" s="109" t="n">
        <f aca="false">-S36*Hipótesis!$C$34</f>
        <v>-4419.49824805665</v>
      </c>
      <c r="T37" s="109" t="n">
        <f aca="false">-T36*Hipótesis!$C$34</f>
        <v>-4721.53717969816</v>
      </c>
      <c r="U37" s="109" t="n">
        <f aca="false">-U36*Hipótesis!$C$34</f>
        <v>-5023.57611133968</v>
      </c>
      <c r="V37" s="109" t="n">
        <f aca="false">-V36*Hipótesis!$C$34</f>
        <v>-5325.61504298119</v>
      </c>
      <c r="W37" s="109" t="n">
        <f aca="false">-W36*Hipótesis!$C$34</f>
        <v>-5627.6539746227</v>
      </c>
      <c r="X37" s="109" t="n">
        <f aca="false">-X36*Hipótesis!$C$34</f>
        <v>-5831.81790626422</v>
      </c>
      <c r="Y37" s="109" t="n">
        <f aca="false">-Y36*Hipótesis!$C$34</f>
        <v>-6035.98183790573</v>
      </c>
      <c r="Z37" s="109" t="n">
        <f aca="false">-Z36*Hipótesis!$C$34</f>
        <v>-6203.60576954725</v>
      </c>
      <c r="AA37" s="109" t="n">
        <f aca="false">-AA36*Hipótesis!$C$34</f>
        <v>-6371.22970118876</v>
      </c>
      <c r="AB37" s="109" t="n">
        <f aca="false">-AB36*Hipótesis!$C$34</f>
        <v>-6538.85363283027</v>
      </c>
      <c r="AC37" s="109" t="n">
        <f aca="false">-AC36*Hipótesis!$C$34</f>
        <v>-6706.47756447179</v>
      </c>
      <c r="AD37" s="109" t="n">
        <f aca="false">-AD36*Hipótesis!$C$34</f>
        <v>-6874.1014961133</v>
      </c>
      <c r="AE37" s="109" t="n">
        <f aca="false">-AE36*Hipótesis!$C$34</f>
        <v>-7041.72542775481</v>
      </c>
      <c r="AF37" s="109" t="n">
        <f aca="false">-AF36*Hipótesis!$C$34</f>
        <v>-7209.34935939633</v>
      </c>
      <c r="AG37" s="109" t="n">
        <f aca="false">-AG36*Hipótesis!$C$34</f>
        <v>-7376.97329103784</v>
      </c>
      <c r="AH37" s="109" t="n">
        <f aca="false">-AH36*Hipótesis!$C$34</f>
        <v>-7544.59722267935</v>
      </c>
      <c r="AI37" s="109" t="n">
        <f aca="false">-AI36*Hipótesis!$C$34</f>
        <v>-7712.22115432087</v>
      </c>
      <c r="AJ37" s="109" t="n">
        <f aca="false">-AJ36*Hipótesis!$C$34</f>
        <v>-7879.84508596238</v>
      </c>
      <c r="AK37" s="109" t="n">
        <f aca="false">-AK36*Hipótesis!$C$34</f>
        <v>-8047.46901760389</v>
      </c>
      <c r="AL37" s="109" t="n">
        <f aca="false">-AL36*Hipótesis!$C$34</f>
        <v>-8215.09294924541</v>
      </c>
      <c r="AM37" s="109" t="n">
        <f aca="false">-AM36*Hipótesis!$C$34</f>
        <v>-8382.71688088692</v>
      </c>
      <c r="AN37" s="109" t="n">
        <f aca="false">-AN36*Hipótesis!$C$34</f>
        <v>-8550.34081252843</v>
      </c>
      <c r="AO37" s="109" t="n">
        <f aca="false">-AO36*Hipótesis!$C$34</f>
        <v>-8717.96474416995</v>
      </c>
      <c r="AP37" s="109" t="n">
        <f aca="false">-AP36*Hipótesis!$C$34</f>
        <v>-8885.58867581146</v>
      </c>
      <c r="AQ37" s="109" t="n">
        <f aca="false">-AQ36*Hipótesis!$C$34</f>
        <v>-9053.21260745298</v>
      </c>
      <c r="AR37" s="109" t="n">
        <f aca="false">-AR36*Hipótesis!$C$34</f>
        <v>-9220.83653909449</v>
      </c>
      <c r="AS37" s="109" t="n">
        <f aca="false">-AS36*Hipótesis!$C$34</f>
        <v>-9220.83653909449</v>
      </c>
      <c r="AT37" s="109" t="n">
        <f aca="false">-AT36*Hipótesis!$C$34</f>
        <v>-9220.83653909449</v>
      </c>
      <c r="AU37" s="109" t="n">
        <f aca="false">-AU36*Hipótesis!$C$34</f>
        <v>-9220.83653909449</v>
      </c>
      <c r="AV37" s="109" t="n">
        <f aca="false">-AV36*Hipótesis!$C$34</f>
        <v>-9220.83653909449</v>
      </c>
      <c r="AW37" s="109" t="n">
        <f aca="false">-AW36*Hipótesis!$C$34</f>
        <v>-9220.83653909449</v>
      </c>
      <c r="AX37" s="109" t="n">
        <f aca="false">-AX36*Hipótesis!$C$34</f>
        <v>-9220.83653909449</v>
      </c>
      <c r="AY37" s="109" t="n">
        <f aca="false">-AY36*Hipótesis!$C$34</f>
        <v>-9220.83653909449</v>
      </c>
      <c r="AZ37" s="109" t="n">
        <f aca="false">-AZ36*Hipótesis!$C$34</f>
        <v>-9220.83653909449</v>
      </c>
      <c r="BA37" s="109" t="n">
        <f aca="false">-BA36*Hipótesis!$C$34</f>
        <v>-9220.83653909449</v>
      </c>
      <c r="BB37" s="109" t="n">
        <f aca="false">-BB36*Hipótesis!$C$34</f>
        <v>-9220.83653909449</v>
      </c>
      <c r="BC37" s="109" t="n">
        <f aca="false">-BC36*Hipótesis!$C$34</f>
        <v>-9220.83653909449</v>
      </c>
      <c r="BD37" s="109" t="n">
        <f aca="false">-BD36*Hipótesis!$C$34</f>
        <v>-9220.83653909449</v>
      </c>
      <c r="BE37" s="109" t="n">
        <f aca="false">-BE36*Hipótesis!$C$34</f>
        <v>-9220.83653909449</v>
      </c>
      <c r="BF37" s="109" t="n">
        <f aca="false">-BF36*Hipótesis!$C$34</f>
        <v>-9220.83653909449</v>
      </c>
      <c r="BG37" s="109" t="n">
        <f aca="false">-BG36*Hipótesis!$C$34</f>
        <v>-9220.83653909449</v>
      </c>
      <c r="BH37" s="109" t="n">
        <f aca="false">-BH36*Hipótesis!$C$34</f>
        <v>-9220.83653909449</v>
      </c>
      <c r="BI37" s="109" t="n">
        <f aca="false">-BI36*Hipótesis!$C$34</f>
        <v>-9220.83653909449</v>
      </c>
      <c r="BJ37" s="109" t="n">
        <f aca="false">-BJ36*Hipótesis!$C$34</f>
        <v>-9220.83653909449</v>
      </c>
      <c r="BK37" s="109" t="n">
        <f aca="false">-BK36*Hipótesis!$C$34</f>
        <v>-9220.83653909449</v>
      </c>
      <c r="BL37" s="109" t="n">
        <f aca="false">-BL36*Hipótesis!$C$34</f>
        <v>-9220.83653909449</v>
      </c>
      <c r="BM37" s="109" t="n">
        <f aca="false">-BM36*Hipótesis!$C$34</f>
        <v>-9220.83653909449</v>
      </c>
      <c r="BN37" s="109" t="n">
        <f aca="false">-BN36*Hipótesis!$C$34</f>
        <v>-9220.83653909449</v>
      </c>
      <c r="BO37" s="109" t="n">
        <f aca="false">-BO36*Hipótesis!$C$34</f>
        <v>-9220.83653909449</v>
      </c>
      <c r="BP37" s="109" t="n">
        <f aca="false">-BP36*Hipótesis!$C$34</f>
        <v>-9220.83653909449</v>
      </c>
      <c r="BQ37" s="109" t="n">
        <f aca="false">-BQ36*Hipótesis!$C$34</f>
        <v>-9220.83653909449</v>
      </c>
      <c r="BR37" s="109" t="n">
        <f aca="false">-BR36*Hipótesis!$C$34</f>
        <v>-9220.83653909449</v>
      </c>
      <c r="BS37" s="109" t="n">
        <f aca="false">-BS36*Hipótesis!$C$34</f>
        <v>-9220.83653909449</v>
      </c>
      <c r="BT37" s="109" t="n">
        <f aca="false">-BT36*Hipótesis!$C$34</f>
        <v>-9220.83653909449</v>
      </c>
      <c r="BU37" s="109" t="n">
        <f aca="false">-BU36*Hipótesis!$C$34</f>
        <v>-9220.83653909449</v>
      </c>
      <c r="BV37" s="109" t="n">
        <f aca="false">-BV36*Hipótesis!$C$34</f>
        <v>-9220.83653909449</v>
      </c>
      <c r="BW37" s="109" t="n">
        <f aca="false">-BW36*Hipótesis!$C$34</f>
        <v>-9220.83653909449</v>
      </c>
      <c r="BX37" s="109" t="n">
        <f aca="false">-BX36*Hipótesis!$C$34</f>
        <v>-9220.83653909449</v>
      </c>
      <c r="BY37" s="109" t="n">
        <f aca="false">-BY36*Hipótesis!$C$34</f>
        <v>-9220.83653909449</v>
      </c>
      <c r="BZ37" s="109" t="n">
        <f aca="false">-BZ36*Hipótesis!$C$34</f>
        <v>-9220.83653909449</v>
      </c>
      <c r="CA37" s="109" t="n">
        <f aca="false">-CA36*Hipótesis!$C$34</f>
        <v>-9220.83653909449</v>
      </c>
      <c r="CB37" s="109" t="n">
        <f aca="false">-CB36*Hipótesis!$C$34</f>
        <v>-9220.83653909449</v>
      </c>
      <c r="CC37" s="109" t="n">
        <f aca="false">-CC36*Hipótesis!$C$34</f>
        <v>-9220.83653909449</v>
      </c>
      <c r="CD37" s="109" t="n">
        <f aca="false">-CD36*Hipótesis!$C$34</f>
        <v>-9220.83653909449</v>
      </c>
      <c r="CE37" s="109" t="n">
        <f aca="false">-CE36*Hipótesis!$C$34</f>
        <v>-9220.83653909449</v>
      </c>
      <c r="CF37" s="109" t="n">
        <f aca="false">-CF36*Hipótesis!$C$34</f>
        <v>-9220.83653909449</v>
      </c>
      <c r="CG37" s="109" t="n">
        <f aca="false">-CG36*Hipótesis!$C$34</f>
        <v>-9220.83653909449</v>
      </c>
      <c r="CH37" s="109" t="n">
        <f aca="false">-CH36*Hipótesis!$C$34</f>
        <v>-9220.83653909449</v>
      </c>
    </row>
    <row r="38" customFormat="false" ht="13.5" hidden="false" customHeight="true" outlineLevel="0" collapsed="false">
      <c r="A38" s="22" t="s">
        <v>543</v>
      </c>
      <c r="C38" s="109" t="n">
        <f aca="false">C36+C37</f>
        <v>905.0175</v>
      </c>
      <c r="D38" s="109" t="n">
        <f aca="false">D36+D37</f>
        <v>1880.505</v>
      </c>
      <c r="E38" s="109" t="n">
        <f aca="false">E36+E37</f>
        <v>3916.7128125</v>
      </c>
      <c r="F38" s="109" t="n">
        <f aca="false">F36+F37</f>
        <v>5047.903125</v>
      </c>
      <c r="G38" s="109" t="n">
        <f aca="false">G36+G37</f>
        <v>6108.6234375</v>
      </c>
      <c r="H38" s="109" t="n">
        <f aca="false">H36+H37</f>
        <v>7815.31875</v>
      </c>
      <c r="I38" s="109" t="n">
        <f aca="false">I36+I37</f>
        <v>11030.6294472736</v>
      </c>
      <c r="J38" s="109" t="n">
        <f aca="false">J36+J37</f>
        <v>14245.9401445472</v>
      </c>
      <c r="K38" s="109" t="n">
        <f aca="false">K36+K37</f>
        <v>17461.2508418209</v>
      </c>
      <c r="L38" s="109" t="n">
        <f aca="false">L36+L37</f>
        <v>20676.5615390945</v>
      </c>
      <c r="M38" s="109" t="n">
        <f aca="false">M36+M37</f>
        <v>22831.1519238681</v>
      </c>
      <c r="N38" s="109" t="n">
        <f aca="false">N36+N37</f>
        <v>25866.6173086417</v>
      </c>
      <c r="O38" s="109" t="n">
        <f aca="false">O36+O37</f>
        <v>28902.0826934154</v>
      </c>
      <c r="P38" s="109" t="n">
        <f aca="false">P36+P37</f>
        <v>31620.433078189</v>
      </c>
      <c r="Q38" s="109" t="n">
        <f aca="false">Q36+Q37</f>
        <v>34338.7834629626</v>
      </c>
      <c r="R38" s="109" t="n">
        <f aca="false">R36+R37</f>
        <v>37057.1338477362</v>
      </c>
      <c r="S38" s="109" t="n">
        <f aca="false">S36+S37</f>
        <v>39775.4842325098</v>
      </c>
      <c r="T38" s="109" t="n">
        <f aca="false">T36+T37</f>
        <v>42493.8346172835</v>
      </c>
      <c r="U38" s="109" t="n">
        <f aca="false">U36+U37</f>
        <v>45212.1850020571</v>
      </c>
      <c r="V38" s="109" t="n">
        <f aca="false">V36+V37</f>
        <v>47930.5353868307</v>
      </c>
      <c r="W38" s="109" t="n">
        <f aca="false">W36+W37</f>
        <v>50648.8857716043</v>
      </c>
      <c r="X38" s="109" t="n">
        <f aca="false">X36+X37</f>
        <v>52486.361156378</v>
      </c>
      <c r="Y38" s="109" t="n">
        <f aca="false">Y36+Y37</f>
        <v>54323.8365411516</v>
      </c>
      <c r="Z38" s="109" t="n">
        <f aca="false">Z36+Z37</f>
        <v>55832.4519259252</v>
      </c>
      <c r="AA38" s="109" t="n">
        <f aca="false">AA36+AA37</f>
        <v>57341.0673106988</v>
      </c>
      <c r="AB38" s="109" t="n">
        <f aca="false">AB36+AB37</f>
        <v>58849.6826954724</v>
      </c>
      <c r="AC38" s="109" t="n">
        <f aca="false">AC36+AC37</f>
        <v>60358.2980802461</v>
      </c>
      <c r="AD38" s="109" t="n">
        <f aca="false">AD36+AD37</f>
        <v>61866.9134650197</v>
      </c>
      <c r="AE38" s="109" t="n">
        <f aca="false">AE36+AE37</f>
        <v>63375.5288497933</v>
      </c>
      <c r="AF38" s="109" t="n">
        <f aca="false">AF36+AF37</f>
        <v>64884.1442345669</v>
      </c>
      <c r="AG38" s="109" t="n">
        <f aca="false">AG36+AG37</f>
        <v>66392.7596193406</v>
      </c>
      <c r="AH38" s="109" t="n">
        <f aca="false">AH36+AH37</f>
        <v>67901.3750041142</v>
      </c>
      <c r="AI38" s="109" t="n">
        <f aca="false">AI36+AI37</f>
        <v>69409.9903888878</v>
      </c>
      <c r="AJ38" s="109" t="n">
        <f aca="false">AJ36+AJ37</f>
        <v>70918.6057736614</v>
      </c>
      <c r="AK38" s="109" t="n">
        <f aca="false">AK36+AK37</f>
        <v>72427.221158435</v>
      </c>
      <c r="AL38" s="109" t="n">
        <f aca="false">AL36+AL37</f>
        <v>73935.8365432087</v>
      </c>
      <c r="AM38" s="109" t="n">
        <f aca="false">AM36+AM37</f>
        <v>75444.4519279823</v>
      </c>
      <c r="AN38" s="109" t="n">
        <f aca="false">AN36+AN37</f>
        <v>76953.0673127559</v>
      </c>
      <c r="AO38" s="109" t="n">
        <f aca="false">AO36+AO37</f>
        <v>78461.6826975295</v>
      </c>
      <c r="AP38" s="109" t="n">
        <f aca="false">AP36+AP37</f>
        <v>79970.2980823032</v>
      </c>
      <c r="AQ38" s="109" t="n">
        <f aca="false">AQ36+AQ37</f>
        <v>81478.9134670768</v>
      </c>
      <c r="AR38" s="109" t="n">
        <f aca="false">AR36+AR37</f>
        <v>82987.5288518504</v>
      </c>
      <c r="AS38" s="109" t="n">
        <f aca="false">AS36+AS37</f>
        <v>82987.5288518504</v>
      </c>
      <c r="AT38" s="109" t="n">
        <f aca="false">AT36+AT37</f>
        <v>82987.5288518504</v>
      </c>
      <c r="AU38" s="109" t="n">
        <f aca="false">AU36+AU37</f>
        <v>82987.5288518504</v>
      </c>
      <c r="AV38" s="109" t="n">
        <f aca="false">AV36+AV37</f>
        <v>82987.5288518504</v>
      </c>
      <c r="AW38" s="109" t="n">
        <f aca="false">AW36+AW37</f>
        <v>82987.5288518504</v>
      </c>
      <c r="AX38" s="109" t="n">
        <f aca="false">AX36+AX37</f>
        <v>82987.5288518504</v>
      </c>
      <c r="AY38" s="109" t="n">
        <f aca="false">AY36+AY37</f>
        <v>82987.5288518504</v>
      </c>
      <c r="AZ38" s="109" t="n">
        <f aca="false">AZ36+AZ37</f>
        <v>82987.5288518504</v>
      </c>
      <c r="BA38" s="109" t="n">
        <f aca="false">BA36+BA37</f>
        <v>82987.5288518504</v>
      </c>
      <c r="BB38" s="109" t="n">
        <f aca="false">BB36+BB37</f>
        <v>82987.5288518504</v>
      </c>
      <c r="BC38" s="109" t="n">
        <f aca="false">BC36+BC37</f>
        <v>82987.5288518504</v>
      </c>
      <c r="BD38" s="109" t="n">
        <f aca="false">BD36+BD37</f>
        <v>82987.5288518504</v>
      </c>
      <c r="BE38" s="109" t="n">
        <f aca="false">BE36+BE37</f>
        <v>82987.5288518504</v>
      </c>
      <c r="BF38" s="109" t="n">
        <f aca="false">BF36+BF37</f>
        <v>82987.5288518504</v>
      </c>
      <c r="BG38" s="109" t="n">
        <f aca="false">BG36+BG37</f>
        <v>82987.5288518504</v>
      </c>
      <c r="BH38" s="109" t="n">
        <f aca="false">BH36+BH37</f>
        <v>82987.5288518504</v>
      </c>
      <c r="BI38" s="109" t="n">
        <f aca="false">BI36+BI37</f>
        <v>82987.5288518504</v>
      </c>
      <c r="BJ38" s="109" t="n">
        <f aca="false">BJ36+BJ37</f>
        <v>82987.5288518504</v>
      </c>
      <c r="BK38" s="109" t="n">
        <f aca="false">BK36+BK37</f>
        <v>82987.5288518504</v>
      </c>
      <c r="BL38" s="109" t="n">
        <f aca="false">BL36+BL37</f>
        <v>82987.5288518504</v>
      </c>
      <c r="BM38" s="109" t="n">
        <f aca="false">BM36+BM37</f>
        <v>82987.5288518504</v>
      </c>
      <c r="BN38" s="109" t="n">
        <f aca="false">BN36+BN37</f>
        <v>82987.5288518504</v>
      </c>
      <c r="BO38" s="109" t="n">
        <f aca="false">BO36+BO37</f>
        <v>82987.5288518504</v>
      </c>
      <c r="BP38" s="109" t="n">
        <f aca="false">BP36+BP37</f>
        <v>82987.5288518504</v>
      </c>
      <c r="BQ38" s="109" t="n">
        <f aca="false">BQ36+BQ37</f>
        <v>82987.5288518504</v>
      </c>
      <c r="BR38" s="109" t="n">
        <f aca="false">BR36+BR37</f>
        <v>82987.5288518504</v>
      </c>
      <c r="BS38" s="109" t="n">
        <f aca="false">BS36+BS37</f>
        <v>82987.5288518504</v>
      </c>
      <c r="BT38" s="109" t="n">
        <f aca="false">BT36+BT37</f>
        <v>82987.5288518504</v>
      </c>
      <c r="BU38" s="109" t="n">
        <f aca="false">BU36+BU37</f>
        <v>82987.5288518504</v>
      </c>
      <c r="BV38" s="109" t="n">
        <f aca="false">BV36+BV37</f>
        <v>82987.5288518504</v>
      </c>
      <c r="BW38" s="109" t="n">
        <f aca="false">BW36+BW37</f>
        <v>82987.5288518504</v>
      </c>
      <c r="BX38" s="109" t="n">
        <f aca="false">BX36+BX37</f>
        <v>82987.5288518504</v>
      </c>
      <c r="BY38" s="109" t="n">
        <f aca="false">BY36+BY37</f>
        <v>82987.5288518504</v>
      </c>
      <c r="BZ38" s="109" t="n">
        <f aca="false">BZ36+BZ37</f>
        <v>82987.5288518504</v>
      </c>
      <c r="CA38" s="109" t="n">
        <f aca="false">CA36+CA37</f>
        <v>82987.5288518504</v>
      </c>
      <c r="CB38" s="109" t="n">
        <f aca="false">CB36+CB37</f>
        <v>82987.5288518504</v>
      </c>
      <c r="CC38" s="109" t="n">
        <f aca="false">CC36+CC37</f>
        <v>82987.5288518504</v>
      </c>
      <c r="CD38" s="109" t="n">
        <f aca="false">CD36+CD37</f>
        <v>82987.5288518504</v>
      </c>
      <c r="CE38" s="109" t="n">
        <f aca="false">CE36+CE37</f>
        <v>82987.5288518504</v>
      </c>
      <c r="CF38" s="109" t="n">
        <f aca="false">CF36+CF37</f>
        <v>82987.5288518504</v>
      </c>
      <c r="CG38" s="109" t="n">
        <f aca="false">CG36+CG37</f>
        <v>82987.5288518504</v>
      </c>
      <c r="CH38" s="109" t="n">
        <f aca="false">CH36+CH37</f>
        <v>82987.5288518504</v>
      </c>
    </row>
    <row r="39" customFormat="false" ht="13.5" hidden="false" customHeight="true" outlineLevel="0" collapsed="false">
      <c r="A39" s="6" t="s">
        <v>544</v>
      </c>
      <c r="C39" s="109" t="n">
        <f aca="false">-(C19*C21*Hipótesis!$C$18+C23*Hipótesis!$C$22)</f>
        <v>-106.083333333333</v>
      </c>
      <c r="D39" s="109" t="n">
        <f aca="false">-(D19*D21*Hipótesis!$C$18+D23*Hipótesis!$C$22)</f>
        <v>-228.59431372549</v>
      </c>
      <c r="E39" s="109" t="n">
        <f aca="false">-(E19*E21*Hipótesis!$C$18+E23*Hipótesis!$C$22)</f>
        <v>-567.492245648259</v>
      </c>
      <c r="F39" s="109" t="n">
        <f aca="false">-(F19*F21*Hipótesis!$C$18+F23*Hipótesis!$C$22)</f>
        <v>-800.306844237695</v>
      </c>
      <c r="G39" s="109" t="n">
        <f aca="false">-(G19*G21*Hipótesis!$C$18+G23*Hipótesis!$C$22)</f>
        <v>-1016.69379576831</v>
      </c>
      <c r="H39" s="109" t="n">
        <f aca="false">-(H19*H21*Hipótesis!$C$18+H23*Hipótesis!$C$22)</f>
        <v>-1421.31420318127</v>
      </c>
      <c r="I39" s="109" t="n">
        <f aca="false">-(I19*I21*Hipótesis!$C$18+I23*Hipótesis!$C$22)</f>
        <v>-2180.35623097262</v>
      </c>
      <c r="J39" s="109" t="n">
        <f aca="false">-(J19*J21*Hipótesis!$C$18+J23*Hipótesis!$C$22)</f>
        <v>-2939.39825876396</v>
      </c>
      <c r="K39" s="109" t="n">
        <f aca="false">-(K19*K21*Hipótesis!$C$18+K23*Hipótesis!$C$22)</f>
        <v>-3698.4402865553</v>
      </c>
      <c r="L39" s="109" t="n">
        <f aca="false">-(L19*L21*Hipótesis!$C$18+L23*Hipótesis!$C$22)</f>
        <v>-4457.48231434665</v>
      </c>
      <c r="M39" s="109" t="n">
        <f aca="false">-(M19*M21*Hipótesis!$C$18+M23*Hipótesis!$C$22)</f>
        <v>-5000.13739060738</v>
      </c>
      <c r="N39" s="109" t="n">
        <f aca="false">-(N19*N21*Hipótesis!$C$18+N23*Hipótesis!$C$22)</f>
        <v>-5816.58658451517</v>
      </c>
      <c r="O39" s="109" t="n">
        <f aca="false">-(O19*O21*Hipótesis!$C$18+O23*Hipótesis!$C$22)</f>
        <v>-6633.03577842296</v>
      </c>
      <c r="P39" s="109" t="n">
        <f aca="false">-(P19*P21*Hipótesis!$C$18+P23*Hipótesis!$C$22)</f>
        <v>-7370.76916350722</v>
      </c>
      <c r="Q39" s="109" t="n">
        <f aca="false">-(Q19*Q21*Hipótesis!$C$18+Q23*Hipótesis!$C$22)</f>
        <v>-8108.50254859148</v>
      </c>
      <c r="R39" s="109" t="n">
        <f aca="false">-(R19*R21*Hipótesis!$C$18+R23*Hipótesis!$C$22)</f>
        <v>-8846.23593367574</v>
      </c>
      <c r="S39" s="109" t="n">
        <f aca="false">-(S19*S21*Hipótesis!$C$18+S23*Hipótesis!$C$22)</f>
        <v>-9583.96931876</v>
      </c>
      <c r="T39" s="109" t="n">
        <f aca="false">-(T19*T21*Hipótesis!$C$18+T23*Hipótesis!$C$22)</f>
        <v>-10321.7027038443</v>
      </c>
      <c r="U39" s="109" t="n">
        <f aca="false">-(U19*U21*Hipótesis!$C$18+U23*Hipótesis!$C$22)</f>
        <v>-11059.4360889285</v>
      </c>
      <c r="V39" s="109" t="n">
        <f aca="false">-(V19*V21*Hipótesis!$C$18+V23*Hipótesis!$C$22)</f>
        <v>-11797.1694740128</v>
      </c>
      <c r="W39" s="109" t="n">
        <f aca="false">-(W19*W21*Hipótesis!$C$18+W23*Hipótesis!$C$22)</f>
        <v>-12534.902859097</v>
      </c>
      <c r="X39" s="109" t="n">
        <f aca="false">-(X19*X21*Hipótesis!$C$18+X23*Hipótesis!$C$22)</f>
        <v>-12998.8421265342</v>
      </c>
      <c r="Y39" s="109" t="n">
        <f aca="false">-(Y19*Y21*Hipótesis!$C$18+Y23*Hipótesis!$C$22)</f>
        <v>-13462.7813939714</v>
      </c>
      <c r="Z39" s="109" t="n">
        <f aca="false">-(Z19*Z21*Hipótesis!$C$18+Z23*Hipótesis!$C$22)</f>
        <v>-13817.2030143498</v>
      </c>
      <c r="AA39" s="109" t="n">
        <f aca="false">-(AA19*AA21*Hipótesis!$C$18+AA23*Hipótesis!$C$22)</f>
        <v>-14171.6246347282</v>
      </c>
      <c r="AB39" s="109" t="n">
        <f aca="false">-(AB19*AB21*Hipótesis!$C$18+AB23*Hipótesis!$C$22)</f>
        <v>-14526.0462551066</v>
      </c>
      <c r="AC39" s="109" t="n">
        <f aca="false">-(AC19*AC21*Hipótesis!$C$18+AC23*Hipótesis!$C$22)</f>
        <v>-14880.467875485</v>
      </c>
      <c r="AD39" s="109" t="n">
        <f aca="false">-(AD19*AD21*Hipótesis!$C$18+AD23*Hipótesis!$C$22)</f>
        <v>-15234.8894958633</v>
      </c>
      <c r="AE39" s="109" t="n">
        <f aca="false">-(AE19*AE21*Hipótesis!$C$18+AE23*Hipótesis!$C$22)</f>
        <v>-15589.3111162417</v>
      </c>
      <c r="AF39" s="109" t="n">
        <f aca="false">-(AF19*AF21*Hipótesis!$C$18+AF23*Hipótesis!$C$22)</f>
        <v>-15943.7327366201</v>
      </c>
      <c r="AG39" s="109" t="n">
        <f aca="false">-(AG19*AG21*Hipótesis!$C$18+AG23*Hipótesis!$C$22)</f>
        <v>-16298.1543569985</v>
      </c>
      <c r="AH39" s="109" t="n">
        <f aca="false">-(AH19*AH21*Hipótesis!$C$18+AH23*Hipótesis!$C$22)</f>
        <v>-16652.5759773769</v>
      </c>
      <c r="AI39" s="109" t="n">
        <f aca="false">-(AI19*AI21*Hipótesis!$C$18+AI23*Hipótesis!$C$22)</f>
        <v>-17006.9975977552</v>
      </c>
      <c r="AJ39" s="109" t="n">
        <f aca="false">-(AJ19*AJ21*Hipótesis!$C$18+AJ23*Hipótesis!$C$22)</f>
        <v>-17361.4192181336</v>
      </c>
      <c r="AK39" s="109" t="n">
        <f aca="false">-(AK19*AK21*Hipótesis!$C$18+AK23*Hipótesis!$C$22)</f>
        <v>-17715.840838512</v>
      </c>
      <c r="AL39" s="109" t="n">
        <f aca="false">-(AL19*AL21*Hipótesis!$C$18+AL23*Hipótesis!$C$22)</f>
        <v>-18070.2624588904</v>
      </c>
      <c r="AM39" s="109" t="n">
        <f aca="false">-(AM19*AM21*Hipótesis!$C$18+AM23*Hipótesis!$C$22)</f>
        <v>-18424.6840792687</v>
      </c>
      <c r="AN39" s="109" t="n">
        <f aca="false">-(AN19*AN21*Hipótesis!$C$18+AN23*Hipótesis!$C$22)</f>
        <v>-18779.1056996471</v>
      </c>
      <c r="AO39" s="109" t="n">
        <f aca="false">-(AO19*AO21*Hipótesis!$C$18+AO23*Hipótesis!$C$22)</f>
        <v>-19133.5273200255</v>
      </c>
      <c r="AP39" s="109" t="n">
        <f aca="false">-(AP19*AP21*Hipótesis!$C$18+AP23*Hipótesis!$C$22)</f>
        <v>-19487.9489404039</v>
      </c>
      <c r="AQ39" s="109" t="n">
        <f aca="false">-(AQ19*AQ21*Hipótesis!$C$18+AQ23*Hipótesis!$C$22)</f>
        <v>-19842.3705607823</v>
      </c>
      <c r="AR39" s="109" t="n">
        <f aca="false">-(AR19*AR21*Hipótesis!$C$18+AR23*Hipótesis!$C$22)</f>
        <v>-20196.7921811606</v>
      </c>
      <c r="AS39" s="109" t="n">
        <f aca="false">-(AS19*AS21*Hipótesis!$C$18+AS23*Hipótesis!$C$22)</f>
        <v>-20196.7921811606</v>
      </c>
      <c r="AT39" s="109" t="n">
        <f aca="false">-(AT19*AT21*Hipótesis!$C$18+AT23*Hipótesis!$C$22)</f>
        <v>-20196.7921811606</v>
      </c>
      <c r="AU39" s="109" t="n">
        <f aca="false">-(AU19*AU21*Hipótesis!$C$18+AU23*Hipótesis!$C$22)</f>
        <v>-20196.7921811606</v>
      </c>
      <c r="AV39" s="109" t="n">
        <f aca="false">-(AV19*AV21*Hipótesis!$C$18+AV23*Hipótesis!$C$22)</f>
        <v>-20196.7921811606</v>
      </c>
      <c r="AW39" s="109" t="n">
        <f aca="false">-(AW19*AW21*Hipótesis!$C$18+AW23*Hipótesis!$C$22)</f>
        <v>-20196.7921811606</v>
      </c>
      <c r="AX39" s="109" t="n">
        <f aca="false">-(AX19*AX21*Hipótesis!$C$18+AX23*Hipótesis!$C$22)</f>
        <v>-20196.7921811606</v>
      </c>
      <c r="AY39" s="109" t="n">
        <f aca="false">-(AY19*AY21*Hipótesis!$C$18+AY23*Hipótesis!$C$22)</f>
        <v>-20196.7921811606</v>
      </c>
      <c r="AZ39" s="109" t="n">
        <f aca="false">-(AZ19*AZ21*Hipótesis!$C$18+AZ23*Hipótesis!$C$22)</f>
        <v>-20196.7921811606</v>
      </c>
      <c r="BA39" s="109" t="n">
        <f aca="false">-(BA19*BA21*Hipótesis!$C$18+BA23*Hipótesis!$C$22)</f>
        <v>-20196.7921811606</v>
      </c>
      <c r="BB39" s="109" t="n">
        <f aca="false">-(BB19*BB21*Hipótesis!$C$18+BB23*Hipótesis!$C$22)</f>
        <v>-20196.7921811606</v>
      </c>
      <c r="BC39" s="109" t="n">
        <f aca="false">-(BC19*BC21*Hipótesis!$C$18+BC23*Hipótesis!$C$22)</f>
        <v>-20196.7921811606</v>
      </c>
      <c r="BD39" s="109" t="n">
        <f aca="false">-(BD19*BD21*Hipótesis!$C$18+BD23*Hipótesis!$C$22)</f>
        <v>-20196.7921811606</v>
      </c>
      <c r="BE39" s="109" t="n">
        <f aca="false">-(BE19*BE21*Hipótesis!$C$18+BE23*Hipótesis!$C$22)</f>
        <v>-20196.7921811606</v>
      </c>
      <c r="BF39" s="109" t="n">
        <f aca="false">-(BF19*BF21*Hipótesis!$C$18+BF23*Hipótesis!$C$22)</f>
        <v>-20196.7921811606</v>
      </c>
      <c r="BG39" s="109" t="n">
        <f aca="false">-(BG19*BG21*Hipótesis!$C$18+BG23*Hipótesis!$C$22)</f>
        <v>-20196.7921811606</v>
      </c>
      <c r="BH39" s="109" t="n">
        <f aca="false">-(BH19*BH21*Hipótesis!$C$18+BH23*Hipótesis!$C$22)</f>
        <v>-20196.7921811606</v>
      </c>
      <c r="BI39" s="109" t="n">
        <f aca="false">-(BI19*BI21*Hipótesis!$C$18+BI23*Hipótesis!$C$22)</f>
        <v>-20196.7921811606</v>
      </c>
      <c r="BJ39" s="109" t="n">
        <f aca="false">-(BJ19*BJ21*Hipótesis!$C$18+BJ23*Hipótesis!$C$22)</f>
        <v>-20196.7921811606</v>
      </c>
      <c r="BK39" s="109" t="n">
        <f aca="false">-(BK19*BK21*Hipótesis!$C$18+BK23*Hipótesis!$C$22)</f>
        <v>-20196.7921811606</v>
      </c>
      <c r="BL39" s="109" t="n">
        <f aca="false">-(BL19*BL21*Hipótesis!$C$18+BL23*Hipótesis!$C$22)</f>
        <v>-20196.7921811606</v>
      </c>
      <c r="BM39" s="109" t="n">
        <f aca="false">-(BM19*BM21*Hipótesis!$C$18+BM23*Hipótesis!$C$22)</f>
        <v>-20196.7921811606</v>
      </c>
      <c r="BN39" s="109" t="n">
        <f aca="false">-(BN19*BN21*Hipótesis!$C$18+BN23*Hipótesis!$C$22)</f>
        <v>-20196.7921811606</v>
      </c>
      <c r="BO39" s="109" t="n">
        <f aca="false">-(BO19*BO21*Hipótesis!$C$18+BO23*Hipótesis!$C$22)</f>
        <v>-20196.7921811606</v>
      </c>
      <c r="BP39" s="109" t="n">
        <f aca="false">-(BP19*BP21*Hipótesis!$C$18+BP23*Hipótesis!$C$22)</f>
        <v>-20196.7921811606</v>
      </c>
      <c r="BQ39" s="109" t="n">
        <f aca="false">-(BQ19*BQ21*Hipótesis!$C$18+BQ23*Hipótesis!$C$22)</f>
        <v>-20196.7921811606</v>
      </c>
      <c r="BR39" s="109" t="n">
        <f aca="false">-(BR19*BR21*Hipótesis!$C$18+BR23*Hipótesis!$C$22)</f>
        <v>-20196.7921811606</v>
      </c>
      <c r="BS39" s="109" t="n">
        <f aca="false">-(BS19*BS21*Hipótesis!$C$18+BS23*Hipótesis!$C$22)</f>
        <v>-20196.7921811606</v>
      </c>
      <c r="BT39" s="109" t="n">
        <f aca="false">-(BT19*BT21*Hipótesis!$C$18+BT23*Hipótesis!$C$22)</f>
        <v>-20196.7921811606</v>
      </c>
      <c r="BU39" s="109" t="n">
        <f aca="false">-(BU19*BU21*Hipótesis!$C$18+BU23*Hipótesis!$C$22)</f>
        <v>-20196.7921811606</v>
      </c>
      <c r="BV39" s="109" t="n">
        <f aca="false">-(BV19*BV21*Hipótesis!$C$18+BV23*Hipótesis!$C$22)</f>
        <v>-20196.7921811606</v>
      </c>
      <c r="BW39" s="109" t="n">
        <f aca="false">-(BW19*BW21*Hipótesis!$C$18+BW23*Hipótesis!$C$22)</f>
        <v>-20196.7921811606</v>
      </c>
      <c r="BX39" s="109" t="n">
        <f aca="false">-(BX19*BX21*Hipótesis!$C$18+BX23*Hipótesis!$C$22)</f>
        <v>-20196.7921811606</v>
      </c>
      <c r="BY39" s="109" t="n">
        <f aca="false">-(BY19*BY21*Hipótesis!$C$18+BY23*Hipótesis!$C$22)</f>
        <v>-20196.7921811606</v>
      </c>
      <c r="BZ39" s="109" t="n">
        <f aca="false">-(BZ19*BZ21*Hipótesis!$C$18+BZ23*Hipótesis!$C$22)</f>
        <v>-20196.7921811606</v>
      </c>
      <c r="CA39" s="109" t="n">
        <f aca="false">-(CA19*CA21*Hipótesis!$C$18+CA23*Hipótesis!$C$22)</f>
        <v>-20196.7921811606</v>
      </c>
      <c r="CB39" s="109" t="n">
        <f aca="false">-(CB19*CB21*Hipótesis!$C$18+CB23*Hipótesis!$C$22)</f>
        <v>-20196.7921811606</v>
      </c>
      <c r="CC39" s="109" t="n">
        <f aca="false">-(CC19*CC21*Hipótesis!$C$18+CC23*Hipótesis!$C$22)</f>
        <v>-20196.7921811606</v>
      </c>
      <c r="CD39" s="109" t="n">
        <f aca="false">-(CD19*CD21*Hipótesis!$C$18+CD23*Hipótesis!$C$22)</f>
        <v>-20196.7921811606</v>
      </c>
      <c r="CE39" s="109" t="n">
        <f aca="false">-(CE19*CE21*Hipótesis!$C$18+CE23*Hipótesis!$C$22)</f>
        <v>-20196.7921811606</v>
      </c>
      <c r="CF39" s="109" t="n">
        <f aca="false">-(CF19*CF21*Hipótesis!$C$18+CF23*Hipótesis!$C$22)</f>
        <v>-20196.7921811606</v>
      </c>
      <c r="CG39" s="109" t="n">
        <f aca="false">-(CG19*CG21*Hipótesis!$C$18+CG23*Hipótesis!$C$22)</f>
        <v>-20196.7921811606</v>
      </c>
      <c r="CH39" s="109" t="n">
        <f aca="false">-(CH19*CH21*Hipótesis!$C$18+CH23*Hipótesis!$C$22)</f>
        <v>-20196.7921811606</v>
      </c>
    </row>
    <row r="40" customFormat="false" ht="13.5" hidden="false" customHeight="true" outlineLevel="0" collapsed="false">
      <c r="A40" s="47" t="s">
        <v>545</v>
      </c>
      <c r="C40" s="71" t="n">
        <f aca="false">C38+C39</f>
        <v>798.934166666666</v>
      </c>
      <c r="D40" s="71" t="n">
        <f aca="false">D38+D39</f>
        <v>1651.91068627451</v>
      </c>
      <c r="E40" s="71" t="n">
        <f aca="false">E38+E39</f>
        <v>3349.22056685174</v>
      </c>
      <c r="F40" s="71" t="n">
        <f aca="false">F38+F39</f>
        <v>4247.59628076231</v>
      </c>
      <c r="G40" s="71" t="n">
        <f aca="false">G38+G39</f>
        <v>5091.92964173169</v>
      </c>
      <c r="H40" s="71" t="n">
        <f aca="false">H38+H39</f>
        <v>6394.00454681873</v>
      </c>
      <c r="I40" s="71" t="n">
        <f aca="false">I38+I39</f>
        <v>8850.27321630101</v>
      </c>
      <c r="J40" s="71" t="n">
        <f aca="false">J38+J39</f>
        <v>11306.5418857833</v>
      </c>
      <c r="K40" s="71" t="n">
        <f aca="false">K38+K39</f>
        <v>13762.8105552656</v>
      </c>
      <c r="L40" s="71" t="n">
        <f aca="false">L38+L39</f>
        <v>16219.0792247478</v>
      </c>
      <c r="M40" s="71" t="n">
        <f aca="false">M38+M39</f>
        <v>17831.0145332607</v>
      </c>
      <c r="N40" s="71" t="n">
        <f aca="false">N38+N39</f>
        <v>20050.0307241266</v>
      </c>
      <c r="O40" s="71" t="n">
        <f aca="false">O38+O39</f>
        <v>22269.0469149924</v>
      </c>
      <c r="P40" s="71" t="n">
        <f aca="false">P38+P39</f>
        <v>24249.6639146818</v>
      </c>
      <c r="Q40" s="71" t="n">
        <f aca="false">Q38+Q39</f>
        <v>26230.2809143711</v>
      </c>
      <c r="R40" s="71" t="n">
        <f aca="false">R38+R39</f>
        <v>28210.8979140605</v>
      </c>
      <c r="S40" s="71" t="n">
        <f aca="false">S38+S39</f>
        <v>30191.5149137498</v>
      </c>
      <c r="T40" s="71" t="n">
        <f aca="false">T38+T39</f>
        <v>32172.1319134392</v>
      </c>
      <c r="U40" s="71" t="n">
        <f aca="false">U38+U39</f>
        <v>34152.7489131286</v>
      </c>
      <c r="V40" s="71" t="n">
        <f aca="false">V38+V39</f>
        <v>36133.3659128179</v>
      </c>
      <c r="W40" s="71" t="n">
        <f aca="false">W38+W39</f>
        <v>38113.9829125073</v>
      </c>
      <c r="X40" s="71" t="n">
        <f aca="false">X38+X39</f>
        <v>39487.5190298437</v>
      </c>
      <c r="Y40" s="71" t="n">
        <f aca="false">Y38+Y39</f>
        <v>40861.0551471801</v>
      </c>
      <c r="Z40" s="71" t="n">
        <f aca="false">Z38+Z39</f>
        <v>42015.2489115754</v>
      </c>
      <c r="AA40" s="71" t="n">
        <f aca="false">AA38+AA39</f>
        <v>43169.4426759706</v>
      </c>
      <c r="AB40" s="71" t="n">
        <f aca="false">AB38+AB39</f>
        <v>44323.6364403659</v>
      </c>
      <c r="AC40" s="71" t="n">
        <f aca="false">AC38+AC39</f>
        <v>45477.8302047611</v>
      </c>
      <c r="AD40" s="71" t="n">
        <f aca="false">AD38+AD39</f>
        <v>46632.0239691564</v>
      </c>
      <c r="AE40" s="71" t="n">
        <f aca="false">AE38+AE39</f>
        <v>47786.2177335516</v>
      </c>
      <c r="AF40" s="71" t="n">
        <f aca="false">AF38+AF39</f>
        <v>48940.4114979468</v>
      </c>
      <c r="AG40" s="71" t="n">
        <f aca="false">AG38+AG39</f>
        <v>50094.6052623421</v>
      </c>
      <c r="AH40" s="71" t="n">
        <f aca="false">AH38+AH39</f>
        <v>51248.7990267373</v>
      </c>
      <c r="AI40" s="71" t="n">
        <f aca="false">AI38+AI39</f>
        <v>52402.9927911326</v>
      </c>
      <c r="AJ40" s="71" t="n">
        <f aca="false">AJ38+AJ39</f>
        <v>53557.1865555278</v>
      </c>
      <c r="AK40" s="71" t="n">
        <f aca="false">AK38+AK39</f>
        <v>54711.3803199231</v>
      </c>
      <c r="AL40" s="71" t="n">
        <f aca="false">AL38+AL39</f>
        <v>55865.5740843183</v>
      </c>
      <c r="AM40" s="71" t="n">
        <f aca="false">AM38+AM39</f>
        <v>57019.7678487135</v>
      </c>
      <c r="AN40" s="71" t="n">
        <f aca="false">AN38+AN39</f>
        <v>58173.9616131088</v>
      </c>
      <c r="AO40" s="71" t="n">
        <f aca="false">AO38+AO39</f>
        <v>59328.155377504</v>
      </c>
      <c r="AP40" s="71" t="n">
        <f aca="false">AP38+AP39</f>
        <v>60482.3491418993</v>
      </c>
      <c r="AQ40" s="71" t="n">
        <f aca="false">AQ38+AQ39</f>
        <v>61636.5429062945</v>
      </c>
      <c r="AR40" s="71" t="n">
        <f aca="false">AR38+AR39</f>
        <v>62790.7366706898</v>
      </c>
      <c r="AS40" s="71" t="n">
        <f aca="false">AS38+AS39</f>
        <v>62790.7366706898</v>
      </c>
      <c r="AT40" s="71" t="n">
        <f aca="false">AT38+AT39</f>
        <v>62790.7366706898</v>
      </c>
      <c r="AU40" s="71" t="n">
        <f aca="false">AU38+AU39</f>
        <v>62790.7366706898</v>
      </c>
      <c r="AV40" s="71" t="n">
        <f aca="false">AV38+AV39</f>
        <v>62790.7366706898</v>
      </c>
      <c r="AW40" s="71" t="n">
        <f aca="false">AW38+AW39</f>
        <v>62790.7366706898</v>
      </c>
      <c r="AX40" s="71" t="n">
        <f aca="false">AX38+AX39</f>
        <v>62790.7366706898</v>
      </c>
      <c r="AY40" s="71" t="n">
        <f aca="false">AY38+AY39</f>
        <v>62790.7366706898</v>
      </c>
      <c r="AZ40" s="71" t="n">
        <f aca="false">AZ38+AZ39</f>
        <v>62790.7366706898</v>
      </c>
      <c r="BA40" s="71" t="n">
        <f aca="false">BA38+BA39</f>
        <v>62790.7366706898</v>
      </c>
      <c r="BB40" s="71" t="n">
        <f aca="false">BB38+BB39</f>
        <v>62790.7366706898</v>
      </c>
      <c r="BC40" s="71" t="n">
        <f aca="false">BC38+BC39</f>
        <v>62790.7366706898</v>
      </c>
      <c r="BD40" s="71" t="n">
        <f aca="false">BD38+BD39</f>
        <v>62790.7366706898</v>
      </c>
      <c r="BE40" s="71" t="n">
        <f aca="false">BE38+BE39</f>
        <v>62790.7366706898</v>
      </c>
      <c r="BF40" s="71" t="n">
        <f aca="false">BF38+BF39</f>
        <v>62790.7366706898</v>
      </c>
      <c r="BG40" s="71" t="n">
        <f aca="false">BG38+BG39</f>
        <v>62790.7366706898</v>
      </c>
      <c r="BH40" s="71" t="n">
        <f aca="false">BH38+BH39</f>
        <v>62790.7366706898</v>
      </c>
      <c r="BI40" s="71" t="n">
        <f aca="false">BI38+BI39</f>
        <v>62790.7366706898</v>
      </c>
      <c r="BJ40" s="71" t="n">
        <f aca="false">BJ38+BJ39</f>
        <v>62790.7366706898</v>
      </c>
      <c r="BK40" s="71" t="n">
        <f aca="false">BK38+BK39</f>
        <v>62790.7366706898</v>
      </c>
      <c r="BL40" s="71" t="n">
        <f aca="false">BL38+BL39</f>
        <v>62790.7366706898</v>
      </c>
      <c r="BM40" s="71" t="n">
        <f aca="false">BM38+BM39</f>
        <v>62790.7366706898</v>
      </c>
      <c r="BN40" s="71" t="n">
        <f aca="false">BN38+BN39</f>
        <v>62790.7366706898</v>
      </c>
      <c r="BO40" s="71" t="n">
        <f aca="false">BO38+BO39</f>
        <v>62790.7366706898</v>
      </c>
      <c r="BP40" s="71" t="n">
        <f aca="false">BP38+BP39</f>
        <v>62790.7366706898</v>
      </c>
      <c r="BQ40" s="71" t="n">
        <f aca="false">BQ38+BQ39</f>
        <v>62790.7366706898</v>
      </c>
      <c r="BR40" s="71" t="n">
        <f aca="false">BR38+BR39</f>
        <v>62790.7366706898</v>
      </c>
      <c r="BS40" s="71" t="n">
        <f aca="false">BS38+BS39</f>
        <v>62790.7366706898</v>
      </c>
      <c r="BT40" s="71" t="n">
        <f aca="false">BT38+BT39</f>
        <v>62790.7366706898</v>
      </c>
      <c r="BU40" s="71" t="n">
        <f aca="false">BU38+BU39</f>
        <v>62790.7366706898</v>
      </c>
      <c r="BV40" s="71" t="n">
        <f aca="false">BV38+BV39</f>
        <v>62790.7366706898</v>
      </c>
      <c r="BW40" s="71" t="n">
        <f aca="false">BW38+BW39</f>
        <v>62790.7366706898</v>
      </c>
      <c r="BX40" s="71" t="n">
        <f aca="false">BX38+BX39</f>
        <v>62790.7366706898</v>
      </c>
      <c r="BY40" s="71" t="n">
        <f aca="false">BY38+BY39</f>
        <v>62790.7366706898</v>
      </c>
      <c r="BZ40" s="71" t="n">
        <f aca="false">BZ38+BZ39</f>
        <v>62790.7366706898</v>
      </c>
      <c r="CA40" s="71" t="n">
        <f aca="false">CA38+CA39</f>
        <v>62790.7366706898</v>
      </c>
      <c r="CB40" s="71" t="n">
        <f aca="false">CB38+CB39</f>
        <v>62790.7366706898</v>
      </c>
      <c r="CC40" s="71" t="n">
        <f aca="false">CC38+CC39</f>
        <v>62790.7366706898</v>
      </c>
      <c r="CD40" s="71" t="n">
        <f aca="false">CD38+CD39</f>
        <v>62790.7366706898</v>
      </c>
      <c r="CE40" s="71" t="n">
        <f aca="false">CE38+CE39</f>
        <v>62790.7366706898</v>
      </c>
      <c r="CF40" s="71" t="n">
        <f aca="false">CF38+CF39</f>
        <v>62790.7366706898</v>
      </c>
      <c r="CG40" s="71" t="n">
        <f aca="false">CG38+CG39</f>
        <v>62790.7366706898</v>
      </c>
      <c r="CH40" s="71" t="n">
        <f aca="false">CH38+CH39</f>
        <v>62790.7366706898</v>
      </c>
    </row>
    <row r="41" customFormat="false" ht="13.5" hidden="false" customHeight="true" outlineLevel="0" collapsed="false">
      <c r="A41" s="6" t="s">
        <v>546</v>
      </c>
      <c r="C41" s="120" t="n">
        <f aca="false">IFERROR(C40/C38,0)</f>
        <v>0.88278311377036</v>
      </c>
      <c r="D41" s="120" t="n">
        <f aca="false">IFERROR(D40/D38,0)</f>
        <v>0.878439933036344</v>
      </c>
      <c r="E41" s="120" t="n">
        <f aca="false">IFERROR(E40/E38,0)</f>
        <v>0.855110069894036</v>
      </c>
      <c r="F41" s="120" t="n">
        <f aca="false">IFERROR(F40/F38,0)</f>
        <v>0.841457566751998</v>
      </c>
      <c r="G41" s="120" t="n">
        <f aca="false">IFERROR(G40/G38,0)</f>
        <v>0.833564172653537</v>
      </c>
      <c r="H41" s="120" t="n">
        <f aca="false">IFERROR(H40/H38,0)</f>
        <v>0.818137398019592</v>
      </c>
      <c r="I41" s="120" t="n">
        <f aca="false">IFERROR(I40/I38,0)</f>
        <v>0.802336191112691</v>
      </c>
      <c r="J41" s="120" t="n">
        <f aca="false">IFERROR(J40/J38,0)</f>
        <v>0.793667653455006</v>
      </c>
      <c r="K41" s="120" t="n">
        <f aca="false">IFERROR(K40/K38,0)</f>
        <v>0.788191560841833</v>
      </c>
      <c r="L41" s="120" t="n">
        <f aca="false">IFERROR(L40/L38,0)</f>
        <v>0.784418588849089</v>
      </c>
      <c r="M41" s="120" t="n">
        <f aca="false">IFERROR(M40/M38,0)</f>
        <v>0.780994957797984</v>
      </c>
      <c r="N41" s="120" t="n">
        <f aca="false">IFERROR(N40/N38,0)</f>
        <v>0.775131532851344</v>
      </c>
      <c r="O41" s="120" t="n">
        <f aca="false">IFERROR(O40/O38,0)</f>
        <v>0.770499730113424</v>
      </c>
      <c r="P41" s="120" t="n">
        <f aca="false">IFERROR(P40/P38,0)</f>
        <v>0.766898538508905</v>
      </c>
      <c r="Q41" s="120" t="n">
        <f aca="false">IFERROR(Q40/Q38,0)</f>
        <v>0.763867506915695</v>
      </c>
      <c r="R41" s="120" t="n">
        <f aca="false">IFERROR(R40/R38,0)</f>
        <v>0.761281161947819</v>
      </c>
      <c r="S41" s="120" t="n">
        <f aca="false">IFERROR(S40/S38,0)</f>
        <v>0.759048330807581</v>
      </c>
      <c r="T41" s="120" t="n">
        <f aca="false">IFERROR(T40/T38,0)</f>
        <v>0.75710117016255</v>
      </c>
      <c r="U41" s="120" t="n">
        <f aca="false">IFERROR(U40/U38,0)</f>
        <v>0.755388152808245</v>
      </c>
      <c r="V41" s="120" t="n">
        <f aca="false">IFERROR(V40/V38,0)</f>
        <v>0.75386944087309</v>
      </c>
      <c r="W41" s="120" t="n">
        <f aca="false">IFERROR(W40/W38,0)</f>
        <v>0.752513748957443</v>
      </c>
      <c r="X41" s="120" t="n">
        <f aca="false">IFERROR(X40/X38,0)</f>
        <v>0.752338667795897</v>
      </c>
      <c r="Y41" s="120" t="n">
        <f aca="false">IFERROR(Y40/Y38,0)</f>
        <v>0.752175430691957</v>
      </c>
      <c r="Z41" s="120" t="n">
        <f aca="false">IFERROR(Z40/Z38,0)</f>
        <v>0.752523800447067</v>
      </c>
      <c r="AA41" s="120" t="n">
        <f aca="false">IFERROR(AA40/AA38,0)</f>
        <v>0.752853839327054</v>
      </c>
      <c r="AB41" s="120" t="n">
        <f aca="false">IFERROR(AB40/AB38,0)</f>
        <v>0.753166957071391</v>
      </c>
      <c r="AC41" s="120" t="n">
        <f aca="false">IFERROR(AC40/AC38,0)</f>
        <v>0.753464422477561</v>
      </c>
      <c r="AD41" s="120" t="n">
        <f aca="false">IFERROR(AD40/AD38,0)</f>
        <v>0.753747380585305</v>
      </c>
      <c r="AE41" s="120" t="n">
        <f aca="false">IFERROR(AE40/AE38,0)</f>
        <v>0.754016867406503</v>
      </c>
      <c r="AF41" s="120" t="n">
        <f aca="false">IFERROR(AF40/AF38,0)</f>
        <v>0.754273822600159</v>
      </c>
      <c r="AG41" s="120" t="n">
        <f aca="false">IFERROR(AG40/AG38,0)</f>
        <v>0.754519100419336</v>
      </c>
      <c r="AH41" s="120" t="n">
        <f aca="false">IFERROR(AH40/AH38,0)</f>
        <v>0.754753479198796</v>
      </c>
      <c r="AI41" s="120" t="n">
        <f aca="false">IFERROR(AI40/AI38,0)</f>
        <v>0.754977669605355</v>
      </c>
      <c r="AJ41" s="120" t="n">
        <f aca="false">IFERROR(AJ40/AJ38,0)</f>
        <v>0.755192321835217</v>
      </c>
      <c r="AK41" s="120" t="n">
        <f aca="false">IFERROR(AK40/AK38,0)</f>
        <v>0.755398031911808</v>
      </c>
      <c r="AL41" s="120" t="n">
        <f aca="false">IFERROR(AL40/AL38,0)</f>
        <v>0.75559534721258</v>
      </c>
      <c r="AM41" s="120" t="n">
        <f aca="false">IFERROR(AM40/AM38,0)</f>
        <v>0.755784771332734</v>
      </c>
      <c r="AN41" s="120" t="n">
        <f aca="false">IFERROR(AN40/AN38,0)</f>
        <v>0.75596676837683</v>
      </c>
      <c r="AO41" s="120" t="n">
        <f aca="false">IFERROR(AO40/AO38,0)</f>
        <v>0.756141766755304</v>
      </c>
      <c r="AP41" s="120" t="n">
        <f aca="false">IFERROR(AP40/AP38,0)</f>
        <v>0.756310162551258</v>
      </c>
      <c r="AQ41" s="120" t="n">
        <f aca="false">IFERROR(AQ40/AQ38,0)</f>
        <v>0.756472322513236</v>
      </c>
      <c r="AR41" s="120" t="n">
        <f aca="false">IFERROR(AR40/AR38,0)</f>
        <v>0.756628586721554</v>
      </c>
      <c r="AS41" s="120" t="n">
        <f aca="false">IFERROR(AS40/AS38,0)</f>
        <v>0.756628586721554</v>
      </c>
      <c r="AT41" s="120" t="n">
        <f aca="false">IFERROR(AT40/AT38,0)</f>
        <v>0.756628586721554</v>
      </c>
      <c r="AU41" s="120" t="n">
        <f aca="false">IFERROR(AU40/AU38,0)</f>
        <v>0.756628586721554</v>
      </c>
      <c r="AV41" s="120" t="n">
        <f aca="false">IFERROR(AV40/AV38,0)</f>
        <v>0.756628586721554</v>
      </c>
      <c r="AW41" s="120" t="n">
        <f aca="false">IFERROR(AW40/AW38,0)</f>
        <v>0.756628586721554</v>
      </c>
      <c r="AX41" s="120" t="n">
        <f aca="false">IFERROR(AX40/AX38,0)</f>
        <v>0.756628586721554</v>
      </c>
      <c r="AY41" s="120" t="n">
        <f aca="false">IFERROR(AY40/AY38,0)</f>
        <v>0.756628586721554</v>
      </c>
      <c r="AZ41" s="120" t="n">
        <f aca="false">IFERROR(AZ40/AZ38,0)</f>
        <v>0.756628586721554</v>
      </c>
      <c r="BA41" s="120" t="n">
        <f aca="false">IFERROR(BA40/BA38,0)</f>
        <v>0.756628586721554</v>
      </c>
      <c r="BB41" s="120" t="n">
        <f aca="false">IFERROR(BB40/BB38,0)</f>
        <v>0.756628586721554</v>
      </c>
      <c r="BC41" s="120" t="n">
        <f aca="false">IFERROR(BC40/BC38,0)</f>
        <v>0.756628586721554</v>
      </c>
      <c r="BD41" s="120" t="n">
        <f aca="false">IFERROR(BD40/BD38,0)</f>
        <v>0.756628586721554</v>
      </c>
      <c r="BE41" s="120" t="n">
        <f aca="false">IFERROR(BE40/BE38,0)</f>
        <v>0.756628586721554</v>
      </c>
      <c r="BF41" s="120" t="n">
        <f aca="false">IFERROR(BF40/BF38,0)</f>
        <v>0.756628586721554</v>
      </c>
      <c r="BG41" s="120" t="n">
        <f aca="false">IFERROR(BG40/BG38,0)</f>
        <v>0.756628586721554</v>
      </c>
      <c r="BH41" s="120" t="n">
        <f aca="false">IFERROR(BH40/BH38,0)</f>
        <v>0.756628586721554</v>
      </c>
      <c r="BI41" s="120" t="n">
        <f aca="false">IFERROR(BI40/BI38,0)</f>
        <v>0.756628586721554</v>
      </c>
      <c r="BJ41" s="120" t="n">
        <f aca="false">IFERROR(BJ40/BJ38,0)</f>
        <v>0.756628586721554</v>
      </c>
      <c r="BK41" s="120" t="n">
        <f aca="false">IFERROR(BK40/BK38,0)</f>
        <v>0.756628586721554</v>
      </c>
      <c r="BL41" s="120" t="n">
        <f aca="false">IFERROR(BL40/BL38,0)</f>
        <v>0.756628586721554</v>
      </c>
      <c r="BM41" s="120" t="n">
        <f aca="false">IFERROR(BM40/BM38,0)</f>
        <v>0.756628586721554</v>
      </c>
      <c r="BN41" s="120" t="n">
        <f aca="false">IFERROR(BN40/BN38,0)</f>
        <v>0.756628586721554</v>
      </c>
      <c r="BO41" s="120" t="n">
        <f aca="false">IFERROR(BO40/BO38,0)</f>
        <v>0.756628586721554</v>
      </c>
      <c r="BP41" s="120" t="n">
        <f aca="false">IFERROR(BP40/BP38,0)</f>
        <v>0.756628586721554</v>
      </c>
      <c r="BQ41" s="120" t="n">
        <f aca="false">IFERROR(BQ40/BQ38,0)</f>
        <v>0.756628586721554</v>
      </c>
      <c r="BR41" s="120" t="n">
        <f aca="false">IFERROR(BR40/BR38,0)</f>
        <v>0.756628586721554</v>
      </c>
      <c r="BS41" s="120" t="n">
        <f aca="false">IFERROR(BS40/BS38,0)</f>
        <v>0.756628586721554</v>
      </c>
      <c r="BT41" s="120" t="n">
        <f aca="false">IFERROR(BT40/BT38,0)</f>
        <v>0.756628586721554</v>
      </c>
      <c r="BU41" s="120" t="n">
        <f aca="false">IFERROR(BU40/BU38,0)</f>
        <v>0.756628586721554</v>
      </c>
      <c r="BV41" s="120" t="n">
        <f aca="false">IFERROR(BV40/BV38,0)</f>
        <v>0.756628586721554</v>
      </c>
      <c r="BW41" s="120" t="n">
        <f aca="false">IFERROR(BW40/BW38,0)</f>
        <v>0.756628586721554</v>
      </c>
      <c r="BX41" s="120" t="n">
        <f aca="false">IFERROR(BX40/BX38,0)</f>
        <v>0.756628586721554</v>
      </c>
      <c r="BY41" s="120" t="n">
        <f aca="false">IFERROR(BY40/BY38,0)</f>
        <v>0.756628586721554</v>
      </c>
      <c r="BZ41" s="120" t="n">
        <f aca="false">IFERROR(BZ40/BZ38,0)</f>
        <v>0.756628586721554</v>
      </c>
      <c r="CA41" s="120" t="n">
        <f aca="false">IFERROR(CA40/CA38,0)</f>
        <v>0.756628586721554</v>
      </c>
      <c r="CB41" s="120" t="n">
        <f aca="false">IFERROR(CB40/CB38,0)</f>
        <v>0.756628586721554</v>
      </c>
      <c r="CC41" s="120" t="n">
        <f aca="false">IFERROR(CC40/CC38,0)</f>
        <v>0.756628586721554</v>
      </c>
      <c r="CD41" s="120" t="n">
        <f aca="false">IFERROR(CD40/CD38,0)</f>
        <v>0.756628586721554</v>
      </c>
      <c r="CE41" s="120" t="n">
        <f aca="false">IFERROR(CE40/CE38,0)</f>
        <v>0.756628586721554</v>
      </c>
      <c r="CF41" s="120" t="n">
        <f aca="false">IFERROR(CF40/CF38,0)</f>
        <v>0.756628586721554</v>
      </c>
      <c r="CG41" s="120" t="n">
        <f aca="false">IFERROR(CG40/CG38,0)</f>
        <v>0.756628586721554</v>
      </c>
      <c r="CH41" s="120" t="n">
        <f aca="false">IFERROR(CH40/CH38,0)</f>
        <v>0.756628586721554</v>
      </c>
    </row>
    <row r="42" customFormat="false" ht="13.5" hidden="false" customHeight="true" outlineLevel="0" collapsed="false">
      <c r="A42" s="6" t="s">
        <v>547</v>
      </c>
      <c r="C42" s="109" t="n">
        <f aca="false">-Hipótesis!$C$36</f>
        <v>-2250</v>
      </c>
      <c r="D42" s="109" t="n">
        <f aca="false">-Hipótesis!$C$36</f>
        <v>-2250</v>
      </c>
      <c r="E42" s="109" t="n">
        <f aca="false">-Hipótesis!$C$36</f>
        <v>-2250</v>
      </c>
      <c r="F42" s="109" t="n">
        <f aca="false">-Hipótesis!$C$36</f>
        <v>-2250</v>
      </c>
      <c r="G42" s="109" t="n">
        <f aca="false">-Hipótesis!$C$36</f>
        <v>-2250</v>
      </c>
      <c r="H42" s="109" t="n">
        <f aca="false">-Hipótesis!$C$36</f>
        <v>-2250</v>
      </c>
      <c r="I42" s="109" t="n">
        <f aca="false">-Hipótesis!$C$36</f>
        <v>-2250</v>
      </c>
      <c r="J42" s="109" t="n">
        <f aca="false">-Hipótesis!$C$36</f>
        <v>-2250</v>
      </c>
      <c r="K42" s="109" t="n">
        <f aca="false">-Hipótesis!$C$36</f>
        <v>-2250</v>
      </c>
      <c r="L42" s="109" t="n">
        <f aca="false">-Hipótesis!$C$36</f>
        <v>-2250</v>
      </c>
      <c r="M42" s="109" t="n">
        <f aca="false">-Hipótesis!$C$36</f>
        <v>-2250</v>
      </c>
      <c r="N42" s="109" t="n">
        <f aca="false">-Hipótesis!$C$36</f>
        <v>-2250</v>
      </c>
      <c r="O42" s="109" t="n">
        <f aca="false">-Hipótesis!$C$36</f>
        <v>-2250</v>
      </c>
      <c r="P42" s="109" t="n">
        <f aca="false">-Hipótesis!$C$36</f>
        <v>-2250</v>
      </c>
      <c r="Q42" s="109" t="n">
        <f aca="false">-Hipótesis!$C$36</f>
        <v>-2250</v>
      </c>
      <c r="R42" s="109" t="n">
        <f aca="false">-Hipótesis!$C$36</f>
        <v>-2250</v>
      </c>
      <c r="S42" s="109" t="n">
        <f aca="false">-Hipótesis!$C$36</f>
        <v>-2250</v>
      </c>
      <c r="T42" s="109" t="n">
        <f aca="false">-Hipótesis!$C$36</f>
        <v>-2250</v>
      </c>
      <c r="U42" s="109" t="n">
        <f aca="false">-Hipótesis!$C$36</f>
        <v>-2250</v>
      </c>
      <c r="V42" s="109" t="n">
        <f aca="false">-Hipótesis!$C$36</f>
        <v>-2250</v>
      </c>
      <c r="W42" s="109" t="n">
        <f aca="false">-Hipótesis!$C$36</f>
        <v>-2250</v>
      </c>
      <c r="X42" s="109" t="n">
        <f aca="false">-Hipótesis!$C$36</f>
        <v>-2250</v>
      </c>
      <c r="Y42" s="109" t="n">
        <f aca="false">-Hipótesis!$C$36</f>
        <v>-2250</v>
      </c>
      <c r="Z42" s="109" t="n">
        <f aca="false">-Hipótesis!$C$36</f>
        <v>-2250</v>
      </c>
      <c r="AA42" s="109" t="n">
        <f aca="false">-Hipótesis!$C$36</f>
        <v>-2250</v>
      </c>
      <c r="AB42" s="109" t="n">
        <f aca="false">-Hipótesis!$C$36</f>
        <v>-2250</v>
      </c>
      <c r="AC42" s="109" t="n">
        <f aca="false">-Hipótesis!$C$36</f>
        <v>-2250</v>
      </c>
      <c r="AD42" s="109" t="n">
        <f aca="false">-Hipótesis!$C$36</f>
        <v>-2250</v>
      </c>
      <c r="AE42" s="109" t="n">
        <f aca="false">-Hipótesis!$C$36</f>
        <v>-2250</v>
      </c>
      <c r="AF42" s="109" t="n">
        <f aca="false">-Hipótesis!$C$36</f>
        <v>-2250</v>
      </c>
      <c r="AG42" s="109" t="n">
        <f aca="false">-Hipótesis!$C$36</f>
        <v>-2250</v>
      </c>
      <c r="AH42" s="109" t="n">
        <f aca="false">-Hipótesis!$C$36</f>
        <v>-2250</v>
      </c>
      <c r="AI42" s="109" t="n">
        <f aca="false">-Hipótesis!$C$36</f>
        <v>-2250</v>
      </c>
      <c r="AJ42" s="109" t="n">
        <f aca="false">-Hipótesis!$C$36</f>
        <v>-2250</v>
      </c>
      <c r="AK42" s="109" t="n">
        <f aca="false">-Hipótesis!$C$36</f>
        <v>-2250</v>
      </c>
      <c r="AL42" s="109" t="n">
        <f aca="false">-Hipótesis!$C$36</f>
        <v>-2250</v>
      </c>
      <c r="AM42" s="109" t="n">
        <f aca="false">-Hipótesis!$C$36</f>
        <v>-2250</v>
      </c>
      <c r="AN42" s="109" t="n">
        <f aca="false">-Hipótesis!$C$36</f>
        <v>-2250</v>
      </c>
      <c r="AO42" s="109" t="n">
        <f aca="false">-Hipótesis!$C$36</f>
        <v>-2250</v>
      </c>
      <c r="AP42" s="109" t="n">
        <f aca="false">-Hipótesis!$C$36</f>
        <v>-2250</v>
      </c>
      <c r="AQ42" s="109" t="n">
        <f aca="false">-Hipótesis!$C$36</f>
        <v>-2250</v>
      </c>
      <c r="AR42" s="109" t="n">
        <f aca="false">-Hipótesis!$C$36</f>
        <v>-2250</v>
      </c>
      <c r="AS42" s="109" t="n">
        <f aca="false">-Hipótesis!$C$36</f>
        <v>-2250</v>
      </c>
      <c r="AT42" s="109" t="n">
        <f aca="false">-Hipótesis!$C$36</f>
        <v>-2250</v>
      </c>
      <c r="AU42" s="109" t="n">
        <f aca="false">-Hipótesis!$C$36</f>
        <v>-2250</v>
      </c>
      <c r="AV42" s="109" t="n">
        <f aca="false">-Hipótesis!$C$36</f>
        <v>-2250</v>
      </c>
      <c r="AW42" s="109" t="n">
        <f aca="false">-Hipótesis!$C$36</f>
        <v>-2250</v>
      </c>
      <c r="AX42" s="109" t="n">
        <f aca="false">-Hipótesis!$C$36</f>
        <v>-2250</v>
      </c>
      <c r="AY42" s="109" t="n">
        <f aca="false">-Hipótesis!$C$36</f>
        <v>-2250</v>
      </c>
      <c r="AZ42" s="109" t="n">
        <f aca="false">-Hipótesis!$C$36</f>
        <v>-2250</v>
      </c>
      <c r="BA42" s="109" t="n">
        <f aca="false">-Hipótesis!$C$36</f>
        <v>-2250</v>
      </c>
      <c r="BB42" s="109" t="n">
        <f aca="false">-Hipótesis!$C$36</f>
        <v>-2250</v>
      </c>
      <c r="BC42" s="109" t="n">
        <f aca="false">-Hipótesis!$C$36</f>
        <v>-2250</v>
      </c>
      <c r="BD42" s="109" t="n">
        <f aca="false">-Hipótesis!$C$36</f>
        <v>-2250</v>
      </c>
      <c r="BE42" s="109" t="n">
        <f aca="false">-Hipótesis!$C$36</f>
        <v>-2250</v>
      </c>
      <c r="BF42" s="109" t="n">
        <f aca="false">-Hipótesis!$C$36</f>
        <v>-2250</v>
      </c>
      <c r="BG42" s="109" t="n">
        <f aca="false">-Hipótesis!$C$36</f>
        <v>-2250</v>
      </c>
      <c r="BH42" s="109" t="n">
        <f aca="false">-Hipótesis!$C$36</f>
        <v>-2250</v>
      </c>
      <c r="BI42" s="109" t="n">
        <f aca="false">-Hipótesis!$C$36</f>
        <v>-2250</v>
      </c>
      <c r="BJ42" s="109" t="n">
        <f aca="false">-Hipótesis!$C$36</f>
        <v>-2250</v>
      </c>
      <c r="BK42" s="109" t="n">
        <f aca="false">-Hipótesis!$C$36</f>
        <v>-2250</v>
      </c>
      <c r="BL42" s="109" t="n">
        <f aca="false">-Hipótesis!$C$36</f>
        <v>-2250</v>
      </c>
      <c r="BM42" s="109" t="n">
        <f aca="false">-Hipótesis!$C$36</f>
        <v>-2250</v>
      </c>
      <c r="BN42" s="109" t="n">
        <f aca="false">-Hipótesis!$C$36</f>
        <v>-2250</v>
      </c>
      <c r="BO42" s="109" t="n">
        <f aca="false">-Hipótesis!$C$36</f>
        <v>-2250</v>
      </c>
      <c r="BP42" s="109" t="n">
        <f aca="false">-Hipótesis!$C$36</f>
        <v>-2250</v>
      </c>
      <c r="BQ42" s="109" t="n">
        <f aca="false">-Hipótesis!$C$36</f>
        <v>-2250</v>
      </c>
      <c r="BR42" s="109" t="n">
        <f aca="false">-Hipótesis!$C$36</f>
        <v>-2250</v>
      </c>
      <c r="BS42" s="109" t="n">
        <f aca="false">-Hipótesis!$C$36</f>
        <v>-2250</v>
      </c>
      <c r="BT42" s="109" t="n">
        <f aca="false">-Hipótesis!$C$36</f>
        <v>-2250</v>
      </c>
      <c r="BU42" s="109" t="n">
        <f aca="false">-Hipótesis!$C$36</f>
        <v>-2250</v>
      </c>
      <c r="BV42" s="109" t="n">
        <f aca="false">-Hipótesis!$C$36</f>
        <v>-2250</v>
      </c>
      <c r="BW42" s="109" t="n">
        <f aca="false">-Hipótesis!$C$36</f>
        <v>-2250</v>
      </c>
      <c r="BX42" s="109" t="n">
        <f aca="false">-Hipótesis!$C$36</f>
        <v>-2250</v>
      </c>
      <c r="BY42" s="109" t="n">
        <f aca="false">-Hipótesis!$C$36</f>
        <v>-2250</v>
      </c>
      <c r="BZ42" s="109" t="n">
        <f aca="false">-Hipótesis!$C$36</f>
        <v>-2250</v>
      </c>
      <c r="CA42" s="109" t="n">
        <f aca="false">-Hipótesis!$C$36</f>
        <v>-2250</v>
      </c>
      <c r="CB42" s="109" t="n">
        <f aca="false">-Hipótesis!$C$36</f>
        <v>-2250</v>
      </c>
      <c r="CC42" s="109" t="n">
        <f aca="false">-Hipótesis!$C$36</f>
        <v>-2250</v>
      </c>
      <c r="CD42" s="109" t="n">
        <f aca="false">-Hipótesis!$C$36</f>
        <v>-2250</v>
      </c>
      <c r="CE42" s="109" t="n">
        <f aca="false">-Hipótesis!$C$36</f>
        <v>-2250</v>
      </c>
      <c r="CF42" s="109" t="n">
        <f aca="false">-Hipótesis!$C$36</f>
        <v>-2250</v>
      </c>
      <c r="CG42" s="109" t="n">
        <f aca="false">-Hipótesis!$C$36</f>
        <v>-2250</v>
      </c>
      <c r="CH42" s="109" t="n">
        <f aca="false">-Hipótesis!$C$36</f>
        <v>-2250</v>
      </c>
    </row>
    <row r="43" customFormat="false" ht="13.5" hidden="false" customHeight="true" outlineLevel="0" collapsed="false">
      <c r="A43" s="6" t="s">
        <v>548</v>
      </c>
      <c r="C43" s="109" t="n">
        <f aca="false">-(Hipótesis!$C$37+C24*Hipótesis!$C$38)</f>
        <v>-432.799413286453</v>
      </c>
      <c r="D43" s="109" t="n">
        <f aca="false">-(Hipótesis!$C$37+D24*Hipótesis!$C$38)</f>
        <v>-467.121152122628</v>
      </c>
      <c r="E43" s="109" t="n">
        <f aca="false">-(Hipótesis!$C$37+E24*Hipótesis!$C$38)</f>
        <v>-526.713769385102</v>
      </c>
      <c r="F43" s="109" t="n">
        <f aca="false">-(Hipótesis!$C$37+F24*Hipótesis!$C$38)</f>
        <v>-553.506973361122</v>
      </c>
      <c r="G43" s="109" t="n">
        <f aca="false">-(Hipótesis!$C$37+G24*Hipótesis!$C$38)</f>
        <v>-578.777851787422</v>
      </c>
      <c r="H43" s="109" t="n">
        <f aca="false">-(Hipótesis!$C$37+H24*Hipótesis!$C$38)</f>
        <v>-621.492043804272</v>
      </c>
      <c r="I43" s="109" t="n">
        <f aca="false">-(Hipótesis!$C$37+I24*Hipótesis!$C$38)</f>
        <v>-697.206235821123</v>
      </c>
      <c r="J43" s="109" t="n">
        <f aca="false">-(Hipótesis!$C$37+J24*Hipótesis!$C$38)</f>
        <v>-772.920427837973</v>
      </c>
      <c r="K43" s="109" t="n">
        <f aca="false">-(Hipótesis!$C$37+K24*Hipótesis!$C$38)</f>
        <v>-848.634619854824</v>
      </c>
      <c r="L43" s="109" t="n">
        <f aca="false">-(Hipótesis!$C$37+L24*Hipótesis!$C$38)</f>
        <v>-924.348811871674</v>
      </c>
      <c r="M43" s="109" t="n">
        <f aca="false">-(Hipótesis!$C$37+M24*Hipótesis!$C$38)</f>
        <v>-974.792125462225</v>
      </c>
      <c r="N43" s="109" t="n">
        <f aca="false">-(Hipótesis!$C$37+N24*Hipótesis!$C$38)</f>
        <v>-1050.60753154812</v>
      </c>
      <c r="O43" s="109" t="n">
        <f aca="false">-(Hipótesis!$C$37+O24*Hipótesis!$C$38)</f>
        <v>-1126.42293763402</v>
      </c>
      <c r="P43" s="109" t="n">
        <f aca="false">-(Hipótesis!$C$37+P24*Hipótesis!$C$38)</f>
        <v>-1194.9438671275</v>
      </c>
      <c r="Q43" s="109" t="n">
        <f aca="false">-(Hipótesis!$C$37+Q24*Hipótesis!$C$38)</f>
        <v>-1263.46479662099</v>
      </c>
      <c r="R43" s="109" t="n">
        <f aca="false">-(Hipótesis!$C$37+R24*Hipótesis!$C$38)</f>
        <v>-1331.98572611447</v>
      </c>
      <c r="S43" s="109" t="n">
        <f aca="false">-(Hipótesis!$C$37+S24*Hipótesis!$C$38)</f>
        <v>-1400.50665560796</v>
      </c>
      <c r="T43" s="109" t="n">
        <f aca="false">-(Hipótesis!$C$37+T24*Hipótesis!$C$38)</f>
        <v>-1469.02758510144</v>
      </c>
      <c r="U43" s="109" t="n">
        <f aca="false">-(Hipótesis!$C$37+U24*Hipótesis!$C$38)</f>
        <v>-1537.54851459493</v>
      </c>
      <c r="V43" s="109" t="n">
        <f aca="false">-(Hipótesis!$C$37+V24*Hipótesis!$C$38)</f>
        <v>-1606.06944408842</v>
      </c>
      <c r="W43" s="109" t="n">
        <f aca="false">-(Hipótesis!$C$37+W24*Hipótesis!$C$38)</f>
        <v>-1674.5903735819</v>
      </c>
      <c r="X43" s="109" t="n">
        <f aca="false">-(Hipótesis!$C$37+X24*Hipótesis!$C$38)</f>
        <v>-1717.73921058004</v>
      </c>
      <c r="Y43" s="109" t="n">
        <f aca="false">-(Hipótesis!$C$37+Y24*Hipótesis!$C$38)</f>
        <v>-1760.88804757818</v>
      </c>
      <c r="Z43" s="109" t="n">
        <f aca="false">-(Hipótesis!$C$37+Z24*Hipótesis!$C$38)</f>
        <v>-1793.88804757818</v>
      </c>
      <c r="AA43" s="109" t="n">
        <f aca="false">-(Hipótesis!$C$37+AA24*Hipótesis!$C$38)</f>
        <v>-1826.88804757818</v>
      </c>
      <c r="AB43" s="109" t="n">
        <f aca="false">-(Hipótesis!$C$37+AB24*Hipótesis!$C$38)</f>
        <v>-1859.88804757818</v>
      </c>
      <c r="AC43" s="109" t="n">
        <f aca="false">-(Hipótesis!$C$37+AC24*Hipótesis!$C$38)</f>
        <v>-1892.88804757818</v>
      </c>
      <c r="AD43" s="109" t="n">
        <f aca="false">-(Hipótesis!$C$37+AD24*Hipótesis!$C$38)</f>
        <v>-1925.88804757818</v>
      </c>
      <c r="AE43" s="109" t="n">
        <f aca="false">-(Hipótesis!$C$37+AE24*Hipótesis!$C$38)</f>
        <v>-1958.88804757818</v>
      </c>
      <c r="AF43" s="109" t="n">
        <f aca="false">-(Hipótesis!$C$37+AF24*Hipótesis!$C$38)</f>
        <v>-1991.88804757818</v>
      </c>
      <c r="AG43" s="109" t="n">
        <f aca="false">-(Hipótesis!$C$37+AG24*Hipótesis!$C$38)</f>
        <v>-2024.88804757818</v>
      </c>
      <c r="AH43" s="109" t="n">
        <f aca="false">-(Hipótesis!$C$37+AH24*Hipótesis!$C$38)</f>
        <v>-2057.88804757818</v>
      </c>
      <c r="AI43" s="109" t="n">
        <f aca="false">-(Hipótesis!$C$37+AI24*Hipótesis!$C$38)</f>
        <v>-2090.88804757818</v>
      </c>
      <c r="AJ43" s="109" t="n">
        <f aca="false">-(Hipótesis!$C$37+AJ24*Hipótesis!$C$38)</f>
        <v>-2123.88804757818</v>
      </c>
      <c r="AK43" s="109" t="n">
        <f aca="false">-(Hipótesis!$C$37+AK24*Hipótesis!$C$38)</f>
        <v>-2156.88804757818</v>
      </c>
      <c r="AL43" s="109" t="n">
        <f aca="false">-(Hipótesis!$C$37+AL24*Hipótesis!$C$38)</f>
        <v>-2189.88804757818</v>
      </c>
      <c r="AM43" s="109" t="n">
        <f aca="false">-(Hipótesis!$C$37+AM24*Hipótesis!$C$38)</f>
        <v>-2222.88804757818</v>
      </c>
      <c r="AN43" s="109" t="n">
        <f aca="false">-(Hipótesis!$C$37+AN24*Hipótesis!$C$38)</f>
        <v>-2255.88804757818</v>
      </c>
      <c r="AO43" s="109" t="n">
        <f aca="false">-(Hipótesis!$C$37+AO24*Hipótesis!$C$38)</f>
        <v>-2288.88804757818</v>
      </c>
      <c r="AP43" s="109" t="n">
        <f aca="false">-(Hipótesis!$C$37+AP24*Hipótesis!$C$38)</f>
        <v>-2321.88804757818</v>
      </c>
      <c r="AQ43" s="109" t="n">
        <f aca="false">-(Hipótesis!$C$37+AQ24*Hipótesis!$C$38)</f>
        <v>-2354.88804757818</v>
      </c>
      <c r="AR43" s="109" t="n">
        <f aca="false">-(Hipótesis!$C$37+AR24*Hipótesis!$C$38)</f>
        <v>-2387.88804757818</v>
      </c>
      <c r="AS43" s="109" t="n">
        <f aca="false">-(Hipótesis!$C$37+AS24*Hipótesis!$C$38)</f>
        <v>-2387.88804757818</v>
      </c>
      <c r="AT43" s="109" t="n">
        <f aca="false">-(Hipótesis!$C$37+AT24*Hipótesis!$C$38)</f>
        <v>-2387.88804757818</v>
      </c>
      <c r="AU43" s="109" t="n">
        <f aca="false">-(Hipótesis!$C$37+AU24*Hipótesis!$C$38)</f>
        <v>-2387.88804757818</v>
      </c>
      <c r="AV43" s="109" t="n">
        <f aca="false">-(Hipótesis!$C$37+AV24*Hipótesis!$C$38)</f>
        <v>-2387.88804757818</v>
      </c>
      <c r="AW43" s="109" t="n">
        <f aca="false">-(Hipótesis!$C$37+AW24*Hipótesis!$C$38)</f>
        <v>-2387.88804757818</v>
      </c>
      <c r="AX43" s="109" t="n">
        <f aca="false">-(Hipótesis!$C$37+AX24*Hipótesis!$C$38)</f>
        <v>-2387.88804757818</v>
      </c>
      <c r="AY43" s="109" t="n">
        <f aca="false">-(Hipótesis!$C$37+AY24*Hipótesis!$C$38)</f>
        <v>-2387.88804757818</v>
      </c>
      <c r="AZ43" s="109" t="n">
        <f aca="false">-(Hipótesis!$C$37+AZ24*Hipótesis!$C$38)</f>
        <v>-2387.88804757818</v>
      </c>
      <c r="BA43" s="109" t="n">
        <f aca="false">-(Hipótesis!$C$37+BA24*Hipótesis!$C$38)</f>
        <v>-2387.88804757818</v>
      </c>
      <c r="BB43" s="109" t="n">
        <f aca="false">-(Hipótesis!$C$37+BB24*Hipótesis!$C$38)</f>
        <v>-2387.88804757818</v>
      </c>
      <c r="BC43" s="109" t="n">
        <f aca="false">-(Hipótesis!$C$37+BC24*Hipótesis!$C$38)</f>
        <v>-2387.88804757818</v>
      </c>
      <c r="BD43" s="109" t="n">
        <f aca="false">-(Hipótesis!$C$37+BD24*Hipótesis!$C$38)</f>
        <v>-2387.88804757818</v>
      </c>
      <c r="BE43" s="109" t="n">
        <f aca="false">-(Hipótesis!$C$37+BE24*Hipótesis!$C$38)</f>
        <v>-2387.88804757818</v>
      </c>
      <c r="BF43" s="109" t="n">
        <f aca="false">-(Hipótesis!$C$37+BF24*Hipótesis!$C$38)</f>
        <v>-2387.88804757818</v>
      </c>
      <c r="BG43" s="109" t="n">
        <f aca="false">-(Hipótesis!$C$37+BG24*Hipótesis!$C$38)</f>
        <v>-2387.88804757818</v>
      </c>
      <c r="BH43" s="109" t="n">
        <f aca="false">-(Hipótesis!$C$37+BH24*Hipótesis!$C$38)</f>
        <v>-2387.88804757818</v>
      </c>
      <c r="BI43" s="109" t="n">
        <f aca="false">-(Hipótesis!$C$37+BI24*Hipótesis!$C$38)</f>
        <v>-2387.88804757818</v>
      </c>
      <c r="BJ43" s="109" t="n">
        <f aca="false">-(Hipótesis!$C$37+BJ24*Hipótesis!$C$38)</f>
        <v>-2387.88804757818</v>
      </c>
      <c r="BK43" s="109" t="n">
        <f aca="false">-(Hipótesis!$C$37+BK24*Hipótesis!$C$38)</f>
        <v>-2387.88804757818</v>
      </c>
      <c r="BL43" s="109" t="n">
        <f aca="false">-(Hipótesis!$C$37+BL24*Hipótesis!$C$38)</f>
        <v>-2387.88804757818</v>
      </c>
      <c r="BM43" s="109" t="n">
        <f aca="false">-(Hipótesis!$C$37+BM24*Hipótesis!$C$38)</f>
        <v>-2387.88804757818</v>
      </c>
      <c r="BN43" s="109" t="n">
        <f aca="false">-(Hipótesis!$C$37+BN24*Hipótesis!$C$38)</f>
        <v>-2387.88804757818</v>
      </c>
      <c r="BO43" s="109" t="n">
        <f aca="false">-(Hipótesis!$C$37+BO24*Hipótesis!$C$38)</f>
        <v>-2387.88804757818</v>
      </c>
      <c r="BP43" s="109" t="n">
        <f aca="false">-(Hipótesis!$C$37+BP24*Hipótesis!$C$38)</f>
        <v>-2387.88804757818</v>
      </c>
      <c r="BQ43" s="109" t="n">
        <f aca="false">-(Hipótesis!$C$37+BQ24*Hipótesis!$C$38)</f>
        <v>-2387.88804757818</v>
      </c>
      <c r="BR43" s="109" t="n">
        <f aca="false">-(Hipótesis!$C$37+BR24*Hipótesis!$C$38)</f>
        <v>-2387.88804757818</v>
      </c>
      <c r="BS43" s="109" t="n">
        <f aca="false">-(Hipótesis!$C$37+BS24*Hipótesis!$C$38)</f>
        <v>-2387.88804757818</v>
      </c>
      <c r="BT43" s="109" t="n">
        <f aca="false">-(Hipótesis!$C$37+BT24*Hipótesis!$C$38)</f>
        <v>-2387.88804757818</v>
      </c>
      <c r="BU43" s="109" t="n">
        <f aca="false">-(Hipótesis!$C$37+BU24*Hipótesis!$C$38)</f>
        <v>-2387.88804757818</v>
      </c>
      <c r="BV43" s="109" t="n">
        <f aca="false">-(Hipótesis!$C$37+BV24*Hipótesis!$C$38)</f>
        <v>-2387.88804757818</v>
      </c>
      <c r="BW43" s="109" t="n">
        <f aca="false">-(Hipótesis!$C$37+BW24*Hipótesis!$C$38)</f>
        <v>-2387.88804757818</v>
      </c>
      <c r="BX43" s="109" t="n">
        <f aca="false">-(Hipótesis!$C$37+BX24*Hipótesis!$C$38)</f>
        <v>-2387.88804757818</v>
      </c>
      <c r="BY43" s="109" t="n">
        <f aca="false">-(Hipótesis!$C$37+BY24*Hipótesis!$C$38)</f>
        <v>-2387.88804757818</v>
      </c>
      <c r="BZ43" s="109" t="n">
        <f aca="false">-(Hipótesis!$C$37+BZ24*Hipótesis!$C$38)</f>
        <v>-2387.88804757818</v>
      </c>
      <c r="CA43" s="109" t="n">
        <f aca="false">-(Hipótesis!$C$37+CA24*Hipótesis!$C$38)</f>
        <v>-2387.88804757818</v>
      </c>
      <c r="CB43" s="109" t="n">
        <f aca="false">-(Hipótesis!$C$37+CB24*Hipótesis!$C$38)</f>
        <v>-2387.88804757818</v>
      </c>
      <c r="CC43" s="109" t="n">
        <f aca="false">-(Hipótesis!$C$37+CC24*Hipótesis!$C$38)</f>
        <v>-2387.88804757818</v>
      </c>
      <c r="CD43" s="109" t="n">
        <f aca="false">-(Hipótesis!$C$37+CD24*Hipótesis!$C$38)</f>
        <v>-2387.88804757818</v>
      </c>
      <c r="CE43" s="109" t="n">
        <f aca="false">-(Hipótesis!$C$37+CE24*Hipótesis!$C$38)</f>
        <v>-2387.88804757818</v>
      </c>
      <c r="CF43" s="109" t="n">
        <f aca="false">-(Hipótesis!$C$37+CF24*Hipótesis!$C$38)</f>
        <v>-2387.88804757818</v>
      </c>
      <c r="CG43" s="109" t="n">
        <f aca="false">-(Hipótesis!$C$37+CG24*Hipótesis!$C$38)</f>
        <v>-2387.88804757818</v>
      </c>
      <c r="CH43" s="109" t="n">
        <f aca="false">-(Hipótesis!$C$37+CH24*Hipótesis!$C$38)</f>
        <v>-2387.88804757818</v>
      </c>
    </row>
    <row r="44" customFormat="false" ht="13.5" hidden="false" customHeight="true" outlineLevel="0" collapsed="false">
      <c r="A44" s="6" t="s">
        <v>549</v>
      </c>
      <c r="C44" s="109" t="n">
        <f aca="false">-IF(AND(1&gt;=Hipótesis!$D$48,Hipótesis!$B$48=1),IF(Hipótesis!$G$48=1,Hipótesis!$C$44,Hipótesis!$C$48*(1+Hipótesis!$D$45)^0)*(1+Hipótesis!$D$42),0)</f>
        <v>-2904</v>
      </c>
      <c r="D44" s="109" t="n">
        <f aca="false">-IF(AND(2&gt;=Hipótesis!$D$48,Hipótesis!$B$48=1),IF(Hipótesis!$G$48=1,Hipótesis!$C$44,Hipótesis!$C$48*(1+Hipótesis!$D$45)^0)*(1+Hipótesis!$D$42),0)</f>
        <v>-2904</v>
      </c>
      <c r="E44" s="109" t="n">
        <f aca="false">-IF(AND(3&gt;=Hipótesis!$D$48,Hipótesis!$B$48=1),IF(Hipótesis!$G$48=1,Hipótesis!$C$44,Hipótesis!$C$48*(1+Hipótesis!$D$45)^0)*(1+Hipótesis!$D$42),0)</f>
        <v>-2904</v>
      </c>
      <c r="F44" s="109" t="n">
        <f aca="false">-IF(AND(4&gt;=Hipótesis!$D$48,Hipótesis!$B$48=1),IF(Hipótesis!$G$48=1,Hipótesis!$C$44,Hipótesis!$C$48*(1+Hipótesis!$D$45)^0)*(1+Hipótesis!$D$42),0)</f>
        <v>-2904</v>
      </c>
      <c r="G44" s="109" t="n">
        <f aca="false">-IF(AND(5&gt;=Hipótesis!$D$48,Hipótesis!$B$48=1),IF(Hipótesis!$G$48=1,Hipótesis!$C$44,Hipótesis!$C$48*(1+Hipótesis!$D$45)^0)*(1+Hipótesis!$D$42),0)</f>
        <v>-2904</v>
      </c>
      <c r="H44" s="109" t="n">
        <f aca="false">-IF(AND(6&gt;=Hipótesis!$D$48,Hipótesis!$B$48=1),IF(Hipótesis!$G$48=1,Hipótesis!$C$44,Hipótesis!$C$48*(1+Hipótesis!$D$45)^0)*(1+Hipótesis!$D$42),0)</f>
        <v>-2904</v>
      </c>
      <c r="I44" s="109" t="n">
        <f aca="false">-IF(AND(7&gt;=Hipótesis!$D$48,Hipótesis!$B$48=1),IF(Hipótesis!$G$48=1,Hipótesis!$C$44,Hipótesis!$C$48*(1+Hipótesis!$D$45)^0)*(1+Hipótesis!$D$42),0)</f>
        <v>-2904</v>
      </c>
      <c r="J44" s="109" t="n">
        <f aca="false">-IF(AND(8&gt;=Hipótesis!$D$48,Hipótesis!$B$48=1),IF(Hipótesis!$G$48=1,Hipótesis!$C$44,Hipótesis!$C$48*(1+Hipótesis!$D$45)^0)*(1+Hipótesis!$D$42),0)</f>
        <v>-2904</v>
      </c>
      <c r="K44" s="109" t="n">
        <f aca="false">-IF(AND(9&gt;=Hipótesis!$D$48,Hipótesis!$B$48=1),IF(Hipótesis!$G$48=1,Hipótesis!$C$44,Hipótesis!$C$48*(1+Hipótesis!$D$45)^0)*(1+Hipótesis!$D$42),0)</f>
        <v>-2904</v>
      </c>
      <c r="L44" s="109" t="n">
        <f aca="false">-IF(AND(10&gt;=Hipótesis!$D$48,Hipótesis!$B$48=1),IF(Hipótesis!$G$48=1,Hipótesis!$C$44,Hipótesis!$C$48*(1+Hipótesis!$D$45)^0)*(1+Hipótesis!$D$42),0)</f>
        <v>-2904</v>
      </c>
      <c r="M44" s="109" t="n">
        <f aca="false">-IF(AND(11&gt;=Hipótesis!$D$48,Hipótesis!$B$48=1),IF(Hipótesis!$G$48=1,Hipótesis!$C$44,Hipótesis!$C$48*(1+Hipótesis!$D$45)^0)*(1+Hipótesis!$D$42),0)</f>
        <v>-2904</v>
      </c>
      <c r="N44" s="109" t="n">
        <f aca="false">-IF(AND(12&gt;=Hipótesis!$D$48,Hipótesis!$B$48=1),IF(Hipótesis!$G$48=1,Hipótesis!$C$44,Hipótesis!$C$48*(1+Hipótesis!$D$45)^0)*(1+Hipótesis!$D$42),0)</f>
        <v>-2904</v>
      </c>
      <c r="O44" s="109" t="n">
        <f aca="false">-IF(AND(13&gt;=Hipótesis!$D$48,Hipótesis!$B$48=1),IF(Hipótesis!$G$48=1,Hipótesis!$D$44,Hipótesis!$C$48*(1+Hipótesis!$D$45)^1)*(1+Hipótesis!$D$42),0)</f>
        <v>-4620</v>
      </c>
      <c r="P44" s="109" t="n">
        <f aca="false">-IF(AND(14&gt;=Hipótesis!$D$48,Hipótesis!$B$48=1),IF(Hipótesis!$G$48=1,Hipótesis!$D$44,Hipótesis!$C$48*(1+Hipótesis!$D$45)^1)*(1+Hipótesis!$D$42),0)</f>
        <v>-4620</v>
      </c>
      <c r="Q44" s="109" t="n">
        <f aca="false">-IF(AND(15&gt;=Hipótesis!$D$48,Hipótesis!$B$48=1),IF(Hipótesis!$G$48=1,Hipótesis!$D$44,Hipótesis!$C$48*(1+Hipótesis!$D$45)^1)*(1+Hipótesis!$D$42),0)</f>
        <v>-4620</v>
      </c>
      <c r="R44" s="109" t="n">
        <f aca="false">-IF(AND(16&gt;=Hipótesis!$D$48,Hipótesis!$B$48=1),IF(Hipótesis!$G$48=1,Hipótesis!$D$44,Hipótesis!$C$48*(1+Hipótesis!$D$45)^1)*(1+Hipótesis!$D$42),0)</f>
        <v>-4620</v>
      </c>
      <c r="S44" s="109" t="n">
        <f aca="false">-IF(AND(17&gt;=Hipótesis!$D$48,Hipótesis!$B$48=1),IF(Hipótesis!$G$48=1,Hipótesis!$D$44,Hipótesis!$C$48*(1+Hipótesis!$D$45)^1)*(1+Hipótesis!$D$42),0)</f>
        <v>-4620</v>
      </c>
      <c r="T44" s="109" t="n">
        <f aca="false">-IF(AND(18&gt;=Hipótesis!$D$48,Hipótesis!$B$48=1),IF(Hipótesis!$G$48=1,Hipótesis!$D$44,Hipótesis!$C$48*(1+Hipótesis!$D$45)^1)*(1+Hipótesis!$D$42),0)</f>
        <v>-4620</v>
      </c>
      <c r="U44" s="109" t="n">
        <f aca="false">-IF(AND(19&gt;=Hipótesis!$D$48,Hipótesis!$B$48=1),IF(Hipótesis!$G$48=1,Hipótesis!$D$44,Hipótesis!$C$48*(1+Hipótesis!$D$45)^1)*(1+Hipótesis!$D$42),0)</f>
        <v>-4620</v>
      </c>
      <c r="V44" s="109" t="n">
        <f aca="false">-IF(AND(20&gt;=Hipótesis!$D$48,Hipótesis!$B$48=1),IF(Hipótesis!$G$48=1,Hipótesis!$D$44,Hipótesis!$C$48*(1+Hipótesis!$D$45)^1)*(1+Hipótesis!$D$42),0)</f>
        <v>-4620</v>
      </c>
      <c r="W44" s="109" t="n">
        <f aca="false">-IF(AND(21&gt;=Hipótesis!$D$48,Hipótesis!$B$48=1),IF(Hipótesis!$G$48=1,Hipótesis!$D$44,Hipótesis!$C$48*(1+Hipótesis!$D$45)^1)*(1+Hipótesis!$D$42),0)</f>
        <v>-4620</v>
      </c>
      <c r="X44" s="109" t="n">
        <f aca="false">-IF(AND(22&gt;=Hipótesis!$D$48,Hipótesis!$B$48=1),IF(Hipótesis!$G$48=1,Hipótesis!$D$44,Hipótesis!$C$48*(1+Hipótesis!$D$45)^1)*(1+Hipótesis!$D$42),0)</f>
        <v>-4620</v>
      </c>
      <c r="Y44" s="109" t="n">
        <f aca="false">-IF(AND(23&gt;=Hipótesis!$D$48,Hipótesis!$B$48=1),IF(Hipótesis!$G$48=1,Hipótesis!$D$44,Hipótesis!$C$48*(1+Hipótesis!$D$45)^1)*(1+Hipótesis!$D$42),0)</f>
        <v>-4620</v>
      </c>
      <c r="Z44" s="109" t="n">
        <f aca="false">-IF(AND(24&gt;=Hipótesis!$D$48,Hipótesis!$B$48=1),IF(Hipótesis!$G$48=1,Hipótesis!$D$44,Hipótesis!$C$48*(1+Hipótesis!$D$45)^1)*(1+Hipótesis!$D$42),0)</f>
        <v>-4620</v>
      </c>
      <c r="AA44" s="109" t="n">
        <f aca="false">-IF(AND(25&gt;=Hipótesis!$D$48,Hipótesis!$B$48=1),IF(Hipótesis!$G$48=1,Hipótesis!$E$44,Hipótesis!$C$48*(1+Hipótesis!$D$45)^2)*(1+Hipótesis!$D$42),0)</f>
        <v>-5280</v>
      </c>
      <c r="AB44" s="109" t="n">
        <f aca="false">-IF(AND(26&gt;=Hipótesis!$D$48,Hipótesis!$B$48=1),IF(Hipótesis!$G$48=1,Hipótesis!$E$44,Hipótesis!$C$48*(1+Hipótesis!$D$45)^2)*(1+Hipótesis!$D$42),0)</f>
        <v>-5280</v>
      </c>
      <c r="AC44" s="109" t="n">
        <f aca="false">-IF(AND(27&gt;=Hipótesis!$D$48,Hipótesis!$B$48=1),IF(Hipótesis!$G$48=1,Hipótesis!$E$44,Hipótesis!$C$48*(1+Hipótesis!$D$45)^2)*(1+Hipótesis!$D$42),0)</f>
        <v>-5280</v>
      </c>
      <c r="AD44" s="109" t="n">
        <f aca="false">-IF(AND(28&gt;=Hipótesis!$D$48,Hipótesis!$B$48=1),IF(Hipótesis!$G$48=1,Hipótesis!$E$44,Hipótesis!$C$48*(1+Hipótesis!$D$45)^2)*(1+Hipótesis!$D$42),0)</f>
        <v>-5280</v>
      </c>
      <c r="AE44" s="109" t="n">
        <f aca="false">-IF(AND(29&gt;=Hipótesis!$D$48,Hipótesis!$B$48=1),IF(Hipótesis!$G$48=1,Hipótesis!$E$44,Hipótesis!$C$48*(1+Hipótesis!$D$45)^2)*(1+Hipótesis!$D$42),0)</f>
        <v>-5280</v>
      </c>
      <c r="AF44" s="109" t="n">
        <f aca="false">-IF(AND(30&gt;=Hipótesis!$D$48,Hipótesis!$B$48=1),IF(Hipótesis!$G$48=1,Hipótesis!$E$44,Hipótesis!$C$48*(1+Hipótesis!$D$45)^2)*(1+Hipótesis!$D$42),0)</f>
        <v>-5280</v>
      </c>
      <c r="AG44" s="109" t="n">
        <f aca="false">-IF(AND(31&gt;=Hipótesis!$D$48,Hipótesis!$B$48=1),IF(Hipótesis!$G$48=1,Hipótesis!$E$44,Hipótesis!$C$48*(1+Hipótesis!$D$45)^2)*(1+Hipótesis!$D$42),0)</f>
        <v>-5280</v>
      </c>
      <c r="AH44" s="109" t="n">
        <f aca="false">-IF(AND(32&gt;=Hipótesis!$D$48,Hipótesis!$B$48=1),IF(Hipótesis!$G$48=1,Hipótesis!$E$44,Hipótesis!$C$48*(1+Hipótesis!$D$45)^2)*(1+Hipótesis!$D$42),0)</f>
        <v>-5280</v>
      </c>
      <c r="AI44" s="109" t="n">
        <f aca="false">-IF(AND(33&gt;=Hipótesis!$D$48,Hipótesis!$B$48=1),IF(Hipótesis!$G$48=1,Hipótesis!$E$44,Hipótesis!$C$48*(1+Hipótesis!$D$45)^2)*(1+Hipótesis!$D$42),0)</f>
        <v>-5280</v>
      </c>
      <c r="AJ44" s="109" t="n">
        <f aca="false">-IF(AND(34&gt;=Hipótesis!$D$48,Hipótesis!$B$48=1),IF(Hipótesis!$G$48=1,Hipótesis!$E$44,Hipótesis!$C$48*(1+Hipótesis!$D$45)^2)*(1+Hipótesis!$D$42),0)</f>
        <v>-5280</v>
      </c>
      <c r="AK44" s="109" t="n">
        <f aca="false">-IF(AND(35&gt;=Hipótesis!$D$48,Hipótesis!$B$48=1),IF(Hipótesis!$G$48=1,Hipótesis!$E$44,Hipótesis!$C$48*(1+Hipótesis!$D$45)^2)*(1+Hipótesis!$D$42),0)</f>
        <v>-5280</v>
      </c>
      <c r="AL44" s="109" t="n">
        <f aca="false">-IF(AND(36&gt;=Hipótesis!$D$48,Hipótesis!$B$48=1),IF(Hipótesis!$G$48=1,Hipótesis!$E$44,Hipótesis!$C$48*(1+Hipótesis!$D$45)^2)*(1+Hipótesis!$D$42),0)</f>
        <v>-5280</v>
      </c>
      <c r="AM44" s="109" t="n">
        <f aca="false">-IF(AND(37&gt;=Hipótesis!$D$48,Hipótesis!$B$48=1),IF(Hipótesis!$G$48=1,Hipótesis!$F$44,Hipótesis!$C$48*(1+Hipótesis!$D$45)^3)*(1+Hipótesis!$D$42),0)</f>
        <v>-5940</v>
      </c>
      <c r="AN44" s="109" t="n">
        <f aca="false">-IF(AND(38&gt;=Hipótesis!$D$48,Hipótesis!$B$48=1),IF(Hipótesis!$G$48=1,Hipótesis!$F$44,Hipótesis!$C$48*(1+Hipótesis!$D$45)^3)*(1+Hipótesis!$D$42),0)</f>
        <v>-5940</v>
      </c>
      <c r="AO44" s="109" t="n">
        <f aca="false">-IF(AND(39&gt;=Hipótesis!$D$48,Hipótesis!$B$48=1),IF(Hipótesis!$G$48=1,Hipótesis!$F$44,Hipótesis!$C$48*(1+Hipótesis!$D$45)^3)*(1+Hipótesis!$D$42),0)</f>
        <v>-5940</v>
      </c>
      <c r="AP44" s="109" t="n">
        <f aca="false">-IF(AND(40&gt;=Hipótesis!$D$48,Hipótesis!$B$48=1),IF(Hipótesis!$G$48=1,Hipótesis!$F$44,Hipótesis!$C$48*(1+Hipótesis!$D$45)^3)*(1+Hipótesis!$D$42),0)</f>
        <v>-5940</v>
      </c>
      <c r="AQ44" s="109" t="n">
        <f aca="false">-IF(AND(41&gt;=Hipótesis!$D$48,Hipótesis!$B$48=1),IF(Hipótesis!$G$48=1,Hipótesis!$F$44,Hipótesis!$C$48*(1+Hipótesis!$D$45)^3)*(1+Hipótesis!$D$42),0)</f>
        <v>-5940</v>
      </c>
      <c r="AR44" s="109" t="n">
        <f aca="false">-IF(AND(42&gt;=Hipótesis!$D$48,Hipótesis!$B$48=1),IF(Hipótesis!$G$48=1,Hipótesis!$F$44,Hipótesis!$C$48*(1+Hipótesis!$D$45)^3)*(1+Hipótesis!$D$42),0)</f>
        <v>-5940</v>
      </c>
      <c r="AS44" s="109" t="n">
        <f aca="false">-IF(AND(43&gt;=Hipótesis!$D$48,Hipótesis!$B$48=1),IF(Hipótesis!$G$48=1,Hipótesis!$F$44,Hipótesis!$C$48*(1+Hipótesis!$D$45)^3)*(1+Hipótesis!$D$42),0)</f>
        <v>-5940</v>
      </c>
      <c r="AT44" s="109" t="n">
        <f aca="false">-IF(AND(44&gt;=Hipótesis!$D$48,Hipótesis!$B$48=1),IF(Hipótesis!$G$48=1,Hipótesis!$F$44,Hipótesis!$C$48*(1+Hipótesis!$D$45)^3)*(1+Hipótesis!$D$42),0)</f>
        <v>-5940</v>
      </c>
      <c r="AU44" s="109" t="n">
        <f aca="false">-IF(AND(45&gt;=Hipótesis!$D$48,Hipótesis!$B$48=1),IF(Hipótesis!$G$48=1,Hipótesis!$F$44,Hipótesis!$C$48*(1+Hipótesis!$D$45)^3)*(1+Hipótesis!$D$42),0)</f>
        <v>-5940</v>
      </c>
      <c r="AV44" s="109" t="n">
        <f aca="false">-IF(AND(46&gt;=Hipótesis!$D$48,Hipótesis!$B$48=1),IF(Hipótesis!$G$48=1,Hipótesis!$F$44,Hipótesis!$C$48*(1+Hipótesis!$D$45)^3)*(1+Hipótesis!$D$42),0)</f>
        <v>-5940</v>
      </c>
      <c r="AW44" s="109" t="n">
        <f aca="false">-IF(AND(47&gt;=Hipótesis!$D$48,Hipótesis!$B$48=1),IF(Hipótesis!$G$48=1,Hipótesis!$F$44,Hipótesis!$C$48*(1+Hipótesis!$D$45)^3)*(1+Hipótesis!$D$42),0)</f>
        <v>-5940</v>
      </c>
      <c r="AX44" s="109" t="n">
        <f aca="false">-IF(AND(48&gt;=Hipótesis!$D$48,Hipótesis!$B$48=1),IF(Hipótesis!$G$48=1,Hipótesis!$F$44,Hipótesis!$C$48*(1+Hipótesis!$D$45)^3)*(1+Hipótesis!$D$42),0)</f>
        <v>-5940</v>
      </c>
      <c r="AY44" s="109" t="n">
        <f aca="false">-IF(AND(49&gt;=Hipótesis!$D$48,Hipótesis!$B$48=1),IF(Hipótesis!$G$48=1,Hipótesis!$G$44,Hipótesis!$C$48*(1+Hipótesis!$D$45)^4)*(1+Hipótesis!$D$42),0)</f>
        <v>-6600</v>
      </c>
      <c r="AZ44" s="109" t="n">
        <f aca="false">-IF(AND(50&gt;=Hipótesis!$D$48,Hipótesis!$B$48=1),IF(Hipótesis!$G$48=1,Hipótesis!$G$44,Hipótesis!$C$48*(1+Hipótesis!$D$45)^4)*(1+Hipótesis!$D$42),0)</f>
        <v>-6600</v>
      </c>
      <c r="BA44" s="109" t="n">
        <f aca="false">-IF(AND(51&gt;=Hipótesis!$D$48,Hipótesis!$B$48=1),IF(Hipótesis!$G$48=1,Hipótesis!$G$44,Hipótesis!$C$48*(1+Hipótesis!$D$45)^4)*(1+Hipótesis!$D$42),0)</f>
        <v>-6600</v>
      </c>
      <c r="BB44" s="109" t="n">
        <f aca="false">-IF(AND(52&gt;=Hipótesis!$D$48,Hipótesis!$B$48=1),IF(Hipótesis!$G$48=1,Hipótesis!$G$44,Hipótesis!$C$48*(1+Hipótesis!$D$45)^4)*(1+Hipótesis!$D$42),0)</f>
        <v>-6600</v>
      </c>
      <c r="BC44" s="109" t="n">
        <f aca="false">-IF(AND(53&gt;=Hipótesis!$D$48,Hipótesis!$B$48=1),IF(Hipótesis!$G$48=1,Hipótesis!$G$44,Hipótesis!$C$48*(1+Hipótesis!$D$45)^4)*(1+Hipótesis!$D$42),0)</f>
        <v>-6600</v>
      </c>
      <c r="BD44" s="109" t="n">
        <f aca="false">-IF(AND(54&gt;=Hipótesis!$D$48,Hipótesis!$B$48=1),IF(Hipótesis!$G$48=1,Hipótesis!$G$44,Hipótesis!$C$48*(1+Hipótesis!$D$45)^4)*(1+Hipótesis!$D$42),0)</f>
        <v>-6600</v>
      </c>
      <c r="BE44" s="109" t="n">
        <f aca="false">-IF(AND(55&gt;=Hipótesis!$D$48,Hipótesis!$B$48=1),IF(Hipótesis!$G$48=1,Hipótesis!$G$44,Hipótesis!$C$48*(1+Hipótesis!$D$45)^4)*(1+Hipótesis!$D$42),0)</f>
        <v>-6600</v>
      </c>
      <c r="BF44" s="109" t="n">
        <f aca="false">-IF(AND(56&gt;=Hipótesis!$D$48,Hipótesis!$B$48=1),IF(Hipótesis!$G$48=1,Hipótesis!$G$44,Hipótesis!$C$48*(1+Hipótesis!$D$45)^4)*(1+Hipótesis!$D$42),0)</f>
        <v>-6600</v>
      </c>
      <c r="BG44" s="109" t="n">
        <f aca="false">-IF(AND(57&gt;=Hipótesis!$D$48,Hipótesis!$B$48=1),IF(Hipótesis!$G$48=1,Hipótesis!$G$44,Hipótesis!$C$48*(1+Hipótesis!$D$45)^4)*(1+Hipótesis!$D$42),0)</f>
        <v>-6600</v>
      </c>
      <c r="BH44" s="109" t="n">
        <f aca="false">-IF(AND(58&gt;=Hipótesis!$D$48,Hipótesis!$B$48=1),IF(Hipótesis!$G$48=1,Hipótesis!$G$44,Hipótesis!$C$48*(1+Hipótesis!$D$45)^4)*(1+Hipótesis!$D$42),0)</f>
        <v>-6600</v>
      </c>
      <c r="BI44" s="109" t="n">
        <f aca="false">-IF(AND(59&gt;=Hipótesis!$D$48,Hipótesis!$B$48=1),IF(Hipótesis!$G$48=1,Hipótesis!$G$44,Hipótesis!$C$48*(1+Hipótesis!$D$45)^4)*(1+Hipótesis!$D$42),0)</f>
        <v>-6600</v>
      </c>
      <c r="BJ44" s="109" t="n">
        <f aca="false">-IF(AND(60&gt;=Hipótesis!$D$48,Hipótesis!$B$48=1),IF(Hipótesis!$G$48=1,Hipótesis!$G$44,Hipótesis!$C$48*(1+Hipótesis!$D$45)^4)*(1+Hipótesis!$D$42),0)</f>
        <v>-6600</v>
      </c>
      <c r="BK44" s="109" t="n">
        <f aca="false">-IF(AND(61&gt;=Hipótesis!$D$48,Hipótesis!$B$48=1),IF(Hipótesis!$G$48=1,Hipótesis!$H$44,Hipótesis!$C$48*(1+Hipótesis!$D$45)^5)*(1+Hipótesis!$D$42),0)</f>
        <v>-7260</v>
      </c>
      <c r="BL44" s="109" t="n">
        <f aca="false">-IF(AND(62&gt;=Hipótesis!$D$48,Hipótesis!$B$48=1),IF(Hipótesis!$G$48=1,Hipótesis!$H$44,Hipótesis!$C$48*(1+Hipótesis!$D$45)^5)*(1+Hipótesis!$D$42),0)</f>
        <v>-7260</v>
      </c>
      <c r="BM44" s="109" t="n">
        <f aca="false">-IF(AND(63&gt;=Hipótesis!$D$48,Hipótesis!$B$48=1),IF(Hipótesis!$G$48=1,Hipótesis!$H$44,Hipótesis!$C$48*(1+Hipótesis!$D$45)^5)*(1+Hipótesis!$D$42),0)</f>
        <v>-7260</v>
      </c>
      <c r="BN44" s="109" t="n">
        <f aca="false">-IF(AND(64&gt;=Hipótesis!$D$48,Hipótesis!$B$48=1),IF(Hipótesis!$G$48=1,Hipótesis!$H$44,Hipótesis!$C$48*(1+Hipótesis!$D$45)^5)*(1+Hipótesis!$D$42),0)</f>
        <v>-7260</v>
      </c>
      <c r="BO44" s="109" t="n">
        <f aca="false">-IF(AND(65&gt;=Hipótesis!$D$48,Hipótesis!$B$48=1),IF(Hipótesis!$G$48=1,Hipótesis!$H$44,Hipótesis!$C$48*(1+Hipótesis!$D$45)^5)*(1+Hipótesis!$D$42),0)</f>
        <v>-7260</v>
      </c>
      <c r="BP44" s="109" t="n">
        <f aca="false">-IF(AND(66&gt;=Hipótesis!$D$48,Hipótesis!$B$48=1),IF(Hipótesis!$G$48=1,Hipótesis!$H$44,Hipótesis!$C$48*(1+Hipótesis!$D$45)^5)*(1+Hipótesis!$D$42),0)</f>
        <v>-7260</v>
      </c>
      <c r="BQ44" s="109" t="n">
        <f aca="false">-IF(AND(67&gt;=Hipótesis!$D$48,Hipótesis!$B$48=1),IF(Hipótesis!$G$48=1,Hipótesis!$H$44,Hipótesis!$C$48*(1+Hipótesis!$D$45)^5)*(1+Hipótesis!$D$42),0)</f>
        <v>-7260</v>
      </c>
      <c r="BR44" s="109" t="n">
        <f aca="false">-IF(AND(68&gt;=Hipótesis!$D$48,Hipótesis!$B$48=1),IF(Hipótesis!$G$48=1,Hipótesis!$H$44,Hipótesis!$C$48*(1+Hipótesis!$D$45)^5)*(1+Hipótesis!$D$42),0)</f>
        <v>-7260</v>
      </c>
      <c r="BS44" s="109" t="n">
        <f aca="false">-IF(AND(69&gt;=Hipótesis!$D$48,Hipótesis!$B$48=1),IF(Hipótesis!$G$48=1,Hipótesis!$H$44,Hipótesis!$C$48*(1+Hipótesis!$D$45)^5)*(1+Hipótesis!$D$42),0)</f>
        <v>-7260</v>
      </c>
      <c r="BT44" s="109" t="n">
        <f aca="false">-IF(AND(70&gt;=Hipótesis!$D$48,Hipótesis!$B$48=1),IF(Hipótesis!$G$48=1,Hipótesis!$H$44,Hipótesis!$C$48*(1+Hipótesis!$D$45)^5)*(1+Hipótesis!$D$42),0)</f>
        <v>-7260</v>
      </c>
      <c r="BU44" s="109" t="n">
        <f aca="false">-IF(AND(71&gt;=Hipótesis!$D$48,Hipótesis!$B$48=1),IF(Hipótesis!$G$48=1,Hipótesis!$H$44,Hipótesis!$C$48*(1+Hipótesis!$D$45)^5)*(1+Hipótesis!$D$42),0)</f>
        <v>-7260</v>
      </c>
      <c r="BV44" s="109" t="n">
        <f aca="false">-IF(AND(72&gt;=Hipótesis!$D$48,Hipótesis!$B$48=1),IF(Hipótesis!$G$48=1,Hipótesis!$H$44,Hipótesis!$C$48*(1+Hipótesis!$D$45)^5)*(1+Hipótesis!$D$42),0)</f>
        <v>-7260</v>
      </c>
      <c r="BW44" s="109" t="n">
        <f aca="false">-IF(AND(73&gt;=Hipótesis!$D$48,Hipótesis!$B$48=1),IF(Hipótesis!$G$48=1,Hipótesis!$I$44,Hipótesis!$C$48*(1+Hipótesis!$D$45)^6)*(1+Hipótesis!$D$42),0)</f>
        <v>-7920</v>
      </c>
      <c r="BX44" s="109" t="n">
        <f aca="false">-IF(AND(74&gt;=Hipótesis!$D$48,Hipótesis!$B$48=1),IF(Hipótesis!$G$48=1,Hipótesis!$I$44,Hipótesis!$C$48*(1+Hipótesis!$D$45)^6)*(1+Hipótesis!$D$42),0)</f>
        <v>-7920</v>
      </c>
      <c r="BY44" s="109" t="n">
        <f aca="false">-IF(AND(75&gt;=Hipótesis!$D$48,Hipótesis!$B$48=1),IF(Hipótesis!$G$48=1,Hipótesis!$I$44,Hipótesis!$C$48*(1+Hipótesis!$D$45)^6)*(1+Hipótesis!$D$42),0)</f>
        <v>-7920</v>
      </c>
      <c r="BZ44" s="109" t="n">
        <f aca="false">-IF(AND(76&gt;=Hipótesis!$D$48,Hipótesis!$B$48=1),IF(Hipótesis!$G$48=1,Hipótesis!$I$44,Hipótesis!$C$48*(1+Hipótesis!$D$45)^6)*(1+Hipótesis!$D$42),0)</f>
        <v>-7920</v>
      </c>
      <c r="CA44" s="109" t="n">
        <f aca="false">-IF(AND(77&gt;=Hipótesis!$D$48,Hipótesis!$B$48=1),IF(Hipótesis!$G$48=1,Hipótesis!$I$44,Hipótesis!$C$48*(1+Hipótesis!$D$45)^6)*(1+Hipótesis!$D$42),0)</f>
        <v>-7920</v>
      </c>
      <c r="CB44" s="109" t="n">
        <f aca="false">-IF(AND(78&gt;=Hipótesis!$D$48,Hipótesis!$B$48=1),IF(Hipótesis!$G$48=1,Hipótesis!$I$44,Hipótesis!$C$48*(1+Hipótesis!$D$45)^6)*(1+Hipótesis!$D$42),0)</f>
        <v>-7920</v>
      </c>
      <c r="CC44" s="109" t="n">
        <f aca="false">-IF(AND(79&gt;=Hipótesis!$D$48,Hipótesis!$B$48=1),IF(Hipótesis!$G$48=1,Hipótesis!$I$44,Hipótesis!$C$48*(1+Hipótesis!$D$45)^6)*(1+Hipótesis!$D$42),0)</f>
        <v>-7920</v>
      </c>
      <c r="CD44" s="109" t="n">
        <f aca="false">-IF(AND(80&gt;=Hipótesis!$D$48,Hipótesis!$B$48=1),IF(Hipótesis!$G$48=1,Hipótesis!$I$44,Hipótesis!$C$48*(1+Hipótesis!$D$45)^6)*(1+Hipótesis!$D$42),0)</f>
        <v>-7920</v>
      </c>
      <c r="CE44" s="109" t="n">
        <f aca="false">-IF(AND(81&gt;=Hipótesis!$D$48,Hipótesis!$B$48=1),IF(Hipótesis!$G$48=1,Hipótesis!$I$44,Hipótesis!$C$48*(1+Hipótesis!$D$45)^6)*(1+Hipótesis!$D$42),0)</f>
        <v>-7920</v>
      </c>
      <c r="CF44" s="109" t="n">
        <f aca="false">-IF(AND(82&gt;=Hipótesis!$D$48,Hipótesis!$B$48=1),IF(Hipótesis!$G$48=1,Hipótesis!$I$44,Hipótesis!$C$48*(1+Hipótesis!$D$45)^6)*(1+Hipótesis!$D$42),0)</f>
        <v>-7920</v>
      </c>
      <c r="CG44" s="109" t="n">
        <f aca="false">-IF(AND(83&gt;=Hipótesis!$D$48,Hipótesis!$B$48=1),IF(Hipótesis!$G$48=1,Hipótesis!$I$44,Hipótesis!$C$48*(1+Hipótesis!$D$45)^6)*(1+Hipótesis!$D$42),0)</f>
        <v>-7920</v>
      </c>
      <c r="CH44" s="109" t="n">
        <f aca="false">-IF(AND(84&gt;=Hipótesis!$D$48,Hipótesis!$B$48=1),IF(Hipótesis!$G$48=1,Hipótesis!$I$44,Hipótesis!$C$48*(1+Hipótesis!$D$45)^6)*(1+Hipótesis!$D$42),0)</f>
        <v>-7920</v>
      </c>
    </row>
    <row r="45" customFormat="false" ht="13.5" hidden="false" customHeight="true" outlineLevel="0" collapsed="false">
      <c r="A45" s="6" t="s">
        <v>550</v>
      </c>
      <c r="C45" s="109" t="n">
        <f aca="false">-IF(AND(1&gt;=Hipótesis!$D$49,Hipótesis!$B$49=1),IF(Hipótesis!$G$49=1,Hipótesis!$C$44,Hipótesis!$C$49*(1+Hipótesis!$D$45)^0)*(1+Hipótesis!$D$42),0)</f>
        <v>-2904</v>
      </c>
      <c r="D45" s="109" t="n">
        <f aca="false">-IF(AND(2&gt;=Hipótesis!$D$49,Hipótesis!$B$49=1),IF(Hipótesis!$G$49=1,Hipótesis!$C$44,Hipótesis!$C$49*(1+Hipótesis!$D$45)^0)*(1+Hipótesis!$D$42),0)</f>
        <v>-2904</v>
      </c>
      <c r="E45" s="109" t="n">
        <f aca="false">-IF(AND(3&gt;=Hipótesis!$D$49,Hipótesis!$B$49=1),IF(Hipótesis!$G$49=1,Hipótesis!$C$44,Hipótesis!$C$49*(1+Hipótesis!$D$45)^0)*(1+Hipótesis!$D$42),0)</f>
        <v>-2904</v>
      </c>
      <c r="F45" s="109" t="n">
        <f aca="false">-IF(AND(4&gt;=Hipótesis!$D$49,Hipótesis!$B$49=1),IF(Hipótesis!$G$49=1,Hipótesis!$C$44,Hipótesis!$C$49*(1+Hipótesis!$D$45)^0)*(1+Hipótesis!$D$42),0)</f>
        <v>-2904</v>
      </c>
      <c r="G45" s="109" t="n">
        <f aca="false">-IF(AND(5&gt;=Hipótesis!$D$49,Hipótesis!$B$49=1),IF(Hipótesis!$G$49=1,Hipótesis!$C$44,Hipótesis!$C$49*(1+Hipótesis!$D$45)^0)*(1+Hipótesis!$D$42),0)</f>
        <v>-2904</v>
      </c>
      <c r="H45" s="109" t="n">
        <f aca="false">-IF(AND(6&gt;=Hipótesis!$D$49,Hipótesis!$B$49=1),IF(Hipótesis!$G$49=1,Hipótesis!$C$44,Hipótesis!$C$49*(1+Hipótesis!$D$45)^0)*(1+Hipótesis!$D$42),0)</f>
        <v>-2904</v>
      </c>
      <c r="I45" s="109" t="n">
        <f aca="false">-IF(AND(7&gt;=Hipótesis!$D$49,Hipótesis!$B$49=1),IF(Hipótesis!$G$49=1,Hipótesis!$C$44,Hipótesis!$C$49*(1+Hipótesis!$D$45)^0)*(1+Hipótesis!$D$42),0)</f>
        <v>-2904</v>
      </c>
      <c r="J45" s="109" t="n">
        <f aca="false">-IF(AND(8&gt;=Hipótesis!$D$49,Hipótesis!$B$49=1),IF(Hipótesis!$G$49=1,Hipótesis!$C$44,Hipótesis!$C$49*(1+Hipótesis!$D$45)^0)*(1+Hipótesis!$D$42),0)</f>
        <v>-2904</v>
      </c>
      <c r="K45" s="109" t="n">
        <f aca="false">-IF(AND(9&gt;=Hipótesis!$D$49,Hipótesis!$B$49=1),IF(Hipótesis!$G$49=1,Hipótesis!$C$44,Hipótesis!$C$49*(1+Hipótesis!$D$45)^0)*(1+Hipótesis!$D$42),0)</f>
        <v>-2904</v>
      </c>
      <c r="L45" s="109" t="n">
        <f aca="false">-IF(AND(10&gt;=Hipótesis!$D$49,Hipótesis!$B$49=1),IF(Hipótesis!$G$49=1,Hipótesis!$C$44,Hipótesis!$C$49*(1+Hipótesis!$D$45)^0)*(1+Hipótesis!$D$42),0)</f>
        <v>-2904</v>
      </c>
      <c r="M45" s="109" t="n">
        <f aca="false">-IF(AND(11&gt;=Hipótesis!$D$49,Hipótesis!$B$49=1),IF(Hipótesis!$G$49=1,Hipótesis!$C$44,Hipótesis!$C$49*(1+Hipótesis!$D$45)^0)*(1+Hipótesis!$D$42),0)</f>
        <v>-2904</v>
      </c>
      <c r="N45" s="109" t="n">
        <f aca="false">-IF(AND(12&gt;=Hipótesis!$D$49,Hipótesis!$B$49=1),IF(Hipótesis!$G$49=1,Hipótesis!$C$44,Hipótesis!$C$49*(1+Hipótesis!$D$45)^0)*(1+Hipótesis!$D$42),0)</f>
        <v>-2904</v>
      </c>
      <c r="O45" s="109" t="n">
        <f aca="false">-IF(AND(13&gt;=Hipótesis!$D$49,Hipótesis!$B$49=1),IF(Hipótesis!$G$49=1,Hipótesis!$D$44,Hipótesis!$C$49*(1+Hipótesis!$D$45)^1)*(1+Hipótesis!$D$42),0)</f>
        <v>-4620</v>
      </c>
      <c r="P45" s="109" t="n">
        <f aca="false">-IF(AND(14&gt;=Hipótesis!$D$49,Hipótesis!$B$49=1),IF(Hipótesis!$G$49=1,Hipótesis!$D$44,Hipótesis!$C$49*(1+Hipótesis!$D$45)^1)*(1+Hipótesis!$D$42),0)</f>
        <v>-4620</v>
      </c>
      <c r="Q45" s="109" t="n">
        <f aca="false">-IF(AND(15&gt;=Hipótesis!$D$49,Hipótesis!$B$49=1),IF(Hipótesis!$G$49=1,Hipótesis!$D$44,Hipótesis!$C$49*(1+Hipótesis!$D$45)^1)*(1+Hipótesis!$D$42),0)</f>
        <v>-4620</v>
      </c>
      <c r="R45" s="109" t="n">
        <f aca="false">-IF(AND(16&gt;=Hipótesis!$D$49,Hipótesis!$B$49=1),IF(Hipótesis!$G$49=1,Hipótesis!$D$44,Hipótesis!$C$49*(1+Hipótesis!$D$45)^1)*(1+Hipótesis!$D$42),0)</f>
        <v>-4620</v>
      </c>
      <c r="S45" s="109" t="n">
        <f aca="false">-IF(AND(17&gt;=Hipótesis!$D$49,Hipótesis!$B$49=1),IF(Hipótesis!$G$49=1,Hipótesis!$D$44,Hipótesis!$C$49*(1+Hipótesis!$D$45)^1)*(1+Hipótesis!$D$42),0)</f>
        <v>-4620</v>
      </c>
      <c r="T45" s="109" t="n">
        <f aca="false">-IF(AND(18&gt;=Hipótesis!$D$49,Hipótesis!$B$49=1),IF(Hipótesis!$G$49=1,Hipótesis!$D$44,Hipótesis!$C$49*(1+Hipótesis!$D$45)^1)*(1+Hipótesis!$D$42),0)</f>
        <v>-4620</v>
      </c>
      <c r="U45" s="109" t="n">
        <f aca="false">-IF(AND(19&gt;=Hipótesis!$D$49,Hipótesis!$B$49=1),IF(Hipótesis!$G$49=1,Hipótesis!$D$44,Hipótesis!$C$49*(1+Hipótesis!$D$45)^1)*(1+Hipótesis!$D$42),0)</f>
        <v>-4620</v>
      </c>
      <c r="V45" s="109" t="n">
        <f aca="false">-IF(AND(20&gt;=Hipótesis!$D$49,Hipótesis!$B$49=1),IF(Hipótesis!$G$49=1,Hipótesis!$D$44,Hipótesis!$C$49*(1+Hipótesis!$D$45)^1)*(1+Hipótesis!$D$42),0)</f>
        <v>-4620</v>
      </c>
      <c r="W45" s="109" t="n">
        <f aca="false">-IF(AND(21&gt;=Hipótesis!$D$49,Hipótesis!$B$49=1),IF(Hipótesis!$G$49=1,Hipótesis!$D$44,Hipótesis!$C$49*(1+Hipótesis!$D$45)^1)*(1+Hipótesis!$D$42),0)</f>
        <v>-4620</v>
      </c>
      <c r="X45" s="109" t="n">
        <f aca="false">-IF(AND(22&gt;=Hipótesis!$D$49,Hipótesis!$B$49=1),IF(Hipótesis!$G$49=1,Hipótesis!$D$44,Hipótesis!$C$49*(1+Hipótesis!$D$45)^1)*(1+Hipótesis!$D$42),0)</f>
        <v>-4620</v>
      </c>
      <c r="Y45" s="109" t="n">
        <f aca="false">-IF(AND(23&gt;=Hipótesis!$D$49,Hipótesis!$B$49=1),IF(Hipótesis!$G$49=1,Hipótesis!$D$44,Hipótesis!$C$49*(1+Hipótesis!$D$45)^1)*(1+Hipótesis!$D$42),0)</f>
        <v>-4620</v>
      </c>
      <c r="Z45" s="109" t="n">
        <f aca="false">-IF(AND(24&gt;=Hipótesis!$D$49,Hipótesis!$B$49=1),IF(Hipótesis!$G$49=1,Hipótesis!$D$44,Hipótesis!$C$49*(1+Hipótesis!$D$45)^1)*(1+Hipótesis!$D$42),0)</f>
        <v>-4620</v>
      </c>
      <c r="AA45" s="109" t="n">
        <f aca="false">-IF(AND(25&gt;=Hipótesis!$D$49,Hipótesis!$B$49=1),IF(Hipótesis!$G$49=1,Hipótesis!$E$44,Hipótesis!$C$49*(1+Hipótesis!$D$45)^2)*(1+Hipótesis!$D$42),0)</f>
        <v>-5280</v>
      </c>
      <c r="AB45" s="109" t="n">
        <f aca="false">-IF(AND(26&gt;=Hipótesis!$D$49,Hipótesis!$B$49=1),IF(Hipótesis!$G$49=1,Hipótesis!$E$44,Hipótesis!$C$49*(1+Hipótesis!$D$45)^2)*(1+Hipótesis!$D$42),0)</f>
        <v>-5280</v>
      </c>
      <c r="AC45" s="109" t="n">
        <f aca="false">-IF(AND(27&gt;=Hipótesis!$D$49,Hipótesis!$B$49=1),IF(Hipótesis!$G$49=1,Hipótesis!$E$44,Hipótesis!$C$49*(1+Hipótesis!$D$45)^2)*(1+Hipótesis!$D$42),0)</f>
        <v>-5280</v>
      </c>
      <c r="AD45" s="109" t="n">
        <f aca="false">-IF(AND(28&gt;=Hipótesis!$D$49,Hipótesis!$B$49=1),IF(Hipótesis!$G$49=1,Hipótesis!$E$44,Hipótesis!$C$49*(1+Hipótesis!$D$45)^2)*(1+Hipótesis!$D$42),0)</f>
        <v>-5280</v>
      </c>
      <c r="AE45" s="109" t="n">
        <f aca="false">-IF(AND(29&gt;=Hipótesis!$D$49,Hipótesis!$B$49=1),IF(Hipótesis!$G$49=1,Hipótesis!$E$44,Hipótesis!$C$49*(1+Hipótesis!$D$45)^2)*(1+Hipótesis!$D$42),0)</f>
        <v>-5280</v>
      </c>
      <c r="AF45" s="109" t="n">
        <f aca="false">-IF(AND(30&gt;=Hipótesis!$D$49,Hipótesis!$B$49=1),IF(Hipótesis!$G$49=1,Hipótesis!$E$44,Hipótesis!$C$49*(1+Hipótesis!$D$45)^2)*(1+Hipótesis!$D$42),0)</f>
        <v>-5280</v>
      </c>
      <c r="AG45" s="109" t="n">
        <f aca="false">-IF(AND(31&gt;=Hipótesis!$D$49,Hipótesis!$B$49=1),IF(Hipótesis!$G$49=1,Hipótesis!$E$44,Hipótesis!$C$49*(1+Hipótesis!$D$45)^2)*(1+Hipótesis!$D$42),0)</f>
        <v>-5280</v>
      </c>
      <c r="AH45" s="109" t="n">
        <f aca="false">-IF(AND(32&gt;=Hipótesis!$D$49,Hipótesis!$B$49=1),IF(Hipótesis!$G$49=1,Hipótesis!$E$44,Hipótesis!$C$49*(1+Hipótesis!$D$45)^2)*(1+Hipótesis!$D$42),0)</f>
        <v>-5280</v>
      </c>
      <c r="AI45" s="109" t="n">
        <f aca="false">-IF(AND(33&gt;=Hipótesis!$D$49,Hipótesis!$B$49=1),IF(Hipótesis!$G$49=1,Hipótesis!$E$44,Hipótesis!$C$49*(1+Hipótesis!$D$45)^2)*(1+Hipótesis!$D$42),0)</f>
        <v>-5280</v>
      </c>
      <c r="AJ45" s="109" t="n">
        <f aca="false">-IF(AND(34&gt;=Hipótesis!$D$49,Hipótesis!$B$49=1),IF(Hipótesis!$G$49=1,Hipótesis!$E$44,Hipótesis!$C$49*(1+Hipótesis!$D$45)^2)*(1+Hipótesis!$D$42),0)</f>
        <v>-5280</v>
      </c>
      <c r="AK45" s="109" t="n">
        <f aca="false">-IF(AND(35&gt;=Hipótesis!$D$49,Hipótesis!$B$49=1),IF(Hipótesis!$G$49=1,Hipótesis!$E$44,Hipótesis!$C$49*(1+Hipótesis!$D$45)^2)*(1+Hipótesis!$D$42),0)</f>
        <v>-5280</v>
      </c>
      <c r="AL45" s="109" t="n">
        <f aca="false">-IF(AND(36&gt;=Hipótesis!$D$49,Hipótesis!$B$49=1),IF(Hipótesis!$G$49=1,Hipótesis!$E$44,Hipótesis!$C$49*(1+Hipótesis!$D$45)^2)*(1+Hipótesis!$D$42),0)</f>
        <v>-5280</v>
      </c>
      <c r="AM45" s="109" t="n">
        <f aca="false">-IF(AND(37&gt;=Hipótesis!$D$49,Hipótesis!$B$49=1),IF(Hipótesis!$G$49=1,Hipótesis!$F$44,Hipótesis!$C$49*(1+Hipótesis!$D$45)^3)*(1+Hipótesis!$D$42),0)</f>
        <v>-5940</v>
      </c>
      <c r="AN45" s="109" t="n">
        <f aca="false">-IF(AND(38&gt;=Hipótesis!$D$49,Hipótesis!$B$49=1),IF(Hipótesis!$G$49=1,Hipótesis!$F$44,Hipótesis!$C$49*(1+Hipótesis!$D$45)^3)*(1+Hipótesis!$D$42),0)</f>
        <v>-5940</v>
      </c>
      <c r="AO45" s="109" t="n">
        <f aca="false">-IF(AND(39&gt;=Hipótesis!$D$49,Hipótesis!$B$49=1),IF(Hipótesis!$G$49=1,Hipótesis!$F$44,Hipótesis!$C$49*(1+Hipótesis!$D$45)^3)*(1+Hipótesis!$D$42),0)</f>
        <v>-5940</v>
      </c>
      <c r="AP45" s="109" t="n">
        <f aca="false">-IF(AND(40&gt;=Hipótesis!$D$49,Hipótesis!$B$49=1),IF(Hipótesis!$G$49=1,Hipótesis!$F$44,Hipótesis!$C$49*(1+Hipótesis!$D$45)^3)*(1+Hipótesis!$D$42),0)</f>
        <v>-5940</v>
      </c>
      <c r="AQ45" s="109" t="n">
        <f aca="false">-IF(AND(41&gt;=Hipótesis!$D$49,Hipótesis!$B$49=1),IF(Hipótesis!$G$49=1,Hipótesis!$F$44,Hipótesis!$C$49*(1+Hipótesis!$D$45)^3)*(1+Hipótesis!$D$42),0)</f>
        <v>-5940</v>
      </c>
      <c r="AR45" s="109" t="n">
        <f aca="false">-IF(AND(42&gt;=Hipótesis!$D$49,Hipótesis!$B$49=1),IF(Hipótesis!$G$49=1,Hipótesis!$F$44,Hipótesis!$C$49*(1+Hipótesis!$D$45)^3)*(1+Hipótesis!$D$42),0)</f>
        <v>-5940</v>
      </c>
      <c r="AS45" s="109" t="n">
        <f aca="false">-IF(AND(43&gt;=Hipótesis!$D$49,Hipótesis!$B$49=1),IF(Hipótesis!$G$49=1,Hipótesis!$F$44,Hipótesis!$C$49*(1+Hipótesis!$D$45)^3)*(1+Hipótesis!$D$42),0)</f>
        <v>-5940</v>
      </c>
      <c r="AT45" s="109" t="n">
        <f aca="false">-IF(AND(44&gt;=Hipótesis!$D$49,Hipótesis!$B$49=1),IF(Hipótesis!$G$49=1,Hipótesis!$F$44,Hipótesis!$C$49*(1+Hipótesis!$D$45)^3)*(1+Hipótesis!$D$42),0)</f>
        <v>-5940</v>
      </c>
      <c r="AU45" s="109" t="n">
        <f aca="false">-IF(AND(45&gt;=Hipótesis!$D$49,Hipótesis!$B$49=1),IF(Hipótesis!$G$49=1,Hipótesis!$F$44,Hipótesis!$C$49*(1+Hipótesis!$D$45)^3)*(1+Hipótesis!$D$42),0)</f>
        <v>-5940</v>
      </c>
      <c r="AV45" s="109" t="n">
        <f aca="false">-IF(AND(46&gt;=Hipótesis!$D$49,Hipótesis!$B$49=1),IF(Hipótesis!$G$49=1,Hipótesis!$F$44,Hipótesis!$C$49*(1+Hipótesis!$D$45)^3)*(1+Hipótesis!$D$42),0)</f>
        <v>-5940</v>
      </c>
      <c r="AW45" s="109" t="n">
        <f aca="false">-IF(AND(47&gt;=Hipótesis!$D$49,Hipótesis!$B$49=1),IF(Hipótesis!$G$49=1,Hipótesis!$F$44,Hipótesis!$C$49*(1+Hipótesis!$D$45)^3)*(1+Hipótesis!$D$42),0)</f>
        <v>-5940</v>
      </c>
      <c r="AX45" s="109" t="n">
        <f aca="false">-IF(AND(48&gt;=Hipótesis!$D$49,Hipótesis!$B$49=1),IF(Hipótesis!$G$49=1,Hipótesis!$F$44,Hipótesis!$C$49*(1+Hipótesis!$D$45)^3)*(1+Hipótesis!$D$42),0)</f>
        <v>-5940</v>
      </c>
      <c r="AY45" s="109" t="n">
        <f aca="false">-IF(AND(49&gt;=Hipótesis!$D$49,Hipótesis!$B$49=1),IF(Hipótesis!$G$49=1,Hipótesis!$G$44,Hipótesis!$C$49*(1+Hipótesis!$D$45)^4)*(1+Hipótesis!$D$42),0)</f>
        <v>-6600</v>
      </c>
      <c r="AZ45" s="109" t="n">
        <f aca="false">-IF(AND(50&gt;=Hipótesis!$D$49,Hipótesis!$B$49=1),IF(Hipótesis!$G$49=1,Hipótesis!$G$44,Hipótesis!$C$49*(1+Hipótesis!$D$45)^4)*(1+Hipótesis!$D$42),0)</f>
        <v>-6600</v>
      </c>
      <c r="BA45" s="109" t="n">
        <f aca="false">-IF(AND(51&gt;=Hipótesis!$D$49,Hipótesis!$B$49=1),IF(Hipótesis!$G$49=1,Hipótesis!$G$44,Hipótesis!$C$49*(1+Hipótesis!$D$45)^4)*(1+Hipótesis!$D$42),0)</f>
        <v>-6600</v>
      </c>
      <c r="BB45" s="109" t="n">
        <f aca="false">-IF(AND(52&gt;=Hipótesis!$D$49,Hipótesis!$B$49=1),IF(Hipótesis!$G$49=1,Hipótesis!$G$44,Hipótesis!$C$49*(1+Hipótesis!$D$45)^4)*(1+Hipótesis!$D$42),0)</f>
        <v>-6600</v>
      </c>
      <c r="BC45" s="109" t="n">
        <f aca="false">-IF(AND(53&gt;=Hipótesis!$D$49,Hipótesis!$B$49=1),IF(Hipótesis!$G$49=1,Hipótesis!$G$44,Hipótesis!$C$49*(1+Hipótesis!$D$45)^4)*(1+Hipótesis!$D$42),0)</f>
        <v>-6600</v>
      </c>
      <c r="BD45" s="109" t="n">
        <f aca="false">-IF(AND(54&gt;=Hipótesis!$D$49,Hipótesis!$B$49=1),IF(Hipótesis!$G$49=1,Hipótesis!$G$44,Hipótesis!$C$49*(1+Hipótesis!$D$45)^4)*(1+Hipótesis!$D$42),0)</f>
        <v>-6600</v>
      </c>
      <c r="BE45" s="109" t="n">
        <f aca="false">-IF(AND(55&gt;=Hipótesis!$D$49,Hipótesis!$B$49=1),IF(Hipótesis!$G$49=1,Hipótesis!$G$44,Hipótesis!$C$49*(1+Hipótesis!$D$45)^4)*(1+Hipótesis!$D$42),0)</f>
        <v>-6600</v>
      </c>
      <c r="BF45" s="109" t="n">
        <f aca="false">-IF(AND(56&gt;=Hipótesis!$D$49,Hipótesis!$B$49=1),IF(Hipótesis!$G$49=1,Hipótesis!$G$44,Hipótesis!$C$49*(1+Hipótesis!$D$45)^4)*(1+Hipótesis!$D$42),0)</f>
        <v>-6600</v>
      </c>
      <c r="BG45" s="109" t="n">
        <f aca="false">-IF(AND(57&gt;=Hipótesis!$D$49,Hipótesis!$B$49=1),IF(Hipótesis!$G$49=1,Hipótesis!$G$44,Hipótesis!$C$49*(1+Hipótesis!$D$45)^4)*(1+Hipótesis!$D$42),0)</f>
        <v>-6600</v>
      </c>
      <c r="BH45" s="109" t="n">
        <f aca="false">-IF(AND(58&gt;=Hipótesis!$D$49,Hipótesis!$B$49=1),IF(Hipótesis!$G$49=1,Hipótesis!$G$44,Hipótesis!$C$49*(1+Hipótesis!$D$45)^4)*(1+Hipótesis!$D$42),0)</f>
        <v>-6600</v>
      </c>
      <c r="BI45" s="109" t="n">
        <f aca="false">-IF(AND(59&gt;=Hipótesis!$D$49,Hipótesis!$B$49=1),IF(Hipótesis!$G$49=1,Hipótesis!$G$44,Hipótesis!$C$49*(1+Hipótesis!$D$45)^4)*(1+Hipótesis!$D$42),0)</f>
        <v>-6600</v>
      </c>
      <c r="BJ45" s="109" t="n">
        <f aca="false">-IF(AND(60&gt;=Hipótesis!$D$49,Hipótesis!$B$49=1),IF(Hipótesis!$G$49=1,Hipótesis!$G$44,Hipótesis!$C$49*(1+Hipótesis!$D$45)^4)*(1+Hipótesis!$D$42),0)</f>
        <v>-6600</v>
      </c>
      <c r="BK45" s="109" t="n">
        <f aca="false">-IF(AND(61&gt;=Hipótesis!$D$49,Hipótesis!$B$49=1),IF(Hipótesis!$G$49=1,Hipótesis!$H$44,Hipótesis!$C$49*(1+Hipótesis!$D$45)^5)*(1+Hipótesis!$D$42),0)</f>
        <v>-7260</v>
      </c>
      <c r="BL45" s="109" t="n">
        <f aca="false">-IF(AND(62&gt;=Hipótesis!$D$49,Hipótesis!$B$49=1),IF(Hipótesis!$G$49=1,Hipótesis!$H$44,Hipótesis!$C$49*(1+Hipótesis!$D$45)^5)*(1+Hipótesis!$D$42),0)</f>
        <v>-7260</v>
      </c>
      <c r="BM45" s="109" t="n">
        <f aca="false">-IF(AND(63&gt;=Hipótesis!$D$49,Hipótesis!$B$49=1),IF(Hipótesis!$G$49=1,Hipótesis!$H$44,Hipótesis!$C$49*(1+Hipótesis!$D$45)^5)*(1+Hipótesis!$D$42),0)</f>
        <v>-7260</v>
      </c>
      <c r="BN45" s="109" t="n">
        <f aca="false">-IF(AND(64&gt;=Hipótesis!$D$49,Hipótesis!$B$49=1),IF(Hipótesis!$G$49=1,Hipótesis!$H$44,Hipótesis!$C$49*(1+Hipótesis!$D$45)^5)*(1+Hipótesis!$D$42),0)</f>
        <v>-7260</v>
      </c>
      <c r="BO45" s="109" t="n">
        <f aca="false">-IF(AND(65&gt;=Hipótesis!$D$49,Hipótesis!$B$49=1),IF(Hipótesis!$G$49=1,Hipótesis!$H$44,Hipótesis!$C$49*(1+Hipótesis!$D$45)^5)*(1+Hipótesis!$D$42),0)</f>
        <v>-7260</v>
      </c>
      <c r="BP45" s="109" t="n">
        <f aca="false">-IF(AND(66&gt;=Hipótesis!$D$49,Hipótesis!$B$49=1),IF(Hipótesis!$G$49=1,Hipótesis!$H$44,Hipótesis!$C$49*(1+Hipótesis!$D$45)^5)*(1+Hipótesis!$D$42),0)</f>
        <v>-7260</v>
      </c>
      <c r="BQ45" s="109" t="n">
        <f aca="false">-IF(AND(67&gt;=Hipótesis!$D$49,Hipótesis!$B$49=1),IF(Hipótesis!$G$49=1,Hipótesis!$H$44,Hipótesis!$C$49*(1+Hipótesis!$D$45)^5)*(1+Hipótesis!$D$42),0)</f>
        <v>-7260</v>
      </c>
      <c r="BR45" s="109" t="n">
        <f aca="false">-IF(AND(68&gt;=Hipótesis!$D$49,Hipótesis!$B$49=1),IF(Hipótesis!$G$49=1,Hipótesis!$H$44,Hipótesis!$C$49*(1+Hipótesis!$D$45)^5)*(1+Hipótesis!$D$42),0)</f>
        <v>-7260</v>
      </c>
      <c r="BS45" s="109" t="n">
        <f aca="false">-IF(AND(69&gt;=Hipótesis!$D$49,Hipótesis!$B$49=1),IF(Hipótesis!$G$49=1,Hipótesis!$H$44,Hipótesis!$C$49*(1+Hipótesis!$D$45)^5)*(1+Hipótesis!$D$42),0)</f>
        <v>-7260</v>
      </c>
      <c r="BT45" s="109" t="n">
        <f aca="false">-IF(AND(70&gt;=Hipótesis!$D$49,Hipótesis!$B$49=1),IF(Hipótesis!$G$49=1,Hipótesis!$H$44,Hipótesis!$C$49*(1+Hipótesis!$D$45)^5)*(1+Hipótesis!$D$42),0)</f>
        <v>-7260</v>
      </c>
      <c r="BU45" s="109" t="n">
        <f aca="false">-IF(AND(71&gt;=Hipótesis!$D$49,Hipótesis!$B$49=1),IF(Hipótesis!$G$49=1,Hipótesis!$H$44,Hipótesis!$C$49*(1+Hipótesis!$D$45)^5)*(1+Hipótesis!$D$42),0)</f>
        <v>-7260</v>
      </c>
      <c r="BV45" s="109" t="n">
        <f aca="false">-IF(AND(72&gt;=Hipótesis!$D$49,Hipótesis!$B$49=1),IF(Hipótesis!$G$49=1,Hipótesis!$H$44,Hipótesis!$C$49*(1+Hipótesis!$D$45)^5)*(1+Hipótesis!$D$42),0)</f>
        <v>-7260</v>
      </c>
      <c r="BW45" s="109" t="n">
        <f aca="false">-IF(AND(73&gt;=Hipótesis!$D$49,Hipótesis!$B$49=1),IF(Hipótesis!$G$49=1,Hipótesis!$I$44,Hipótesis!$C$49*(1+Hipótesis!$D$45)^6)*(1+Hipótesis!$D$42),0)</f>
        <v>-7920</v>
      </c>
      <c r="BX45" s="109" t="n">
        <f aca="false">-IF(AND(74&gt;=Hipótesis!$D$49,Hipótesis!$B$49=1),IF(Hipótesis!$G$49=1,Hipótesis!$I$44,Hipótesis!$C$49*(1+Hipótesis!$D$45)^6)*(1+Hipótesis!$D$42),0)</f>
        <v>-7920</v>
      </c>
      <c r="BY45" s="109" t="n">
        <f aca="false">-IF(AND(75&gt;=Hipótesis!$D$49,Hipótesis!$B$49=1),IF(Hipótesis!$G$49=1,Hipótesis!$I$44,Hipótesis!$C$49*(1+Hipótesis!$D$45)^6)*(1+Hipótesis!$D$42),0)</f>
        <v>-7920</v>
      </c>
      <c r="BZ45" s="109" t="n">
        <f aca="false">-IF(AND(76&gt;=Hipótesis!$D$49,Hipótesis!$B$49=1),IF(Hipótesis!$G$49=1,Hipótesis!$I$44,Hipótesis!$C$49*(1+Hipótesis!$D$45)^6)*(1+Hipótesis!$D$42),0)</f>
        <v>-7920</v>
      </c>
      <c r="CA45" s="109" t="n">
        <f aca="false">-IF(AND(77&gt;=Hipótesis!$D$49,Hipótesis!$B$49=1),IF(Hipótesis!$G$49=1,Hipótesis!$I$44,Hipótesis!$C$49*(1+Hipótesis!$D$45)^6)*(1+Hipótesis!$D$42),0)</f>
        <v>-7920</v>
      </c>
      <c r="CB45" s="109" t="n">
        <f aca="false">-IF(AND(78&gt;=Hipótesis!$D$49,Hipótesis!$B$49=1),IF(Hipótesis!$G$49=1,Hipótesis!$I$44,Hipótesis!$C$49*(1+Hipótesis!$D$45)^6)*(1+Hipótesis!$D$42),0)</f>
        <v>-7920</v>
      </c>
      <c r="CC45" s="109" t="n">
        <f aca="false">-IF(AND(79&gt;=Hipótesis!$D$49,Hipótesis!$B$49=1),IF(Hipótesis!$G$49=1,Hipótesis!$I$44,Hipótesis!$C$49*(1+Hipótesis!$D$45)^6)*(1+Hipótesis!$D$42),0)</f>
        <v>-7920</v>
      </c>
      <c r="CD45" s="109" t="n">
        <f aca="false">-IF(AND(80&gt;=Hipótesis!$D$49,Hipótesis!$B$49=1),IF(Hipótesis!$G$49=1,Hipótesis!$I$44,Hipótesis!$C$49*(1+Hipótesis!$D$45)^6)*(1+Hipótesis!$D$42),0)</f>
        <v>-7920</v>
      </c>
      <c r="CE45" s="109" t="n">
        <f aca="false">-IF(AND(81&gt;=Hipótesis!$D$49,Hipótesis!$B$49=1),IF(Hipótesis!$G$49=1,Hipótesis!$I$44,Hipótesis!$C$49*(1+Hipótesis!$D$45)^6)*(1+Hipótesis!$D$42),0)</f>
        <v>-7920</v>
      </c>
      <c r="CF45" s="109" t="n">
        <f aca="false">-IF(AND(82&gt;=Hipótesis!$D$49,Hipótesis!$B$49=1),IF(Hipótesis!$G$49=1,Hipótesis!$I$44,Hipótesis!$C$49*(1+Hipótesis!$D$45)^6)*(1+Hipótesis!$D$42),0)</f>
        <v>-7920</v>
      </c>
      <c r="CG45" s="109" t="n">
        <f aca="false">-IF(AND(83&gt;=Hipótesis!$D$49,Hipótesis!$B$49=1),IF(Hipótesis!$G$49=1,Hipótesis!$I$44,Hipótesis!$C$49*(1+Hipótesis!$D$45)^6)*(1+Hipótesis!$D$42),0)</f>
        <v>-7920</v>
      </c>
      <c r="CH45" s="109" t="n">
        <f aca="false">-IF(AND(84&gt;=Hipótesis!$D$49,Hipótesis!$B$49=1),IF(Hipótesis!$G$49=1,Hipótesis!$I$44,Hipótesis!$C$49*(1+Hipótesis!$D$45)^6)*(1+Hipótesis!$D$42),0)</f>
        <v>-7920</v>
      </c>
    </row>
    <row r="46" customFormat="false" ht="13.5" hidden="false" customHeight="true" outlineLevel="0" collapsed="false">
      <c r="A46" s="6" t="s">
        <v>551</v>
      </c>
      <c r="C46" s="109" t="n">
        <f aca="false">-IF(AND(1&gt;=Hipótesis!$D$50,Hipótesis!$B$50=1),IF(Hipótesis!$G$50=1,Hipótesis!$C$44,Hipótesis!$C$50*(1+Hipótesis!$D$45)^0)*(1+Hipótesis!$D$42),0)</f>
        <v>-2904</v>
      </c>
      <c r="D46" s="109" t="n">
        <f aca="false">-IF(AND(2&gt;=Hipótesis!$D$50,Hipótesis!$B$50=1),IF(Hipótesis!$G$50=1,Hipótesis!$C$44,Hipótesis!$C$50*(1+Hipótesis!$D$45)^0)*(1+Hipótesis!$D$42),0)</f>
        <v>-2904</v>
      </c>
      <c r="E46" s="109" t="n">
        <f aca="false">-IF(AND(3&gt;=Hipótesis!$D$50,Hipótesis!$B$50=1),IF(Hipótesis!$G$50=1,Hipótesis!$C$44,Hipótesis!$C$50*(1+Hipótesis!$D$45)^0)*(1+Hipótesis!$D$42),0)</f>
        <v>-2904</v>
      </c>
      <c r="F46" s="109" t="n">
        <f aca="false">-IF(AND(4&gt;=Hipótesis!$D$50,Hipótesis!$B$50=1),IF(Hipótesis!$G$50=1,Hipótesis!$C$44,Hipótesis!$C$50*(1+Hipótesis!$D$45)^0)*(1+Hipótesis!$D$42),0)</f>
        <v>-2904</v>
      </c>
      <c r="G46" s="109" t="n">
        <f aca="false">-IF(AND(5&gt;=Hipótesis!$D$50,Hipótesis!$B$50=1),IF(Hipótesis!$G$50=1,Hipótesis!$C$44,Hipótesis!$C$50*(1+Hipótesis!$D$45)^0)*(1+Hipótesis!$D$42),0)</f>
        <v>-2904</v>
      </c>
      <c r="H46" s="109" t="n">
        <f aca="false">-IF(AND(6&gt;=Hipótesis!$D$50,Hipótesis!$B$50=1),IF(Hipótesis!$G$50=1,Hipótesis!$C$44,Hipótesis!$C$50*(1+Hipótesis!$D$45)^0)*(1+Hipótesis!$D$42),0)</f>
        <v>-2904</v>
      </c>
      <c r="I46" s="109" t="n">
        <f aca="false">-IF(AND(7&gt;=Hipótesis!$D$50,Hipótesis!$B$50=1),IF(Hipótesis!$G$50=1,Hipótesis!$C$44,Hipótesis!$C$50*(1+Hipótesis!$D$45)^0)*(1+Hipótesis!$D$42),0)</f>
        <v>-2904</v>
      </c>
      <c r="J46" s="109" t="n">
        <f aca="false">-IF(AND(8&gt;=Hipótesis!$D$50,Hipótesis!$B$50=1),IF(Hipótesis!$G$50=1,Hipótesis!$C$44,Hipótesis!$C$50*(1+Hipótesis!$D$45)^0)*(1+Hipótesis!$D$42),0)</f>
        <v>-2904</v>
      </c>
      <c r="K46" s="109" t="n">
        <f aca="false">-IF(AND(9&gt;=Hipótesis!$D$50,Hipótesis!$B$50=1),IF(Hipótesis!$G$50=1,Hipótesis!$C$44,Hipótesis!$C$50*(1+Hipótesis!$D$45)^0)*(1+Hipótesis!$D$42),0)</f>
        <v>-2904</v>
      </c>
      <c r="L46" s="109" t="n">
        <f aca="false">-IF(AND(10&gt;=Hipótesis!$D$50,Hipótesis!$B$50=1),IF(Hipótesis!$G$50=1,Hipótesis!$C$44,Hipótesis!$C$50*(1+Hipótesis!$D$45)^0)*(1+Hipótesis!$D$42),0)</f>
        <v>-2904</v>
      </c>
      <c r="M46" s="109" t="n">
        <f aca="false">-IF(AND(11&gt;=Hipótesis!$D$50,Hipótesis!$B$50=1),IF(Hipótesis!$G$50=1,Hipótesis!$C$44,Hipótesis!$C$50*(1+Hipótesis!$D$45)^0)*(1+Hipótesis!$D$42),0)</f>
        <v>-2904</v>
      </c>
      <c r="N46" s="109" t="n">
        <f aca="false">-IF(AND(12&gt;=Hipótesis!$D$50,Hipótesis!$B$50=1),IF(Hipótesis!$G$50=1,Hipótesis!$C$44,Hipótesis!$C$50*(1+Hipótesis!$D$45)^0)*(1+Hipótesis!$D$42),0)</f>
        <v>-2904</v>
      </c>
      <c r="O46" s="109" t="n">
        <f aca="false">-IF(AND(13&gt;=Hipótesis!$D$50,Hipótesis!$B$50=1),IF(Hipótesis!$G$50=1,Hipótesis!$D$44,Hipótesis!$C$50*(1+Hipótesis!$D$45)^1)*(1+Hipótesis!$D$42),0)</f>
        <v>-4620</v>
      </c>
      <c r="P46" s="109" t="n">
        <f aca="false">-IF(AND(14&gt;=Hipótesis!$D$50,Hipótesis!$B$50=1),IF(Hipótesis!$G$50=1,Hipótesis!$D$44,Hipótesis!$C$50*(1+Hipótesis!$D$45)^1)*(1+Hipótesis!$D$42),0)</f>
        <v>-4620</v>
      </c>
      <c r="Q46" s="109" t="n">
        <f aca="false">-IF(AND(15&gt;=Hipótesis!$D$50,Hipótesis!$B$50=1),IF(Hipótesis!$G$50=1,Hipótesis!$D$44,Hipótesis!$C$50*(1+Hipótesis!$D$45)^1)*(1+Hipótesis!$D$42),0)</f>
        <v>-4620</v>
      </c>
      <c r="R46" s="109" t="n">
        <f aca="false">-IF(AND(16&gt;=Hipótesis!$D$50,Hipótesis!$B$50=1),IF(Hipótesis!$G$50=1,Hipótesis!$D$44,Hipótesis!$C$50*(1+Hipótesis!$D$45)^1)*(1+Hipótesis!$D$42),0)</f>
        <v>-4620</v>
      </c>
      <c r="S46" s="109" t="n">
        <f aca="false">-IF(AND(17&gt;=Hipótesis!$D$50,Hipótesis!$B$50=1),IF(Hipótesis!$G$50=1,Hipótesis!$D$44,Hipótesis!$C$50*(1+Hipótesis!$D$45)^1)*(1+Hipótesis!$D$42),0)</f>
        <v>-4620</v>
      </c>
      <c r="T46" s="109" t="n">
        <f aca="false">-IF(AND(18&gt;=Hipótesis!$D$50,Hipótesis!$B$50=1),IF(Hipótesis!$G$50=1,Hipótesis!$D$44,Hipótesis!$C$50*(1+Hipótesis!$D$45)^1)*(1+Hipótesis!$D$42),0)</f>
        <v>-4620</v>
      </c>
      <c r="U46" s="109" t="n">
        <f aca="false">-IF(AND(19&gt;=Hipótesis!$D$50,Hipótesis!$B$50=1),IF(Hipótesis!$G$50=1,Hipótesis!$D$44,Hipótesis!$C$50*(1+Hipótesis!$D$45)^1)*(1+Hipótesis!$D$42),0)</f>
        <v>-4620</v>
      </c>
      <c r="V46" s="109" t="n">
        <f aca="false">-IF(AND(20&gt;=Hipótesis!$D$50,Hipótesis!$B$50=1),IF(Hipótesis!$G$50=1,Hipótesis!$D$44,Hipótesis!$C$50*(1+Hipótesis!$D$45)^1)*(1+Hipótesis!$D$42),0)</f>
        <v>-4620</v>
      </c>
      <c r="W46" s="109" t="n">
        <f aca="false">-IF(AND(21&gt;=Hipótesis!$D$50,Hipótesis!$B$50=1),IF(Hipótesis!$G$50=1,Hipótesis!$D$44,Hipótesis!$C$50*(1+Hipótesis!$D$45)^1)*(1+Hipótesis!$D$42),0)</f>
        <v>-4620</v>
      </c>
      <c r="X46" s="109" t="n">
        <f aca="false">-IF(AND(22&gt;=Hipótesis!$D$50,Hipótesis!$B$50=1),IF(Hipótesis!$G$50=1,Hipótesis!$D$44,Hipótesis!$C$50*(1+Hipótesis!$D$45)^1)*(1+Hipótesis!$D$42),0)</f>
        <v>-4620</v>
      </c>
      <c r="Y46" s="109" t="n">
        <f aca="false">-IF(AND(23&gt;=Hipótesis!$D$50,Hipótesis!$B$50=1),IF(Hipótesis!$G$50=1,Hipótesis!$D$44,Hipótesis!$C$50*(1+Hipótesis!$D$45)^1)*(1+Hipótesis!$D$42),0)</f>
        <v>-4620</v>
      </c>
      <c r="Z46" s="109" t="n">
        <f aca="false">-IF(AND(24&gt;=Hipótesis!$D$50,Hipótesis!$B$50=1),IF(Hipótesis!$G$50=1,Hipótesis!$D$44,Hipótesis!$C$50*(1+Hipótesis!$D$45)^1)*(1+Hipótesis!$D$42),0)</f>
        <v>-4620</v>
      </c>
      <c r="AA46" s="109" t="n">
        <f aca="false">-IF(AND(25&gt;=Hipótesis!$D$50,Hipótesis!$B$50=1),IF(Hipótesis!$G$50=1,Hipótesis!$E$44,Hipótesis!$C$50*(1+Hipótesis!$D$45)^2)*(1+Hipótesis!$D$42),0)</f>
        <v>-5280</v>
      </c>
      <c r="AB46" s="109" t="n">
        <f aca="false">-IF(AND(26&gt;=Hipótesis!$D$50,Hipótesis!$B$50=1),IF(Hipótesis!$G$50=1,Hipótesis!$E$44,Hipótesis!$C$50*(1+Hipótesis!$D$45)^2)*(1+Hipótesis!$D$42),0)</f>
        <v>-5280</v>
      </c>
      <c r="AC46" s="109" t="n">
        <f aca="false">-IF(AND(27&gt;=Hipótesis!$D$50,Hipótesis!$B$50=1),IF(Hipótesis!$G$50=1,Hipótesis!$E$44,Hipótesis!$C$50*(1+Hipótesis!$D$45)^2)*(1+Hipótesis!$D$42),0)</f>
        <v>-5280</v>
      </c>
      <c r="AD46" s="109" t="n">
        <f aca="false">-IF(AND(28&gt;=Hipótesis!$D$50,Hipótesis!$B$50=1),IF(Hipótesis!$G$50=1,Hipótesis!$E$44,Hipótesis!$C$50*(1+Hipótesis!$D$45)^2)*(1+Hipótesis!$D$42),0)</f>
        <v>-5280</v>
      </c>
      <c r="AE46" s="109" t="n">
        <f aca="false">-IF(AND(29&gt;=Hipótesis!$D$50,Hipótesis!$B$50=1),IF(Hipótesis!$G$50=1,Hipótesis!$E$44,Hipótesis!$C$50*(1+Hipótesis!$D$45)^2)*(1+Hipótesis!$D$42),0)</f>
        <v>-5280</v>
      </c>
      <c r="AF46" s="109" t="n">
        <f aca="false">-IF(AND(30&gt;=Hipótesis!$D$50,Hipótesis!$B$50=1),IF(Hipótesis!$G$50=1,Hipótesis!$E$44,Hipótesis!$C$50*(1+Hipótesis!$D$45)^2)*(1+Hipótesis!$D$42),0)</f>
        <v>-5280</v>
      </c>
      <c r="AG46" s="109" t="n">
        <f aca="false">-IF(AND(31&gt;=Hipótesis!$D$50,Hipótesis!$B$50=1),IF(Hipótesis!$G$50=1,Hipótesis!$E$44,Hipótesis!$C$50*(1+Hipótesis!$D$45)^2)*(1+Hipótesis!$D$42),0)</f>
        <v>-5280</v>
      </c>
      <c r="AH46" s="109" t="n">
        <f aca="false">-IF(AND(32&gt;=Hipótesis!$D$50,Hipótesis!$B$50=1),IF(Hipótesis!$G$50=1,Hipótesis!$E$44,Hipótesis!$C$50*(1+Hipótesis!$D$45)^2)*(1+Hipótesis!$D$42),0)</f>
        <v>-5280</v>
      </c>
      <c r="AI46" s="109" t="n">
        <f aca="false">-IF(AND(33&gt;=Hipótesis!$D$50,Hipótesis!$B$50=1),IF(Hipótesis!$G$50=1,Hipótesis!$E$44,Hipótesis!$C$50*(1+Hipótesis!$D$45)^2)*(1+Hipótesis!$D$42),0)</f>
        <v>-5280</v>
      </c>
      <c r="AJ46" s="109" t="n">
        <f aca="false">-IF(AND(34&gt;=Hipótesis!$D$50,Hipótesis!$B$50=1),IF(Hipótesis!$G$50=1,Hipótesis!$E$44,Hipótesis!$C$50*(1+Hipótesis!$D$45)^2)*(1+Hipótesis!$D$42),0)</f>
        <v>-5280</v>
      </c>
      <c r="AK46" s="109" t="n">
        <f aca="false">-IF(AND(35&gt;=Hipótesis!$D$50,Hipótesis!$B$50=1),IF(Hipótesis!$G$50=1,Hipótesis!$E$44,Hipótesis!$C$50*(1+Hipótesis!$D$45)^2)*(1+Hipótesis!$D$42),0)</f>
        <v>-5280</v>
      </c>
      <c r="AL46" s="109" t="n">
        <f aca="false">-IF(AND(36&gt;=Hipótesis!$D$50,Hipótesis!$B$50=1),IF(Hipótesis!$G$50=1,Hipótesis!$E$44,Hipótesis!$C$50*(1+Hipótesis!$D$45)^2)*(1+Hipótesis!$D$42),0)</f>
        <v>-5280</v>
      </c>
      <c r="AM46" s="109" t="n">
        <f aca="false">-IF(AND(37&gt;=Hipótesis!$D$50,Hipótesis!$B$50=1),IF(Hipótesis!$G$50=1,Hipótesis!$F$44,Hipótesis!$C$50*(1+Hipótesis!$D$45)^3)*(1+Hipótesis!$D$42),0)</f>
        <v>-5940</v>
      </c>
      <c r="AN46" s="109" t="n">
        <f aca="false">-IF(AND(38&gt;=Hipótesis!$D$50,Hipótesis!$B$50=1),IF(Hipótesis!$G$50=1,Hipótesis!$F$44,Hipótesis!$C$50*(1+Hipótesis!$D$45)^3)*(1+Hipótesis!$D$42),0)</f>
        <v>-5940</v>
      </c>
      <c r="AO46" s="109" t="n">
        <f aca="false">-IF(AND(39&gt;=Hipótesis!$D$50,Hipótesis!$B$50=1),IF(Hipótesis!$G$50=1,Hipótesis!$F$44,Hipótesis!$C$50*(1+Hipótesis!$D$45)^3)*(1+Hipótesis!$D$42),0)</f>
        <v>-5940</v>
      </c>
      <c r="AP46" s="109" t="n">
        <f aca="false">-IF(AND(40&gt;=Hipótesis!$D$50,Hipótesis!$B$50=1),IF(Hipótesis!$G$50=1,Hipótesis!$F$44,Hipótesis!$C$50*(1+Hipótesis!$D$45)^3)*(1+Hipótesis!$D$42),0)</f>
        <v>-5940</v>
      </c>
      <c r="AQ46" s="109" t="n">
        <f aca="false">-IF(AND(41&gt;=Hipótesis!$D$50,Hipótesis!$B$50=1),IF(Hipótesis!$G$50=1,Hipótesis!$F$44,Hipótesis!$C$50*(1+Hipótesis!$D$45)^3)*(1+Hipótesis!$D$42),0)</f>
        <v>-5940</v>
      </c>
      <c r="AR46" s="109" t="n">
        <f aca="false">-IF(AND(42&gt;=Hipótesis!$D$50,Hipótesis!$B$50=1),IF(Hipótesis!$G$50=1,Hipótesis!$F$44,Hipótesis!$C$50*(1+Hipótesis!$D$45)^3)*(1+Hipótesis!$D$42),0)</f>
        <v>-5940</v>
      </c>
      <c r="AS46" s="109" t="n">
        <f aca="false">-IF(AND(43&gt;=Hipótesis!$D$50,Hipótesis!$B$50=1),IF(Hipótesis!$G$50=1,Hipótesis!$F$44,Hipótesis!$C$50*(1+Hipótesis!$D$45)^3)*(1+Hipótesis!$D$42),0)</f>
        <v>-5940</v>
      </c>
      <c r="AT46" s="109" t="n">
        <f aca="false">-IF(AND(44&gt;=Hipótesis!$D$50,Hipótesis!$B$50=1),IF(Hipótesis!$G$50=1,Hipótesis!$F$44,Hipótesis!$C$50*(1+Hipótesis!$D$45)^3)*(1+Hipótesis!$D$42),0)</f>
        <v>-5940</v>
      </c>
      <c r="AU46" s="109" t="n">
        <f aca="false">-IF(AND(45&gt;=Hipótesis!$D$50,Hipótesis!$B$50=1),IF(Hipótesis!$G$50=1,Hipótesis!$F$44,Hipótesis!$C$50*(1+Hipótesis!$D$45)^3)*(1+Hipótesis!$D$42),0)</f>
        <v>-5940</v>
      </c>
      <c r="AV46" s="109" t="n">
        <f aca="false">-IF(AND(46&gt;=Hipótesis!$D$50,Hipótesis!$B$50=1),IF(Hipótesis!$G$50=1,Hipótesis!$F$44,Hipótesis!$C$50*(1+Hipótesis!$D$45)^3)*(1+Hipótesis!$D$42),0)</f>
        <v>-5940</v>
      </c>
      <c r="AW46" s="109" t="n">
        <f aca="false">-IF(AND(47&gt;=Hipótesis!$D$50,Hipótesis!$B$50=1),IF(Hipótesis!$G$50=1,Hipótesis!$F$44,Hipótesis!$C$50*(1+Hipótesis!$D$45)^3)*(1+Hipótesis!$D$42),0)</f>
        <v>-5940</v>
      </c>
      <c r="AX46" s="109" t="n">
        <f aca="false">-IF(AND(48&gt;=Hipótesis!$D$50,Hipótesis!$B$50=1),IF(Hipótesis!$G$50=1,Hipótesis!$F$44,Hipótesis!$C$50*(1+Hipótesis!$D$45)^3)*(1+Hipótesis!$D$42),0)</f>
        <v>-5940</v>
      </c>
      <c r="AY46" s="109" t="n">
        <f aca="false">-IF(AND(49&gt;=Hipótesis!$D$50,Hipótesis!$B$50=1),IF(Hipótesis!$G$50=1,Hipótesis!$G$44,Hipótesis!$C$50*(1+Hipótesis!$D$45)^4)*(1+Hipótesis!$D$42),0)</f>
        <v>-6600</v>
      </c>
      <c r="AZ46" s="109" t="n">
        <f aca="false">-IF(AND(50&gt;=Hipótesis!$D$50,Hipótesis!$B$50=1),IF(Hipótesis!$G$50=1,Hipótesis!$G$44,Hipótesis!$C$50*(1+Hipótesis!$D$45)^4)*(1+Hipótesis!$D$42),0)</f>
        <v>-6600</v>
      </c>
      <c r="BA46" s="109" t="n">
        <f aca="false">-IF(AND(51&gt;=Hipótesis!$D$50,Hipótesis!$B$50=1),IF(Hipótesis!$G$50=1,Hipótesis!$G$44,Hipótesis!$C$50*(1+Hipótesis!$D$45)^4)*(1+Hipótesis!$D$42),0)</f>
        <v>-6600</v>
      </c>
      <c r="BB46" s="109" t="n">
        <f aca="false">-IF(AND(52&gt;=Hipótesis!$D$50,Hipótesis!$B$50=1),IF(Hipótesis!$G$50=1,Hipótesis!$G$44,Hipótesis!$C$50*(1+Hipótesis!$D$45)^4)*(1+Hipótesis!$D$42),0)</f>
        <v>-6600</v>
      </c>
      <c r="BC46" s="109" t="n">
        <f aca="false">-IF(AND(53&gt;=Hipótesis!$D$50,Hipótesis!$B$50=1),IF(Hipótesis!$G$50=1,Hipótesis!$G$44,Hipótesis!$C$50*(1+Hipótesis!$D$45)^4)*(1+Hipótesis!$D$42),0)</f>
        <v>-6600</v>
      </c>
      <c r="BD46" s="109" t="n">
        <f aca="false">-IF(AND(54&gt;=Hipótesis!$D$50,Hipótesis!$B$50=1),IF(Hipótesis!$G$50=1,Hipótesis!$G$44,Hipótesis!$C$50*(1+Hipótesis!$D$45)^4)*(1+Hipótesis!$D$42),0)</f>
        <v>-6600</v>
      </c>
      <c r="BE46" s="109" t="n">
        <f aca="false">-IF(AND(55&gt;=Hipótesis!$D$50,Hipótesis!$B$50=1),IF(Hipótesis!$G$50=1,Hipótesis!$G$44,Hipótesis!$C$50*(1+Hipótesis!$D$45)^4)*(1+Hipótesis!$D$42),0)</f>
        <v>-6600</v>
      </c>
      <c r="BF46" s="109" t="n">
        <f aca="false">-IF(AND(56&gt;=Hipótesis!$D$50,Hipótesis!$B$50=1),IF(Hipótesis!$G$50=1,Hipótesis!$G$44,Hipótesis!$C$50*(1+Hipótesis!$D$45)^4)*(1+Hipótesis!$D$42),0)</f>
        <v>-6600</v>
      </c>
      <c r="BG46" s="109" t="n">
        <f aca="false">-IF(AND(57&gt;=Hipótesis!$D$50,Hipótesis!$B$50=1),IF(Hipótesis!$G$50=1,Hipótesis!$G$44,Hipótesis!$C$50*(1+Hipótesis!$D$45)^4)*(1+Hipótesis!$D$42),0)</f>
        <v>-6600</v>
      </c>
      <c r="BH46" s="109" t="n">
        <f aca="false">-IF(AND(58&gt;=Hipótesis!$D$50,Hipótesis!$B$50=1),IF(Hipótesis!$G$50=1,Hipótesis!$G$44,Hipótesis!$C$50*(1+Hipótesis!$D$45)^4)*(1+Hipótesis!$D$42),0)</f>
        <v>-6600</v>
      </c>
      <c r="BI46" s="109" t="n">
        <f aca="false">-IF(AND(59&gt;=Hipótesis!$D$50,Hipótesis!$B$50=1),IF(Hipótesis!$G$50=1,Hipótesis!$G$44,Hipótesis!$C$50*(1+Hipótesis!$D$45)^4)*(1+Hipótesis!$D$42),0)</f>
        <v>-6600</v>
      </c>
      <c r="BJ46" s="109" t="n">
        <f aca="false">-IF(AND(60&gt;=Hipótesis!$D$50,Hipótesis!$B$50=1),IF(Hipótesis!$G$50=1,Hipótesis!$G$44,Hipótesis!$C$50*(1+Hipótesis!$D$45)^4)*(1+Hipótesis!$D$42),0)</f>
        <v>-6600</v>
      </c>
      <c r="BK46" s="109" t="n">
        <f aca="false">-IF(AND(61&gt;=Hipótesis!$D$50,Hipótesis!$B$50=1),IF(Hipótesis!$G$50=1,Hipótesis!$H$44,Hipótesis!$C$50*(1+Hipótesis!$D$45)^5)*(1+Hipótesis!$D$42),0)</f>
        <v>-7260</v>
      </c>
      <c r="BL46" s="109" t="n">
        <f aca="false">-IF(AND(62&gt;=Hipótesis!$D$50,Hipótesis!$B$50=1),IF(Hipótesis!$G$50=1,Hipótesis!$H$44,Hipótesis!$C$50*(1+Hipótesis!$D$45)^5)*(1+Hipótesis!$D$42),0)</f>
        <v>-7260</v>
      </c>
      <c r="BM46" s="109" t="n">
        <f aca="false">-IF(AND(63&gt;=Hipótesis!$D$50,Hipótesis!$B$50=1),IF(Hipótesis!$G$50=1,Hipótesis!$H$44,Hipótesis!$C$50*(1+Hipótesis!$D$45)^5)*(1+Hipótesis!$D$42),0)</f>
        <v>-7260</v>
      </c>
      <c r="BN46" s="109" t="n">
        <f aca="false">-IF(AND(64&gt;=Hipótesis!$D$50,Hipótesis!$B$50=1),IF(Hipótesis!$G$50=1,Hipótesis!$H$44,Hipótesis!$C$50*(1+Hipótesis!$D$45)^5)*(1+Hipótesis!$D$42),0)</f>
        <v>-7260</v>
      </c>
      <c r="BO46" s="109" t="n">
        <f aca="false">-IF(AND(65&gt;=Hipótesis!$D$50,Hipótesis!$B$50=1),IF(Hipótesis!$G$50=1,Hipótesis!$H$44,Hipótesis!$C$50*(1+Hipótesis!$D$45)^5)*(1+Hipótesis!$D$42),0)</f>
        <v>-7260</v>
      </c>
      <c r="BP46" s="109" t="n">
        <f aca="false">-IF(AND(66&gt;=Hipótesis!$D$50,Hipótesis!$B$50=1),IF(Hipótesis!$G$50=1,Hipótesis!$H$44,Hipótesis!$C$50*(1+Hipótesis!$D$45)^5)*(1+Hipótesis!$D$42),0)</f>
        <v>-7260</v>
      </c>
      <c r="BQ46" s="109" t="n">
        <f aca="false">-IF(AND(67&gt;=Hipótesis!$D$50,Hipótesis!$B$50=1),IF(Hipótesis!$G$50=1,Hipótesis!$H$44,Hipótesis!$C$50*(1+Hipótesis!$D$45)^5)*(1+Hipótesis!$D$42),0)</f>
        <v>-7260</v>
      </c>
      <c r="BR46" s="109" t="n">
        <f aca="false">-IF(AND(68&gt;=Hipótesis!$D$50,Hipótesis!$B$50=1),IF(Hipótesis!$G$50=1,Hipótesis!$H$44,Hipótesis!$C$50*(1+Hipótesis!$D$45)^5)*(1+Hipótesis!$D$42),0)</f>
        <v>-7260</v>
      </c>
      <c r="BS46" s="109" t="n">
        <f aca="false">-IF(AND(69&gt;=Hipótesis!$D$50,Hipótesis!$B$50=1),IF(Hipótesis!$G$50=1,Hipótesis!$H$44,Hipótesis!$C$50*(1+Hipótesis!$D$45)^5)*(1+Hipótesis!$D$42),0)</f>
        <v>-7260</v>
      </c>
      <c r="BT46" s="109" t="n">
        <f aca="false">-IF(AND(70&gt;=Hipótesis!$D$50,Hipótesis!$B$50=1),IF(Hipótesis!$G$50=1,Hipótesis!$H$44,Hipótesis!$C$50*(1+Hipótesis!$D$45)^5)*(1+Hipótesis!$D$42),0)</f>
        <v>-7260</v>
      </c>
      <c r="BU46" s="109" t="n">
        <f aca="false">-IF(AND(71&gt;=Hipótesis!$D$50,Hipótesis!$B$50=1),IF(Hipótesis!$G$50=1,Hipótesis!$H$44,Hipótesis!$C$50*(1+Hipótesis!$D$45)^5)*(1+Hipótesis!$D$42),0)</f>
        <v>-7260</v>
      </c>
      <c r="BV46" s="109" t="n">
        <f aca="false">-IF(AND(72&gt;=Hipótesis!$D$50,Hipótesis!$B$50=1),IF(Hipótesis!$G$50=1,Hipótesis!$H$44,Hipótesis!$C$50*(1+Hipótesis!$D$45)^5)*(1+Hipótesis!$D$42),0)</f>
        <v>-7260</v>
      </c>
      <c r="BW46" s="109" t="n">
        <f aca="false">-IF(AND(73&gt;=Hipótesis!$D$50,Hipótesis!$B$50=1),IF(Hipótesis!$G$50=1,Hipótesis!$I$44,Hipótesis!$C$50*(1+Hipótesis!$D$45)^6)*(1+Hipótesis!$D$42),0)</f>
        <v>-7920</v>
      </c>
      <c r="BX46" s="109" t="n">
        <f aca="false">-IF(AND(74&gt;=Hipótesis!$D$50,Hipótesis!$B$50=1),IF(Hipótesis!$G$50=1,Hipótesis!$I$44,Hipótesis!$C$50*(1+Hipótesis!$D$45)^6)*(1+Hipótesis!$D$42),0)</f>
        <v>-7920</v>
      </c>
      <c r="BY46" s="109" t="n">
        <f aca="false">-IF(AND(75&gt;=Hipótesis!$D$50,Hipótesis!$B$50=1),IF(Hipótesis!$G$50=1,Hipótesis!$I$44,Hipótesis!$C$50*(1+Hipótesis!$D$45)^6)*(1+Hipótesis!$D$42),0)</f>
        <v>-7920</v>
      </c>
      <c r="BZ46" s="109" t="n">
        <f aca="false">-IF(AND(76&gt;=Hipótesis!$D$50,Hipótesis!$B$50=1),IF(Hipótesis!$G$50=1,Hipótesis!$I$44,Hipótesis!$C$50*(1+Hipótesis!$D$45)^6)*(1+Hipótesis!$D$42),0)</f>
        <v>-7920</v>
      </c>
      <c r="CA46" s="109" t="n">
        <f aca="false">-IF(AND(77&gt;=Hipótesis!$D$50,Hipótesis!$B$50=1),IF(Hipótesis!$G$50=1,Hipótesis!$I$44,Hipótesis!$C$50*(1+Hipótesis!$D$45)^6)*(1+Hipótesis!$D$42),0)</f>
        <v>-7920</v>
      </c>
      <c r="CB46" s="109" t="n">
        <f aca="false">-IF(AND(78&gt;=Hipótesis!$D$50,Hipótesis!$B$50=1),IF(Hipótesis!$G$50=1,Hipótesis!$I$44,Hipótesis!$C$50*(1+Hipótesis!$D$45)^6)*(1+Hipótesis!$D$42),0)</f>
        <v>-7920</v>
      </c>
      <c r="CC46" s="109" t="n">
        <f aca="false">-IF(AND(79&gt;=Hipótesis!$D$50,Hipótesis!$B$50=1),IF(Hipótesis!$G$50=1,Hipótesis!$I$44,Hipótesis!$C$50*(1+Hipótesis!$D$45)^6)*(1+Hipótesis!$D$42),0)</f>
        <v>-7920</v>
      </c>
      <c r="CD46" s="109" t="n">
        <f aca="false">-IF(AND(80&gt;=Hipótesis!$D$50,Hipótesis!$B$50=1),IF(Hipótesis!$G$50=1,Hipótesis!$I$44,Hipótesis!$C$50*(1+Hipótesis!$D$45)^6)*(1+Hipótesis!$D$42),0)</f>
        <v>-7920</v>
      </c>
      <c r="CE46" s="109" t="n">
        <f aca="false">-IF(AND(81&gt;=Hipótesis!$D$50,Hipótesis!$B$50=1),IF(Hipótesis!$G$50=1,Hipótesis!$I$44,Hipótesis!$C$50*(1+Hipótesis!$D$45)^6)*(1+Hipótesis!$D$42),0)</f>
        <v>-7920</v>
      </c>
      <c r="CF46" s="109" t="n">
        <f aca="false">-IF(AND(82&gt;=Hipótesis!$D$50,Hipótesis!$B$50=1),IF(Hipótesis!$G$50=1,Hipótesis!$I$44,Hipótesis!$C$50*(1+Hipótesis!$D$45)^6)*(1+Hipótesis!$D$42),0)</f>
        <v>-7920</v>
      </c>
      <c r="CG46" s="109" t="n">
        <f aca="false">-IF(AND(83&gt;=Hipótesis!$D$50,Hipótesis!$B$50=1),IF(Hipótesis!$G$50=1,Hipótesis!$I$44,Hipótesis!$C$50*(1+Hipótesis!$D$45)^6)*(1+Hipótesis!$D$42),0)</f>
        <v>-7920</v>
      </c>
      <c r="CH46" s="109" t="n">
        <f aca="false">-IF(AND(84&gt;=Hipótesis!$D$50,Hipótesis!$B$50=1),IF(Hipótesis!$G$50=1,Hipótesis!$I$44,Hipótesis!$C$50*(1+Hipótesis!$D$45)^6)*(1+Hipótesis!$D$42),0)</f>
        <v>-7920</v>
      </c>
    </row>
    <row r="47" customFormat="false" ht="13.5" hidden="false" customHeight="true" outlineLevel="0" collapsed="false">
      <c r="A47" s="6" t="s">
        <v>552</v>
      </c>
      <c r="C47" s="109" t="n">
        <f aca="false">-IF(AND(1&gt;=Hipótesis!$D$51,Hipótesis!$B$51=1),IF(Hipótesis!$G$51=1,Hipótesis!$C$44,Hipótesis!$C$51*(1+Hipótesis!$D$45)^0)*(1+Hipótesis!$D$42),0)</f>
        <v>-2640</v>
      </c>
      <c r="D47" s="109" t="n">
        <f aca="false">-IF(AND(2&gt;=Hipótesis!$D$51,Hipótesis!$B$51=1),IF(Hipótesis!$G$51=1,Hipótesis!$C$44,Hipótesis!$C$51*(1+Hipótesis!$D$45)^0)*(1+Hipótesis!$D$42),0)</f>
        <v>-2640</v>
      </c>
      <c r="E47" s="109" t="n">
        <f aca="false">-IF(AND(3&gt;=Hipótesis!$D$51,Hipótesis!$B$51=1),IF(Hipótesis!$G$51=1,Hipótesis!$C$44,Hipótesis!$C$51*(1+Hipótesis!$D$45)^0)*(1+Hipótesis!$D$42),0)</f>
        <v>-2640</v>
      </c>
      <c r="F47" s="109" t="n">
        <f aca="false">-IF(AND(4&gt;=Hipótesis!$D$51,Hipótesis!$B$51=1),IF(Hipótesis!$G$51=1,Hipótesis!$C$44,Hipótesis!$C$51*(1+Hipótesis!$D$45)^0)*(1+Hipótesis!$D$42),0)</f>
        <v>-2640</v>
      </c>
      <c r="G47" s="109" t="n">
        <f aca="false">-IF(AND(5&gt;=Hipótesis!$D$51,Hipótesis!$B$51=1),IF(Hipótesis!$G$51=1,Hipótesis!$C$44,Hipótesis!$C$51*(1+Hipótesis!$D$45)^0)*(1+Hipótesis!$D$42),0)</f>
        <v>-2640</v>
      </c>
      <c r="H47" s="109" t="n">
        <f aca="false">-IF(AND(6&gt;=Hipótesis!$D$51,Hipótesis!$B$51=1),IF(Hipótesis!$G$51=1,Hipótesis!$C$44,Hipótesis!$C$51*(1+Hipótesis!$D$45)^0)*(1+Hipótesis!$D$42),0)</f>
        <v>-2640</v>
      </c>
      <c r="I47" s="109" t="n">
        <f aca="false">-IF(AND(7&gt;=Hipótesis!$D$51,Hipótesis!$B$51=1),IF(Hipótesis!$G$51=1,Hipótesis!$C$44,Hipótesis!$C$51*(1+Hipótesis!$D$45)^0)*(1+Hipótesis!$D$42),0)</f>
        <v>-2640</v>
      </c>
      <c r="J47" s="109" t="n">
        <f aca="false">-IF(AND(8&gt;=Hipótesis!$D$51,Hipótesis!$B$51=1),IF(Hipótesis!$G$51=1,Hipótesis!$C$44,Hipótesis!$C$51*(1+Hipótesis!$D$45)^0)*(1+Hipótesis!$D$42),0)</f>
        <v>-2640</v>
      </c>
      <c r="K47" s="109" t="n">
        <f aca="false">-IF(AND(9&gt;=Hipótesis!$D$51,Hipótesis!$B$51=1),IF(Hipótesis!$G$51=1,Hipótesis!$C$44,Hipótesis!$C$51*(1+Hipótesis!$D$45)^0)*(1+Hipótesis!$D$42),0)</f>
        <v>-2640</v>
      </c>
      <c r="L47" s="109" t="n">
        <f aca="false">-IF(AND(10&gt;=Hipótesis!$D$51,Hipótesis!$B$51=1),IF(Hipótesis!$G$51=1,Hipótesis!$C$44,Hipótesis!$C$51*(1+Hipótesis!$D$45)^0)*(1+Hipótesis!$D$42),0)</f>
        <v>-2640</v>
      </c>
      <c r="M47" s="109" t="n">
        <f aca="false">-IF(AND(11&gt;=Hipótesis!$D$51,Hipótesis!$B$51=1),IF(Hipótesis!$G$51=1,Hipótesis!$C$44,Hipótesis!$C$51*(1+Hipótesis!$D$45)^0)*(1+Hipótesis!$D$42),0)</f>
        <v>-2640</v>
      </c>
      <c r="N47" s="109" t="n">
        <f aca="false">-IF(AND(12&gt;=Hipótesis!$D$51,Hipótesis!$B$51=1),IF(Hipótesis!$G$51=1,Hipótesis!$C$44,Hipótesis!$C$51*(1+Hipótesis!$D$45)^0)*(1+Hipótesis!$D$42),0)</f>
        <v>-2640</v>
      </c>
      <c r="O47" s="109" t="n">
        <f aca="false">-IF(AND(13&gt;=Hipótesis!$D$51,Hipótesis!$B$51=1),IF(Hipótesis!$G$51=1,Hipótesis!$D$44,Hipótesis!$C$51*(1+Hipótesis!$D$45)^1)*(1+Hipótesis!$D$42),0)</f>
        <v>-2719.2</v>
      </c>
      <c r="P47" s="109" t="n">
        <f aca="false">-IF(AND(14&gt;=Hipótesis!$D$51,Hipótesis!$B$51=1),IF(Hipótesis!$G$51=1,Hipótesis!$D$44,Hipótesis!$C$51*(1+Hipótesis!$D$45)^1)*(1+Hipótesis!$D$42),0)</f>
        <v>-2719.2</v>
      </c>
      <c r="Q47" s="109" t="n">
        <f aca="false">-IF(AND(15&gt;=Hipótesis!$D$51,Hipótesis!$B$51=1),IF(Hipótesis!$G$51=1,Hipótesis!$D$44,Hipótesis!$C$51*(1+Hipótesis!$D$45)^1)*(1+Hipótesis!$D$42),0)</f>
        <v>-2719.2</v>
      </c>
      <c r="R47" s="109" t="n">
        <f aca="false">-IF(AND(16&gt;=Hipótesis!$D$51,Hipótesis!$B$51=1),IF(Hipótesis!$G$51=1,Hipótesis!$D$44,Hipótesis!$C$51*(1+Hipótesis!$D$45)^1)*(1+Hipótesis!$D$42),0)</f>
        <v>-2719.2</v>
      </c>
      <c r="S47" s="109" t="n">
        <f aca="false">-IF(AND(17&gt;=Hipótesis!$D$51,Hipótesis!$B$51=1),IF(Hipótesis!$G$51=1,Hipótesis!$D$44,Hipótesis!$C$51*(1+Hipótesis!$D$45)^1)*(1+Hipótesis!$D$42),0)</f>
        <v>-2719.2</v>
      </c>
      <c r="T47" s="109" t="n">
        <f aca="false">-IF(AND(18&gt;=Hipótesis!$D$51,Hipótesis!$B$51=1),IF(Hipótesis!$G$51=1,Hipótesis!$D$44,Hipótesis!$C$51*(1+Hipótesis!$D$45)^1)*(1+Hipótesis!$D$42),0)</f>
        <v>-2719.2</v>
      </c>
      <c r="U47" s="109" t="n">
        <f aca="false">-IF(AND(19&gt;=Hipótesis!$D$51,Hipótesis!$B$51=1),IF(Hipótesis!$G$51=1,Hipótesis!$D$44,Hipótesis!$C$51*(1+Hipótesis!$D$45)^1)*(1+Hipótesis!$D$42),0)</f>
        <v>-2719.2</v>
      </c>
      <c r="V47" s="109" t="n">
        <f aca="false">-IF(AND(20&gt;=Hipótesis!$D$51,Hipótesis!$B$51=1),IF(Hipótesis!$G$51=1,Hipótesis!$D$44,Hipótesis!$C$51*(1+Hipótesis!$D$45)^1)*(1+Hipótesis!$D$42),0)</f>
        <v>-2719.2</v>
      </c>
      <c r="W47" s="109" t="n">
        <f aca="false">-IF(AND(21&gt;=Hipótesis!$D$51,Hipótesis!$B$51=1),IF(Hipótesis!$G$51=1,Hipótesis!$D$44,Hipótesis!$C$51*(1+Hipótesis!$D$45)^1)*(1+Hipótesis!$D$42),0)</f>
        <v>-2719.2</v>
      </c>
      <c r="X47" s="109" t="n">
        <f aca="false">-IF(AND(22&gt;=Hipótesis!$D$51,Hipótesis!$B$51=1),IF(Hipótesis!$G$51=1,Hipótesis!$D$44,Hipótesis!$C$51*(1+Hipótesis!$D$45)^1)*(1+Hipótesis!$D$42),0)</f>
        <v>-2719.2</v>
      </c>
      <c r="Y47" s="109" t="n">
        <f aca="false">-IF(AND(23&gt;=Hipótesis!$D$51,Hipótesis!$B$51=1),IF(Hipótesis!$G$51=1,Hipótesis!$D$44,Hipótesis!$C$51*(1+Hipótesis!$D$45)^1)*(1+Hipótesis!$D$42),0)</f>
        <v>-2719.2</v>
      </c>
      <c r="Z47" s="109" t="n">
        <f aca="false">-IF(AND(24&gt;=Hipótesis!$D$51,Hipótesis!$B$51=1),IF(Hipótesis!$G$51=1,Hipótesis!$D$44,Hipótesis!$C$51*(1+Hipótesis!$D$45)^1)*(1+Hipótesis!$D$42),0)</f>
        <v>-2719.2</v>
      </c>
      <c r="AA47" s="109" t="n">
        <f aca="false">-IF(AND(25&gt;=Hipótesis!$D$51,Hipótesis!$B$51=1),IF(Hipótesis!$G$51=1,Hipótesis!$E$44,Hipótesis!$C$51*(1+Hipótesis!$D$45)^2)*(1+Hipótesis!$D$42),0)</f>
        <v>-2800.776</v>
      </c>
      <c r="AB47" s="109" t="n">
        <f aca="false">-IF(AND(26&gt;=Hipótesis!$D$51,Hipótesis!$B$51=1),IF(Hipótesis!$G$51=1,Hipótesis!$E$44,Hipótesis!$C$51*(1+Hipótesis!$D$45)^2)*(1+Hipótesis!$D$42),0)</f>
        <v>-2800.776</v>
      </c>
      <c r="AC47" s="109" t="n">
        <f aca="false">-IF(AND(27&gt;=Hipótesis!$D$51,Hipótesis!$B$51=1),IF(Hipótesis!$G$51=1,Hipótesis!$E$44,Hipótesis!$C$51*(1+Hipótesis!$D$45)^2)*(1+Hipótesis!$D$42),0)</f>
        <v>-2800.776</v>
      </c>
      <c r="AD47" s="109" t="n">
        <f aca="false">-IF(AND(28&gt;=Hipótesis!$D$51,Hipótesis!$B$51=1),IF(Hipótesis!$G$51=1,Hipótesis!$E$44,Hipótesis!$C$51*(1+Hipótesis!$D$45)^2)*(1+Hipótesis!$D$42),0)</f>
        <v>-2800.776</v>
      </c>
      <c r="AE47" s="109" t="n">
        <f aca="false">-IF(AND(29&gt;=Hipótesis!$D$51,Hipótesis!$B$51=1),IF(Hipótesis!$G$51=1,Hipótesis!$E$44,Hipótesis!$C$51*(1+Hipótesis!$D$45)^2)*(1+Hipótesis!$D$42),0)</f>
        <v>-2800.776</v>
      </c>
      <c r="AF47" s="109" t="n">
        <f aca="false">-IF(AND(30&gt;=Hipótesis!$D$51,Hipótesis!$B$51=1),IF(Hipótesis!$G$51=1,Hipótesis!$E$44,Hipótesis!$C$51*(1+Hipótesis!$D$45)^2)*(1+Hipótesis!$D$42),0)</f>
        <v>-2800.776</v>
      </c>
      <c r="AG47" s="109" t="n">
        <f aca="false">-IF(AND(31&gt;=Hipótesis!$D$51,Hipótesis!$B$51=1),IF(Hipótesis!$G$51=1,Hipótesis!$E$44,Hipótesis!$C$51*(1+Hipótesis!$D$45)^2)*(1+Hipótesis!$D$42),0)</f>
        <v>-2800.776</v>
      </c>
      <c r="AH47" s="109" t="n">
        <f aca="false">-IF(AND(32&gt;=Hipótesis!$D$51,Hipótesis!$B$51=1),IF(Hipótesis!$G$51=1,Hipótesis!$E$44,Hipótesis!$C$51*(1+Hipótesis!$D$45)^2)*(1+Hipótesis!$D$42),0)</f>
        <v>-2800.776</v>
      </c>
      <c r="AI47" s="109" t="n">
        <f aca="false">-IF(AND(33&gt;=Hipótesis!$D$51,Hipótesis!$B$51=1),IF(Hipótesis!$G$51=1,Hipótesis!$E$44,Hipótesis!$C$51*(1+Hipótesis!$D$45)^2)*(1+Hipótesis!$D$42),0)</f>
        <v>-2800.776</v>
      </c>
      <c r="AJ47" s="109" t="n">
        <f aca="false">-IF(AND(34&gt;=Hipótesis!$D$51,Hipótesis!$B$51=1),IF(Hipótesis!$G$51=1,Hipótesis!$E$44,Hipótesis!$C$51*(1+Hipótesis!$D$45)^2)*(1+Hipótesis!$D$42),0)</f>
        <v>-2800.776</v>
      </c>
      <c r="AK47" s="109" t="n">
        <f aca="false">-IF(AND(35&gt;=Hipótesis!$D$51,Hipótesis!$B$51=1),IF(Hipótesis!$G$51=1,Hipótesis!$E$44,Hipótesis!$C$51*(1+Hipótesis!$D$45)^2)*(1+Hipótesis!$D$42),0)</f>
        <v>-2800.776</v>
      </c>
      <c r="AL47" s="109" t="n">
        <f aca="false">-IF(AND(36&gt;=Hipótesis!$D$51,Hipótesis!$B$51=1),IF(Hipótesis!$G$51=1,Hipótesis!$E$44,Hipótesis!$C$51*(1+Hipótesis!$D$45)^2)*(1+Hipótesis!$D$42),0)</f>
        <v>-2800.776</v>
      </c>
      <c r="AM47" s="109" t="n">
        <f aca="false">-IF(AND(37&gt;=Hipótesis!$D$51,Hipótesis!$B$51=1),IF(Hipótesis!$G$51=1,Hipótesis!$F$44,Hipótesis!$C$51*(1+Hipótesis!$D$45)^3)*(1+Hipótesis!$D$42),0)</f>
        <v>-2884.79928</v>
      </c>
      <c r="AN47" s="109" t="n">
        <f aca="false">-IF(AND(38&gt;=Hipótesis!$D$51,Hipótesis!$B$51=1),IF(Hipótesis!$G$51=1,Hipótesis!$F$44,Hipótesis!$C$51*(1+Hipótesis!$D$45)^3)*(1+Hipótesis!$D$42),0)</f>
        <v>-2884.79928</v>
      </c>
      <c r="AO47" s="109" t="n">
        <f aca="false">-IF(AND(39&gt;=Hipótesis!$D$51,Hipótesis!$B$51=1),IF(Hipótesis!$G$51=1,Hipótesis!$F$44,Hipótesis!$C$51*(1+Hipótesis!$D$45)^3)*(1+Hipótesis!$D$42),0)</f>
        <v>-2884.79928</v>
      </c>
      <c r="AP47" s="109" t="n">
        <f aca="false">-IF(AND(40&gt;=Hipótesis!$D$51,Hipótesis!$B$51=1),IF(Hipótesis!$G$51=1,Hipótesis!$F$44,Hipótesis!$C$51*(1+Hipótesis!$D$45)^3)*(1+Hipótesis!$D$42),0)</f>
        <v>-2884.79928</v>
      </c>
      <c r="AQ47" s="109" t="n">
        <f aca="false">-IF(AND(41&gt;=Hipótesis!$D$51,Hipótesis!$B$51=1),IF(Hipótesis!$G$51=1,Hipótesis!$F$44,Hipótesis!$C$51*(1+Hipótesis!$D$45)^3)*(1+Hipótesis!$D$42),0)</f>
        <v>-2884.79928</v>
      </c>
      <c r="AR47" s="109" t="n">
        <f aca="false">-IF(AND(42&gt;=Hipótesis!$D$51,Hipótesis!$B$51=1),IF(Hipótesis!$G$51=1,Hipótesis!$F$44,Hipótesis!$C$51*(1+Hipótesis!$D$45)^3)*(1+Hipótesis!$D$42),0)</f>
        <v>-2884.79928</v>
      </c>
      <c r="AS47" s="109" t="n">
        <f aca="false">-IF(AND(43&gt;=Hipótesis!$D$51,Hipótesis!$B$51=1),IF(Hipótesis!$G$51=1,Hipótesis!$F$44,Hipótesis!$C$51*(1+Hipótesis!$D$45)^3)*(1+Hipótesis!$D$42),0)</f>
        <v>-2884.79928</v>
      </c>
      <c r="AT47" s="109" t="n">
        <f aca="false">-IF(AND(44&gt;=Hipótesis!$D$51,Hipótesis!$B$51=1),IF(Hipótesis!$G$51=1,Hipótesis!$F$44,Hipótesis!$C$51*(1+Hipótesis!$D$45)^3)*(1+Hipótesis!$D$42),0)</f>
        <v>-2884.79928</v>
      </c>
      <c r="AU47" s="109" t="n">
        <f aca="false">-IF(AND(45&gt;=Hipótesis!$D$51,Hipótesis!$B$51=1),IF(Hipótesis!$G$51=1,Hipótesis!$F$44,Hipótesis!$C$51*(1+Hipótesis!$D$45)^3)*(1+Hipótesis!$D$42),0)</f>
        <v>-2884.79928</v>
      </c>
      <c r="AV47" s="109" t="n">
        <f aca="false">-IF(AND(46&gt;=Hipótesis!$D$51,Hipótesis!$B$51=1),IF(Hipótesis!$G$51=1,Hipótesis!$F$44,Hipótesis!$C$51*(1+Hipótesis!$D$45)^3)*(1+Hipótesis!$D$42),0)</f>
        <v>-2884.79928</v>
      </c>
      <c r="AW47" s="109" t="n">
        <f aca="false">-IF(AND(47&gt;=Hipótesis!$D$51,Hipótesis!$B$51=1),IF(Hipótesis!$G$51=1,Hipótesis!$F$44,Hipótesis!$C$51*(1+Hipótesis!$D$45)^3)*(1+Hipótesis!$D$42),0)</f>
        <v>-2884.79928</v>
      </c>
      <c r="AX47" s="109" t="n">
        <f aca="false">-IF(AND(48&gt;=Hipótesis!$D$51,Hipótesis!$B$51=1),IF(Hipótesis!$G$51=1,Hipótesis!$F$44,Hipótesis!$C$51*(1+Hipótesis!$D$45)^3)*(1+Hipótesis!$D$42),0)</f>
        <v>-2884.79928</v>
      </c>
      <c r="AY47" s="109" t="n">
        <f aca="false">-IF(AND(49&gt;=Hipótesis!$D$51,Hipótesis!$B$51=1),IF(Hipótesis!$G$51=1,Hipótesis!$G$44,Hipótesis!$C$51*(1+Hipótesis!$D$45)^4)*(1+Hipótesis!$D$42),0)</f>
        <v>-2971.3432584</v>
      </c>
      <c r="AZ47" s="109" t="n">
        <f aca="false">-IF(AND(50&gt;=Hipótesis!$D$51,Hipótesis!$B$51=1),IF(Hipótesis!$G$51=1,Hipótesis!$G$44,Hipótesis!$C$51*(1+Hipótesis!$D$45)^4)*(1+Hipótesis!$D$42),0)</f>
        <v>-2971.3432584</v>
      </c>
      <c r="BA47" s="109" t="n">
        <f aca="false">-IF(AND(51&gt;=Hipótesis!$D$51,Hipótesis!$B$51=1),IF(Hipótesis!$G$51=1,Hipótesis!$G$44,Hipótesis!$C$51*(1+Hipótesis!$D$45)^4)*(1+Hipótesis!$D$42),0)</f>
        <v>-2971.3432584</v>
      </c>
      <c r="BB47" s="109" t="n">
        <f aca="false">-IF(AND(52&gt;=Hipótesis!$D$51,Hipótesis!$B$51=1),IF(Hipótesis!$G$51=1,Hipótesis!$G$44,Hipótesis!$C$51*(1+Hipótesis!$D$45)^4)*(1+Hipótesis!$D$42),0)</f>
        <v>-2971.3432584</v>
      </c>
      <c r="BC47" s="109" t="n">
        <f aca="false">-IF(AND(53&gt;=Hipótesis!$D$51,Hipótesis!$B$51=1),IF(Hipótesis!$G$51=1,Hipótesis!$G$44,Hipótesis!$C$51*(1+Hipótesis!$D$45)^4)*(1+Hipótesis!$D$42),0)</f>
        <v>-2971.3432584</v>
      </c>
      <c r="BD47" s="109" t="n">
        <f aca="false">-IF(AND(54&gt;=Hipótesis!$D$51,Hipótesis!$B$51=1),IF(Hipótesis!$G$51=1,Hipótesis!$G$44,Hipótesis!$C$51*(1+Hipótesis!$D$45)^4)*(1+Hipótesis!$D$42),0)</f>
        <v>-2971.3432584</v>
      </c>
      <c r="BE47" s="109" t="n">
        <f aca="false">-IF(AND(55&gt;=Hipótesis!$D$51,Hipótesis!$B$51=1),IF(Hipótesis!$G$51=1,Hipótesis!$G$44,Hipótesis!$C$51*(1+Hipótesis!$D$45)^4)*(1+Hipótesis!$D$42),0)</f>
        <v>-2971.3432584</v>
      </c>
      <c r="BF47" s="109" t="n">
        <f aca="false">-IF(AND(56&gt;=Hipótesis!$D$51,Hipótesis!$B$51=1),IF(Hipótesis!$G$51=1,Hipótesis!$G$44,Hipótesis!$C$51*(1+Hipótesis!$D$45)^4)*(1+Hipótesis!$D$42),0)</f>
        <v>-2971.3432584</v>
      </c>
      <c r="BG47" s="109" t="n">
        <f aca="false">-IF(AND(57&gt;=Hipótesis!$D$51,Hipótesis!$B$51=1),IF(Hipótesis!$G$51=1,Hipótesis!$G$44,Hipótesis!$C$51*(1+Hipótesis!$D$45)^4)*(1+Hipótesis!$D$42),0)</f>
        <v>-2971.3432584</v>
      </c>
      <c r="BH47" s="109" t="n">
        <f aca="false">-IF(AND(58&gt;=Hipótesis!$D$51,Hipótesis!$B$51=1),IF(Hipótesis!$G$51=1,Hipótesis!$G$44,Hipótesis!$C$51*(1+Hipótesis!$D$45)^4)*(1+Hipótesis!$D$42),0)</f>
        <v>-2971.3432584</v>
      </c>
      <c r="BI47" s="109" t="n">
        <f aca="false">-IF(AND(59&gt;=Hipótesis!$D$51,Hipótesis!$B$51=1),IF(Hipótesis!$G$51=1,Hipótesis!$G$44,Hipótesis!$C$51*(1+Hipótesis!$D$45)^4)*(1+Hipótesis!$D$42),0)</f>
        <v>-2971.3432584</v>
      </c>
      <c r="BJ47" s="109" t="n">
        <f aca="false">-IF(AND(60&gt;=Hipótesis!$D$51,Hipótesis!$B$51=1),IF(Hipótesis!$G$51=1,Hipótesis!$G$44,Hipótesis!$C$51*(1+Hipótesis!$D$45)^4)*(1+Hipótesis!$D$42),0)</f>
        <v>-2971.3432584</v>
      </c>
      <c r="BK47" s="109" t="n">
        <f aca="false">-IF(AND(61&gt;=Hipótesis!$D$51,Hipótesis!$B$51=1),IF(Hipótesis!$G$51=1,Hipótesis!$H$44,Hipótesis!$C$51*(1+Hipótesis!$D$45)^5)*(1+Hipótesis!$D$42),0)</f>
        <v>-3060.483556152</v>
      </c>
      <c r="BL47" s="109" t="n">
        <f aca="false">-IF(AND(62&gt;=Hipótesis!$D$51,Hipótesis!$B$51=1),IF(Hipótesis!$G$51=1,Hipótesis!$H$44,Hipótesis!$C$51*(1+Hipótesis!$D$45)^5)*(1+Hipótesis!$D$42),0)</f>
        <v>-3060.483556152</v>
      </c>
      <c r="BM47" s="109" t="n">
        <f aca="false">-IF(AND(63&gt;=Hipótesis!$D$51,Hipótesis!$B$51=1),IF(Hipótesis!$G$51=1,Hipótesis!$H$44,Hipótesis!$C$51*(1+Hipótesis!$D$45)^5)*(1+Hipótesis!$D$42),0)</f>
        <v>-3060.483556152</v>
      </c>
      <c r="BN47" s="109" t="n">
        <f aca="false">-IF(AND(64&gt;=Hipótesis!$D$51,Hipótesis!$B$51=1),IF(Hipótesis!$G$51=1,Hipótesis!$H$44,Hipótesis!$C$51*(1+Hipótesis!$D$45)^5)*(1+Hipótesis!$D$42),0)</f>
        <v>-3060.483556152</v>
      </c>
      <c r="BO47" s="109" t="n">
        <f aca="false">-IF(AND(65&gt;=Hipótesis!$D$51,Hipótesis!$B$51=1),IF(Hipótesis!$G$51=1,Hipótesis!$H$44,Hipótesis!$C$51*(1+Hipótesis!$D$45)^5)*(1+Hipótesis!$D$42),0)</f>
        <v>-3060.483556152</v>
      </c>
      <c r="BP47" s="109" t="n">
        <f aca="false">-IF(AND(66&gt;=Hipótesis!$D$51,Hipótesis!$B$51=1),IF(Hipótesis!$G$51=1,Hipótesis!$H$44,Hipótesis!$C$51*(1+Hipótesis!$D$45)^5)*(1+Hipótesis!$D$42),0)</f>
        <v>-3060.483556152</v>
      </c>
      <c r="BQ47" s="109" t="n">
        <f aca="false">-IF(AND(67&gt;=Hipótesis!$D$51,Hipótesis!$B$51=1),IF(Hipótesis!$G$51=1,Hipótesis!$H$44,Hipótesis!$C$51*(1+Hipótesis!$D$45)^5)*(1+Hipótesis!$D$42),0)</f>
        <v>-3060.483556152</v>
      </c>
      <c r="BR47" s="109" t="n">
        <f aca="false">-IF(AND(68&gt;=Hipótesis!$D$51,Hipótesis!$B$51=1),IF(Hipótesis!$G$51=1,Hipótesis!$H$44,Hipótesis!$C$51*(1+Hipótesis!$D$45)^5)*(1+Hipótesis!$D$42),0)</f>
        <v>-3060.483556152</v>
      </c>
      <c r="BS47" s="109" t="n">
        <f aca="false">-IF(AND(69&gt;=Hipótesis!$D$51,Hipótesis!$B$51=1),IF(Hipótesis!$G$51=1,Hipótesis!$H$44,Hipótesis!$C$51*(1+Hipótesis!$D$45)^5)*(1+Hipótesis!$D$42),0)</f>
        <v>-3060.483556152</v>
      </c>
      <c r="BT47" s="109" t="n">
        <f aca="false">-IF(AND(70&gt;=Hipótesis!$D$51,Hipótesis!$B$51=1),IF(Hipótesis!$G$51=1,Hipótesis!$H$44,Hipótesis!$C$51*(1+Hipótesis!$D$45)^5)*(1+Hipótesis!$D$42),0)</f>
        <v>-3060.483556152</v>
      </c>
      <c r="BU47" s="109" t="n">
        <f aca="false">-IF(AND(71&gt;=Hipótesis!$D$51,Hipótesis!$B$51=1),IF(Hipótesis!$G$51=1,Hipótesis!$H$44,Hipótesis!$C$51*(1+Hipótesis!$D$45)^5)*(1+Hipótesis!$D$42),0)</f>
        <v>-3060.483556152</v>
      </c>
      <c r="BV47" s="109" t="n">
        <f aca="false">-IF(AND(72&gt;=Hipótesis!$D$51,Hipótesis!$B$51=1),IF(Hipótesis!$G$51=1,Hipótesis!$H$44,Hipótesis!$C$51*(1+Hipótesis!$D$45)^5)*(1+Hipótesis!$D$42),0)</f>
        <v>-3060.483556152</v>
      </c>
      <c r="BW47" s="109" t="n">
        <f aca="false">-IF(AND(73&gt;=Hipótesis!$D$51,Hipótesis!$B$51=1),IF(Hipótesis!$G$51=1,Hipótesis!$I$44,Hipótesis!$C$51*(1+Hipótesis!$D$45)^6)*(1+Hipótesis!$D$42),0)</f>
        <v>-3152.29806283656</v>
      </c>
      <c r="BX47" s="109" t="n">
        <f aca="false">-IF(AND(74&gt;=Hipótesis!$D$51,Hipótesis!$B$51=1),IF(Hipótesis!$G$51=1,Hipótesis!$I$44,Hipótesis!$C$51*(1+Hipótesis!$D$45)^6)*(1+Hipótesis!$D$42),0)</f>
        <v>-3152.29806283656</v>
      </c>
      <c r="BY47" s="109" t="n">
        <f aca="false">-IF(AND(75&gt;=Hipótesis!$D$51,Hipótesis!$B$51=1),IF(Hipótesis!$G$51=1,Hipótesis!$I$44,Hipótesis!$C$51*(1+Hipótesis!$D$45)^6)*(1+Hipótesis!$D$42),0)</f>
        <v>-3152.29806283656</v>
      </c>
      <c r="BZ47" s="109" t="n">
        <f aca="false">-IF(AND(76&gt;=Hipótesis!$D$51,Hipótesis!$B$51=1),IF(Hipótesis!$G$51=1,Hipótesis!$I$44,Hipótesis!$C$51*(1+Hipótesis!$D$45)^6)*(1+Hipótesis!$D$42),0)</f>
        <v>-3152.29806283656</v>
      </c>
      <c r="CA47" s="109" t="n">
        <f aca="false">-IF(AND(77&gt;=Hipótesis!$D$51,Hipótesis!$B$51=1),IF(Hipótesis!$G$51=1,Hipótesis!$I$44,Hipótesis!$C$51*(1+Hipótesis!$D$45)^6)*(1+Hipótesis!$D$42),0)</f>
        <v>-3152.29806283656</v>
      </c>
      <c r="CB47" s="109" t="n">
        <f aca="false">-IF(AND(78&gt;=Hipótesis!$D$51,Hipótesis!$B$51=1),IF(Hipótesis!$G$51=1,Hipótesis!$I$44,Hipótesis!$C$51*(1+Hipótesis!$D$45)^6)*(1+Hipótesis!$D$42),0)</f>
        <v>-3152.29806283656</v>
      </c>
      <c r="CC47" s="109" t="n">
        <f aca="false">-IF(AND(79&gt;=Hipótesis!$D$51,Hipótesis!$B$51=1),IF(Hipótesis!$G$51=1,Hipótesis!$I$44,Hipótesis!$C$51*(1+Hipótesis!$D$45)^6)*(1+Hipótesis!$D$42),0)</f>
        <v>-3152.29806283656</v>
      </c>
      <c r="CD47" s="109" t="n">
        <f aca="false">-IF(AND(80&gt;=Hipótesis!$D$51,Hipótesis!$B$51=1),IF(Hipótesis!$G$51=1,Hipótesis!$I$44,Hipótesis!$C$51*(1+Hipótesis!$D$45)^6)*(1+Hipótesis!$D$42),0)</f>
        <v>-3152.29806283656</v>
      </c>
      <c r="CE47" s="109" t="n">
        <f aca="false">-IF(AND(81&gt;=Hipótesis!$D$51,Hipótesis!$B$51=1),IF(Hipótesis!$G$51=1,Hipótesis!$I$44,Hipótesis!$C$51*(1+Hipótesis!$D$45)^6)*(1+Hipótesis!$D$42),0)</f>
        <v>-3152.29806283656</v>
      </c>
      <c r="CF47" s="109" t="n">
        <f aca="false">-IF(AND(82&gt;=Hipótesis!$D$51,Hipótesis!$B$51=1),IF(Hipótesis!$G$51=1,Hipótesis!$I$44,Hipótesis!$C$51*(1+Hipótesis!$D$45)^6)*(1+Hipótesis!$D$42),0)</f>
        <v>-3152.29806283656</v>
      </c>
      <c r="CG47" s="109" t="n">
        <f aca="false">-IF(AND(83&gt;=Hipótesis!$D$51,Hipótesis!$B$51=1),IF(Hipótesis!$G$51=1,Hipótesis!$I$44,Hipótesis!$C$51*(1+Hipótesis!$D$45)^6)*(1+Hipótesis!$D$42),0)</f>
        <v>-3152.29806283656</v>
      </c>
      <c r="CH47" s="109" t="n">
        <f aca="false">-IF(AND(84&gt;=Hipótesis!$D$51,Hipótesis!$B$51=1),IF(Hipótesis!$G$51=1,Hipótesis!$I$44,Hipótesis!$C$51*(1+Hipótesis!$D$45)^6)*(1+Hipótesis!$D$42),0)</f>
        <v>-3152.29806283656</v>
      </c>
    </row>
    <row r="48" customFormat="false" ht="13.5" hidden="false" customHeight="true" outlineLevel="0" collapsed="false">
      <c r="A48" s="6" t="s">
        <v>553</v>
      </c>
      <c r="C48" s="109" t="n">
        <f aca="false">-IF(AND(1&gt;=Hipótesis!$D$52,Hipótesis!$B$52=1),IF(Hipótesis!$G$52=1,Hipótesis!$C$44,Hipótesis!$C$52*(1+Hipótesis!$D$45)^0)*(1+Hipótesis!$D$42),0)</f>
        <v>-0</v>
      </c>
      <c r="D48" s="109" t="n">
        <f aca="false">-IF(AND(2&gt;=Hipótesis!$D$52,Hipótesis!$B$52=1),IF(Hipótesis!$G$52=1,Hipótesis!$C$44,Hipótesis!$C$52*(1+Hipótesis!$D$45)^0)*(1+Hipótesis!$D$42),0)</f>
        <v>-0</v>
      </c>
      <c r="E48" s="109" t="n">
        <f aca="false">-IF(AND(3&gt;=Hipótesis!$D$52,Hipótesis!$B$52=1),IF(Hipótesis!$G$52=1,Hipótesis!$C$44,Hipótesis!$C$52*(1+Hipótesis!$D$45)^0)*(1+Hipótesis!$D$42),0)</f>
        <v>-0</v>
      </c>
      <c r="F48" s="109" t="n">
        <f aca="false">-IF(AND(4&gt;=Hipótesis!$D$52,Hipótesis!$B$52=1),IF(Hipótesis!$G$52=1,Hipótesis!$C$44,Hipótesis!$C$52*(1+Hipótesis!$D$45)^0)*(1+Hipótesis!$D$42),0)</f>
        <v>-0</v>
      </c>
      <c r="G48" s="109" t="n">
        <f aca="false">-IF(AND(5&gt;=Hipótesis!$D$52,Hipótesis!$B$52=1),IF(Hipótesis!$G$52=1,Hipótesis!$C$44,Hipótesis!$C$52*(1+Hipótesis!$D$45)^0)*(1+Hipótesis!$D$42),0)</f>
        <v>-0</v>
      </c>
      <c r="H48" s="109" t="n">
        <f aca="false">-IF(AND(6&gt;=Hipótesis!$D$52,Hipótesis!$B$52=1),IF(Hipótesis!$G$52=1,Hipótesis!$C$44,Hipótesis!$C$52*(1+Hipótesis!$D$45)^0)*(1+Hipótesis!$D$42),0)</f>
        <v>-0</v>
      </c>
      <c r="I48" s="109" t="n">
        <f aca="false">-IF(AND(7&gt;=Hipótesis!$D$52,Hipótesis!$B$52=1),IF(Hipótesis!$G$52=1,Hipótesis!$C$44,Hipótesis!$C$52*(1+Hipótesis!$D$45)^0)*(1+Hipótesis!$D$42),0)</f>
        <v>-0</v>
      </c>
      <c r="J48" s="109" t="n">
        <f aca="false">-IF(AND(8&gt;=Hipótesis!$D$52,Hipótesis!$B$52=1),IF(Hipótesis!$G$52=1,Hipótesis!$C$44,Hipótesis!$C$52*(1+Hipótesis!$D$45)^0)*(1+Hipótesis!$D$42),0)</f>
        <v>-0</v>
      </c>
      <c r="K48" s="109" t="n">
        <f aca="false">-IF(AND(9&gt;=Hipótesis!$D$52,Hipótesis!$B$52=1),IF(Hipótesis!$G$52=1,Hipótesis!$C$44,Hipótesis!$C$52*(1+Hipótesis!$D$45)^0)*(1+Hipótesis!$D$42),0)</f>
        <v>-0</v>
      </c>
      <c r="L48" s="109" t="n">
        <f aca="false">-IF(AND(10&gt;=Hipótesis!$D$52,Hipótesis!$B$52=1),IF(Hipótesis!$G$52=1,Hipótesis!$C$44,Hipótesis!$C$52*(1+Hipótesis!$D$45)^0)*(1+Hipótesis!$D$42),0)</f>
        <v>-0</v>
      </c>
      <c r="M48" s="109" t="n">
        <f aca="false">-IF(AND(11&gt;=Hipótesis!$D$52,Hipótesis!$B$52=1),IF(Hipótesis!$G$52=1,Hipótesis!$C$44,Hipótesis!$C$52*(1+Hipótesis!$D$45)^0)*(1+Hipótesis!$D$42),0)</f>
        <v>-0</v>
      </c>
      <c r="N48" s="109" t="n">
        <f aca="false">-IF(AND(12&gt;=Hipótesis!$D$52,Hipótesis!$B$52=1),IF(Hipótesis!$G$52=1,Hipótesis!$C$44,Hipótesis!$C$52*(1+Hipótesis!$D$45)^0)*(1+Hipótesis!$D$42),0)</f>
        <v>-0</v>
      </c>
      <c r="O48" s="109" t="n">
        <f aca="false">-IF(AND(13&gt;=Hipótesis!$D$52,Hipótesis!$B$52=1),IF(Hipótesis!$G$52=1,Hipótesis!$D$44,Hipótesis!$C$52*(1+Hipótesis!$D$45)^1)*(1+Hipótesis!$D$42),0)</f>
        <v>-0</v>
      </c>
      <c r="P48" s="109" t="n">
        <f aca="false">-IF(AND(14&gt;=Hipótesis!$D$52,Hipótesis!$B$52=1),IF(Hipótesis!$G$52=1,Hipótesis!$D$44,Hipótesis!$C$52*(1+Hipótesis!$D$45)^1)*(1+Hipótesis!$D$42),0)</f>
        <v>-0</v>
      </c>
      <c r="Q48" s="109" t="n">
        <f aca="false">-IF(AND(15&gt;=Hipótesis!$D$52,Hipótesis!$B$52=1),IF(Hipótesis!$G$52=1,Hipótesis!$D$44,Hipótesis!$C$52*(1+Hipótesis!$D$45)^1)*(1+Hipótesis!$D$42),0)</f>
        <v>-0</v>
      </c>
      <c r="R48" s="109" t="n">
        <f aca="false">-IF(AND(16&gt;=Hipótesis!$D$52,Hipótesis!$B$52=1),IF(Hipótesis!$G$52=1,Hipótesis!$D$44,Hipótesis!$C$52*(1+Hipótesis!$D$45)^1)*(1+Hipótesis!$D$42),0)</f>
        <v>-0</v>
      </c>
      <c r="S48" s="109" t="n">
        <f aca="false">-IF(AND(17&gt;=Hipótesis!$D$52,Hipótesis!$B$52=1),IF(Hipótesis!$G$52=1,Hipótesis!$D$44,Hipótesis!$C$52*(1+Hipótesis!$D$45)^1)*(1+Hipótesis!$D$42),0)</f>
        <v>-0</v>
      </c>
      <c r="T48" s="109" t="n">
        <f aca="false">-IF(AND(18&gt;=Hipótesis!$D$52,Hipótesis!$B$52=1),IF(Hipótesis!$G$52=1,Hipótesis!$D$44,Hipótesis!$C$52*(1+Hipótesis!$D$45)^1)*(1+Hipótesis!$D$42),0)</f>
        <v>-0</v>
      </c>
      <c r="U48" s="109" t="n">
        <f aca="false">-IF(AND(19&gt;=Hipótesis!$D$52,Hipótesis!$B$52=1),IF(Hipótesis!$G$52=1,Hipótesis!$D$44,Hipótesis!$C$52*(1+Hipótesis!$D$45)^1)*(1+Hipótesis!$D$42),0)</f>
        <v>-0</v>
      </c>
      <c r="V48" s="109" t="n">
        <f aca="false">-IF(AND(20&gt;=Hipótesis!$D$52,Hipótesis!$B$52=1),IF(Hipótesis!$G$52=1,Hipótesis!$D$44,Hipótesis!$C$52*(1+Hipótesis!$D$45)^1)*(1+Hipótesis!$D$42),0)</f>
        <v>-2719.2</v>
      </c>
      <c r="W48" s="109" t="n">
        <f aca="false">-IF(AND(21&gt;=Hipótesis!$D$52,Hipótesis!$B$52=1),IF(Hipótesis!$G$52=1,Hipótesis!$D$44,Hipótesis!$C$52*(1+Hipótesis!$D$45)^1)*(1+Hipótesis!$D$42),0)</f>
        <v>-2719.2</v>
      </c>
      <c r="X48" s="109" t="n">
        <f aca="false">-IF(AND(22&gt;=Hipótesis!$D$52,Hipótesis!$B$52=1),IF(Hipótesis!$G$52=1,Hipótesis!$D$44,Hipótesis!$C$52*(1+Hipótesis!$D$45)^1)*(1+Hipótesis!$D$42),0)</f>
        <v>-2719.2</v>
      </c>
      <c r="Y48" s="109" t="n">
        <f aca="false">-IF(AND(23&gt;=Hipótesis!$D$52,Hipótesis!$B$52=1),IF(Hipótesis!$G$52=1,Hipótesis!$D$44,Hipótesis!$C$52*(1+Hipótesis!$D$45)^1)*(1+Hipótesis!$D$42),0)</f>
        <v>-2719.2</v>
      </c>
      <c r="Z48" s="109" t="n">
        <f aca="false">-IF(AND(24&gt;=Hipótesis!$D$52,Hipótesis!$B$52=1),IF(Hipótesis!$G$52=1,Hipótesis!$D$44,Hipótesis!$C$52*(1+Hipótesis!$D$45)^1)*(1+Hipótesis!$D$42),0)</f>
        <v>-2719.2</v>
      </c>
      <c r="AA48" s="109" t="n">
        <f aca="false">-IF(AND(25&gt;=Hipótesis!$D$52,Hipótesis!$B$52=1),IF(Hipótesis!$G$52=1,Hipótesis!$E$44,Hipótesis!$C$52*(1+Hipótesis!$D$45)^2)*(1+Hipótesis!$D$42),0)</f>
        <v>-2800.776</v>
      </c>
      <c r="AB48" s="109" t="n">
        <f aca="false">-IF(AND(26&gt;=Hipótesis!$D$52,Hipótesis!$B$52=1),IF(Hipótesis!$G$52=1,Hipótesis!$E$44,Hipótesis!$C$52*(1+Hipótesis!$D$45)^2)*(1+Hipótesis!$D$42),0)</f>
        <v>-2800.776</v>
      </c>
      <c r="AC48" s="109" t="n">
        <f aca="false">-IF(AND(27&gt;=Hipótesis!$D$52,Hipótesis!$B$52=1),IF(Hipótesis!$G$52=1,Hipótesis!$E$44,Hipótesis!$C$52*(1+Hipótesis!$D$45)^2)*(1+Hipótesis!$D$42),0)</f>
        <v>-2800.776</v>
      </c>
      <c r="AD48" s="109" t="n">
        <f aca="false">-IF(AND(28&gt;=Hipótesis!$D$52,Hipótesis!$B$52=1),IF(Hipótesis!$G$52=1,Hipótesis!$E$44,Hipótesis!$C$52*(1+Hipótesis!$D$45)^2)*(1+Hipótesis!$D$42),0)</f>
        <v>-2800.776</v>
      </c>
      <c r="AE48" s="109" t="n">
        <f aca="false">-IF(AND(29&gt;=Hipótesis!$D$52,Hipótesis!$B$52=1),IF(Hipótesis!$G$52=1,Hipótesis!$E$44,Hipótesis!$C$52*(1+Hipótesis!$D$45)^2)*(1+Hipótesis!$D$42),0)</f>
        <v>-2800.776</v>
      </c>
      <c r="AF48" s="109" t="n">
        <f aca="false">-IF(AND(30&gt;=Hipótesis!$D$52,Hipótesis!$B$52=1),IF(Hipótesis!$G$52=1,Hipótesis!$E$44,Hipótesis!$C$52*(1+Hipótesis!$D$45)^2)*(1+Hipótesis!$D$42),0)</f>
        <v>-2800.776</v>
      </c>
      <c r="AG48" s="109" t="n">
        <f aca="false">-IF(AND(31&gt;=Hipótesis!$D$52,Hipótesis!$B$52=1),IF(Hipótesis!$G$52=1,Hipótesis!$E$44,Hipótesis!$C$52*(1+Hipótesis!$D$45)^2)*(1+Hipótesis!$D$42),0)</f>
        <v>-2800.776</v>
      </c>
      <c r="AH48" s="109" t="n">
        <f aca="false">-IF(AND(32&gt;=Hipótesis!$D$52,Hipótesis!$B$52=1),IF(Hipótesis!$G$52=1,Hipótesis!$E$44,Hipótesis!$C$52*(1+Hipótesis!$D$45)^2)*(1+Hipótesis!$D$42),0)</f>
        <v>-2800.776</v>
      </c>
      <c r="AI48" s="109" t="n">
        <f aca="false">-IF(AND(33&gt;=Hipótesis!$D$52,Hipótesis!$B$52=1),IF(Hipótesis!$G$52=1,Hipótesis!$E$44,Hipótesis!$C$52*(1+Hipótesis!$D$45)^2)*(1+Hipótesis!$D$42),0)</f>
        <v>-2800.776</v>
      </c>
      <c r="AJ48" s="109" t="n">
        <f aca="false">-IF(AND(34&gt;=Hipótesis!$D$52,Hipótesis!$B$52=1),IF(Hipótesis!$G$52=1,Hipótesis!$E$44,Hipótesis!$C$52*(1+Hipótesis!$D$45)^2)*(1+Hipótesis!$D$42),0)</f>
        <v>-2800.776</v>
      </c>
      <c r="AK48" s="109" t="n">
        <f aca="false">-IF(AND(35&gt;=Hipótesis!$D$52,Hipótesis!$B$52=1),IF(Hipótesis!$G$52=1,Hipótesis!$E$44,Hipótesis!$C$52*(1+Hipótesis!$D$45)^2)*(1+Hipótesis!$D$42),0)</f>
        <v>-2800.776</v>
      </c>
      <c r="AL48" s="109" t="n">
        <f aca="false">-IF(AND(36&gt;=Hipótesis!$D$52,Hipótesis!$B$52=1),IF(Hipótesis!$G$52=1,Hipótesis!$E$44,Hipótesis!$C$52*(1+Hipótesis!$D$45)^2)*(1+Hipótesis!$D$42),0)</f>
        <v>-2800.776</v>
      </c>
      <c r="AM48" s="109" t="n">
        <f aca="false">-IF(AND(37&gt;=Hipótesis!$D$52,Hipótesis!$B$52=1),IF(Hipótesis!$G$52=1,Hipótesis!$F$44,Hipótesis!$C$52*(1+Hipótesis!$D$45)^3)*(1+Hipótesis!$D$42),0)</f>
        <v>-2884.79928</v>
      </c>
      <c r="AN48" s="109" t="n">
        <f aca="false">-IF(AND(38&gt;=Hipótesis!$D$52,Hipótesis!$B$52=1),IF(Hipótesis!$G$52=1,Hipótesis!$F$44,Hipótesis!$C$52*(1+Hipótesis!$D$45)^3)*(1+Hipótesis!$D$42),0)</f>
        <v>-2884.79928</v>
      </c>
      <c r="AO48" s="109" t="n">
        <f aca="false">-IF(AND(39&gt;=Hipótesis!$D$52,Hipótesis!$B$52=1),IF(Hipótesis!$G$52=1,Hipótesis!$F$44,Hipótesis!$C$52*(1+Hipótesis!$D$45)^3)*(1+Hipótesis!$D$42),0)</f>
        <v>-2884.79928</v>
      </c>
      <c r="AP48" s="109" t="n">
        <f aca="false">-IF(AND(40&gt;=Hipótesis!$D$52,Hipótesis!$B$52=1),IF(Hipótesis!$G$52=1,Hipótesis!$F$44,Hipótesis!$C$52*(1+Hipótesis!$D$45)^3)*(1+Hipótesis!$D$42),0)</f>
        <v>-2884.79928</v>
      </c>
      <c r="AQ48" s="109" t="n">
        <f aca="false">-IF(AND(41&gt;=Hipótesis!$D$52,Hipótesis!$B$52=1),IF(Hipótesis!$G$52=1,Hipótesis!$F$44,Hipótesis!$C$52*(1+Hipótesis!$D$45)^3)*(1+Hipótesis!$D$42),0)</f>
        <v>-2884.79928</v>
      </c>
      <c r="AR48" s="109" t="n">
        <f aca="false">-IF(AND(42&gt;=Hipótesis!$D$52,Hipótesis!$B$52=1),IF(Hipótesis!$G$52=1,Hipótesis!$F$44,Hipótesis!$C$52*(1+Hipótesis!$D$45)^3)*(1+Hipótesis!$D$42),0)</f>
        <v>-2884.79928</v>
      </c>
      <c r="AS48" s="109" t="n">
        <f aca="false">-IF(AND(43&gt;=Hipótesis!$D$52,Hipótesis!$B$52=1),IF(Hipótesis!$G$52=1,Hipótesis!$F$44,Hipótesis!$C$52*(1+Hipótesis!$D$45)^3)*(1+Hipótesis!$D$42),0)</f>
        <v>-2884.79928</v>
      </c>
      <c r="AT48" s="109" t="n">
        <f aca="false">-IF(AND(44&gt;=Hipótesis!$D$52,Hipótesis!$B$52=1),IF(Hipótesis!$G$52=1,Hipótesis!$F$44,Hipótesis!$C$52*(1+Hipótesis!$D$45)^3)*(1+Hipótesis!$D$42),0)</f>
        <v>-2884.79928</v>
      </c>
      <c r="AU48" s="109" t="n">
        <f aca="false">-IF(AND(45&gt;=Hipótesis!$D$52,Hipótesis!$B$52=1),IF(Hipótesis!$G$52=1,Hipótesis!$F$44,Hipótesis!$C$52*(1+Hipótesis!$D$45)^3)*(1+Hipótesis!$D$42),0)</f>
        <v>-2884.79928</v>
      </c>
      <c r="AV48" s="109" t="n">
        <f aca="false">-IF(AND(46&gt;=Hipótesis!$D$52,Hipótesis!$B$52=1),IF(Hipótesis!$G$52=1,Hipótesis!$F$44,Hipótesis!$C$52*(1+Hipótesis!$D$45)^3)*(1+Hipótesis!$D$42),0)</f>
        <v>-2884.79928</v>
      </c>
      <c r="AW48" s="109" t="n">
        <f aca="false">-IF(AND(47&gt;=Hipótesis!$D$52,Hipótesis!$B$52=1),IF(Hipótesis!$G$52=1,Hipótesis!$F$44,Hipótesis!$C$52*(1+Hipótesis!$D$45)^3)*(1+Hipótesis!$D$42),0)</f>
        <v>-2884.79928</v>
      </c>
      <c r="AX48" s="109" t="n">
        <f aca="false">-IF(AND(48&gt;=Hipótesis!$D$52,Hipótesis!$B$52=1),IF(Hipótesis!$G$52=1,Hipótesis!$F$44,Hipótesis!$C$52*(1+Hipótesis!$D$45)^3)*(1+Hipótesis!$D$42),0)</f>
        <v>-2884.79928</v>
      </c>
      <c r="AY48" s="109" t="n">
        <f aca="false">-IF(AND(49&gt;=Hipótesis!$D$52,Hipótesis!$B$52=1),IF(Hipótesis!$G$52=1,Hipótesis!$G$44,Hipótesis!$C$52*(1+Hipótesis!$D$45)^4)*(1+Hipótesis!$D$42),0)</f>
        <v>-2971.3432584</v>
      </c>
      <c r="AZ48" s="109" t="n">
        <f aca="false">-IF(AND(50&gt;=Hipótesis!$D$52,Hipótesis!$B$52=1),IF(Hipótesis!$G$52=1,Hipótesis!$G$44,Hipótesis!$C$52*(1+Hipótesis!$D$45)^4)*(1+Hipótesis!$D$42),0)</f>
        <v>-2971.3432584</v>
      </c>
      <c r="BA48" s="109" t="n">
        <f aca="false">-IF(AND(51&gt;=Hipótesis!$D$52,Hipótesis!$B$52=1),IF(Hipótesis!$G$52=1,Hipótesis!$G$44,Hipótesis!$C$52*(1+Hipótesis!$D$45)^4)*(1+Hipótesis!$D$42),0)</f>
        <v>-2971.3432584</v>
      </c>
      <c r="BB48" s="109" t="n">
        <f aca="false">-IF(AND(52&gt;=Hipótesis!$D$52,Hipótesis!$B$52=1),IF(Hipótesis!$G$52=1,Hipótesis!$G$44,Hipótesis!$C$52*(1+Hipótesis!$D$45)^4)*(1+Hipótesis!$D$42),0)</f>
        <v>-2971.3432584</v>
      </c>
      <c r="BC48" s="109" t="n">
        <f aca="false">-IF(AND(53&gt;=Hipótesis!$D$52,Hipótesis!$B$52=1),IF(Hipótesis!$G$52=1,Hipótesis!$G$44,Hipótesis!$C$52*(1+Hipótesis!$D$45)^4)*(1+Hipótesis!$D$42),0)</f>
        <v>-2971.3432584</v>
      </c>
      <c r="BD48" s="109" t="n">
        <f aca="false">-IF(AND(54&gt;=Hipótesis!$D$52,Hipótesis!$B$52=1),IF(Hipótesis!$G$52=1,Hipótesis!$G$44,Hipótesis!$C$52*(1+Hipótesis!$D$45)^4)*(1+Hipótesis!$D$42),0)</f>
        <v>-2971.3432584</v>
      </c>
      <c r="BE48" s="109" t="n">
        <f aca="false">-IF(AND(55&gt;=Hipótesis!$D$52,Hipótesis!$B$52=1),IF(Hipótesis!$G$52=1,Hipótesis!$G$44,Hipótesis!$C$52*(1+Hipótesis!$D$45)^4)*(1+Hipótesis!$D$42),0)</f>
        <v>-2971.3432584</v>
      </c>
      <c r="BF48" s="109" t="n">
        <f aca="false">-IF(AND(56&gt;=Hipótesis!$D$52,Hipótesis!$B$52=1),IF(Hipótesis!$G$52=1,Hipótesis!$G$44,Hipótesis!$C$52*(1+Hipótesis!$D$45)^4)*(1+Hipótesis!$D$42),0)</f>
        <v>-2971.3432584</v>
      </c>
      <c r="BG48" s="109" t="n">
        <f aca="false">-IF(AND(57&gt;=Hipótesis!$D$52,Hipótesis!$B$52=1),IF(Hipótesis!$G$52=1,Hipótesis!$G$44,Hipótesis!$C$52*(1+Hipótesis!$D$45)^4)*(1+Hipótesis!$D$42),0)</f>
        <v>-2971.3432584</v>
      </c>
      <c r="BH48" s="109" t="n">
        <f aca="false">-IF(AND(58&gt;=Hipótesis!$D$52,Hipótesis!$B$52=1),IF(Hipótesis!$G$52=1,Hipótesis!$G$44,Hipótesis!$C$52*(1+Hipótesis!$D$45)^4)*(1+Hipótesis!$D$42),0)</f>
        <v>-2971.3432584</v>
      </c>
      <c r="BI48" s="109" t="n">
        <f aca="false">-IF(AND(59&gt;=Hipótesis!$D$52,Hipótesis!$B$52=1),IF(Hipótesis!$G$52=1,Hipótesis!$G$44,Hipótesis!$C$52*(1+Hipótesis!$D$45)^4)*(1+Hipótesis!$D$42),0)</f>
        <v>-2971.3432584</v>
      </c>
      <c r="BJ48" s="109" t="n">
        <f aca="false">-IF(AND(60&gt;=Hipótesis!$D$52,Hipótesis!$B$52=1),IF(Hipótesis!$G$52=1,Hipótesis!$G$44,Hipótesis!$C$52*(1+Hipótesis!$D$45)^4)*(1+Hipótesis!$D$42),0)</f>
        <v>-2971.3432584</v>
      </c>
      <c r="BK48" s="109" t="n">
        <f aca="false">-IF(AND(61&gt;=Hipótesis!$D$52,Hipótesis!$B$52=1),IF(Hipótesis!$G$52=1,Hipótesis!$H$44,Hipótesis!$C$52*(1+Hipótesis!$D$45)^5)*(1+Hipótesis!$D$42),0)</f>
        <v>-3060.483556152</v>
      </c>
      <c r="BL48" s="109" t="n">
        <f aca="false">-IF(AND(62&gt;=Hipótesis!$D$52,Hipótesis!$B$52=1),IF(Hipótesis!$G$52=1,Hipótesis!$H$44,Hipótesis!$C$52*(1+Hipótesis!$D$45)^5)*(1+Hipótesis!$D$42),0)</f>
        <v>-3060.483556152</v>
      </c>
      <c r="BM48" s="109" t="n">
        <f aca="false">-IF(AND(63&gt;=Hipótesis!$D$52,Hipótesis!$B$52=1),IF(Hipótesis!$G$52=1,Hipótesis!$H$44,Hipótesis!$C$52*(1+Hipótesis!$D$45)^5)*(1+Hipótesis!$D$42),0)</f>
        <v>-3060.483556152</v>
      </c>
      <c r="BN48" s="109" t="n">
        <f aca="false">-IF(AND(64&gt;=Hipótesis!$D$52,Hipótesis!$B$52=1),IF(Hipótesis!$G$52=1,Hipótesis!$H$44,Hipótesis!$C$52*(1+Hipótesis!$D$45)^5)*(1+Hipótesis!$D$42),0)</f>
        <v>-3060.483556152</v>
      </c>
      <c r="BO48" s="109" t="n">
        <f aca="false">-IF(AND(65&gt;=Hipótesis!$D$52,Hipótesis!$B$52=1),IF(Hipótesis!$G$52=1,Hipótesis!$H$44,Hipótesis!$C$52*(1+Hipótesis!$D$45)^5)*(1+Hipótesis!$D$42),0)</f>
        <v>-3060.483556152</v>
      </c>
      <c r="BP48" s="109" t="n">
        <f aca="false">-IF(AND(66&gt;=Hipótesis!$D$52,Hipótesis!$B$52=1),IF(Hipótesis!$G$52=1,Hipótesis!$H$44,Hipótesis!$C$52*(1+Hipótesis!$D$45)^5)*(1+Hipótesis!$D$42),0)</f>
        <v>-3060.483556152</v>
      </c>
      <c r="BQ48" s="109" t="n">
        <f aca="false">-IF(AND(67&gt;=Hipótesis!$D$52,Hipótesis!$B$52=1),IF(Hipótesis!$G$52=1,Hipótesis!$H$44,Hipótesis!$C$52*(1+Hipótesis!$D$45)^5)*(1+Hipótesis!$D$42),0)</f>
        <v>-3060.483556152</v>
      </c>
      <c r="BR48" s="109" t="n">
        <f aca="false">-IF(AND(68&gt;=Hipótesis!$D$52,Hipótesis!$B$52=1),IF(Hipótesis!$G$52=1,Hipótesis!$H$44,Hipótesis!$C$52*(1+Hipótesis!$D$45)^5)*(1+Hipótesis!$D$42),0)</f>
        <v>-3060.483556152</v>
      </c>
      <c r="BS48" s="109" t="n">
        <f aca="false">-IF(AND(69&gt;=Hipótesis!$D$52,Hipótesis!$B$52=1),IF(Hipótesis!$G$52=1,Hipótesis!$H$44,Hipótesis!$C$52*(1+Hipótesis!$D$45)^5)*(1+Hipótesis!$D$42),0)</f>
        <v>-3060.483556152</v>
      </c>
      <c r="BT48" s="109" t="n">
        <f aca="false">-IF(AND(70&gt;=Hipótesis!$D$52,Hipótesis!$B$52=1),IF(Hipótesis!$G$52=1,Hipótesis!$H$44,Hipótesis!$C$52*(1+Hipótesis!$D$45)^5)*(1+Hipótesis!$D$42),0)</f>
        <v>-3060.483556152</v>
      </c>
      <c r="BU48" s="109" t="n">
        <f aca="false">-IF(AND(71&gt;=Hipótesis!$D$52,Hipótesis!$B$52=1),IF(Hipótesis!$G$52=1,Hipótesis!$H$44,Hipótesis!$C$52*(1+Hipótesis!$D$45)^5)*(1+Hipótesis!$D$42),0)</f>
        <v>-3060.483556152</v>
      </c>
      <c r="BV48" s="109" t="n">
        <f aca="false">-IF(AND(72&gt;=Hipótesis!$D$52,Hipótesis!$B$52=1),IF(Hipótesis!$G$52=1,Hipótesis!$H$44,Hipótesis!$C$52*(1+Hipótesis!$D$45)^5)*(1+Hipótesis!$D$42),0)</f>
        <v>-3060.483556152</v>
      </c>
      <c r="BW48" s="109" t="n">
        <f aca="false">-IF(AND(73&gt;=Hipótesis!$D$52,Hipótesis!$B$52=1),IF(Hipótesis!$G$52=1,Hipótesis!$I$44,Hipótesis!$C$52*(1+Hipótesis!$D$45)^6)*(1+Hipótesis!$D$42),0)</f>
        <v>-3152.29806283656</v>
      </c>
      <c r="BX48" s="109" t="n">
        <f aca="false">-IF(AND(74&gt;=Hipótesis!$D$52,Hipótesis!$B$52=1),IF(Hipótesis!$G$52=1,Hipótesis!$I$44,Hipótesis!$C$52*(1+Hipótesis!$D$45)^6)*(1+Hipótesis!$D$42),0)</f>
        <v>-3152.29806283656</v>
      </c>
      <c r="BY48" s="109" t="n">
        <f aca="false">-IF(AND(75&gt;=Hipótesis!$D$52,Hipótesis!$B$52=1),IF(Hipótesis!$G$52=1,Hipótesis!$I$44,Hipótesis!$C$52*(1+Hipótesis!$D$45)^6)*(1+Hipótesis!$D$42),0)</f>
        <v>-3152.29806283656</v>
      </c>
      <c r="BZ48" s="109" t="n">
        <f aca="false">-IF(AND(76&gt;=Hipótesis!$D$52,Hipótesis!$B$52=1),IF(Hipótesis!$G$52=1,Hipótesis!$I$44,Hipótesis!$C$52*(1+Hipótesis!$D$45)^6)*(1+Hipótesis!$D$42),0)</f>
        <v>-3152.29806283656</v>
      </c>
      <c r="CA48" s="109" t="n">
        <f aca="false">-IF(AND(77&gt;=Hipótesis!$D$52,Hipótesis!$B$52=1),IF(Hipótesis!$G$52=1,Hipótesis!$I$44,Hipótesis!$C$52*(1+Hipótesis!$D$45)^6)*(1+Hipótesis!$D$42),0)</f>
        <v>-3152.29806283656</v>
      </c>
      <c r="CB48" s="109" t="n">
        <f aca="false">-IF(AND(78&gt;=Hipótesis!$D$52,Hipótesis!$B$52=1),IF(Hipótesis!$G$52=1,Hipótesis!$I$44,Hipótesis!$C$52*(1+Hipótesis!$D$45)^6)*(1+Hipótesis!$D$42),0)</f>
        <v>-3152.29806283656</v>
      </c>
      <c r="CC48" s="109" t="n">
        <f aca="false">-IF(AND(79&gt;=Hipótesis!$D$52,Hipótesis!$B$52=1),IF(Hipótesis!$G$52=1,Hipótesis!$I$44,Hipótesis!$C$52*(1+Hipótesis!$D$45)^6)*(1+Hipótesis!$D$42),0)</f>
        <v>-3152.29806283656</v>
      </c>
      <c r="CD48" s="109" t="n">
        <f aca="false">-IF(AND(80&gt;=Hipótesis!$D$52,Hipótesis!$B$52=1),IF(Hipótesis!$G$52=1,Hipótesis!$I$44,Hipótesis!$C$52*(1+Hipótesis!$D$45)^6)*(1+Hipótesis!$D$42),0)</f>
        <v>-3152.29806283656</v>
      </c>
      <c r="CE48" s="109" t="n">
        <f aca="false">-IF(AND(81&gt;=Hipótesis!$D$52,Hipótesis!$B$52=1),IF(Hipótesis!$G$52=1,Hipótesis!$I$44,Hipótesis!$C$52*(1+Hipótesis!$D$45)^6)*(1+Hipótesis!$D$42),0)</f>
        <v>-3152.29806283656</v>
      </c>
      <c r="CF48" s="109" t="n">
        <f aca="false">-IF(AND(82&gt;=Hipótesis!$D$52,Hipótesis!$B$52=1),IF(Hipótesis!$G$52=1,Hipótesis!$I$44,Hipótesis!$C$52*(1+Hipótesis!$D$45)^6)*(1+Hipótesis!$D$42),0)</f>
        <v>-3152.29806283656</v>
      </c>
      <c r="CG48" s="109" t="n">
        <f aca="false">-IF(AND(83&gt;=Hipótesis!$D$52,Hipótesis!$B$52=1),IF(Hipótesis!$G$52=1,Hipótesis!$I$44,Hipótesis!$C$52*(1+Hipótesis!$D$45)^6)*(1+Hipótesis!$D$42),0)</f>
        <v>-3152.29806283656</v>
      </c>
      <c r="CH48" s="109" t="n">
        <f aca="false">-IF(AND(84&gt;=Hipótesis!$D$52,Hipótesis!$B$52=1),IF(Hipótesis!$G$52=1,Hipótesis!$I$44,Hipótesis!$C$52*(1+Hipótesis!$D$45)^6)*(1+Hipótesis!$D$42),0)</f>
        <v>-3152.29806283656</v>
      </c>
    </row>
    <row r="49" customFormat="false" ht="13.5" hidden="false" customHeight="true" outlineLevel="0" collapsed="false">
      <c r="A49" s="6" t="s">
        <v>554</v>
      </c>
      <c r="C49" s="109" t="n">
        <f aca="false">-IF(AND(1&gt;=Hipótesis!$D$53,Hipótesis!$B$53=1),IF(Hipótesis!$G$53=1,Hipótesis!$C$44,Hipótesis!$C$53*(1+Hipótesis!$D$45)^0)*(1+Hipótesis!$D$42),0)</f>
        <v>-0</v>
      </c>
      <c r="D49" s="109" t="n">
        <f aca="false">-IF(AND(2&gt;=Hipótesis!$D$53,Hipótesis!$B$53=1),IF(Hipótesis!$G$53=1,Hipótesis!$C$44,Hipótesis!$C$53*(1+Hipótesis!$D$45)^0)*(1+Hipótesis!$D$42),0)</f>
        <v>-0</v>
      </c>
      <c r="E49" s="109" t="n">
        <f aca="false">-IF(AND(3&gt;=Hipótesis!$D$53,Hipótesis!$B$53=1),IF(Hipótesis!$G$53=1,Hipótesis!$C$44,Hipótesis!$C$53*(1+Hipótesis!$D$45)^0)*(1+Hipótesis!$D$42),0)</f>
        <v>-0</v>
      </c>
      <c r="F49" s="109" t="n">
        <f aca="false">-IF(AND(4&gt;=Hipótesis!$D$53,Hipótesis!$B$53=1),IF(Hipótesis!$G$53=1,Hipótesis!$C$44,Hipótesis!$C$53*(1+Hipótesis!$D$45)^0)*(1+Hipótesis!$D$42),0)</f>
        <v>-0</v>
      </c>
      <c r="G49" s="109" t="n">
        <f aca="false">-IF(AND(5&gt;=Hipótesis!$D$53,Hipótesis!$B$53=1),IF(Hipótesis!$G$53=1,Hipótesis!$C$44,Hipótesis!$C$53*(1+Hipótesis!$D$45)^0)*(1+Hipótesis!$D$42),0)</f>
        <v>-0</v>
      </c>
      <c r="H49" s="109" t="n">
        <f aca="false">-IF(AND(6&gt;=Hipótesis!$D$53,Hipótesis!$B$53=1),IF(Hipótesis!$G$53=1,Hipótesis!$C$44,Hipótesis!$C$53*(1+Hipótesis!$D$45)^0)*(1+Hipótesis!$D$42),0)</f>
        <v>-0</v>
      </c>
      <c r="I49" s="109" t="n">
        <f aca="false">-IF(AND(7&gt;=Hipótesis!$D$53,Hipótesis!$B$53=1),IF(Hipótesis!$G$53=1,Hipótesis!$C$44,Hipótesis!$C$53*(1+Hipótesis!$D$45)^0)*(1+Hipótesis!$D$42),0)</f>
        <v>-0</v>
      </c>
      <c r="J49" s="109" t="n">
        <f aca="false">-IF(AND(8&gt;=Hipótesis!$D$53,Hipótesis!$B$53=1),IF(Hipótesis!$G$53=1,Hipótesis!$C$44,Hipótesis!$C$53*(1+Hipótesis!$D$45)^0)*(1+Hipótesis!$D$42),0)</f>
        <v>-0</v>
      </c>
      <c r="K49" s="109" t="n">
        <f aca="false">-IF(AND(9&gt;=Hipótesis!$D$53,Hipótesis!$B$53=1),IF(Hipótesis!$G$53=1,Hipótesis!$C$44,Hipótesis!$C$53*(1+Hipótesis!$D$45)^0)*(1+Hipótesis!$D$42),0)</f>
        <v>-0</v>
      </c>
      <c r="L49" s="109" t="n">
        <f aca="false">-IF(AND(10&gt;=Hipótesis!$D$53,Hipótesis!$B$53=1),IF(Hipótesis!$G$53=1,Hipótesis!$C$44,Hipótesis!$C$53*(1+Hipótesis!$D$45)^0)*(1+Hipótesis!$D$42),0)</f>
        <v>-0</v>
      </c>
      <c r="M49" s="109" t="n">
        <f aca="false">-IF(AND(11&gt;=Hipótesis!$D$53,Hipótesis!$B$53=1),IF(Hipótesis!$G$53=1,Hipótesis!$C$44,Hipótesis!$C$53*(1+Hipótesis!$D$45)^0)*(1+Hipótesis!$D$42),0)</f>
        <v>-0</v>
      </c>
      <c r="N49" s="109" t="n">
        <f aca="false">-IF(AND(12&gt;=Hipótesis!$D$53,Hipótesis!$B$53=1),IF(Hipótesis!$G$53=1,Hipótesis!$C$44,Hipótesis!$C$53*(1+Hipótesis!$D$45)^0)*(1+Hipótesis!$D$42),0)</f>
        <v>-0</v>
      </c>
      <c r="O49" s="109" t="n">
        <f aca="false">-IF(AND(13&gt;=Hipótesis!$D$53,Hipótesis!$B$53=1),IF(Hipótesis!$G$53=1,Hipótesis!$D$44,Hipótesis!$C$53*(1+Hipótesis!$D$45)^1)*(1+Hipótesis!$D$42),0)</f>
        <v>-0</v>
      </c>
      <c r="P49" s="109" t="n">
        <f aca="false">-IF(AND(14&gt;=Hipótesis!$D$53,Hipótesis!$B$53=1),IF(Hipótesis!$G$53=1,Hipótesis!$D$44,Hipótesis!$C$53*(1+Hipótesis!$D$45)^1)*(1+Hipótesis!$D$42),0)</f>
        <v>-0</v>
      </c>
      <c r="Q49" s="109" t="n">
        <f aca="false">-IF(AND(15&gt;=Hipótesis!$D$53,Hipótesis!$B$53=1),IF(Hipótesis!$G$53=1,Hipótesis!$D$44,Hipótesis!$C$53*(1+Hipótesis!$D$45)^1)*(1+Hipótesis!$D$42),0)</f>
        <v>-0</v>
      </c>
      <c r="R49" s="109" t="n">
        <f aca="false">-IF(AND(16&gt;=Hipótesis!$D$53,Hipótesis!$B$53=1),IF(Hipótesis!$G$53=1,Hipótesis!$D$44,Hipótesis!$C$53*(1+Hipótesis!$D$45)^1)*(1+Hipótesis!$D$42),0)</f>
        <v>-0</v>
      </c>
      <c r="S49" s="109" t="n">
        <f aca="false">-IF(AND(17&gt;=Hipótesis!$D$53,Hipótesis!$B$53=1),IF(Hipótesis!$G$53=1,Hipótesis!$D$44,Hipótesis!$C$53*(1+Hipótesis!$D$45)^1)*(1+Hipótesis!$D$42),0)</f>
        <v>-0</v>
      </c>
      <c r="T49" s="109" t="n">
        <f aca="false">-IF(AND(18&gt;=Hipótesis!$D$53,Hipótesis!$B$53=1),IF(Hipótesis!$G$53=1,Hipótesis!$D$44,Hipótesis!$C$53*(1+Hipótesis!$D$45)^1)*(1+Hipótesis!$D$42),0)</f>
        <v>-0</v>
      </c>
      <c r="U49" s="109" t="n">
        <f aca="false">-IF(AND(19&gt;=Hipótesis!$D$53,Hipótesis!$B$53=1),IF(Hipótesis!$G$53=1,Hipótesis!$D$44,Hipótesis!$C$53*(1+Hipótesis!$D$45)^1)*(1+Hipótesis!$D$42),0)</f>
        <v>-0</v>
      </c>
      <c r="V49" s="109" t="n">
        <f aca="false">-IF(AND(20&gt;=Hipótesis!$D$53,Hipótesis!$B$53=1),IF(Hipótesis!$G$53=1,Hipótesis!$D$44,Hipótesis!$C$53*(1+Hipótesis!$D$45)^1)*(1+Hipótesis!$D$42),0)</f>
        <v>-0</v>
      </c>
      <c r="W49" s="109" t="n">
        <f aca="false">-IF(AND(21&gt;=Hipótesis!$D$53,Hipótesis!$B$53=1),IF(Hipótesis!$G$53=1,Hipótesis!$D$44,Hipótesis!$C$53*(1+Hipótesis!$D$45)^1)*(1+Hipótesis!$D$42),0)</f>
        <v>-0</v>
      </c>
      <c r="X49" s="109" t="n">
        <f aca="false">-IF(AND(22&gt;=Hipótesis!$D$53,Hipótesis!$B$53=1),IF(Hipótesis!$G$53=1,Hipótesis!$D$44,Hipótesis!$C$53*(1+Hipótesis!$D$45)^1)*(1+Hipótesis!$D$42),0)</f>
        <v>-0</v>
      </c>
      <c r="Y49" s="109" t="n">
        <f aca="false">-IF(AND(23&gt;=Hipótesis!$D$53,Hipótesis!$B$53=1),IF(Hipótesis!$G$53=1,Hipótesis!$D$44,Hipótesis!$C$53*(1+Hipótesis!$D$45)^1)*(1+Hipótesis!$D$42),0)</f>
        <v>-0</v>
      </c>
      <c r="Z49" s="109" t="n">
        <f aca="false">-IF(AND(24&gt;=Hipótesis!$D$53,Hipótesis!$B$53=1),IF(Hipótesis!$G$53=1,Hipótesis!$D$44,Hipótesis!$C$53*(1+Hipótesis!$D$45)^1)*(1+Hipótesis!$D$42),0)</f>
        <v>-0</v>
      </c>
      <c r="AA49" s="109" t="n">
        <f aca="false">-IF(AND(25&gt;=Hipótesis!$D$53,Hipótesis!$B$53=1),IF(Hipótesis!$G$53=1,Hipótesis!$E$44,Hipótesis!$C$53*(1+Hipótesis!$D$45)^2)*(1+Hipótesis!$D$42),0)</f>
        <v>-0</v>
      </c>
      <c r="AB49" s="109" t="n">
        <f aca="false">-IF(AND(26&gt;=Hipótesis!$D$53,Hipótesis!$B$53=1),IF(Hipótesis!$G$53=1,Hipótesis!$E$44,Hipótesis!$C$53*(1+Hipótesis!$D$45)^2)*(1+Hipótesis!$D$42),0)</f>
        <v>-0</v>
      </c>
      <c r="AC49" s="109" t="n">
        <f aca="false">-IF(AND(27&gt;=Hipótesis!$D$53,Hipótesis!$B$53=1),IF(Hipótesis!$G$53=1,Hipótesis!$E$44,Hipótesis!$C$53*(1+Hipótesis!$D$45)^2)*(1+Hipótesis!$D$42),0)</f>
        <v>-0</v>
      </c>
      <c r="AD49" s="109" t="n">
        <f aca="false">-IF(AND(28&gt;=Hipótesis!$D$53,Hipótesis!$B$53=1),IF(Hipótesis!$G$53=1,Hipótesis!$E$44,Hipótesis!$C$53*(1+Hipótesis!$D$45)^2)*(1+Hipótesis!$D$42),0)</f>
        <v>-0</v>
      </c>
      <c r="AE49" s="109" t="n">
        <f aca="false">-IF(AND(29&gt;=Hipótesis!$D$53,Hipótesis!$B$53=1),IF(Hipótesis!$G$53=1,Hipótesis!$E$44,Hipótesis!$C$53*(1+Hipótesis!$D$45)^2)*(1+Hipótesis!$D$42),0)</f>
        <v>-0</v>
      </c>
      <c r="AF49" s="109" t="n">
        <f aca="false">-IF(AND(30&gt;=Hipótesis!$D$53,Hipótesis!$B$53=1),IF(Hipótesis!$G$53=1,Hipótesis!$E$44,Hipótesis!$C$53*(1+Hipótesis!$D$45)^2)*(1+Hipótesis!$D$42),0)</f>
        <v>-0</v>
      </c>
      <c r="AG49" s="109" t="n">
        <f aca="false">-IF(AND(31&gt;=Hipótesis!$D$53,Hipótesis!$B$53=1),IF(Hipótesis!$G$53=1,Hipótesis!$E$44,Hipótesis!$C$53*(1+Hipótesis!$D$45)^2)*(1+Hipótesis!$D$42),0)</f>
        <v>-0</v>
      </c>
      <c r="AH49" s="109" t="n">
        <f aca="false">-IF(AND(32&gt;=Hipótesis!$D$53,Hipótesis!$B$53=1),IF(Hipótesis!$G$53=1,Hipótesis!$E$44,Hipótesis!$C$53*(1+Hipótesis!$D$45)^2)*(1+Hipótesis!$D$42),0)</f>
        <v>-0</v>
      </c>
      <c r="AI49" s="109" t="n">
        <f aca="false">-IF(AND(33&gt;=Hipótesis!$D$53,Hipótesis!$B$53=1),IF(Hipótesis!$G$53=1,Hipótesis!$E$44,Hipótesis!$C$53*(1+Hipótesis!$D$45)^2)*(1+Hipótesis!$D$42),0)</f>
        <v>-0</v>
      </c>
      <c r="AJ49" s="109" t="n">
        <f aca="false">-IF(AND(34&gt;=Hipótesis!$D$53,Hipótesis!$B$53=1),IF(Hipótesis!$G$53=1,Hipótesis!$E$44,Hipótesis!$C$53*(1+Hipótesis!$D$45)^2)*(1+Hipótesis!$D$42),0)</f>
        <v>-0</v>
      </c>
      <c r="AK49" s="109" t="n">
        <f aca="false">-IF(AND(35&gt;=Hipótesis!$D$53,Hipótesis!$B$53=1),IF(Hipótesis!$G$53=1,Hipótesis!$E$44,Hipótesis!$C$53*(1+Hipótesis!$D$45)^2)*(1+Hipótesis!$D$42),0)</f>
        <v>-0</v>
      </c>
      <c r="AL49" s="109" t="n">
        <f aca="false">-IF(AND(36&gt;=Hipótesis!$D$53,Hipótesis!$B$53=1),IF(Hipótesis!$G$53=1,Hipótesis!$E$44,Hipótesis!$C$53*(1+Hipótesis!$D$45)^2)*(1+Hipótesis!$D$42),0)</f>
        <v>-0</v>
      </c>
      <c r="AM49" s="109" t="n">
        <f aca="false">-IF(AND(37&gt;=Hipótesis!$D$53,Hipótesis!$B$53=1),IF(Hipótesis!$G$53=1,Hipótesis!$F$44,Hipótesis!$C$53*(1+Hipótesis!$D$45)^3)*(1+Hipótesis!$D$42),0)</f>
        <v>-0</v>
      </c>
      <c r="AN49" s="109" t="n">
        <f aca="false">-IF(AND(38&gt;=Hipótesis!$D$53,Hipótesis!$B$53=1),IF(Hipótesis!$G$53=1,Hipótesis!$F$44,Hipótesis!$C$53*(1+Hipótesis!$D$45)^3)*(1+Hipótesis!$D$42),0)</f>
        <v>-0</v>
      </c>
      <c r="AO49" s="109" t="n">
        <f aca="false">-IF(AND(39&gt;=Hipótesis!$D$53,Hipótesis!$B$53=1),IF(Hipótesis!$G$53=1,Hipótesis!$F$44,Hipótesis!$C$53*(1+Hipótesis!$D$45)^3)*(1+Hipótesis!$D$42),0)</f>
        <v>-0</v>
      </c>
      <c r="AP49" s="109" t="n">
        <f aca="false">-IF(AND(40&gt;=Hipótesis!$D$53,Hipótesis!$B$53=1),IF(Hipótesis!$G$53=1,Hipótesis!$F$44,Hipótesis!$C$53*(1+Hipótesis!$D$45)^3)*(1+Hipótesis!$D$42),0)</f>
        <v>-0</v>
      </c>
      <c r="AQ49" s="109" t="n">
        <f aca="false">-IF(AND(41&gt;=Hipótesis!$D$53,Hipótesis!$B$53=1),IF(Hipótesis!$G$53=1,Hipótesis!$F$44,Hipótesis!$C$53*(1+Hipótesis!$D$45)^3)*(1+Hipótesis!$D$42),0)</f>
        <v>-0</v>
      </c>
      <c r="AR49" s="109" t="n">
        <f aca="false">-IF(AND(42&gt;=Hipótesis!$D$53,Hipótesis!$B$53=1),IF(Hipótesis!$G$53=1,Hipótesis!$F$44,Hipótesis!$C$53*(1+Hipótesis!$D$45)^3)*(1+Hipótesis!$D$42),0)</f>
        <v>-0</v>
      </c>
      <c r="AS49" s="109" t="n">
        <f aca="false">-IF(AND(43&gt;=Hipótesis!$D$53,Hipótesis!$B$53=1),IF(Hipótesis!$G$53=1,Hipótesis!$F$44,Hipótesis!$C$53*(1+Hipótesis!$D$45)^3)*(1+Hipótesis!$D$42),0)</f>
        <v>-0</v>
      </c>
      <c r="AT49" s="109" t="n">
        <f aca="false">-IF(AND(44&gt;=Hipótesis!$D$53,Hipótesis!$B$53=1),IF(Hipótesis!$G$53=1,Hipótesis!$F$44,Hipótesis!$C$53*(1+Hipótesis!$D$45)^3)*(1+Hipótesis!$D$42),0)</f>
        <v>-0</v>
      </c>
      <c r="AU49" s="109" t="n">
        <f aca="false">-IF(AND(45&gt;=Hipótesis!$D$53,Hipótesis!$B$53=1),IF(Hipótesis!$G$53=1,Hipótesis!$F$44,Hipótesis!$C$53*(1+Hipótesis!$D$45)^3)*(1+Hipótesis!$D$42),0)</f>
        <v>-0</v>
      </c>
      <c r="AV49" s="109" t="n">
        <f aca="false">-IF(AND(46&gt;=Hipótesis!$D$53,Hipótesis!$B$53=1),IF(Hipótesis!$G$53=1,Hipótesis!$F$44,Hipótesis!$C$53*(1+Hipótesis!$D$45)^3)*(1+Hipótesis!$D$42),0)</f>
        <v>-0</v>
      </c>
      <c r="AW49" s="109" t="n">
        <f aca="false">-IF(AND(47&gt;=Hipótesis!$D$53,Hipótesis!$B$53=1),IF(Hipótesis!$G$53=1,Hipótesis!$F$44,Hipótesis!$C$53*(1+Hipótesis!$D$45)^3)*(1+Hipótesis!$D$42),0)</f>
        <v>-0</v>
      </c>
      <c r="AX49" s="109" t="n">
        <f aca="false">-IF(AND(48&gt;=Hipótesis!$D$53,Hipótesis!$B$53=1),IF(Hipótesis!$G$53=1,Hipótesis!$F$44,Hipótesis!$C$53*(1+Hipótesis!$D$45)^3)*(1+Hipótesis!$D$42),0)</f>
        <v>-0</v>
      </c>
      <c r="AY49" s="109" t="n">
        <f aca="false">-IF(AND(49&gt;=Hipótesis!$D$53,Hipótesis!$B$53=1),IF(Hipótesis!$G$53=1,Hipótesis!$G$44,Hipótesis!$C$53*(1+Hipótesis!$D$45)^4)*(1+Hipótesis!$D$42),0)</f>
        <v>-0</v>
      </c>
      <c r="AZ49" s="109" t="n">
        <f aca="false">-IF(AND(50&gt;=Hipótesis!$D$53,Hipótesis!$B$53=1),IF(Hipótesis!$G$53=1,Hipótesis!$G$44,Hipótesis!$C$53*(1+Hipótesis!$D$45)^4)*(1+Hipótesis!$D$42),0)</f>
        <v>-0</v>
      </c>
      <c r="BA49" s="109" t="n">
        <f aca="false">-IF(AND(51&gt;=Hipótesis!$D$53,Hipótesis!$B$53=1),IF(Hipótesis!$G$53=1,Hipótesis!$G$44,Hipótesis!$C$53*(1+Hipótesis!$D$45)^4)*(1+Hipótesis!$D$42),0)</f>
        <v>-0</v>
      </c>
      <c r="BB49" s="109" t="n">
        <f aca="false">-IF(AND(52&gt;=Hipótesis!$D$53,Hipótesis!$B$53=1),IF(Hipótesis!$G$53=1,Hipótesis!$G$44,Hipótesis!$C$53*(1+Hipótesis!$D$45)^4)*(1+Hipótesis!$D$42),0)</f>
        <v>-0</v>
      </c>
      <c r="BC49" s="109" t="n">
        <f aca="false">-IF(AND(53&gt;=Hipótesis!$D$53,Hipótesis!$B$53=1),IF(Hipótesis!$G$53=1,Hipótesis!$G$44,Hipótesis!$C$53*(1+Hipótesis!$D$45)^4)*(1+Hipótesis!$D$42),0)</f>
        <v>-0</v>
      </c>
      <c r="BD49" s="109" t="n">
        <f aca="false">-IF(AND(54&gt;=Hipótesis!$D$53,Hipótesis!$B$53=1),IF(Hipótesis!$G$53=1,Hipótesis!$G$44,Hipótesis!$C$53*(1+Hipótesis!$D$45)^4)*(1+Hipótesis!$D$42),0)</f>
        <v>-0</v>
      </c>
      <c r="BE49" s="109" t="n">
        <f aca="false">-IF(AND(55&gt;=Hipótesis!$D$53,Hipótesis!$B$53=1),IF(Hipótesis!$G$53=1,Hipótesis!$G$44,Hipótesis!$C$53*(1+Hipótesis!$D$45)^4)*(1+Hipótesis!$D$42),0)</f>
        <v>-0</v>
      </c>
      <c r="BF49" s="109" t="n">
        <f aca="false">-IF(AND(56&gt;=Hipótesis!$D$53,Hipótesis!$B$53=1),IF(Hipótesis!$G$53=1,Hipótesis!$G$44,Hipótesis!$C$53*(1+Hipótesis!$D$45)^4)*(1+Hipótesis!$D$42),0)</f>
        <v>-0</v>
      </c>
      <c r="BG49" s="109" t="n">
        <f aca="false">-IF(AND(57&gt;=Hipótesis!$D$53,Hipótesis!$B$53=1),IF(Hipótesis!$G$53=1,Hipótesis!$G$44,Hipótesis!$C$53*(1+Hipótesis!$D$45)^4)*(1+Hipótesis!$D$42),0)</f>
        <v>-0</v>
      </c>
      <c r="BH49" s="109" t="n">
        <f aca="false">-IF(AND(58&gt;=Hipótesis!$D$53,Hipótesis!$B$53=1),IF(Hipótesis!$G$53=1,Hipótesis!$G$44,Hipótesis!$C$53*(1+Hipótesis!$D$45)^4)*(1+Hipótesis!$D$42),0)</f>
        <v>-0</v>
      </c>
      <c r="BI49" s="109" t="n">
        <f aca="false">-IF(AND(59&gt;=Hipótesis!$D$53,Hipótesis!$B$53=1),IF(Hipótesis!$G$53=1,Hipótesis!$G$44,Hipótesis!$C$53*(1+Hipótesis!$D$45)^4)*(1+Hipótesis!$D$42),0)</f>
        <v>-0</v>
      </c>
      <c r="BJ49" s="109" t="n">
        <f aca="false">-IF(AND(60&gt;=Hipótesis!$D$53,Hipótesis!$B$53=1),IF(Hipótesis!$G$53=1,Hipótesis!$G$44,Hipótesis!$C$53*(1+Hipótesis!$D$45)^4)*(1+Hipótesis!$D$42),0)</f>
        <v>-0</v>
      </c>
      <c r="BK49" s="109" t="n">
        <f aca="false">-IF(AND(61&gt;=Hipótesis!$D$53,Hipótesis!$B$53=1),IF(Hipótesis!$G$53=1,Hipótesis!$H$44,Hipótesis!$C$53*(1+Hipótesis!$D$45)^5)*(1+Hipótesis!$D$42),0)</f>
        <v>-0</v>
      </c>
      <c r="BL49" s="109" t="n">
        <f aca="false">-IF(AND(62&gt;=Hipótesis!$D$53,Hipótesis!$B$53=1),IF(Hipótesis!$G$53=1,Hipótesis!$H$44,Hipótesis!$C$53*(1+Hipótesis!$D$45)^5)*(1+Hipótesis!$D$42),0)</f>
        <v>-0</v>
      </c>
      <c r="BM49" s="109" t="n">
        <f aca="false">-IF(AND(63&gt;=Hipótesis!$D$53,Hipótesis!$B$53=1),IF(Hipótesis!$G$53=1,Hipótesis!$H$44,Hipótesis!$C$53*(1+Hipótesis!$D$45)^5)*(1+Hipótesis!$D$42),0)</f>
        <v>-0</v>
      </c>
      <c r="BN49" s="109" t="n">
        <f aca="false">-IF(AND(64&gt;=Hipótesis!$D$53,Hipótesis!$B$53=1),IF(Hipótesis!$G$53=1,Hipótesis!$H$44,Hipótesis!$C$53*(1+Hipótesis!$D$45)^5)*(1+Hipótesis!$D$42),0)</f>
        <v>-0</v>
      </c>
      <c r="BO49" s="109" t="n">
        <f aca="false">-IF(AND(65&gt;=Hipótesis!$D$53,Hipótesis!$B$53=1),IF(Hipótesis!$G$53=1,Hipótesis!$H$44,Hipótesis!$C$53*(1+Hipótesis!$D$45)^5)*(1+Hipótesis!$D$42),0)</f>
        <v>-0</v>
      </c>
      <c r="BP49" s="109" t="n">
        <f aca="false">-IF(AND(66&gt;=Hipótesis!$D$53,Hipótesis!$B$53=1),IF(Hipótesis!$G$53=1,Hipótesis!$H$44,Hipótesis!$C$53*(1+Hipótesis!$D$45)^5)*(1+Hipótesis!$D$42),0)</f>
        <v>-0</v>
      </c>
      <c r="BQ49" s="109" t="n">
        <f aca="false">-IF(AND(67&gt;=Hipótesis!$D$53,Hipótesis!$B$53=1),IF(Hipótesis!$G$53=1,Hipótesis!$H$44,Hipótesis!$C$53*(1+Hipótesis!$D$45)^5)*(1+Hipótesis!$D$42),0)</f>
        <v>-0</v>
      </c>
      <c r="BR49" s="109" t="n">
        <f aca="false">-IF(AND(68&gt;=Hipótesis!$D$53,Hipótesis!$B$53=1),IF(Hipótesis!$G$53=1,Hipótesis!$H$44,Hipótesis!$C$53*(1+Hipótesis!$D$45)^5)*(1+Hipótesis!$D$42),0)</f>
        <v>-0</v>
      </c>
      <c r="BS49" s="109" t="n">
        <f aca="false">-IF(AND(69&gt;=Hipótesis!$D$53,Hipótesis!$B$53=1),IF(Hipótesis!$G$53=1,Hipótesis!$H$44,Hipótesis!$C$53*(1+Hipótesis!$D$45)^5)*(1+Hipótesis!$D$42),0)</f>
        <v>-0</v>
      </c>
      <c r="BT49" s="109" t="n">
        <f aca="false">-IF(AND(70&gt;=Hipótesis!$D$53,Hipótesis!$B$53=1),IF(Hipótesis!$G$53=1,Hipótesis!$H$44,Hipótesis!$C$53*(1+Hipótesis!$D$45)^5)*(1+Hipótesis!$D$42),0)</f>
        <v>-0</v>
      </c>
      <c r="BU49" s="109" t="n">
        <f aca="false">-IF(AND(71&gt;=Hipótesis!$D$53,Hipótesis!$B$53=1),IF(Hipótesis!$G$53=1,Hipótesis!$H$44,Hipótesis!$C$53*(1+Hipótesis!$D$45)^5)*(1+Hipótesis!$D$42),0)</f>
        <v>-0</v>
      </c>
      <c r="BV49" s="109" t="n">
        <f aca="false">-IF(AND(72&gt;=Hipótesis!$D$53,Hipótesis!$B$53=1),IF(Hipótesis!$G$53=1,Hipótesis!$H$44,Hipótesis!$C$53*(1+Hipótesis!$D$45)^5)*(1+Hipótesis!$D$42),0)</f>
        <v>-0</v>
      </c>
      <c r="BW49" s="109" t="n">
        <f aca="false">-IF(AND(73&gt;=Hipótesis!$D$53,Hipótesis!$B$53=1),IF(Hipótesis!$G$53=1,Hipótesis!$I$44,Hipótesis!$C$53*(1+Hipótesis!$D$45)^6)*(1+Hipótesis!$D$42),0)</f>
        <v>-0</v>
      </c>
      <c r="BX49" s="109" t="n">
        <f aca="false">-IF(AND(74&gt;=Hipótesis!$D$53,Hipótesis!$B$53=1),IF(Hipótesis!$G$53=1,Hipótesis!$I$44,Hipótesis!$C$53*(1+Hipótesis!$D$45)^6)*(1+Hipótesis!$D$42),0)</f>
        <v>-0</v>
      </c>
      <c r="BY49" s="109" t="n">
        <f aca="false">-IF(AND(75&gt;=Hipótesis!$D$53,Hipótesis!$B$53=1),IF(Hipótesis!$G$53=1,Hipótesis!$I$44,Hipótesis!$C$53*(1+Hipótesis!$D$45)^6)*(1+Hipótesis!$D$42),0)</f>
        <v>-0</v>
      </c>
      <c r="BZ49" s="109" t="n">
        <f aca="false">-IF(AND(76&gt;=Hipótesis!$D$53,Hipótesis!$B$53=1),IF(Hipótesis!$G$53=1,Hipótesis!$I$44,Hipótesis!$C$53*(1+Hipótesis!$D$45)^6)*(1+Hipótesis!$D$42),0)</f>
        <v>-0</v>
      </c>
      <c r="CA49" s="109" t="n">
        <f aca="false">-IF(AND(77&gt;=Hipótesis!$D$53,Hipótesis!$B$53=1),IF(Hipótesis!$G$53=1,Hipótesis!$I$44,Hipótesis!$C$53*(1+Hipótesis!$D$45)^6)*(1+Hipótesis!$D$42),0)</f>
        <v>-0</v>
      </c>
      <c r="CB49" s="109" t="n">
        <f aca="false">-IF(AND(78&gt;=Hipótesis!$D$53,Hipótesis!$B$53=1),IF(Hipótesis!$G$53=1,Hipótesis!$I$44,Hipótesis!$C$53*(1+Hipótesis!$D$45)^6)*(1+Hipótesis!$D$42),0)</f>
        <v>-0</v>
      </c>
      <c r="CC49" s="109" t="n">
        <f aca="false">-IF(AND(79&gt;=Hipótesis!$D$53,Hipótesis!$B$53=1),IF(Hipótesis!$G$53=1,Hipótesis!$I$44,Hipótesis!$C$53*(1+Hipótesis!$D$45)^6)*(1+Hipótesis!$D$42),0)</f>
        <v>-0</v>
      </c>
      <c r="CD49" s="109" t="n">
        <f aca="false">-IF(AND(80&gt;=Hipótesis!$D$53,Hipótesis!$B$53=1),IF(Hipótesis!$G$53=1,Hipótesis!$I$44,Hipótesis!$C$53*(1+Hipótesis!$D$45)^6)*(1+Hipótesis!$D$42),0)</f>
        <v>-0</v>
      </c>
      <c r="CE49" s="109" t="n">
        <f aca="false">-IF(AND(81&gt;=Hipótesis!$D$53,Hipótesis!$B$53=1),IF(Hipótesis!$G$53=1,Hipótesis!$I$44,Hipótesis!$C$53*(1+Hipótesis!$D$45)^6)*(1+Hipótesis!$D$42),0)</f>
        <v>-0</v>
      </c>
      <c r="CF49" s="109" t="n">
        <f aca="false">-IF(AND(82&gt;=Hipótesis!$D$53,Hipótesis!$B$53=1),IF(Hipótesis!$G$53=1,Hipótesis!$I$44,Hipótesis!$C$53*(1+Hipótesis!$D$45)^6)*(1+Hipótesis!$D$42),0)</f>
        <v>-0</v>
      </c>
      <c r="CG49" s="109" t="n">
        <f aca="false">-IF(AND(83&gt;=Hipótesis!$D$53,Hipótesis!$B$53=1),IF(Hipótesis!$G$53=1,Hipótesis!$I$44,Hipótesis!$C$53*(1+Hipótesis!$D$45)^6)*(1+Hipótesis!$D$42),0)</f>
        <v>-0</v>
      </c>
      <c r="CH49" s="109" t="n">
        <f aca="false">-IF(AND(84&gt;=Hipótesis!$D$53,Hipótesis!$B$53=1),IF(Hipótesis!$G$53=1,Hipótesis!$I$44,Hipótesis!$C$53*(1+Hipótesis!$D$45)^6)*(1+Hipótesis!$D$42),0)</f>
        <v>-0</v>
      </c>
    </row>
    <row r="50" customFormat="false" ht="13.5" hidden="false" customHeight="true" outlineLevel="0" collapsed="false">
      <c r="A50" s="22" t="s">
        <v>555</v>
      </c>
      <c r="C50" s="109" t="n">
        <f aca="false">-C30*Hipótesis!$D$61*(1+Hipótesis!$D$45)^0*(1+Hipótesis!$D$42)</f>
        <v>-0</v>
      </c>
      <c r="D50" s="109" t="n">
        <f aca="false">-D30*Hipótesis!$D$61*(1+Hipótesis!$D$45)^0*(1+Hipótesis!$D$42)</f>
        <v>-0</v>
      </c>
      <c r="E50" s="109" t="n">
        <f aca="false">-E30*Hipótesis!$D$61*(1+Hipótesis!$D$45)^0*(1+Hipótesis!$D$42)</f>
        <v>-0</v>
      </c>
      <c r="F50" s="109" t="n">
        <f aca="false">-F30*Hipótesis!$D$61*(1+Hipótesis!$D$45)^0*(1+Hipótesis!$D$42)</f>
        <v>-0</v>
      </c>
      <c r="G50" s="109" t="n">
        <f aca="false">-G30*Hipótesis!$D$61*(1+Hipótesis!$D$45)^0*(1+Hipótesis!$D$42)</f>
        <v>-0</v>
      </c>
      <c r="H50" s="109" t="n">
        <f aca="false">-H30*Hipótesis!$D$61*(1+Hipótesis!$D$45)^0*(1+Hipótesis!$D$42)</f>
        <v>-0</v>
      </c>
      <c r="I50" s="109" t="n">
        <f aca="false">-I30*Hipótesis!$D$61*(1+Hipótesis!$D$45)^0*(1+Hipótesis!$D$42)</f>
        <v>-0</v>
      </c>
      <c r="J50" s="109" t="n">
        <f aca="false">-J30*Hipótesis!$D$61*(1+Hipótesis!$D$45)^0*(1+Hipótesis!$D$42)</f>
        <v>-0</v>
      </c>
      <c r="K50" s="109" t="n">
        <f aca="false">-K30*Hipótesis!$D$61*(1+Hipótesis!$D$45)^0*(1+Hipótesis!$D$42)</f>
        <v>-0</v>
      </c>
      <c r="L50" s="109" t="n">
        <f aca="false">-L30*Hipótesis!$D$61*(1+Hipótesis!$D$45)^0*(1+Hipótesis!$D$42)</f>
        <v>-0</v>
      </c>
      <c r="M50" s="109" t="n">
        <f aca="false">-M30*Hipótesis!$D$61*(1+Hipótesis!$D$45)^0*(1+Hipótesis!$D$42)</f>
        <v>-0</v>
      </c>
      <c r="N50" s="109" t="n">
        <f aca="false">-N30*Hipótesis!$D$61*(1+Hipótesis!$D$45)^0*(1+Hipótesis!$D$42)</f>
        <v>-2244</v>
      </c>
      <c r="O50" s="109" t="n">
        <f aca="false">-O30*Hipótesis!$D$61*(1+Hipótesis!$D$45)^1*(1+Hipótesis!$D$42)</f>
        <v>-2311.32</v>
      </c>
      <c r="P50" s="109" t="n">
        <f aca="false">-P30*Hipótesis!$D$61*(1+Hipótesis!$D$45)^1*(1+Hipótesis!$D$42)</f>
        <v>-2311.32</v>
      </c>
      <c r="Q50" s="109" t="n">
        <f aca="false">-Q30*Hipótesis!$D$61*(1+Hipótesis!$D$45)^1*(1+Hipótesis!$D$42)</f>
        <v>-4622.64</v>
      </c>
      <c r="R50" s="109" t="n">
        <f aca="false">-R30*Hipótesis!$D$61*(1+Hipótesis!$D$45)^1*(1+Hipótesis!$D$42)</f>
        <v>-4622.64</v>
      </c>
      <c r="S50" s="109" t="n">
        <f aca="false">-S30*Hipótesis!$D$61*(1+Hipótesis!$D$45)^1*(1+Hipótesis!$D$42)</f>
        <v>-4622.64</v>
      </c>
      <c r="T50" s="109" t="n">
        <f aca="false">-T30*Hipótesis!$D$61*(1+Hipótesis!$D$45)^1*(1+Hipótesis!$D$42)</f>
        <v>-6933.96</v>
      </c>
      <c r="U50" s="109" t="n">
        <f aca="false">-U30*Hipótesis!$D$61*(1+Hipótesis!$D$45)^1*(1+Hipótesis!$D$42)</f>
        <v>-6933.96</v>
      </c>
      <c r="V50" s="109" t="n">
        <f aca="false">-V30*Hipótesis!$D$61*(1+Hipótesis!$D$45)^1*(1+Hipótesis!$D$42)</f>
        <v>-6933.96</v>
      </c>
      <c r="W50" s="109" t="n">
        <f aca="false">-W30*Hipótesis!$D$61*(1+Hipótesis!$D$45)^1*(1+Hipótesis!$D$42)</f>
        <v>-6933.96</v>
      </c>
      <c r="X50" s="109" t="n">
        <f aca="false">-X30*Hipótesis!$D$61*(1+Hipótesis!$D$45)^1*(1+Hipótesis!$D$42)</f>
        <v>-9245.28</v>
      </c>
      <c r="Y50" s="109" t="n">
        <f aca="false">-Y30*Hipótesis!$D$61*(1+Hipótesis!$D$45)^1*(1+Hipótesis!$D$42)</f>
        <v>-9245.28</v>
      </c>
      <c r="Z50" s="109" t="n">
        <f aca="false">-Z30*Hipótesis!$D$61*(1+Hipótesis!$D$45)^1*(1+Hipótesis!$D$42)</f>
        <v>-9245.28</v>
      </c>
      <c r="AA50" s="109" t="n">
        <f aca="false">-AA30*Hipótesis!$D$61*(1+Hipótesis!$D$45)^2*(1+Hipótesis!$D$42)</f>
        <v>-9522.6384</v>
      </c>
      <c r="AB50" s="109" t="n">
        <f aca="false">-AB30*Hipótesis!$D$61*(1+Hipótesis!$D$45)^2*(1+Hipótesis!$D$42)</f>
        <v>-9522.6384</v>
      </c>
      <c r="AC50" s="109" t="n">
        <f aca="false">-AC30*Hipótesis!$D$61*(1+Hipótesis!$D$45)^2*(1+Hipótesis!$D$42)</f>
        <v>-9522.6384</v>
      </c>
      <c r="AD50" s="109" t="n">
        <f aca="false">-AD30*Hipótesis!$D$61*(1+Hipótesis!$D$45)^2*(1+Hipótesis!$D$42)</f>
        <v>-9522.6384</v>
      </c>
      <c r="AE50" s="109" t="n">
        <f aca="false">-AE30*Hipótesis!$D$61*(1+Hipótesis!$D$45)^2*(1+Hipótesis!$D$42)</f>
        <v>-11903.298</v>
      </c>
      <c r="AF50" s="109" t="n">
        <f aca="false">-AF30*Hipótesis!$D$61*(1+Hipótesis!$D$45)^2*(1+Hipótesis!$D$42)</f>
        <v>-11903.298</v>
      </c>
      <c r="AG50" s="109" t="n">
        <f aca="false">-AG30*Hipótesis!$D$61*(1+Hipótesis!$D$45)^2*(1+Hipótesis!$D$42)</f>
        <v>-11903.298</v>
      </c>
      <c r="AH50" s="109" t="n">
        <f aca="false">-AH30*Hipótesis!$D$61*(1+Hipótesis!$D$45)^2*(1+Hipótesis!$D$42)</f>
        <v>-11903.298</v>
      </c>
      <c r="AI50" s="109" t="n">
        <f aca="false">-AI30*Hipótesis!$D$61*(1+Hipótesis!$D$45)^2*(1+Hipótesis!$D$42)</f>
        <v>-11903.298</v>
      </c>
      <c r="AJ50" s="109" t="n">
        <f aca="false">-AJ30*Hipótesis!$D$61*(1+Hipótesis!$D$45)^2*(1+Hipótesis!$D$42)</f>
        <v>-11903.298</v>
      </c>
      <c r="AK50" s="109" t="n">
        <f aca="false">-AK30*Hipótesis!$D$61*(1+Hipótesis!$D$45)^2*(1+Hipótesis!$D$42)</f>
        <v>-11903.298</v>
      </c>
      <c r="AL50" s="109" t="n">
        <f aca="false">-AL30*Hipótesis!$D$61*(1+Hipótesis!$D$45)^2*(1+Hipótesis!$D$42)</f>
        <v>-11903.298</v>
      </c>
      <c r="AM50" s="109" t="n">
        <f aca="false">-AM30*Hipótesis!$D$61*(1+Hipótesis!$D$45)^3*(1+Hipótesis!$D$42)</f>
        <v>-14712.476328</v>
      </c>
      <c r="AN50" s="109" t="n">
        <f aca="false">-AN30*Hipótesis!$D$61*(1+Hipótesis!$D$45)^3*(1+Hipótesis!$D$42)</f>
        <v>-14712.476328</v>
      </c>
      <c r="AO50" s="109" t="n">
        <f aca="false">-AO30*Hipótesis!$D$61*(1+Hipótesis!$D$45)^3*(1+Hipótesis!$D$42)</f>
        <v>-14712.476328</v>
      </c>
      <c r="AP50" s="109" t="n">
        <f aca="false">-AP30*Hipótesis!$D$61*(1+Hipótesis!$D$45)^3*(1+Hipótesis!$D$42)</f>
        <v>-14712.476328</v>
      </c>
      <c r="AQ50" s="109" t="n">
        <f aca="false">-AQ30*Hipótesis!$D$61*(1+Hipótesis!$D$45)^3*(1+Hipótesis!$D$42)</f>
        <v>-14712.476328</v>
      </c>
      <c r="AR50" s="109" t="n">
        <f aca="false">-AR30*Hipótesis!$D$61*(1+Hipótesis!$D$45)^3*(1+Hipótesis!$D$42)</f>
        <v>-14712.476328</v>
      </c>
      <c r="AS50" s="109" t="n">
        <f aca="false">-AS30*Hipótesis!$D$61*(1+Hipótesis!$D$45)^3*(1+Hipótesis!$D$42)</f>
        <v>-14712.476328</v>
      </c>
      <c r="AT50" s="109" t="n">
        <f aca="false">-AT30*Hipótesis!$D$61*(1+Hipótesis!$D$45)^3*(1+Hipótesis!$D$42)</f>
        <v>-14712.476328</v>
      </c>
      <c r="AU50" s="109" t="n">
        <f aca="false">-AU30*Hipótesis!$D$61*(1+Hipótesis!$D$45)^3*(1+Hipótesis!$D$42)</f>
        <v>-14712.476328</v>
      </c>
      <c r="AV50" s="109" t="n">
        <f aca="false">-AV30*Hipótesis!$D$61*(1+Hipótesis!$D$45)^3*(1+Hipótesis!$D$42)</f>
        <v>-14712.476328</v>
      </c>
      <c r="AW50" s="109" t="n">
        <f aca="false">-AW30*Hipótesis!$D$61*(1+Hipótesis!$D$45)^3*(1+Hipótesis!$D$42)</f>
        <v>-14712.476328</v>
      </c>
      <c r="AX50" s="109" t="n">
        <f aca="false">-AX30*Hipótesis!$D$61*(1+Hipótesis!$D$45)^3*(1+Hipótesis!$D$42)</f>
        <v>-14712.476328</v>
      </c>
      <c r="AY50" s="109" t="n">
        <f aca="false">-AY30*Hipótesis!$D$61*(1+Hipótesis!$D$45)^4*(1+Hipótesis!$D$42)</f>
        <v>-15153.85061784</v>
      </c>
      <c r="AZ50" s="109" t="n">
        <f aca="false">-AZ30*Hipótesis!$D$61*(1+Hipótesis!$D$45)^4*(1+Hipótesis!$D$42)</f>
        <v>-15153.85061784</v>
      </c>
      <c r="BA50" s="109" t="n">
        <f aca="false">-BA30*Hipótesis!$D$61*(1+Hipótesis!$D$45)^4*(1+Hipótesis!$D$42)</f>
        <v>-15153.85061784</v>
      </c>
      <c r="BB50" s="109" t="n">
        <f aca="false">-BB30*Hipótesis!$D$61*(1+Hipótesis!$D$45)^4*(1+Hipótesis!$D$42)</f>
        <v>-15153.85061784</v>
      </c>
      <c r="BC50" s="109" t="n">
        <f aca="false">-BC30*Hipótesis!$D$61*(1+Hipótesis!$D$45)^4*(1+Hipótesis!$D$42)</f>
        <v>-15153.85061784</v>
      </c>
      <c r="BD50" s="109" t="n">
        <f aca="false">-BD30*Hipótesis!$D$61*(1+Hipótesis!$D$45)^4*(1+Hipótesis!$D$42)</f>
        <v>-15153.85061784</v>
      </c>
      <c r="BE50" s="109" t="n">
        <f aca="false">-BE30*Hipótesis!$D$61*(1+Hipótesis!$D$45)^4*(1+Hipótesis!$D$42)</f>
        <v>-15153.85061784</v>
      </c>
      <c r="BF50" s="109" t="n">
        <f aca="false">-BF30*Hipótesis!$D$61*(1+Hipótesis!$D$45)^4*(1+Hipótesis!$D$42)</f>
        <v>-15153.85061784</v>
      </c>
      <c r="BG50" s="109" t="n">
        <f aca="false">-BG30*Hipótesis!$D$61*(1+Hipótesis!$D$45)^4*(1+Hipótesis!$D$42)</f>
        <v>-15153.85061784</v>
      </c>
      <c r="BH50" s="109" t="n">
        <f aca="false">-BH30*Hipótesis!$D$61*(1+Hipótesis!$D$45)^4*(1+Hipótesis!$D$42)</f>
        <v>-15153.85061784</v>
      </c>
      <c r="BI50" s="109" t="n">
        <f aca="false">-BI30*Hipótesis!$D$61*(1+Hipótesis!$D$45)^4*(1+Hipótesis!$D$42)</f>
        <v>-15153.85061784</v>
      </c>
      <c r="BJ50" s="109" t="n">
        <f aca="false">-BJ30*Hipótesis!$D$61*(1+Hipótesis!$D$45)^4*(1+Hipótesis!$D$42)</f>
        <v>-15153.85061784</v>
      </c>
      <c r="BK50" s="109" t="n">
        <f aca="false">-BK30*Hipótesis!$D$61*(1+Hipótesis!$D$45)^5*(1+Hipótesis!$D$42)</f>
        <v>-15608.4661363752</v>
      </c>
      <c r="BL50" s="109" t="n">
        <f aca="false">-BL30*Hipótesis!$D$61*(1+Hipótesis!$D$45)^5*(1+Hipótesis!$D$42)</f>
        <v>-15608.4661363752</v>
      </c>
      <c r="BM50" s="109" t="n">
        <f aca="false">-BM30*Hipótesis!$D$61*(1+Hipótesis!$D$45)^5*(1+Hipótesis!$D$42)</f>
        <v>-15608.4661363752</v>
      </c>
      <c r="BN50" s="109" t="n">
        <f aca="false">-BN30*Hipótesis!$D$61*(1+Hipótesis!$D$45)^5*(1+Hipótesis!$D$42)</f>
        <v>-15608.4661363752</v>
      </c>
      <c r="BO50" s="109" t="n">
        <f aca="false">-BO30*Hipótesis!$D$61*(1+Hipótesis!$D$45)^5*(1+Hipótesis!$D$42)</f>
        <v>-15608.4661363752</v>
      </c>
      <c r="BP50" s="109" t="n">
        <f aca="false">-BP30*Hipótesis!$D$61*(1+Hipótesis!$D$45)^5*(1+Hipótesis!$D$42)</f>
        <v>-15608.4661363752</v>
      </c>
      <c r="BQ50" s="109" t="n">
        <f aca="false">-BQ30*Hipótesis!$D$61*(1+Hipótesis!$D$45)^5*(1+Hipótesis!$D$42)</f>
        <v>-15608.4661363752</v>
      </c>
      <c r="BR50" s="109" t="n">
        <f aca="false">-BR30*Hipótesis!$D$61*(1+Hipótesis!$D$45)^5*(1+Hipótesis!$D$42)</f>
        <v>-15608.4661363752</v>
      </c>
      <c r="BS50" s="109" t="n">
        <f aca="false">-BS30*Hipótesis!$D$61*(1+Hipótesis!$D$45)^5*(1+Hipótesis!$D$42)</f>
        <v>-15608.4661363752</v>
      </c>
      <c r="BT50" s="109" t="n">
        <f aca="false">-BT30*Hipótesis!$D$61*(1+Hipótesis!$D$45)^5*(1+Hipótesis!$D$42)</f>
        <v>-15608.4661363752</v>
      </c>
      <c r="BU50" s="109" t="n">
        <f aca="false">-BU30*Hipótesis!$D$61*(1+Hipótesis!$D$45)^5*(1+Hipótesis!$D$42)</f>
        <v>-15608.4661363752</v>
      </c>
      <c r="BV50" s="109" t="n">
        <f aca="false">-BV30*Hipótesis!$D$61*(1+Hipótesis!$D$45)^5*(1+Hipótesis!$D$42)</f>
        <v>-15608.4661363752</v>
      </c>
      <c r="BW50" s="109" t="n">
        <f aca="false">-BW30*Hipótesis!$D$61*(1+Hipótesis!$D$45)^6*(1+Hipótesis!$D$42)</f>
        <v>-16076.7201204665</v>
      </c>
      <c r="BX50" s="109" t="n">
        <f aca="false">-BX30*Hipótesis!$D$61*(1+Hipótesis!$D$45)^6*(1+Hipótesis!$D$42)</f>
        <v>-16076.7201204665</v>
      </c>
      <c r="BY50" s="109" t="n">
        <f aca="false">-BY30*Hipótesis!$D$61*(1+Hipótesis!$D$45)^6*(1+Hipótesis!$D$42)</f>
        <v>-16076.7201204665</v>
      </c>
      <c r="BZ50" s="109" t="n">
        <f aca="false">-BZ30*Hipótesis!$D$61*(1+Hipótesis!$D$45)^6*(1+Hipótesis!$D$42)</f>
        <v>-16076.7201204665</v>
      </c>
      <c r="CA50" s="109" t="n">
        <f aca="false">-CA30*Hipótesis!$D$61*(1+Hipótesis!$D$45)^6*(1+Hipótesis!$D$42)</f>
        <v>-16076.7201204665</v>
      </c>
      <c r="CB50" s="109" t="n">
        <f aca="false">-CB30*Hipótesis!$D$61*(1+Hipótesis!$D$45)^6*(1+Hipótesis!$D$42)</f>
        <v>-16076.7201204665</v>
      </c>
      <c r="CC50" s="109" t="n">
        <f aca="false">-CC30*Hipótesis!$D$61*(1+Hipótesis!$D$45)^6*(1+Hipótesis!$D$42)</f>
        <v>-16076.7201204665</v>
      </c>
      <c r="CD50" s="109" t="n">
        <f aca="false">-CD30*Hipótesis!$D$61*(1+Hipótesis!$D$45)^6*(1+Hipótesis!$D$42)</f>
        <v>-16076.7201204665</v>
      </c>
      <c r="CE50" s="109" t="n">
        <f aca="false">-CE30*Hipótesis!$D$61*(1+Hipótesis!$D$45)^6*(1+Hipótesis!$D$42)</f>
        <v>-16076.7201204665</v>
      </c>
      <c r="CF50" s="109" t="n">
        <f aca="false">-CF30*Hipótesis!$D$61*(1+Hipótesis!$D$45)^6*(1+Hipótesis!$D$42)</f>
        <v>-16076.7201204665</v>
      </c>
      <c r="CG50" s="109" t="n">
        <f aca="false">-CG30*Hipótesis!$D$61*(1+Hipótesis!$D$45)^6*(1+Hipótesis!$D$42)</f>
        <v>-16076.7201204665</v>
      </c>
      <c r="CH50" s="109" t="n">
        <f aca="false">-CH30*Hipótesis!$D$61*(1+Hipótesis!$D$45)^6*(1+Hipótesis!$D$42)</f>
        <v>-16076.7201204665</v>
      </c>
    </row>
    <row r="51" customFormat="false" ht="13.5" hidden="false" customHeight="true" outlineLevel="0" collapsed="false">
      <c r="A51" s="22" t="s">
        <v>556</v>
      </c>
      <c r="C51" s="109" t="n">
        <f aca="false">SUM(C44:C49)+C50</f>
        <v>-11352</v>
      </c>
      <c r="D51" s="109" t="n">
        <f aca="false">SUM(D44:D49)+D50</f>
        <v>-11352</v>
      </c>
      <c r="E51" s="109" t="n">
        <f aca="false">SUM(E44:E49)+E50</f>
        <v>-11352</v>
      </c>
      <c r="F51" s="109" t="n">
        <f aca="false">SUM(F44:F49)+F50</f>
        <v>-11352</v>
      </c>
      <c r="G51" s="109" t="n">
        <f aca="false">SUM(G44:G49)+G50</f>
        <v>-11352</v>
      </c>
      <c r="H51" s="109" t="n">
        <f aca="false">SUM(H44:H49)+H50</f>
        <v>-11352</v>
      </c>
      <c r="I51" s="109" t="n">
        <f aca="false">SUM(I44:I49)+I50</f>
        <v>-11352</v>
      </c>
      <c r="J51" s="109" t="n">
        <f aca="false">SUM(J44:J49)+J50</f>
        <v>-11352</v>
      </c>
      <c r="K51" s="109" t="n">
        <f aca="false">SUM(K44:K49)+K50</f>
        <v>-11352</v>
      </c>
      <c r="L51" s="109" t="n">
        <f aca="false">SUM(L44:L49)+L50</f>
        <v>-11352</v>
      </c>
      <c r="M51" s="109" t="n">
        <f aca="false">SUM(M44:M49)+M50</f>
        <v>-11352</v>
      </c>
      <c r="N51" s="109" t="n">
        <f aca="false">SUM(N44:N49)+N50</f>
        <v>-13596</v>
      </c>
      <c r="O51" s="109" t="n">
        <f aca="false">SUM(O44:O49)+O50</f>
        <v>-18890.52</v>
      </c>
      <c r="P51" s="109" t="n">
        <f aca="false">SUM(P44:P49)+P50</f>
        <v>-18890.52</v>
      </c>
      <c r="Q51" s="109" t="n">
        <f aca="false">SUM(Q44:Q49)+Q50</f>
        <v>-21201.84</v>
      </c>
      <c r="R51" s="109" t="n">
        <f aca="false">SUM(R44:R49)+R50</f>
        <v>-21201.84</v>
      </c>
      <c r="S51" s="109" t="n">
        <f aca="false">SUM(S44:S49)+S50</f>
        <v>-21201.84</v>
      </c>
      <c r="T51" s="109" t="n">
        <f aca="false">SUM(T44:T49)+T50</f>
        <v>-23513.16</v>
      </c>
      <c r="U51" s="109" t="n">
        <f aca="false">SUM(U44:U49)+U50</f>
        <v>-23513.16</v>
      </c>
      <c r="V51" s="109" t="n">
        <f aca="false">SUM(V44:V49)+V50</f>
        <v>-26232.36</v>
      </c>
      <c r="W51" s="109" t="n">
        <f aca="false">SUM(W44:W49)+W50</f>
        <v>-26232.36</v>
      </c>
      <c r="X51" s="109" t="n">
        <f aca="false">SUM(X44:X49)+X50</f>
        <v>-28543.68</v>
      </c>
      <c r="Y51" s="109" t="n">
        <f aca="false">SUM(Y44:Y49)+Y50</f>
        <v>-28543.68</v>
      </c>
      <c r="Z51" s="109" t="n">
        <f aca="false">SUM(Z44:Z49)+Z50</f>
        <v>-28543.68</v>
      </c>
      <c r="AA51" s="109" t="n">
        <f aca="false">SUM(AA44:AA49)+AA50</f>
        <v>-30964.1904</v>
      </c>
      <c r="AB51" s="109" t="n">
        <f aca="false">SUM(AB44:AB49)+AB50</f>
        <v>-30964.1904</v>
      </c>
      <c r="AC51" s="109" t="n">
        <f aca="false">SUM(AC44:AC49)+AC50</f>
        <v>-30964.1904</v>
      </c>
      <c r="AD51" s="109" t="n">
        <f aca="false">SUM(AD44:AD49)+AD50</f>
        <v>-30964.1904</v>
      </c>
      <c r="AE51" s="109" t="n">
        <f aca="false">SUM(AE44:AE49)+AE50</f>
        <v>-33344.85</v>
      </c>
      <c r="AF51" s="109" t="n">
        <f aca="false">SUM(AF44:AF49)+AF50</f>
        <v>-33344.85</v>
      </c>
      <c r="AG51" s="109" t="n">
        <f aca="false">SUM(AG44:AG49)+AG50</f>
        <v>-33344.85</v>
      </c>
      <c r="AH51" s="109" t="n">
        <f aca="false">SUM(AH44:AH49)+AH50</f>
        <v>-33344.85</v>
      </c>
      <c r="AI51" s="109" t="n">
        <f aca="false">SUM(AI44:AI49)+AI50</f>
        <v>-33344.85</v>
      </c>
      <c r="AJ51" s="109" t="n">
        <f aca="false">SUM(AJ44:AJ49)+AJ50</f>
        <v>-33344.85</v>
      </c>
      <c r="AK51" s="109" t="n">
        <f aca="false">SUM(AK44:AK49)+AK50</f>
        <v>-33344.85</v>
      </c>
      <c r="AL51" s="109" t="n">
        <f aca="false">SUM(AL44:AL49)+AL50</f>
        <v>-33344.85</v>
      </c>
      <c r="AM51" s="109" t="n">
        <f aca="false">SUM(AM44:AM49)+AM50</f>
        <v>-38302.074888</v>
      </c>
      <c r="AN51" s="109" t="n">
        <f aca="false">SUM(AN44:AN49)+AN50</f>
        <v>-38302.074888</v>
      </c>
      <c r="AO51" s="109" t="n">
        <f aca="false">SUM(AO44:AO49)+AO50</f>
        <v>-38302.074888</v>
      </c>
      <c r="AP51" s="109" t="n">
        <f aca="false">SUM(AP44:AP49)+AP50</f>
        <v>-38302.074888</v>
      </c>
      <c r="AQ51" s="109" t="n">
        <f aca="false">SUM(AQ44:AQ49)+AQ50</f>
        <v>-38302.074888</v>
      </c>
      <c r="AR51" s="109" t="n">
        <f aca="false">SUM(AR44:AR49)+AR50</f>
        <v>-38302.074888</v>
      </c>
      <c r="AS51" s="109" t="n">
        <f aca="false">SUM(AS44:AS49)+AS50</f>
        <v>-38302.074888</v>
      </c>
      <c r="AT51" s="109" t="n">
        <f aca="false">SUM(AT44:AT49)+AT50</f>
        <v>-38302.074888</v>
      </c>
      <c r="AU51" s="109" t="n">
        <f aca="false">SUM(AU44:AU49)+AU50</f>
        <v>-38302.074888</v>
      </c>
      <c r="AV51" s="109" t="n">
        <f aca="false">SUM(AV44:AV49)+AV50</f>
        <v>-38302.074888</v>
      </c>
      <c r="AW51" s="109" t="n">
        <f aca="false">SUM(AW44:AW49)+AW50</f>
        <v>-38302.074888</v>
      </c>
      <c r="AX51" s="109" t="n">
        <f aca="false">SUM(AX44:AX49)+AX50</f>
        <v>-38302.074888</v>
      </c>
      <c r="AY51" s="109" t="n">
        <f aca="false">SUM(AY44:AY49)+AY50</f>
        <v>-40896.53713464</v>
      </c>
      <c r="AZ51" s="109" t="n">
        <f aca="false">SUM(AZ44:AZ49)+AZ50</f>
        <v>-40896.53713464</v>
      </c>
      <c r="BA51" s="109" t="n">
        <f aca="false">SUM(BA44:BA49)+BA50</f>
        <v>-40896.53713464</v>
      </c>
      <c r="BB51" s="109" t="n">
        <f aca="false">SUM(BB44:BB49)+BB50</f>
        <v>-40896.53713464</v>
      </c>
      <c r="BC51" s="109" t="n">
        <f aca="false">SUM(BC44:BC49)+BC50</f>
        <v>-40896.53713464</v>
      </c>
      <c r="BD51" s="109" t="n">
        <f aca="false">SUM(BD44:BD49)+BD50</f>
        <v>-40896.53713464</v>
      </c>
      <c r="BE51" s="109" t="n">
        <f aca="false">SUM(BE44:BE49)+BE50</f>
        <v>-40896.53713464</v>
      </c>
      <c r="BF51" s="109" t="n">
        <f aca="false">SUM(BF44:BF49)+BF50</f>
        <v>-40896.53713464</v>
      </c>
      <c r="BG51" s="109" t="n">
        <f aca="false">SUM(BG44:BG49)+BG50</f>
        <v>-40896.53713464</v>
      </c>
      <c r="BH51" s="109" t="n">
        <f aca="false">SUM(BH44:BH49)+BH50</f>
        <v>-40896.53713464</v>
      </c>
      <c r="BI51" s="109" t="n">
        <f aca="false">SUM(BI44:BI49)+BI50</f>
        <v>-40896.53713464</v>
      </c>
      <c r="BJ51" s="109" t="n">
        <f aca="false">SUM(BJ44:BJ49)+BJ50</f>
        <v>-40896.53713464</v>
      </c>
      <c r="BK51" s="109" t="n">
        <f aca="false">SUM(BK44:BK49)+BK50</f>
        <v>-43509.4332486792</v>
      </c>
      <c r="BL51" s="109" t="n">
        <f aca="false">SUM(BL44:BL49)+BL50</f>
        <v>-43509.4332486792</v>
      </c>
      <c r="BM51" s="109" t="n">
        <f aca="false">SUM(BM44:BM49)+BM50</f>
        <v>-43509.4332486792</v>
      </c>
      <c r="BN51" s="109" t="n">
        <f aca="false">SUM(BN44:BN49)+BN50</f>
        <v>-43509.4332486792</v>
      </c>
      <c r="BO51" s="109" t="n">
        <f aca="false">SUM(BO44:BO49)+BO50</f>
        <v>-43509.4332486792</v>
      </c>
      <c r="BP51" s="109" t="n">
        <f aca="false">SUM(BP44:BP49)+BP50</f>
        <v>-43509.4332486792</v>
      </c>
      <c r="BQ51" s="109" t="n">
        <f aca="false">SUM(BQ44:BQ49)+BQ50</f>
        <v>-43509.4332486792</v>
      </c>
      <c r="BR51" s="109" t="n">
        <f aca="false">SUM(BR44:BR49)+BR50</f>
        <v>-43509.4332486792</v>
      </c>
      <c r="BS51" s="109" t="n">
        <f aca="false">SUM(BS44:BS49)+BS50</f>
        <v>-43509.4332486792</v>
      </c>
      <c r="BT51" s="109" t="n">
        <f aca="false">SUM(BT44:BT49)+BT50</f>
        <v>-43509.4332486792</v>
      </c>
      <c r="BU51" s="109" t="n">
        <f aca="false">SUM(BU44:BU49)+BU50</f>
        <v>-43509.4332486792</v>
      </c>
      <c r="BV51" s="109" t="n">
        <f aca="false">SUM(BV44:BV49)+BV50</f>
        <v>-43509.4332486792</v>
      </c>
      <c r="BW51" s="109" t="n">
        <f aca="false">SUM(BW44:BW49)+BW50</f>
        <v>-46141.3162461396</v>
      </c>
      <c r="BX51" s="109" t="n">
        <f aca="false">SUM(BX44:BX49)+BX50</f>
        <v>-46141.3162461396</v>
      </c>
      <c r="BY51" s="109" t="n">
        <f aca="false">SUM(BY44:BY49)+BY50</f>
        <v>-46141.3162461396</v>
      </c>
      <c r="BZ51" s="109" t="n">
        <f aca="false">SUM(BZ44:BZ49)+BZ50</f>
        <v>-46141.3162461396</v>
      </c>
      <c r="CA51" s="109" t="n">
        <f aca="false">SUM(CA44:CA49)+CA50</f>
        <v>-46141.3162461396</v>
      </c>
      <c r="CB51" s="109" t="n">
        <f aca="false">SUM(CB44:CB49)+CB50</f>
        <v>-46141.3162461396</v>
      </c>
      <c r="CC51" s="109" t="n">
        <f aca="false">SUM(CC44:CC49)+CC50</f>
        <v>-46141.3162461396</v>
      </c>
      <c r="CD51" s="109" t="n">
        <f aca="false">SUM(CD44:CD49)+CD50</f>
        <v>-46141.3162461396</v>
      </c>
      <c r="CE51" s="109" t="n">
        <f aca="false">SUM(CE44:CE49)+CE50</f>
        <v>-46141.3162461396</v>
      </c>
      <c r="CF51" s="109" t="n">
        <f aca="false">SUM(CF44:CF49)+CF50</f>
        <v>-46141.3162461396</v>
      </c>
      <c r="CG51" s="109" t="n">
        <f aca="false">SUM(CG44:CG49)+CG50</f>
        <v>-46141.3162461396</v>
      </c>
      <c r="CH51" s="109" t="n">
        <f aca="false">SUM(CH44:CH49)+CH50</f>
        <v>-46141.3162461396</v>
      </c>
    </row>
    <row r="52" customFormat="false" ht="13.5" hidden="false" customHeight="true" outlineLevel="0" collapsed="false">
      <c r="A52" s="6" t="s">
        <v>557</v>
      </c>
      <c r="C52" s="109" t="n">
        <f aca="false">-(C26*(1-Logistica!$B$5)*Logistica!$B$7+C26*Logistica!$B$5*Logistica!$B$39)</f>
        <v>-4.78047324930469</v>
      </c>
      <c r="D52" s="109" t="n">
        <f aca="false">-(D26*(1-Logistica!$B$5)*Logistica!$B$7+D26*Logistica!$B$5*Logistica!$B$39)</f>
        <v>-10.5673619195156</v>
      </c>
      <c r="E52" s="109" t="n">
        <f aca="false">-(E26*(1-Logistica!$B$5)*Logistica!$B$7+E26*Logistica!$B$5*Logistica!$B$39)</f>
        <v>-29.1860472062813</v>
      </c>
      <c r="F52" s="109" t="n">
        <f aca="false">-(F26*(1-Logistica!$B$5)*Logistica!$B$7+F26*Logistica!$B$5*Logistica!$B$39)</f>
        <v>-43.0242592437422</v>
      </c>
      <c r="G52" s="109" t="n">
        <f aca="false">-(G26*(1-Logistica!$B$5)*Logistica!$B$7+G26*Logistica!$B$5*Logistica!$B$39)</f>
        <v>-55.8560558602969</v>
      </c>
      <c r="H52" s="109" t="n">
        <f aca="false">-(H26*(1-Logistica!$B$5)*Logistica!$B$7+H26*Logistica!$B$5*Logistica!$B$39)</f>
        <v>-80.2196958414023</v>
      </c>
      <c r="I52" s="109" t="n">
        <f aca="false">-(I26*(1-Logistica!$B$5)*Logistica!$B$7+I26*Logistica!$B$5*Logistica!$B$39)</f>
        <v>-123.892046074456</v>
      </c>
      <c r="J52" s="109" t="n">
        <f aca="false">-(J26*(1-Logistica!$B$5)*Logistica!$B$7+J26*Logistica!$B$5*Logistica!$B$39)</f>
        <v>-167.564396307509</v>
      </c>
      <c r="K52" s="109" t="n">
        <f aca="false">-(K26*(1-Logistica!$B$5)*Logistica!$B$7+K26*Logistica!$B$5*Logistica!$B$39)</f>
        <v>-211.236746540563</v>
      </c>
      <c r="L52" s="109" t="n">
        <f aca="false">-(L26*(1-Logistica!$B$5)*Logistica!$B$7+L26*Logistica!$B$5*Logistica!$B$39)</f>
        <v>-254.909096773617</v>
      </c>
      <c r="M52" s="109" t="n">
        <f aca="false">-(M26*(1-Logistica!$B$5)*Logistica!$B$7+M26*Logistica!$B$5*Logistica!$B$39)</f>
        <v>-285.749650390116</v>
      </c>
      <c r="N52" s="109" t="n">
        <f aca="false">-(N26*(1-Logistica!$B$5)*Logistica!$B$7+N26*Logistica!$B$5*Logistica!$B$39)</f>
        <v>-333.363794355052</v>
      </c>
      <c r="O52" s="109" t="n">
        <f aca="false">-(O26*(1-Logistica!$B$5)*Logistica!$B$7+O26*Logistica!$B$5*Logistica!$B$39)</f>
        <v>-380.977938319988</v>
      </c>
      <c r="P52" s="109" t="n">
        <f aca="false">-(P26*(1-Logistica!$B$5)*Logistica!$B$7+P26*Logistica!$B$5*Logistica!$B$39)</f>
        <v>-423.769675059749</v>
      </c>
      <c r="Q52" s="109" t="n">
        <f aca="false">-(Q26*(1-Logistica!$B$5)*Logistica!$B$7+Q26*Logistica!$B$5*Logistica!$B$39)</f>
        <v>-466.56141179951</v>
      </c>
      <c r="R52" s="109" t="n">
        <f aca="false">-(R26*(1-Logistica!$B$5)*Logistica!$B$7+R26*Logistica!$B$5*Logistica!$B$39)</f>
        <v>-509.35314853927</v>
      </c>
      <c r="S52" s="109" t="n">
        <f aca="false">-(S26*(1-Logistica!$B$5)*Logistica!$B$7+S26*Logistica!$B$5*Logistica!$B$39)</f>
        <v>-552.144885279031</v>
      </c>
      <c r="T52" s="109" t="n">
        <f aca="false">-(T26*(1-Logistica!$B$5)*Logistica!$B$7+T26*Logistica!$B$5*Logistica!$B$39)</f>
        <v>-594.936622018791</v>
      </c>
      <c r="U52" s="109" t="n">
        <f aca="false">-(U26*(1-Logistica!$B$5)*Logistica!$B$7+U26*Logistica!$B$5*Logistica!$B$39)</f>
        <v>-637.728358758552</v>
      </c>
      <c r="V52" s="109" t="n">
        <f aca="false">-(V26*(1-Logistica!$B$5)*Logistica!$B$7+V26*Logistica!$B$5*Logistica!$B$39)</f>
        <v>-680.520095498313</v>
      </c>
      <c r="W52" s="109" t="n">
        <f aca="false">-(W26*(1-Logistica!$B$5)*Logistica!$B$7+W26*Logistica!$B$5*Logistica!$B$39)</f>
        <v>-723.311832238073</v>
      </c>
      <c r="X52" s="109" t="n">
        <f aca="false">-(X26*(1-Logistica!$B$5)*Logistica!$B$7+X26*Logistica!$B$5*Logistica!$B$39)</f>
        <v>-749.329978629396</v>
      </c>
      <c r="Y52" s="109" t="n">
        <f aca="false">-(Y26*(1-Logistica!$B$5)*Logistica!$B$7+Y26*Logistica!$B$5*Logistica!$B$39)</f>
        <v>-775.348125020719</v>
      </c>
      <c r="Z52" s="109" t="n">
        <f aca="false">-(Z26*(1-Logistica!$B$5)*Logistica!$B$7+Z26*Logistica!$B$5*Logistica!$B$39)</f>
        <v>-794.656835272668</v>
      </c>
      <c r="AA52" s="109" t="n">
        <f aca="false">-(AA26*(1-Logistica!$B$5)*Logistica!$B$7+AA26*Logistica!$B$5*Logistica!$B$39)</f>
        <v>-813.965545524616</v>
      </c>
      <c r="AB52" s="109" t="n">
        <f aca="false">-(AB26*(1-Logistica!$B$5)*Logistica!$B$7+AB26*Logistica!$B$5*Logistica!$B$39)</f>
        <v>-833.274255776564</v>
      </c>
      <c r="AC52" s="109" t="n">
        <f aca="false">-(AC26*(1-Logistica!$B$5)*Logistica!$B$7+AC26*Logistica!$B$5*Logistica!$B$39)</f>
        <v>-852.582966028512</v>
      </c>
      <c r="AD52" s="109" t="n">
        <f aca="false">-(AD26*(1-Logistica!$B$5)*Logistica!$B$7+AD26*Logistica!$B$5*Logistica!$B$39)</f>
        <v>-871.89167628046</v>
      </c>
      <c r="AE52" s="109" t="n">
        <f aca="false">-(AE26*(1-Logistica!$B$5)*Logistica!$B$7+AE26*Logistica!$B$5*Logistica!$B$39)</f>
        <v>-891.200386532408</v>
      </c>
      <c r="AF52" s="109" t="n">
        <f aca="false">-(AF26*(1-Logistica!$B$5)*Logistica!$B$7+AF26*Logistica!$B$5*Logistica!$B$39)</f>
        <v>-910.509096784356</v>
      </c>
      <c r="AG52" s="109" t="n">
        <f aca="false">-(AG26*(1-Logistica!$B$5)*Logistica!$B$7+AG26*Logistica!$B$5*Logistica!$B$39)</f>
        <v>-929.817807036304</v>
      </c>
      <c r="AH52" s="109" t="n">
        <f aca="false">-(AH26*(1-Logistica!$B$5)*Logistica!$B$7+AH26*Logistica!$B$5*Logistica!$B$39)</f>
        <v>-949.126517288252</v>
      </c>
      <c r="AI52" s="109" t="n">
        <f aca="false">-(AI26*(1-Logistica!$B$5)*Logistica!$B$7+AI26*Logistica!$B$5*Logistica!$B$39)</f>
        <v>-968.435227540201</v>
      </c>
      <c r="AJ52" s="109" t="n">
        <f aca="false">-(AJ26*(1-Logistica!$B$5)*Logistica!$B$7+AJ26*Logistica!$B$5*Logistica!$B$39)</f>
        <v>-987.743937792149</v>
      </c>
      <c r="AK52" s="109" t="n">
        <f aca="false">-(AK26*(1-Logistica!$B$5)*Logistica!$B$7+AK26*Logistica!$B$5*Logistica!$B$39)</f>
        <v>-1007.0526480441</v>
      </c>
      <c r="AL52" s="109" t="n">
        <f aca="false">-(AL26*(1-Logistica!$B$5)*Logistica!$B$7+AL26*Logistica!$B$5*Logistica!$B$39)</f>
        <v>-1026.36135829604</v>
      </c>
      <c r="AM52" s="109" t="n">
        <f aca="false">-(AM26*(1-Logistica!$B$5)*Logistica!$B$7+AM26*Logistica!$B$5*Logistica!$B$39)</f>
        <v>-1045.67006854799</v>
      </c>
      <c r="AN52" s="109" t="n">
        <f aca="false">-(AN26*(1-Logistica!$B$5)*Logistica!$B$7+AN26*Logistica!$B$5*Logistica!$B$39)</f>
        <v>-1064.97877879994</v>
      </c>
      <c r="AO52" s="109" t="n">
        <f aca="false">-(AO26*(1-Logistica!$B$5)*Logistica!$B$7+AO26*Logistica!$B$5*Logistica!$B$39)</f>
        <v>-1084.28748905189</v>
      </c>
      <c r="AP52" s="109" t="n">
        <f aca="false">-(AP26*(1-Logistica!$B$5)*Logistica!$B$7+AP26*Logistica!$B$5*Logistica!$B$39)</f>
        <v>-1103.59619930384</v>
      </c>
      <c r="AQ52" s="109" t="n">
        <f aca="false">-(AQ26*(1-Logistica!$B$5)*Logistica!$B$7+AQ26*Logistica!$B$5*Logistica!$B$39)</f>
        <v>-1122.90490955579</v>
      </c>
      <c r="AR52" s="109" t="n">
        <f aca="false">-(AR26*(1-Logistica!$B$5)*Logistica!$B$7+AR26*Logistica!$B$5*Logistica!$B$39)</f>
        <v>-1142.21361980773</v>
      </c>
      <c r="AS52" s="109" t="n">
        <f aca="false">-(AS26*(1-Logistica!$B$5)*Logistica!$B$7+AS26*Logistica!$B$5*Logistica!$B$39)</f>
        <v>-1142.21361980773</v>
      </c>
      <c r="AT52" s="109" t="n">
        <f aca="false">-(AT26*(1-Logistica!$B$5)*Logistica!$B$7+AT26*Logistica!$B$5*Logistica!$B$39)</f>
        <v>-1142.21361980773</v>
      </c>
      <c r="AU52" s="109" t="n">
        <f aca="false">-(AU26*(1-Logistica!$B$5)*Logistica!$B$7+AU26*Logistica!$B$5*Logistica!$B$39)</f>
        <v>-1142.21361980773</v>
      </c>
      <c r="AV52" s="109" t="n">
        <f aca="false">-(AV26*(1-Logistica!$B$5)*Logistica!$B$7+AV26*Logistica!$B$5*Logistica!$B$39)</f>
        <v>-1142.21361980773</v>
      </c>
      <c r="AW52" s="109" t="n">
        <f aca="false">-(AW26*(1-Logistica!$B$5)*Logistica!$B$7+AW26*Logistica!$B$5*Logistica!$B$39)</f>
        <v>-1142.21361980773</v>
      </c>
      <c r="AX52" s="109" t="n">
        <f aca="false">-(AX26*(1-Logistica!$B$5)*Logistica!$B$7+AX26*Logistica!$B$5*Logistica!$B$39)</f>
        <v>-1142.21361980773</v>
      </c>
      <c r="AY52" s="109" t="n">
        <f aca="false">-(AY26*(1-Logistica!$B$5)*Logistica!$B$7+AY26*Logistica!$B$5*Logistica!$B$39)</f>
        <v>-1142.21361980773</v>
      </c>
      <c r="AZ52" s="109" t="n">
        <f aca="false">-(AZ26*(1-Logistica!$B$5)*Logistica!$B$7+AZ26*Logistica!$B$5*Logistica!$B$39)</f>
        <v>-1142.21361980773</v>
      </c>
      <c r="BA52" s="109" t="n">
        <f aca="false">-(BA26*(1-Logistica!$B$5)*Logistica!$B$7+BA26*Logistica!$B$5*Logistica!$B$39)</f>
        <v>-1142.21361980773</v>
      </c>
      <c r="BB52" s="109" t="n">
        <f aca="false">-(BB26*(1-Logistica!$B$5)*Logistica!$B$7+BB26*Logistica!$B$5*Logistica!$B$39)</f>
        <v>-1142.21361980773</v>
      </c>
      <c r="BC52" s="109" t="n">
        <f aca="false">-(BC26*(1-Logistica!$B$5)*Logistica!$B$7+BC26*Logistica!$B$5*Logistica!$B$39)</f>
        <v>-1142.21361980773</v>
      </c>
      <c r="BD52" s="109" t="n">
        <f aca="false">-(BD26*(1-Logistica!$B$5)*Logistica!$B$7+BD26*Logistica!$B$5*Logistica!$B$39)</f>
        <v>-1142.21361980773</v>
      </c>
      <c r="BE52" s="109" t="n">
        <f aca="false">-(BE26*(1-Logistica!$B$5)*Logistica!$B$7+BE26*Logistica!$B$5*Logistica!$B$39)</f>
        <v>-1142.21361980773</v>
      </c>
      <c r="BF52" s="109" t="n">
        <f aca="false">-(BF26*(1-Logistica!$B$5)*Logistica!$B$7+BF26*Logistica!$B$5*Logistica!$B$39)</f>
        <v>-1142.21361980773</v>
      </c>
      <c r="BG52" s="109" t="n">
        <f aca="false">-(BG26*(1-Logistica!$B$5)*Logistica!$B$7+BG26*Logistica!$B$5*Logistica!$B$39)</f>
        <v>-1142.21361980773</v>
      </c>
      <c r="BH52" s="109" t="n">
        <f aca="false">-(BH26*(1-Logistica!$B$5)*Logistica!$B$7+BH26*Logistica!$B$5*Logistica!$B$39)</f>
        <v>-1142.21361980773</v>
      </c>
      <c r="BI52" s="109" t="n">
        <f aca="false">-(BI26*(1-Logistica!$B$5)*Logistica!$B$7+BI26*Logistica!$B$5*Logistica!$B$39)</f>
        <v>-1142.21361980773</v>
      </c>
      <c r="BJ52" s="109" t="n">
        <f aca="false">-(BJ26*(1-Logistica!$B$5)*Logistica!$B$7+BJ26*Logistica!$B$5*Logistica!$B$39)</f>
        <v>-1142.21361980773</v>
      </c>
      <c r="BK52" s="109" t="n">
        <f aca="false">-(BK26*(1-Logistica!$B$5)*Logistica!$B$7+BK26*Logistica!$B$5*Logistica!$B$39)</f>
        <v>-1142.21361980773</v>
      </c>
      <c r="BL52" s="109" t="n">
        <f aca="false">-(BL26*(1-Logistica!$B$5)*Logistica!$B$7+BL26*Logistica!$B$5*Logistica!$B$39)</f>
        <v>-1142.21361980773</v>
      </c>
      <c r="BM52" s="109" t="n">
        <f aca="false">-(BM26*(1-Logistica!$B$5)*Logistica!$B$7+BM26*Logistica!$B$5*Logistica!$B$39)</f>
        <v>-1142.21361980773</v>
      </c>
      <c r="BN52" s="109" t="n">
        <f aca="false">-(BN26*(1-Logistica!$B$5)*Logistica!$B$7+BN26*Logistica!$B$5*Logistica!$B$39)</f>
        <v>-1142.21361980773</v>
      </c>
      <c r="BO52" s="109" t="n">
        <f aca="false">-(BO26*(1-Logistica!$B$5)*Logistica!$B$7+BO26*Logistica!$B$5*Logistica!$B$39)</f>
        <v>-1142.21361980773</v>
      </c>
      <c r="BP52" s="109" t="n">
        <f aca="false">-(BP26*(1-Logistica!$B$5)*Logistica!$B$7+BP26*Logistica!$B$5*Logistica!$B$39)</f>
        <v>-1142.21361980773</v>
      </c>
      <c r="BQ52" s="109" t="n">
        <f aca="false">-(BQ26*(1-Logistica!$B$5)*Logistica!$B$7+BQ26*Logistica!$B$5*Logistica!$B$39)</f>
        <v>-1142.21361980773</v>
      </c>
      <c r="BR52" s="109" t="n">
        <f aca="false">-(BR26*(1-Logistica!$B$5)*Logistica!$B$7+BR26*Logistica!$B$5*Logistica!$B$39)</f>
        <v>-1142.21361980773</v>
      </c>
      <c r="BS52" s="109" t="n">
        <f aca="false">-(BS26*(1-Logistica!$B$5)*Logistica!$B$7+BS26*Logistica!$B$5*Logistica!$B$39)</f>
        <v>-1142.21361980773</v>
      </c>
      <c r="BT52" s="109" t="n">
        <f aca="false">-(BT26*(1-Logistica!$B$5)*Logistica!$B$7+BT26*Logistica!$B$5*Logistica!$B$39)</f>
        <v>-1142.21361980773</v>
      </c>
      <c r="BU52" s="109" t="n">
        <f aca="false">-(BU26*(1-Logistica!$B$5)*Logistica!$B$7+BU26*Logistica!$B$5*Logistica!$B$39)</f>
        <v>-1142.21361980773</v>
      </c>
      <c r="BV52" s="109" t="n">
        <f aca="false">-(BV26*(1-Logistica!$B$5)*Logistica!$B$7+BV26*Logistica!$B$5*Logistica!$B$39)</f>
        <v>-1142.21361980773</v>
      </c>
      <c r="BW52" s="109" t="n">
        <f aca="false">-(BW26*(1-Logistica!$B$5)*Logistica!$B$7+BW26*Logistica!$B$5*Logistica!$B$39)</f>
        <v>-1142.21361980773</v>
      </c>
      <c r="BX52" s="109" t="n">
        <f aca="false">-(BX26*(1-Logistica!$B$5)*Logistica!$B$7+BX26*Logistica!$B$5*Logistica!$B$39)</f>
        <v>-1142.21361980773</v>
      </c>
      <c r="BY52" s="109" t="n">
        <f aca="false">-(BY26*(1-Logistica!$B$5)*Logistica!$B$7+BY26*Logistica!$B$5*Logistica!$B$39)</f>
        <v>-1142.21361980773</v>
      </c>
      <c r="BZ52" s="109" t="n">
        <f aca="false">-(BZ26*(1-Logistica!$B$5)*Logistica!$B$7+BZ26*Logistica!$B$5*Logistica!$B$39)</f>
        <v>-1142.21361980773</v>
      </c>
      <c r="CA52" s="109" t="n">
        <f aca="false">-(CA26*(1-Logistica!$B$5)*Logistica!$B$7+CA26*Logistica!$B$5*Logistica!$B$39)</f>
        <v>-1142.21361980773</v>
      </c>
      <c r="CB52" s="109" t="n">
        <f aca="false">-(CB26*(1-Logistica!$B$5)*Logistica!$B$7+CB26*Logistica!$B$5*Logistica!$B$39)</f>
        <v>-1142.21361980773</v>
      </c>
      <c r="CC52" s="109" t="n">
        <f aca="false">-(CC26*(1-Logistica!$B$5)*Logistica!$B$7+CC26*Logistica!$B$5*Logistica!$B$39)</f>
        <v>-1142.21361980773</v>
      </c>
      <c r="CD52" s="109" t="n">
        <f aca="false">-(CD26*(1-Logistica!$B$5)*Logistica!$B$7+CD26*Logistica!$B$5*Logistica!$B$39)</f>
        <v>-1142.21361980773</v>
      </c>
      <c r="CE52" s="109" t="n">
        <f aca="false">-(CE26*(1-Logistica!$B$5)*Logistica!$B$7+CE26*Logistica!$B$5*Logistica!$B$39)</f>
        <v>-1142.21361980773</v>
      </c>
      <c r="CF52" s="109" t="n">
        <f aca="false">-(CF26*(1-Logistica!$B$5)*Logistica!$B$7+CF26*Logistica!$B$5*Logistica!$B$39)</f>
        <v>-1142.21361980773</v>
      </c>
      <c r="CG52" s="109" t="n">
        <f aca="false">-(CG26*(1-Logistica!$B$5)*Logistica!$B$7+CG26*Logistica!$B$5*Logistica!$B$39)</f>
        <v>-1142.21361980773</v>
      </c>
      <c r="CH52" s="109" t="n">
        <f aca="false">-(CH26*(1-Logistica!$B$5)*Logistica!$B$7+CH26*Logistica!$B$5*Logistica!$B$39)</f>
        <v>-1142.21361980773</v>
      </c>
    </row>
    <row r="53" customFormat="false" ht="13.5" hidden="false" customHeight="true" outlineLevel="0" collapsed="false">
      <c r="A53" s="6" t="s">
        <v>558</v>
      </c>
      <c r="C53" s="109" t="n">
        <f aca="false">-Hipótesis!$C$39</f>
        <v>-700</v>
      </c>
      <c r="D53" s="109" t="n">
        <f aca="false">-Hipótesis!$C$39</f>
        <v>-700</v>
      </c>
      <c r="E53" s="109" t="n">
        <f aca="false">-Hipótesis!$C$39</f>
        <v>-700</v>
      </c>
      <c r="F53" s="109" t="n">
        <f aca="false">-Hipótesis!$C$39</f>
        <v>-700</v>
      </c>
      <c r="G53" s="109" t="n">
        <f aca="false">-Hipótesis!$C$39</f>
        <v>-700</v>
      </c>
      <c r="H53" s="109" t="n">
        <f aca="false">-Hipótesis!$C$39</f>
        <v>-700</v>
      </c>
      <c r="I53" s="109" t="n">
        <f aca="false">-Hipótesis!$C$39</f>
        <v>-700</v>
      </c>
      <c r="J53" s="109" t="n">
        <f aca="false">-Hipótesis!$C$39</f>
        <v>-700</v>
      </c>
      <c r="K53" s="109" t="n">
        <f aca="false">-Hipótesis!$C$39</f>
        <v>-700</v>
      </c>
      <c r="L53" s="109" t="n">
        <f aca="false">-Hipótesis!$C$39</f>
        <v>-700</v>
      </c>
      <c r="M53" s="109" t="n">
        <f aca="false">-Hipótesis!$C$39</f>
        <v>-700</v>
      </c>
      <c r="N53" s="109" t="n">
        <f aca="false">-Hipótesis!$C$39</f>
        <v>-700</v>
      </c>
      <c r="O53" s="109" t="n">
        <f aca="false">-Hipótesis!$C$39</f>
        <v>-700</v>
      </c>
      <c r="P53" s="109" t="n">
        <f aca="false">-Hipótesis!$C$39</f>
        <v>-700</v>
      </c>
      <c r="Q53" s="109" t="n">
        <f aca="false">-Hipótesis!$C$39</f>
        <v>-700</v>
      </c>
      <c r="R53" s="109" t="n">
        <f aca="false">-Hipótesis!$C$39</f>
        <v>-700</v>
      </c>
      <c r="S53" s="109" t="n">
        <f aca="false">-Hipótesis!$C$39</f>
        <v>-700</v>
      </c>
      <c r="T53" s="109" t="n">
        <f aca="false">-Hipótesis!$C$39</f>
        <v>-700</v>
      </c>
      <c r="U53" s="109" t="n">
        <f aca="false">-Hipótesis!$C$39</f>
        <v>-700</v>
      </c>
      <c r="V53" s="109" t="n">
        <f aca="false">-Hipótesis!$C$39</f>
        <v>-700</v>
      </c>
      <c r="W53" s="109" t="n">
        <f aca="false">-Hipótesis!$C$39</f>
        <v>-700</v>
      </c>
      <c r="X53" s="109" t="n">
        <f aca="false">-Hipótesis!$C$39</f>
        <v>-700</v>
      </c>
      <c r="Y53" s="109" t="n">
        <f aca="false">-Hipótesis!$C$39</f>
        <v>-700</v>
      </c>
      <c r="Z53" s="109" t="n">
        <f aca="false">-Hipótesis!$C$39</f>
        <v>-700</v>
      </c>
      <c r="AA53" s="109" t="n">
        <f aca="false">-Hipótesis!$C$39</f>
        <v>-700</v>
      </c>
      <c r="AB53" s="109" t="n">
        <f aca="false">-Hipótesis!$C$39</f>
        <v>-700</v>
      </c>
      <c r="AC53" s="109" t="n">
        <f aca="false">-Hipótesis!$C$39</f>
        <v>-700</v>
      </c>
      <c r="AD53" s="109" t="n">
        <f aca="false">-Hipótesis!$C$39</f>
        <v>-700</v>
      </c>
      <c r="AE53" s="109" t="n">
        <f aca="false">-Hipótesis!$C$39</f>
        <v>-700</v>
      </c>
      <c r="AF53" s="109" t="n">
        <f aca="false">-Hipótesis!$C$39</f>
        <v>-700</v>
      </c>
      <c r="AG53" s="109" t="n">
        <f aca="false">-Hipótesis!$C$39</f>
        <v>-700</v>
      </c>
      <c r="AH53" s="109" t="n">
        <f aca="false">-Hipótesis!$C$39</f>
        <v>-700</v>
      </c>
      <c r="AI53" s="109" t="n">
        <f aca="false">-Hipótesis!$C$39</f>
        <v>-700</v>
      </c>
      <c r="AJ53" s="109" t="n">
        <f aca="false">-Hipótesis!$C$39</f>
        <v>-700</v>
      </c>
      <c r="AK53" s="109" t="n">
        <f aca="false">-Hipótesis!$C$39</f>
        <v>-700</v>
      </c>
      <c r="AL53" s="109" t="n">
        <f aca="false">-Hipótesis!$C$39</f>
        <v>-700</v>
      </c>
      <c r="AM53" s="109" t="n">
        <f aca="false">-Hipótesis!$C$39</f>
        <v>-700</v>
      </c>
      <c r="AN53" s="109" t="n">
        <f aca="false">-Hipótesis!$C$39</f>
        <v>-700</v>
      </c>
      <c r="AO53" s="109" t="n">
        <f aca="false">-Hipótesis!$C$39</f>
        <v>-700</v>
      </c>
      <c r="AP53" s="109" t="n">
        <f aca="false">-Hipótesis!$C$39</f>
        <v>-700</v>
      </c>
      <c r="AQ53" s="109" t="n">
        <f aca="false">-Hipótesis!$C$39</f>
        <v>-700</v>
      </c>
      <c r="AR53" s="109" t="n">
        <f aca="false">-Hipótesis!$C$39</f>
        <v>-700</v>
      </c>
      <c r="AS53" s="109" t="n">
        <f aca="false">-Hipótesis!$C$39</f>
        <v>-700</v>
      </c>
      <c r="AT53" s="109" t="n">
        <f aca="false">-Hipótesis!$C$39</f>
        <v>-700</v>
      </c>
      <c r="AU53" s="109" t="n">
        <f aca="false">-Hipótesis!$C$39</f>
        <v>-700</v>
      </c>
      <c r="AV53" s="109" t="n">
        <f aca="false">-Hipótesis!$C$39</f>
        <v>-700</v>
      </c>
      <c r="AW53" s="109" t="n">
        <f aca="false">-Hipótesis!$C$39</f>
        <v>-700</v>
      </c>
      <c r="AX53" s="109" t="n">
        <f aca="false">-Hipótesis!$C$39</f>
        <v>-700</v>
      </c>
      <c r="AY53" s="109" t="n">
        <f aca="false">-Hipótesis!$C$39</f>
        <v>-700</v>
      </c>
      <c r="AZ53" s="109" t="n">
        <f aca="false">-Hipótesis!$C$39</f>
        <v>-700</v>
      </c>
      <c r="BA53" s="109" t="n">
        <f aca="false">-Hipótesis!$C$39</f>
        <v>-700</v>
      </c>
      <c r="BB53" s="109" t="n">
        <f aca="false">-Hipótesis!$C$39</f>
        <v>-700</v>
      </c>
      <c r="BC53" s="109" t="n">
        <f aca="false">-Hipótesis!$C$39</f>
        <v>-700</v>
      </c>
      <c r="BD53" s="109" t="n">
        <f aca="false">-Hipótesis!$C$39</f>
        <v>-700</v>
      </c>
      <c r="BE53" s="109" t="n">
        <f aca="false">-Hipótesis!$C$39</f>
        <v>-700</v>
      </c>
      <c r="BF53" s="109" t="n">
        <f aca="false">-Hipótesis!$C$39</f>
        <v>-700</v>
      </c>
      <c r="BG53" s="109" t="n">
        <f aca="false">-Hipótesis!$C$39</f>
        <v>-700</v>
      </c>
      <c r="BH53" s="109" t="n">
        <f aca="false">-Hipótesis!$C$39</f>
        <v>-700</v>
      </c>
      <c r="BI53" s="109" t="n">
        <f aca="false">-Hipótesis!$C$39</f>
        <v>-700</v>
      </c>
      <c r="BJ53" s="109" t="n">
        <f aca="false">-Hipótesis!$C$39</f>
        <v>-700</v>
      </c>
      <c r="BK53" s="109" t="n">
        <f aca="false">-Hipótesis!$C$39</f>
        <v>-700</v>
      </c>
      <c r="BL53" s="109" t="n">
        <f aca="false">-Hipótesis!$C$39</f>
        <v>-700</v>
      </c>
      <c r="BM53" s="109" t="n">
        <f aca="false">-Hipótesis!$C$39</f>
        <v>-700</v>
      </c>
      <c r="BN53" s="109" t="n">
        <f aca="false">-Hipótesis!$C$39</f>
        <v>-700</v>
      </c>
      <c r="BO53" s="109" t="n">
        <f aca="false">-Hipótesis!$C$39</f>
        <v>-700</v>
      </c>
      <c r="BP53" s="109" t="n">
        <f aca="false">-Hipótesis!$C$39</f>
        <v>-700</v>
      </c>
      <c r="BQ53" s="109" t="n">
        <f aca="false">-Hipótesis!$C$39</f>
        <v>-700</v>
      </c>
      <c r="BR53" s="109" t="n">
        <f aca="false">-Hipótesis!$C$39</f>
        <v>-700</v>
      </c>
      <c r="BS53" s="109" t="n">
        <f aca="false">-Hipótesis!$C$39</f>
        <v>-700</v>
      </c>
      <c r="BT53" s="109" t="n">
        <f aca="false">-Hipótesis!$C$39</f>
        <v>-700</v>
      </c>
      <c r="BU53" s="109" t="n">
        <f aca="false">-Hipótesis!$C$39</f>
        <v>-700</v>
      </c>
      <c r="BV53" s="109" t="n">
        <f aca="false">-Hipótesis!$C$39</f>
        <v>-700</v>
      </c>
      <c r="BW53" s="109" t="n">
        <f aca="false">-Hipótesis!$C$39</f>
        <v>-700</v>
      </c>
      <c r="BX53" s="109" t="n">
        <f aca="false">-Hipótesis!$C$39</f>
        <v>-700</v>
      </c>
      <c r="BY53" s="109" t="n">
        <f aca="false">-Hipótesis!$C$39</f>
        <v>-700</v>
      </c>
      <c r="BZ53" s="109" t="n">
        <f aca="false">-Hipótesis!$C$39</f>
        <v>-700</v>
      </c>
      <c r="CA53" s="109" t="n">
        <f aca="false">-Hipótesis!$C$39</f>
        <v>-700</v>
      </c>
      <c r="CB53" s="109" t="n">
        <f aca="false">-Hipótesis!$C$39</f>
        <v>-700</v>
      </c>
      <c r="CC53" s="109" t="n">
        <f aca="false">-Hipótesis!$C$39</f>
        <v>-700</v>
      </c>
      <c r="CD53" s="109" t="n">
        <f aca="false">-Hipótesis!$C$39</f>
        <v>-700</v>
      </c>
      <c r="CE53" s="109" t="n">
        <f aca="false">-Hipótesis!$C$39</f>
        <v>-700</v>
      </c>
      <c r="CF53" s="109" t="n">
        <f aca="false">-Hipótesis!$C$39</f>
        <v>-700</v>
      </c>
      <c r="CG53" s="109" t="n">
        <f aca="false">-Hipótesis!$C$39</f>
        <v>-700</v>
      </c>
      <c r="CH53" s="109" t="n">
        <f aca="false">-Hipótesis!$C$39</f>
        <v>-700</v>
      </c>
    </row>
    <row r="54" customFormat="false" ht="13.5" hidden="false" customHeight="true" outlineLevel="0" collapsed="false">
      <c r="A54" s="6" t="s">
        <v>559</v>
      </c>
      <c r="C54" s="109" t="n">
        <f aca="false">-Hipótesis!$C$40</f>
        <v>-700</v>
      </c>
      <c r="D54" s="109" t="n">
        <f aca="false">-Hipótesis!$C$40</f>
        <v>-700</v>
      </c>
      <c r="E54" s="109" t="n">
        <f aca="false">-Hipótesis!$C$40</f>
        <v>-700</v>
      </c>
      <c r="F54" s="109" t="n">
        <f aca="false">-Hipótesis!$C$40</f>
        <v>-700</v>
      </c>
      <c r="G54" s="109" t="n">
        <f aca="false">-Hipótesis!$C$40</f>
        <v>-700</v>
      </c>
      <c r="H54" s="109" t="n">
        <f aca="false">-Hipótesis!$C$40</f>
        <v>-700</v>
      </c>
      <c r="I54" s="109" t="n">
        <f aca="false">-Hipótesis!$C$40</f>
        <v>-700</v>
      </c>
      <c r="J54" s="109" t="n">
        <f aca="false">-Hipótesis!$C$40</f>
        <v>-700</v>
      </c>
      <c r="K54" s="109" t="n">
        <f aca="false">-Hipótesis!$C$40</f>
        <v>-700</v>
      </c>
      <c r="L54" s="109" t="n">
        <f aca="false">-Hipótesis!$C$40</f>
        <v>-700</v>
      </c>
      <c r="M54" s="109" t="n">
        <f aca="false">-Hipótesis!$C$40</f>
        <v>-700</v>
      </c>
      <c r="N54" s="109" t="n">
        <f aca="false">-Hipótesis!$C$40</f>
        <v>-700</v>
      </c>
      <c r="O54" s="109" t="n">
        <f aca="false">-Hipótesis!$C$40</f>
        <v>-700</v>
      </c>
      <c r="P54" s="109" t="n">
        <f aca="false">-Hipótesis!$C$40</f>
        <v>-700</v>
      </c>
      <c r="Q54" s="109" t="n">
        <f aca="false">-Hipótesis!$C$40</f>
        <v>-700</v>
      </c>
      <c r="R54" s="109" t="n">
        <f aca="false">-Hipótesis!$C$40</f>
        <v>-700</v>
      </c>
      <c r="S54" s="109" t="n">
        <f aca="false">-Hipótesis!$C$40</f>
        <v>-700</v>
      </c>
      <c r="T54" s="109" t="n">
        <f aca="false">-Hipótesis!$C$40</f>
        <v>-700</v>
      </c>
      <c r="U54" s="109" t="n">
        <f aca="false">-Hipótesis!$C$40</f>
        <v>-700</v>
      </c>
      <c r="V54" s="109" t="n">
        <f aca="false">-Hipótesis!$C$40</f>
        <v>-700</v>
      </c>
      <c r="W54" s="109" t="n">
        <f aca="false">-Hipótesis!$C$40</f>
        <v>-700</v>
      </c>
      <c r="X54" s="109" t="n">
        <f aca="false">-Hipótesis!$C$40</f>
        <v>-700</v>
      </c>
      <c r="Y54" s="109" t="n">
        <f aca="false">-Hipótesis!$C$40</f>
        <v>-700</v>
      </c>
      <c r="Z54" s="109" t="n">
        <f aca="false">-Hipótesis!$C$40</f>
        <v>-700</v>
      </c>
      <c r="AA54" s="109" t="n">
        <f aca="false">-Hipótesis!$C$40</f>
        <v>-700</v>
      </c>
      <c r="AB54" s="109" t="n">
        <f aca="false">-Hipótesis!$C$40</f>
        <v>-700</v>
      </c>
      <c r="AC54" s="109" t="n">
        <f aca="false">-Hipótesis!$C$40</f>
        <v>-700</v>
      </c>
      <c r="AD54" s="109" t="n">
        <f aca="false">-Hipótesis!$C$40</f>
        <v>-700</v>
      </c>
      <c r="AE54" s="109" t="n">
        <f aca="false">-Hipótesis!$C$40</f>
        <v>-700</v>
      </c>
      <c r="AF54" s="109" t="n">
        <f aca="false">-Hipótesis!$C$40</f>
        <v>-700</v>
      </c>
      <c r="AG54" s="109" t="n">
        <f aca="false">-Hipótesis!$C$40</f>
        <v>-700</v>
      </c>
      <c r="AH54" s="109" t="n">
        <f aca="false">-Hipótesis!$C$40</f>
        <v>-700</v>
      </c>
      <c r="AI54" s="109" t="n">
        <f aca="false">-Hipótesis!$C$40</f>
        <v>-700</v>
      </c>
      <c r="AJ54" s="109" t="n">
        <f aca="false">-Hipótesis!$C$40</f>
        <v>-700</v>
      </c>
      <c r="AK54" s="109" t="n">
        <f aca="false">-Hipótesis!$C$40</f>
        <v>-700</v>
      </c>
      <c r="AL54" s="109" t="n">
        <f aca="false">-Hipótesis!$C$40</f>
        <v>-700</v>
      </c>
      <c r="AM54" s="109" t="n">
        <f aca="false">-Hipótesis!$C$40</f>
        <v>-700</v>
      </c>
      <c r="AN54" s="109" t="n">
        <f aca="false">-Hipótesis!$C$40</f>
        <v>-700</v>
      </c>
      <c r="AO54" s="109" t="n">
        <f aca="false">-Hipótesis!$C$40</f>
        <v>-700</v>
      </c>
      <c r="AP54" s="109" t="n">
        <f aca="false">-Hipótesis!$C$40</f>
        <v>-700</v>
      </c>
      <c r="AQ54" s="109" t="n">
        <f aca="false">-Hipótesis!$C$40</f>
        <v>-700</v>
      </c>
      <c r="AR54" s="109" t="n">
        <f aca="false">-Hipótesis!$C$40</f>
        <v>-700</v>
      </c>
      <c r="AS54" s="109" t="n">
        <f aca="false">-Hipótesis!$C$40</f>
        <v>-700</v>
      </c>
      <c r="AT54" s="109" t="n">
        <f aca="false">-Hipótesis!$C$40</f>
        <v>-700</v>
      </c>
      <c r="AU54" s="109" t="n">
        <f aca="false">-Hipótesis!$C$40</f>
        <v>-700</v>
      </c>
      <c r="AV54" s="109" t="n">
        <f aca="false">-Hipótesis!$C$40</f>
        <v>-700</v>
      </c>
      <c r="AW54" s="109" t="n">
        <f aca="false">-Hipótesis!$C$40</f>
        <v>-700</v>
      </c>
      <c r="AX54" s="109" t="n">
        <f aca="false">-Hipótesis!$C$40</f>
        <v>-700</v>
      </c>
      <c r="AY54" s="109" t="n">
        <f aca="false">-Hipótesis!$C$40</f>
        <v>-700</v>
      </c>
      <c r="AZ54" s="109" t="n">
        <f aca="false">-Hipótesis!$C$40</f>
        <v>-700</v>
      </c>
      <c r="BA54" s="109" t="n">
        <f aca="false">-Hipótesis!$C$40</f>
        <v>-700</v>
      </c>
      <c r="BB54" s="109" t="n">
        <f aca="false">-Hipótesis!$C$40</f>
        <v>-700</v>
      </c>
      <c r="BC54" s="109" t="n">
        <f aca="false">-Hipótesis!$C$40</f>
        <v>-700</v>
      </c>
      <c r="BD54" s="109" t="n">
        <f aca="false">-Hipótesis!$C$40</f>
        <v>-700</v>
      </c>
      <c r="BE54" s="109" t="n">
        <f aca="false">-Hipótesis!$C$40</f>
        <v>-700</v>
      </c>
      <c r="BF54" s="109" t="n">
        <f aca="false">-Hipótesis!$C$40</f>
        <v>-700</v>
      </c>
      <c r="BG54" s="109" t="n">
        <f aca="false">-Hipótesis!$C$40</f>
        <v>-700</v>
      </c>
      <c r="BH54" s="109" t="n">
        <f aca="false">-Hipótesis!$C$40</f>
        <v>-700</v>
      </c>
      <c r="BI54" s="109" t="n">
        <f aca="false">-Hipótesis!$C$40</f>
        <v>-700</v>
      </c>
      <c r="BJ54" s="109" t="n">
        <f aca="false">-Hipótesis!$C$40</f>
        <v>-700</v>
      </c>
      <c r="BK54" s="109" t="n">
        <f aca="false">-Hipótesis!$C$40</f>
        <v>-700</v>
      </c>
      <c r="BL54" s="109" t="n">
        <f aca="false">-Hipótesis!$C$40</f>
        <v>-700</v>
      </c>
      <c r="BM54" s="109" t="n">
        <f aca="false">-Hipótesis!$C$40</f>
        <v>-700</v>
      </c>
      <c r="BN54" s="109" t="n">
        <f aca="false">-Hipótesis!$C$40</f>
        <v>-700</v>
      </c>
      <c r="BO54" s="109" t="n">
        <f aca="false">-Hipótesis!$C$40</f>
        <v>-700</v>
      </c>
      <c r="BP54" s="109" t="n">
        <f aca="false">-Hipótesis!$C$40</f>
        <v>-700</v>
      </c>
      <c r="BQ54" s="109" t="n">
        <f aca="false">-Hipótesis!$C$40</f>
        <v>-700</v>
      </c>
      <c r="BR54" s="109" t="n">
        <f aca="false">-Hipótesis!$C$40</f>
        <v>-700</v>
      </c>
      <c r="BS54" s="109" t="n">
        <f aca="false">-Hipótesis!$C$40</f>
        <v>-700</v>
      </c>
      <c r="BT54" s="109" t="n">
        <f aca="false">-Hipótesis!$C$40</f>
        <v>-700</v>
      </c>
      <c r="BU54" s="109" t="n">
        <f aca="false">-Hipótesis!$C$40</f>
        <v>-700</v>
      </c>
      <c r="BV54" s="109" t="n">
        <f aca="false">-Hipótesis!$C$40</f>
        <v>-700</v>
      </c>
      <c r="BW54" s="109" t="n">
        <f aca="false">-Hipótesis!$C$40</f>
        <v>-700</v>
      </c>
      <c r="BX54" s="109" t="n">
        <f aca="false">-Hipótesis!$C$40</f>
        <v>-700</v>
      </c>
      <c r="BY54" s="109" t="n">
        <f aca="false">-Hipótesis!$C$40</f>
        <v>-700</v>
      </c>
      <c r="BZ54" s="109" t="n">
        <f aca="false">-Hipótesis!$C$40</f>
        <v>-700</v>
      </c>
      <c r="CA54" s="109" t="n">
        <f aca="false">-Hipótesis!$C$40</f>
        <v>-700</v>
      </c>
      <c r="CB54" s="109" t="n">
        <f aca="false">-Hipótesis!$C$40</f>
        <v>-700</v>
      </c>
      <c r="CC54" s="109" t="n">
        <f aca="false">-Hipótesis!$C$40</f>
        <v>-700</v>
      </c>
      <c r="CD54" s="109" t="n">
        <f aca="false">-Hipótesis!$C$40</f>
        <v>-700</v>
      </c>
      <c r="CE54" s="109" t="n">
        <f aca="false">-Hipótesis!$C$40</f>
        <v>-700</v>
      </c>
      <c r="CF54" s="109" t="n">
        <f aca="false">-Hipótesis!$C$40</f>
        <v>-700</v>
      </c>
      <c r="CG54" s="109" t="n">
        <f aca="false">-Hipótesis!$C$40</f>
        <v>-700</v>
      </c>
      <c r="CH54" s="109" t="n">
        <f aca="false">-Hipótesis!$C$40</f>
        <v>-700</v>
      </c>
    </row>
    <row r="55" customFormat="false" ht="13.5" hidden="false" customHeight="true" outlineLevel="0" collapsed="false">
      <c r="A55" s="22" t="s">
        <v>560</v>
      </c>
      <c r="C55" s="109" t="n">
        <f aca="false">C42+C43+C51+C52+C53+C54</f>
        <v>-15439.5798865358</v>
      </c>
      <c r="D55" s="109" t="n">
        <f aca="false">D42+D43+D51+D52+D53+D54</f>
        <v>-15479.6885140421</v>
      </c>
      <c r="E55" s="109" t="n">
        <f aca="false">E42+E43+E51+E52+E53+E54</f>
        <v>-15557.8998165914</v>
      </c>
      <c r="F55" s="109" t="n">
        <f aca="false">F42+F43+F51+F52+F53+F54</f>
        <v>-15598.5312326049</v>
      </c>
      <c r="G55" s="109" t="n">
        <f aca="false">G42+G43+G51+G52+G53+G54</f>
        <v>-15636.6339076477</v>
      </c>
      <c r="H55" s="109" t="n">
        <f aca="false">H42+H43+H51+H52+H53+H54</f>
        <v>-15703.7117396457</v>
      </c>
      <c r="I55" s="109" t="n">
        <f aca="false">I42+I43+I51+I52+I53+I54</f>
        <v>-15823.0982818956</v>
      </c>
      <c r="J55" s="109" t="n">
        <f aca="false">J42+J43+J51+J52+J53+J54</f>
        <v>-15942.4848241455</v>
      </c>
      <c r="K55" s="109" t="n">
        <f aca="false">K42+K43+K51+K52+K53+K54</f>
        <v>-16061.8713663954</v>
      </c>
      <c r="L55" s="109" t="n">
        <f aca="false">L42+L43+L51+L52+L53+L54</f>
        <v>-16181.2579086453</v>
      </c>
      <c r="M55" s="109" t="n">
        <f aca="false">M42+M43+M51+M52+M53+M54</f>
        <v>-16262.5417758523</v>
      </c>
      <c r="N55" s="109" t="n">
        <f aca="false">N42+N43+N51+N52+N53+N54</f>
        <v>-18629.9713259032</v>
      </c>
      <c r="O55" s="109" t="n">
        <f aca="false">O42+O43+O51+O52+O53+O54</f>
        <v>-24047.920875954</v>
      </c>
      <c r="P55" s="109" t="n">
        <f aca="false">P42+P43+P51+P52+P53+P54</f>
        <v>-24159.2335421873</v>
      </c>
      <c r="Q55" s="109" t="n">
        <f aca="false">Q42+Q43+Q51+Q52+Q53+Q54</f>
        <v>-26581.8662084205</v>
      </c>
      <c r="R55" s="109" t="n">
        <f aca="false">R42+R43+R51+R52+R53+R54</f>
        <v>-26693.1788746537</v>
      </c>
      <c r="S55" s="109" t="n">
        <f aca="false">S42+S43+S51+S52+S53+S54</f>
        <v>-26804.491540887</v>
      </c>
      <c r="T55" s="109" t="n">
        <f aca="false">T42+T43+T51+T52+T53+T54</f>
        <v>-29227.1242071202</v>
      </c>
      <c r="U55" s="109" t="n">
        <f aca="false">U42+U43+U51+U52+U53+U54</f>
        <v>-29338.4368733535</v>
      </c>
      <c r="V55" s="109" t="n">
        <f aca="false">V42+V43+V51+V52+V53+V54</f>
        <v>-32168.9495395867</v>
      </c>
      <c r="W55" s="109" t="n">
        <f aca="false">W42+W43+W51+W52+W53+W54</f>
        <v>-32280.26220582</v>
      </c>
      <c r="X55" s="109" t="n">
        <f aca="false">X42+X43+X51+X52+X53+X54</f>
        <v>-34660.7491892094</v>
      </c>
      <c r="Y55" s="109" t="n">
        <f aca="false">Y42+Y43+Y51+Y52+Y53+Y54</f>
        <v>-34729.9161725989</v>
      </c>
      <c r="Z55" s="109" t="n">
        <f aca="false">Z42+Z43+Z51+Z52+Z53+Z54</f>
        <v>-34782.2248828508</v>
      </c>
      <c r="AA55" s="109" t="n">
        <f aca="false">AA42+AA43+AA51+AA52+AA53+AA54</f>
        <v>-37255.0439931028</v>
      </c>
      <c r="AB55" s="109" t="n">
        <f aca="false">AB42+AB43+AB51+AB52+AB53+AB54</f>
        <v>-37307.3527033547</v>
      </c>
      <c r="AC55" s="109" t="n">
        <f aca="false">AC42+AC43+AC51+AC52+AC53+AC54</f>
        <v>-37359.6614136067</v>
      </c>
      <c r="AD55" s="109" t="n">
        <f aca="false">AD42+AD43+AD51+AD52+AD53+AD54</f>
        <v>-37411.9701238586</v>
      </c>
      <c r="AE55" s="109" t="n">
        <f aca="false">AE42+AE43+AE51+AE52+AE53+AE54</f>
        <v>-39844.9384341106</v>
      </c>
      <c r="AF55" s="109" t="n">
        <f aca="false">AF42+AF43+AF51+AF52+AF53+AF54</f>
        <v>-39897.2471443625</v>
      </c>
      <c r="AG55" s="109" t="n">
        <f aca="false">AG42+AG43+AG51+AG52+AG53+AG54</f>
        <v>-39949.5558546145</v>
      </c>
      <c r="AH55" s="109" t="n">
        <f aca="false">AH42+AH43+AH51+AH52+AH53+AH54</f>
        <v>-40001.8645648664</v>
      </c>
      <c r="AI55" s="109" t="n">
        <f aca="false">AI42+AI43+AI51+AI52+AI53+AI54</f>
        <v>-40054.1732751184</v>
      </c>
      <c r="AJ55" s="109" t="n">
        <f aca="false">AJ42+AJ43+AJ51+AJ52+AJ53+AJ54</f>
        <v>-40106.4819853703</v>
      </c>
      <c r="AK55" s="109" t="n">
        <f aca="false">AK42+AK43+AK51+AK52+AK53+AK54</f>
        <v>-40158.7906956223</v>
      </c>
      <c r="AL55" s="109" t="n">
        <f aca="false">AL42+AL43+AL51+AL52+AL53+AL54</f>
        <v>-40211.0994058742</v>
      </c>
      <c r="AM55" s="109" t="n">
        <f aca="false">AM42+AM43+AM51+AM52+AM53+AM54</f>
        <v>-45220.6330041262</v>
      </c>
      <c r="AN55" s="109" t="n">
        <f aca="false">AN42+AN43+AN51+AN52+AN53+AN54</f>
        <v>-45272.9417143781</v>
      </c>
      <c r="AO55" s="109" t="n">
        <f aca="false">AO42+AO43+AO51+AO52+AO53+AO54</f>
        <v>-45325.2504246301</v>
      </c>
      <c r="AP55" s="109" t="n">
        <f aca="false">AP42+AP43+AP51+AP52+AP53+AP54</f>
        <v>-45377.559134882</v>
      </c>
      <c r="AQ55" s="109" t="n">
        <f aca="false">AQ42+AQ43+AQ51+AQ52+AQ53+AQ54</f>
        <v>-45429.867845134</v>
      </c>
      <c r="AR55" s="109" t="n">
        <f aca="false">AR42+AR43+AR51+AR52+AR53+AR54</f>
        <v>-45482.1765553859</v>
      </c>
      <c r="AS55" s="109" t="n">
        <f aca="false">AS42+AS43+AS51+AS52+AS53+AS54</f>
        <v>-45482.1765553859</v>
      </c>
      <c r="AT55" s="109" t="n">
        <f aca="false">AT42+AT43+AT51+AT52+AT53+AT54</f>
        <v>-45482.1765553859</v>
      </c>
      <c r="AU55" s="109" t="n">
        <f aca="false">AU42+AU43+AU51+AU52+AU53+AU54</f>
        <v>-45482.1765553859</v>
      </c>
      <c r="AV55" s="109" t="n">
        <f aca="false">AV42+AV43+AV51+AV52+AV53+AV54</f>
        <v>-45482.1765553859</v>
      </c>
      <c r="AW55" s="109" t="n">
        <f aca="false">AW42+AW43+AW51+AW52+AW53+AW54</f>
        <v>-45482.1765553859</v>
      </c>
      <c r="AX55" s="109" t="n">
        <f aca="false">AX42+AX43+AX51+AX52+AX53+AX54</f>
        <v>-45482.1765553859</v>
      </c>
      <c r="AY55" s="109" t="n">
        <f aca="false">AY42+AY43+AY51+AY52+AY53+AY54</f>
        <v>-48076.6388020259</v>
      </c>
      <c r="AZ55" s="109" t="n">
        <f aca="false">AZ42+AZ43+AZ51+AZ52+AZ53+AZ54</f>
        <v>-48076.6388020259</v>
      </c>
      <c r="BA55" s="109" t="n">
        <f aca="false">BA42+BA43+BA51+BA52+BA53+BA54</f>
        <v>-48076.6388020259</v>
      </c>
      <c r="BB55" s="109" t="n">
        <f aca="false">BB42+BB43+BB51+BB52+BB53+BB54</f>
        <v>-48076.6388020259</v>
      </c>
      <c r="BC55" s="109" t="n">
        <f aca="false">BC42+BC43+BC51+BC52+BC53+BC54</f>
        <v>-48076.6388020259</v>
      </c>
      <c r="BD55" s="109" t="n">
        <f aca="false">BD42+BD43+BD51+BD52+BD53+BD54</f>
        <v>-48076.6388020259</v>
      </c>
      <c r="BE55" s="109" t="n">
        <f aca="false">BE42+BE43+BE51+BE52+BE53+BE54</f>
        <v>-48076.6388020259</v>
      </c>
      <c r="BF55" s="109" t="n">
        <f aca="false">BF42+BF43+BF51+BF52+BF53+BF54</f>
        <v>-48076.6388020259</v>
      </c>
      <c r="BG55" s="109" t="n">
        <f aca="false">BG42+BG43+BG51+BG52+BG53+BG54</f>
        <v>-48076.6388020259</v>
      </c>
      <c r="BH55" s="109" t="n">
        <f aca="false">BH42+BH43+BH51+BH52+BH53+BH54</f>
        <v>-48076.6388020259</v>
      </c>
      <c r="BI55" s="109" t="n">
        <f aca="false">BI42+BI43+BI51+BI52+BI53+BI54</f>
        <v>-48076.6388020259</v>
      </c>
      <c r="BJ55" s="109" t="n">
        <f aca="false">BJ42+BJ43+BJ51+BJ52+BJ53+BJ54</f>
        <v>-48076.6388020259</v>
      </c>
      <c r="BK55" s="109" t="n">
        <f aca="false">BK42+BK43+BK51+BK52+BK53+BK54</f>
        <v>-50689.5349160651</v>
      </c>
      <c r="BL55" s="109" t="n">
        <f aca="false">BL42+BL43+BL51+BL52+BL53+BL54</f>
        <v>-50689.5349160651</v>
      </c>
      <c r="BM55" s="109" t="n">
        <f aca="false">BM42+BM43+BM51+BM52+BM53+BM54</f>
        <v>-50689.5349160651</v>
      </c>
      <c r="BN55" s="109" t="n">
        <f aca="false">BN42+BN43+BN51+BN52+BN53+BN54</f>
        <v>-50689.5349160651</v>
      </c>
      <c r="BO55" s="109" t="n">
        <f aca="false">BO42+BO43+BO51+BO52+BO53+BO54</f>
        <v>-50689.5349160651</v>
      </c>
      <c r="BP55" s="109" t="n">
        <f aca="false">BP42+BP43+BP51+BP52+BP53+BP54</f>
        <v>-50689.5349160651</v>
      </c>
      <c r="BQ55" s="109" t="n">
        <f aca="false">BQ42+BQ43+BQ51+BQ52+BQ53+BQ54</f>
        <v>-50689.5349160651</v>
      </c>
      <c r="BR55" s="109" t="n">
        <f aca="false">BR42+BR43+BR51+BR52+BR53+BR54</f>
        <v>-50689.5349160651</v>
      </c>
      <c r="BS55" s="109" t="n">
        <f aca="false">BS42+BS43+BS51+BS52+BS53+BS54</f>
        <v>-50689.5349160651</v>
      </c>
      <c r="BT55" s="109" t="n">
        <f aca="false">BT42+BT43+BT51+BT52+BT53+BT54</f>
        <v>-50689.5349160651</v>
      </c>
      <c r="BU55" s="109" t="n">
        <f aca="false">BU42+BU43+BU51+BU52+BU53+BU54</f>
        <v>-50689.5349160651</v>
      </c>
      <c r="BV55" s="109" t="n">
        <f aca="false">BV42+BV43+BV51+BV52+BV53+BV54</f>
        <v>-50689.5349160651</v>
      </c>
      <c r="BW55" s="109" t="n">
        <f aca="false">BW42+BW43+BW51+BW52+BW53+BW54</f>
        <v>-53321.4179135255</v>
      </c>
      <c r="BX55" s="109" t="n">
        <f aca="false">BX42+BX43+BX51+BX52+BX53+BX54</f>
        <v>-53321.4179135255</v>
      </c>
      <c r="BY55" s="109" t="n">
        <f aca="false">BY42+BY43+BY51+BY52+BY53+BY54</f>
        <v>-53321.4179135255</v>
      </c>
      <c r="BZ55" s="109" t="n">
        <f aca="false">BZ42+BZ43+BZ51+BZ52+BZ53+BZ54</f>
        <v>-53321.4179135255</v>
      </c>
      <c r="CA55" s="109" t="n">
        <f aca="false">CA42+CA43+CA51+CA52+CA53+CA54</f>
        <v>-53321.4179135255</v>
      </c>
      <c r="CB55" s="109" t="n">
        <f aca="false">CB42+CB43+CB51+CB52+CB53+CB54</f>
        <v>-53321.4179135255</v>
      </c>
      <c r="CC55" s="109" t="n">
        <f aca="false">CC42+CC43+CC51+CC52+CC53+CC54</f>
        <v>-53321.4179135255</v>
      </c>
      <c r="CD55" s="109" t="n">
        <f aca="false">CD42+CD43+CD51+CD52+CD53+CD54</f>
        <v>-53321.4179135255</v>
      </c>
      <c r="CE55" s="109" t="n">
        <f aca="false">CE42+CE43+CE51+CE52+CE53+CE54</f>
        <v>-53321.4179135255</v>
      </c>
      <c r="CF55" s="109" t="n">
        <f aca="false">CF42+CF43+CF51+CF52+CF53+CF54</f>
        <v>-53321.4179135255</v>
      </c>
      <c r="CG55" s="109" t="n">
        <f aca="false">CG42+CG43+CG51+CG52+CG53+CG54</f>
        <v>-53321.4179135255</v>
      </c>
      <c r="CH55" s="109" t="n">
        <f aca="false">CH42+CH43+CH51+CH52+CH53+CH54</f>
        <v>-53321.4179135255</v>
      </c>
    </row>
    <row r="56" customFormat="false" ht="13.5" hidden="false" customHeight="true" outlineLevel="0" collapsed="false">
      <c r="A56" s="47" t="s">
        <v>561</v>
      </c>
      <c r="C56" s="71" t="n">
        <f aca="false">C40+C55</f>
        <v>-14640.6457198691</v>
      </c>
      <c r="D56" s="71" t="n">
        <f aca="false">D40+D55</f>
        <v>-13827.7778277676</v>
      </c>
      <c r="E56" s="71" t="n">
        <f aca="false">E40+E55</f>
        <v>-12208.6792497396</v>
      </c>
      <c r="F56" s="71" t="n">
        <f aca="false">F40+F55</f>
        <v>-11350.9349518426</v>
      </c>
      <c r="G56" s="71" t="n">
        <f aca="false">G40+G55</f>
        <v>-10544.704265916</v>
      </c>
      <c r="H56" s="71" t="n">
        <f aca="false">H40+H55</f>
        <v>-9309.70719282695</v>
      </c>
      <c r="I56" s="71" t="n">
        <f aca="false">I40+I55</f>
        <v>-6972.82506559457</v>
      </c>
      <c r="J56" s="71" t="n">
        <f aca="false">J40+J55</f>
        <v>-4635.9429383622</v>
      </c>
      <c r="K56" s="71" t="n">
        <f aca="false">K40+K55</f>
        <v>-2299.06081112982</v>
      </c>
      <c r="L56" s="71" t="n">
        <f aca="false">L40+L55</f>
        <v>37.8213161025487</v>
      </c>
      <c r="M56" s="71" t="n">
        <f aca="false">M40+M55</f>
        <v>1568.47275740839</v>
      </c>
      <c r="N56" s="71" t="n">
        <f aca="false">N40+N55</f>
        <v>1420.05939822339</v>
      </c>
      <c r="O56" s="71" t="n">
        <f aca="false">O40+O55</f>
        <v>-1778.87396096161</v>
      </c>
      <c r="P56" s="71" t="n">
        <f aca="false">P40+P55</f>
        <v>90.4303724945021</v>
      </c>
      <c r="Q56" s="71" t="n">
        <f aca="false">Q40+Q55</f>
        <v>-351.585294049379</v>
      </c>
      <c r="R56" s="71" t="n">
        <f aca="false">R40+R55</f>
        <v>1517.71903940673</v>
      </c>
      <c r="S56" s="71" t="n">
        <f aca="false">S40+S55</f>
        <v>3387.02337286285</v>
      </c>
      <c r="T56" s="71" t="n">
        <f aca="false">T40+T55</f>
        <v>2945.00770631896</v>
      </c>
      <c r="U56" s="71" t="n">
        <f aca="false">U40+U55</f>
        <v>4814.31203977508</v>
      </c>
      <c r="V56" s="71" t="n">
        <f aca="false">V40+V55</f>
        <v>3964.41637323119</v>
      </c>
      <c r="W56" s="71" t="n">
        <f aca="false">W40+W55</f>
        <v>5833.72070668731</v>
      </c>
      <c r="X56" s="71" t="n">
        <f aca="false">X40+X55</f>
        <v>4826.76984063427</v>
      </c>
      <c r="Y56" s="71" t="n">
        <f aca="false">Y40+Y55</f>
        <v>6131.13897458123</v>
      </c>
      <c r="Z56" s="71" t="n">
        <f aca="false">Z40+Z55</f>
        <v>7233.02402872453</v>
      </c>
      <c r="AA56" s="71" t="n">
        <f aca="false">AA40+AA55</f>
        <v>5914.39868286783</v>
      </c>
      <c r="AB56" s="71" t="n">
        <f aca="false">AB40+AB55</f>
        <v>7016.28373701112</v>
      </c>
      <c r="AC56" s="71" t="n">
        <f aca="false">AC40+AC55</f>
        <v>8118.16879115443</v>
      </c>
      <c r="AD56" s="71" t="n">
        <f aca="false">AD40+AD55</f>
        <v>9220.05384529772</v>
      </c>
      <c r="AE56" s="71" t="n">
        <f aca="false">AE40+AE55</f>
        <v>7941.279299441</v>
      </c>
      <c r="AF56" s="71" t="n">
        <f aca="false">AF40+AF55</f>
        <v>9043.1643535843</v>
      </c>
      <c r="AG56" s="71" t="n">
        <f aca="false">AG40+AG55</f>
        <v>10145.0494077276</v>
      </c>
      <c r="AH56" s="71" t="n">
        <f aca="false">AH40+AH55</f>
        <v>11246.9344618709</v>
      </c>
      <c r="AI56" s="71" t="n">
        <f aca="false">AI40+AI55</f>
        <v>12348.8195160142</v>
      </c>
      <c r="AJ56" s="71" t="n">
        <f aca="false">AJ40+AJ55</f>
        <v>13450.7045701575</v>
      </c>
      <c r="AK56" s="71" t="n">
        <f aca="false">AK40+AK55</f>
        <v>14552.5896243008</v>
      </c>
      <c r="AL56" s="71" t="n">
        <f aca="false">AL40+AL55</f>
        <v>15654.4746784441</v>
      </c>
      <c r="AM56" s="71" t="n">
        <f aca="false">AM40+AM55</f>
        <v>11799.1348445874</v>
      </c>
      <c r="AN56" s="71" t="n">
        <f aca="false">AN40+AN55</f>
        <v>12901.0198987307</v>
      </c>
      <c r="AO56" s="71" t="n">
        <f aca="false">AO40+AO55</f>
        <v>14002.904952874</v>
      </c>
      <c r="AP56" s="71" t="n">
        <f aca="false">AP40+AP55</f>
        <v>15104.7900070173</v>
      </c>
      <c r="AQ56" s="71" t="n">
        <f aca="false">AQ40+AQ55</f>
        <v>16206.6750611605</v>
      </c>
      <c r="AR56" s="71" t="n">
        <f aca="false">AR40+AR55</f>
        <v>17308.5601153038</v>
      </c>
      <c r="AS56" s="71" t="n">
        <f aca="false">AS40+AS55</f>
        <v>17308.5601153038</v>
      </c>
      <c r="AT56" s="71" t="n">
        <f aca="false">AT40+AT55</f>
        <v>17308.5601153038</v>
      </c>
      <c r="AU56" s="71" t="n">
        <f aca="false">AU40+AU55</f>
        <v>17308.5601153038</v>
      </c>
      <c r="AV56" s="71" t="n">
        <f aca="false">AV40+AV55</f>
        <v>17308.5601153038</v>
      </c>
      <c r="AW56" s="71" t="n">
        <f aca="false">AW40+AW55</f>
        <v>17308.5601153038</v>
      </c>
      <c r="AX56" s="71" t="n">
        <f aca="false">AX40+AX55</f>
        <v>17308.5601153038</v>
      </c>
      <c r="AY56" s="71" t="n">
        <f aca="false">AY40+AY55</f>
        <v>14714.0978686638</v>
      </c>
      <c r="AZ56" s="71" t="n">
        <f aca="false">AZ40+AZ55</f>
        <v>14714.0978686638</v>
      </c>
      <c r="BA56" s="71" t="n">
        <f aca="false">BA40+BA55</f>
        <v>14714.0978686638</v>
      </c>
      <c r="BB56" s="71" t="n">
        <f aca="false">BB40+BB55</f>
        <v>14714.0978686638</v>
      </c>
      <c r="BC56" s="71" t="n">
        <f aca="false">BC40+BC55</f>
        <v>14714.0978686638</v>
      </c>
      <c r="BD56" s="71" t="n">
        <f aca="false">BD40+BD55</f>
        <v>14714.0978686638</v>
      </c>
      <c r="BE56" s="71" t="n">
        <f aca="false">BE40+BE55</f>
        <v>14714.0978686638</v>
      </c>
      <c r="BF56" s="71" t="n">
        <f aca="false">BF40+BF55</f>
        <v>14714.0978686638</v>
      </c>
      <c r="BG56" s="71" t="n">
        <f aca="false">BG40+BG55</f>
        <v>14714.0978686638</v>
      </c>
      <c r="BH56" s="71" t="n">
        <f aca="false">BH40+BH55</f>
        <v>14714.0978686638</v>
      </c>
      <c r="BI56" s="71" t="n">
        <f aca="false">BI40+BI55</f>
        <v>14714.0978686638</v>
      </c>
      <c r="BJ56" s="71" t="n">
        <f aca="false">BJ40+BJ55</f>
        <v>14714.0978686638</v>
      </c>
      <c r="BK56" s="71" t="n">
        <f aca="false">BK40+BK55</f>
        <v>12101.2017546246</v>
      </c>
      <c r="BL56" s="71" t="n">
        <f aca="false">BL40+BL55</f>
        <v>12101.2017546246</v>
      </c>
      <c r="BM56" s="71" t="n">
        <f aca="false">BM40+BM55</f>
        <v>12101.2017546246</v>
      </c>
      <c r="BN56" s="71" t="n">
        <f aca="false">BN40+BN55</f>
        <v>12101.2017546246</v>
      </c>
      <c r="BO56" s="71" t="n">
        <f aca="false">BO40+BO55</f>
        <v>12101.2017546246</v>
      </c>
      <c r="BP56" s="71" t="n">
        <f aca="false">BP40+BP55</f>
        <v>12101.2017546246</v>
      </c>
      <c r="BQ56" s="71" t="n">
        <f aca="false">BQ40+BQ55</f>
        <v>12101.2017546246</v>
      </c>
      <c r="BR56" s="71" t="n">
        <f aca="false">BR40+BR55</f>
        <v>12101.2017546246</v>
      </c>
      <c r="BS56" s="71" t="n">
        <f aca="false">BS40+BS55</f>
        <v>12101.2017546246</v>
      </c>
      <c r="BT56" s="71" t="n">
        <f aca="false">BT40+BT55</f>
        <v>12101.2017546246</v>
      </c>
      <c r="BU56" s="71" t="n">
        <f aca="false">BU40+BU55</f>
        <v>12101.2017546246</v>
      </c>
      <c r="BV56" s="71" t="n">
        <f aca="false">BV40+BV55</f>
        <v>12101.2017546246</v>
      </c>
      <c r="BW56" s="71" t="n">
        <f aca="false">BW40+BW55</f>
        <v>9469.31875716426</v>
      </c>
      <c r="BX56" s="71" t="n">
        <f aca="false">BX40+BX55</f>
        <v>9469.31875716426</v>
      </c>
      <c r="BY56" s="71" t="n">
        <f aca="false">BY40+BY55</f>
        <v>9469.31875716426</v>
      </c>
      <c r="BZ56" s="71" t="n">
        <f aca="false">BZ40+BZ55</f>
        <v>9469.31875716426</v>
      </c>
      <c r="CA56" s="71" t="n">
        <f aca="false">CA40+CA55</f>
        <v>9469.31875716426</v>
      </c>
      <c r="CB56" s="71" t="n">
        <f aca="false">CB40+CB55</f>
        <v>9469.31875716426</v>
      </c>
      <c r="CC56" s="71" t="n">
        <f aca="false">CC40+CC55</f>
        <v>9469.31875716426</v>
      </c>
      <c r="CD56" s="71" t="n">
        <f aca="false">CD40+CD55</f>
        <v>9469.31875716426</v>
      </c>
      <c r="CE56" s="71" t="n">
        <f aca="false">CE40+CE55</f>
        <v>9469.31875716426</v>
      </c>
      <c r="CF56" s="71" t="n">
        <f aca="false">CF40+CF55</f>
        <v>9469.31875716426</v>
      </c>
      <c r="CG56" s="71" t="n">
        <f aca="false">CG40+CG55</f>
        <v>9469.31875716426</v>
      </c>
      <c r="CH56" s="71" t="n">
        <f aca="false">CH40+CH55</f>
        <v>9469.31875716426</v>
      </c>
    </row>
    <row r="57" customFormat="false" ht="13.5" hidden="false" customHeight="true" outlineLevel="0" collapsed="false">
      <c r="A57" s="6" t="s">
        <v>49</v>
      </c>
      <c r="C57" s="120" t="n">
        <f aca="false">IFERROR(C56/C38,0)</f>
        <v>-16.177196264016</v>
      </c>
      <c r="D57" s="120" t="n">
        <f aca="false">IFERROR(D56/D38,0)</f>
        <v>-7.35322577061355</v>
      </c>
      <c r="E57" s="120" t="n">
        <f aca="false">IFERROR(E56/E38,0)</f>
        <v>-3.11707287059093</v>
      </c>
      <c r="F57" s="120" t="n">
        <f aca="false">IFERROR(F56/F38,0)</f>
        <v>-2.24864357947491</v>
      </c>
      <c r="G57" s="120" t="n">
        <f aca="false">IFERROR(G56/G38,0)</f>
        <v>-1.72619975249801</v>
      </c>
      <c r="H57" s="120" t="n">
        <f aca="false">IFERROR(H56/H38,0)</f>
        <v>-1.19121273112846</v>
      </c>
      <c r="I57" s="120" t="n">
        <f aca="false">IFERROR(I56/I38,0)</f>
        <v>-0.632133016427091</v>
      </c>
      <c r="J57" s="120" t="n">
        <f aca="false">IFERROR(J56/J38,0)</f>
        <v>-0.325422042443204</v>
      </c>
      <c r="K57" s="120" t="n">
        <f aca="false">IFERROR(K56/K38,0)</f>
        <v>-0.131666444286077</v>
      </c>
      <c r="L57" s="120" t="n">
        <f aca="false">IFERROR(L56/L38,0)</f>
        <v>0.0018291878962098</v>
      </c>
      <c r="M57" s="120" t="n">
        <f aca="false">IFERROR(M56/M38,0)</f>
        <v>0.0686988007717947</v>
      </c>
      <c r="N57" s="120" t="n">
        <f aca="false">IFERROR(N56/N38,0)</f>
        <v>0.0548993082968357</v>
      </c>
      <c r="O57" s="120" t="n">
        <f aca="false">IFERROR(O56/O38,0)</f>
        <v>-0.0615482967034375</v>
      </c>
      <c r="P57" s="120" t="n">
        <f aca="false">IFERROR(P56/P38,0)</f>
        <v>0.00285987140880998</v>
      </c>
      <c r="Q57" s="120" t="n">
        <f aca="false">IFERROR(Q56/Q38,0)</f>
        <v>-0.0102387230586836</v>
      </c>
      <c r="R57" s="120" t="n">
        <f aca="false">IFERROR(R56/R38,0)</f>
        <v>0.0409561906660908</v>
      </c>
      <c r="S57" s="120" t="n">
        <f aca="false">IFERROR(S56/S38,0)</f>
        <v>0.0851535421432915</v>
      </c>
      <c r="T57" s="120" t="n">
        <f aca="false">IFERROR(T56/T38,0)</f>
        <v>0.0693043528041864</v>
      </c>
      <c r="U57" s="120" t="n">
        <f aca="false">IFERROR(U56/U38,0)</f>
        <v>0.106482622761011</v>
      </c>
      <c r="V57" s="120" t="n">
        <f aca="false">IFERROR(V56/V38,0)</f>
        <v>0.0827117064567664</v>
      </c>
      <c r="W57" s="120" t="n">
        <f aca="false">IFERROR(W56/W38,0)</f>
        <v>0.115179645471252</v>
      </c>
      <c r="X57" s="120" t="n">
        <f aca="false">IFERROR(X56/X38,0)</f>
        <v>0.0919623638273071</v>
      </c>
      <c r="Y57" s="120" t="n">
        <f aca="false">IFERROR(Y56/Y38,0)</f>
        <v>0.112862775624044</v>
      </c>
      <c r="Z57" s="120" t="n">
        <f aca="false">IFERROR(Z56/Z38,0)</f>
        <v>0.1295487441304</v>
      </c>
      <c r="AA57" s="120" t="n">
        <f aca="false">IFERROR(AA56/AA38,0)</f>
        <v>0.103144202929134</v>
      </c>
      <c r="AB57" s="120" t="n">
        <f aca="false">IFERROR(AB56/AB38,0)</f>
        <v>0.119223815926384</v>
      </c>
      <c r="AC57" s="120" t="n">
        <f aca="false">IFERROR(AC56/AC38,0)</f>
        <v>0.134499630529035</v>
      </c>
      <c r="AD57" s="120" t="n">
        <f aca="false">IFERROR(AD56/AD38,0)</f>
        <v>0.149030448246151</v>
      </c>
      <c r="AE57" s="120" t="n">
        <f aca="false">IFERROR(AE56/AE38,0)</f>
        <v>0.125305136597166</v>
      </c>
      <c r="AF57" s="120" t="n">
        <f aca="false">IFERROR(AF56/AF38,0)</f>
        <v>0.139374025199312</v>
      </c>
      <c r="AG57" s="120" t="n">
        <f aca="false">IFERROR(AG56/AG38,0)</f>
        <v>0.152803550656633</v>
      </c>
      <c r="AH57" s="120" t="n">
        <f aca="false">IFERROR(AH56/AH38,0)</f>
        <v>0.165636328589656</v>
      </c>
      <c r="AI57" s="120" t="n">
        <f aca="false">IFERROR(AI56/AI38,0)</f>
        <v>0.17791126964327</v>
      </c>
      <c r="AJ57" s="120" t="n">
        <f aca="false">IFERROR(AJ56/AJ38,0)</f>
        <v>0.189663973557034</v>
      </c>
      <c r="AK57" s="120" t="n">
        <f aca="false">IFERROR(AK56/AK38,0)</f>
        <v>0.200927073985993</v>
      </c>
      <c r="AL57" s="120" t="n">
        <f aca="false">IFERROR(AL56/AL38,0)</f>
        <v>0.211730541106348</v>
      </c>
      <c r="AM57" s="120" t="n">
        <f aca="false">IFERROR(AM56/AM38,0)</f>
        <v>0.156394997154338</v>
      </c>
      <c r="AN57" s="120" t="n">
        <f aca="false">IFERROR(AN56/AN38,0)</f>
        <v>0.16764789694864</v>
      </c>
      <c r="AO57" s="120" t="n">
        <f aca="false">IFERROR(AO56/AO38,0)</f>
        <v>0.178468068380018</v>
      </c>
      <c r="AP57" s="120" t="n">
        <f aca="false">IFERROR(AP56/AP38,0)</f>
        <v>0.188880001315887</v>
      </c>
      <c r="AQ57" s="120" t="n">
        <f aca="false">IFERROR(AQ56/AQ38,0)</f>
        <v>0.198906371864043</v>
      </c>
      <c r="AR57" s="120" t="n">
        <f aca="false">IFERROR(AR56/AR38,0)</f>
        <v>0.208568207232717</v>
      </c>
      <c r="AS57" s="120" t="n">
        <f aca="false">IFERROR(AS56/AS38,0)</f>
        <v>0.208568207232717</v>
      </c>
      <c r="AT57" s="120" t="n">
        <f aca="false">IFERROR(AT56/AT38,0)</f>
        <v>0.208568207232717</v>
      </c>
      <c r="AU57" s="120" t="n">
        <f aca="false">IFERROR(AU56/AU38,0)</f>
        <v>0.208568207232717</v>
      </c>
      <c r="AV57" s="120" t="n">
        <f aca="false">IFERROR(AV56/AV38,0)</f>
        <v>0.208568207232717</v>
      </c>
      <c r="AW57" s="120" t="n">
        <f aca="false">IFERROR(AW56/AW38,0)</f>
        <v>0.208568207232717</v>
      </c>
      <c r="AX57" s="120" t="n">
        <f aca="false">IFERROR(AX56/AX38,0)</f>
        <v>0.208568207232717</v>
      </c>
      <c r="AY57" s="120" t="n">
        <f aca="false">IFERROR(AY56/AY38,0)</f>
        <v>0.177304928490298</v>
      </c>
      <c r="AZ57" s="120" t="n">
        <f aca="false">IFERROR(AZ56/AZ38,0)</f>
        <v>0.177304928490298</v>
      </c>
      <c r="BA57" s="120" t="n">
        <f aca="false">IFERROR(BA56/BA38,0)</f>
        <v>0.177304928490298</v>
      </c>
      <c r="BB57" s="120" t="n">
        <f aca="false">IFERROR(BB56/BB38,0)</f>
        <v>0.177304928490298</v>
      </c>
      <c r="BC57" s="120" t="n">
        <f aca="false">IFERROR(BC56/BC38,0)</f>
        <v>0.177304928490298</v>
      </c>
      <c r="BD57" s="120" t="n">
        <f aca="false">IFERROR(BD56/BD38,0)</f>
        <v>0.177304928490298</v>
      </c>
      <c r="BE57" s="120" t="n">
        <f aca="false">IFERROR(BE56/BE38,0)</f>
        <v>0.177304928490298</v>
      </c>
      <c r="BF57" s="120" t="n">
        <f aca="false">IFERROR(BF56/BF38,0)</f>
        <v>0.177304928490298</v>
      </c>
      <c r="BG57" s="120" t="n">
        <f aca="false">IFERROR(BG56/BG38,0)</f>
        <v>0.177304928490298</v>
      </c>
      <c r="BH57" s="120" t="n">
        <f aca="false">IFERROR(BH56/BH38,0)</f>
        <v>0.177304928490298</v>
      </c>
      <c r="BI57" s="120" t="n">
        <f aca="false">IFERROR(BI56/BI38,0)</f>
        <v>0.177304928490298</v>
      </c>
      <c r="BJ57" s="120" t="n">
        <f aca="false">IFERROR(BJ56/BJ38,0)</f>
        <v>0.177304928490298</v>
      </c>
      <c r="BK57" s="120" t="n">
        <f aca="false">IFERROR(BK56/BK38,0)</f>
        <v>0.145819521584114</v>
      </c>
      <c r="BL57" s="120" t="n">
        <f aca="false">IFERROR(BL56/BL38,0)</f>
        <v>0.145819521584114</v>
      </c>
      <c r="BM57" s="120" t="n">
        <f aca="false">IFERROR(BM56/BM38,0)</f>
        <v>0.145819521584114</v>
      </c>
      <c r="BN57" s="120" t="n">
        <f aca="false">IFERROR(BN56/BN38,0)</f>
        <v>0.145819521584114</v>
      </c>
      <c r="BO57" s="120" t="n">
        <f aca="false">IFERROR(BO56/BO38,0)</f>
        <v>0.145819521584114</v>
      </c>
      <c r="BP57" s="120" t="n">
        <f aca="false">IFERROR(BP56/BP38,0)</f>
        <v>0.145819521584114</v>
      </c>
      <c r="BQ57" s="120" t="n">
        <f aca="false">IFERROR(BQ56/BQ38,0)</f>
        <v>0.145819521584114</v>
      </c>
      <c r="BR57" s="120" t="n">
        <f aca="false">IFERROR(BR56/BR38,0)</f>
        <v>0.145819521584114</v>
      </c>
      <c r="BS57" s="120" t="n">
        <f aca="false">IFERROR(BS56/BS38,0)</f>
        <v>0.145819521584114</v>
      </c>
      <c r="BT57" s="120" t="n">
        <f aca="false">IFERROR(BT56/BT38,0)</f>
        <v>0.145819521584114</v>
      </c>
      <c r="BU57" s="120" t="n">
        <f aca="false">IFERROR(BU56/BU38,0)</f>
        <v>0.145819521584114</v>
      </c>
      <c r="BV57" s="120" t="n">
        <f aca="false">IFERROR(BV56/BV38,0)</f>
        <v>0.145819521584114</v>
      </c>
      <c r="BW57" s="120" t="n">
        <f aca="false">IFERROR(BW56/BW38,0)</f>
        <v>0.114105322669252</v>
      </c>
      <c r="BX57" s="120" t="n">
        <f aca="false">IFERROR(BX56/BX38,0)</f>
        <v>0.114105322669252</v>
      </c>
      <c r="BY57" s="120" t="n">
        <f aca="false">IFERROR(BY56/BY38,0)</f>
        <v>0.114105322669252</v>
      </c>
      <c r="BZ57" s="120" t="n">
        <f aca="false">IFERROR(BZ56/BZ38,0)</f>
        <v>0.114105322669252</v>
      </c>
      <c r="CA57" s="120" t="n">
        <f aca="false">IFERROR(CA56/CA38,0)</f>
        <v>0.114105322669252</v>
      </c>
      <c r="CB57" s="120" t="n">
        <f aca="false">IFERROR(CB56/CB38,0)</f>
        <v>0.114105322669252</v>
      </c>
      <c r="CC57" s="120" t="n">
        <f aca="false">IFERROR(CC56/CC38,0)</f>
        <v>0.114105322669252</v>
      </c>
      <c r="CD57" s="120" t="n">
        <f aca="false">IFERROR(CD56/CD38,0)</f>
        <v>0.114105322669252</v>
      </c>
      <c r="CE57" s="120" t="n">
        <f aca="false">IFERROR(CE56/CE38,0)</f>
        <v>0.114105322669252</v>
      </c>
      <c r="CF57" s="120" t="n">
        <f aca="false">IFERROR(CF56/CF38,0)</f>
        <v>0.114105322669252</v>
      </c>
      <c r="CG57" s="120" t="n">
        <f aca="false">IFERROR(CG56/CG38,0)</f>
        <v>0.114105322669252</v>
      </c>
      <c r="CH57" s="120" t="n">
        <f aca="false">IFERROR(CH56/CH38,0)</f>
        <v>0.114105322669252</v>
      </c>
    </row>
    <row r="58" customFormat="false" ht="13.5" hidden="false" customHeight="true" outlineLevel="0" collapsed="false">
      <c r="A58" s="6" t="s">
        <v>562</v>
      </c>
      <c r="C58" s="109" t="n">
        <f aca="false">-(CAPEX!$E$22)/(Hipótesis!$C$86*12)</f>
        <v>-1037.7380952381</v>
      </c>
      <c r="D58" s="109" t="n">
        <f aca="false">-(CAPEX!$E$22)/(Hipótesis!$C$86*12)</f>
        <v>-1037.7380952381</v>
      </c>
      <c r="E58" s="109" t="n">
        <f aca="false">-(CAPEX!$E$22)/(Hipótesis!$C$86*12)</f>
        <v>-1037.7380952381</v>
      </c>
      <c r="F58" s="109" t="n">
        <f aca="false">-(CAPEX!$E$22)/(Hipótesis!$C$86*12)</f>
        <v>-1037.7380952381</v>
      </c>
      <c r="G58" s="109" t="n">
        <f aca="false">-(CAPEX!$E$22)/(Hipótesis!$C$86*12)</f>
        <v>-1037.7380952381</v>
      </c>
      <c r="H58" s="109" t="n">
        <f aca="false">-(CAPEX!$E$22)/(Hipótesis!$C$86*12)</f>
        <v>-1037.7380952381</v>
      </c>
      <c r="I58" s="109" t="n">
        <f aca="false">-(CAPEX!$E$22)/(Hipótesis!$C$86*12)</f>
        <v>-1037.7380952381</v>
      </c>
      <c r="J58" s="109" t="n">
        <f aca="false">-(CAPEX!$E$22)/(Hipótesis!$C$86*12)</f>
        <v>-1037.7380952381</v>
      </c>
      <c r="K58" s="109" t="n">
        <f aca="false">-(CAPEX!$E$22)/(Hipótesis!$C$86*12)</f>
        <v>-1037.7380952381</v>
      </c>
      <c r="L58" s="109" t="n">
        <f aca="false">-(CAPEX!$E$22)/(Hipótesis!$C$86*12)</f>
        <v>-1037.7380952381</v>
      </c>
      <c r="M58" s="109" t="n">
        <f aca="false">-(CAPEX!$E$22)/(Hipótesis!$C$86*12)</f>
        <v>-1037.7380952381</v>
      </c>
      <c r="N58" s="109" t="n">
        <f aca="false">-(CAPEX!$E$22)/(Hipótesis!$C$86*12)</f>
        <v>-1037.7380952381</v>
      </c>
      <c r="O58" s="109" t="n">
        <f aca="false">-(CAPEX!$E$22)/(Hipótesis!$C$86*12)</f>
        <v>-1037.7380952381</v>
      </c>
      <c r="P58" s="109" t="n">
        <f aca="false">-(CAPEX!$E$22)/(Hipótesis!$C$86*12)</f>
        <v>-1037.7380952381</v>
      </c>
      <c r="Q58" s="109" t="n">
        <f aca="false">-(CAPEX!$E$22)/(Hipótesis!$C$86*12)</f>
        <v>-1037.7380952381</v>
      </c>
      <c r="R58" s="109" t="n">
        <f aca="false">-(CAPEX!$E$22)/(Hipótesis!$C$86*12)</f>
        <v>-1037.7380952381</v>
      </c>
      <c r="S58" s="109" t="n">
        <f aca="false">-(CAPEX!$E$22)/(Hipótesis!$C$86*12)</f>
        <v>-1037.7380952381</v>
      </c>
      <c r="T58" s="109" t="n">
        <f aca="false">-(CAPEX!$E$22)/(Hipótesis!$C$86*12)</f>
        <v>-1037.7380952381</v>
      </c>
      <c r="U58" s="109" t="n">
        <f aca="false">-(CAPEX!$E$22)/(Hipótesis!$C$86*12)</f>
        <v>-1037.7380952381</v>
      </c>
      <c r="V58" s="109" t="n">
        <f aca="false">-(CAPEX!$E$22)/(Hipótesis!$C$86*12)</f>
        <v>-1037.7380952381</v>
      </c>
      <c r="W58" s="109" t="n">
        <f aca="false">-(CAPEX!$E$22)/(Hipótesis!$C$86*12)</f>
        <v>-1037.7380952381</v>
      </c>
      <c r="X58" s="109" t="n">
        <f aca="false">-(CAPEX!$E$22)/(Hipótesis!$C$86*12)</f>
        <v>-1037.7380952381</v>
      </c>
      <c r="Y58" s="109" t="n">
        <f aca="false">-(CAPEX!$E$22)/(Hipótesis!$C$86*12)</f>
        <v>-1037.7380952381</v>
      </c>
      <c r="Z58" s="109" t="n">
        <f aca="false">-(CAPEX!$E$22)/(Hipótesis!$C$86*12)</f>
        <v>-1037.7380952381</v>
      </c>
      <c r="AA58" s="109" t="n">
        <f aca="false">-(CAPEX!$E$22)/(Hipótesis!$C$86*12)</f>
        <v>-1037.7380952381</v>
      </c>
      <c r="AB58" s="109" t="n">
        <f aca="false">-(CAPEX!$E$22)/(Hipótesis!$C$86*12)</f>
        <v>-1037.7380952381</v>
      </c>
      <c r="AC58" s="109" t="n">
        <f aca="false">-(CAPEX!$E$22)/(Hipótesis!$C$86*12)</f>
        <v>-1037.7380952381</v>
      </c>
      <c r="AD58" s="109" t="n">
        <f aca="false">-(CAPEX!$E$22)/(Hipótesis!$C$86*12)</f>
        <v>-1037.7380952381</v>
      </c>
      <c r="AE58" s="109" t="n">
        <f aca="false">-(CAPEX!$E$22)/(Hipótesis!$C$86*12)</f>
        <v>-1037.7380952381</v>
      </c>
      <c r="AF58" s="109" t="n">
        <f aca="false">-(CAPEX!$E$22)/(Hipótesis!$C$86*12)</f>
        <v>-1037.7380952381</v>
      </c>
      <c r="AG58" s="109" t="n">
        <f aca="false">-(CAPEX!$E$22)/(Hipótesis!$C$86*12)</f>
        <v>-1037.7380952381</v>
      </c>
      <c r="AH58" s="109" t="n">
        <f aca="false">-(CAPEX!$E$22)/(Hipótesis!$C$86*12)</f>
        <v>-1037.7380952381</v>
      </c>
      <c r="AI58" s="109" t="n">
        <f aca="false">-(CAPEX!$E$22)/(Hipótesis!$C$86*12)</f>
        <v>-1037.7380952381</v>
      </c>
      <c r="AJ58" s="109" t="n">
        <f aca="false">-(CAPEX!$E$22)/(Hipótesis!$C$86*12)</f>
        <v>-1037.7380952381</v>
      </c>
      <c r="AK58" s="109" t="n">
        <f aca="false">-(CAPEX!$E$22)/(Hipótesis!$C$86*12)</f>
        <v>-1037.7380952381</v>
      </c>
      <c r="AL58" s="109" t="n">
        <f aca="false">-(CAPEX!$E$22)/(Hipótesis!$C$86*12)</f>
        <v>-1037.7380952381</v>
      </c>
      <c r="AM58" s="109" t="n">
        <f aca="false">-(CAPEX!$E$22)/(Hipótesis!$C$86*12)</f>
        <v>-1037.7380952381</v>
      </c>
      <c r="AN58" s="109" t="n">
        <f aca="false">-(CAPEX!$E$22)/(Hipótesis!$C$86*12)</f>
        <v>-1037.7380952381</v>
      </c>
      <c r="AO58" s="109" t="n">
        <f aca="false">-(CAPEX!$E$22)/(Hipótesis!$C$86*12)</f>
        <v>-1037.7380952381</v>
      </c>
      <c r="AP58" s="109" t="n">
        <f aca="false">-(CAPEX!$E$22)/(Hipótesis!$C$86*12)</f>
        <v>-1037.7380952381</v>
      </c>
      <c r="AQ58" s="109" t="n">
        <f aca="false">-(CAPEX!$E$22)/(Hipótesis!$C$86*12)</f>
        <v>-1037.7380952381</v>
      </c>
      <c r="AR58" s="109" t="n">
        <f aca="false">-(CAPEX!$E$22)/(Hipótesis!$C$86*12)</f>
        <v>-1037.7380952381</v>
      </c>
      <c r="AS58" s="109" t="n">
        <f aca="false">-(CAPEX!$E$22)/(Hipótesis!$C$86*12)</f>
        <v>-1037.7380952381</v>
      </c>
      <c r="AT58" s="109" t="n">
        <f aca="false">-(CAPEX!$E$22)/(Hipótesis!$C$86*12)</f>
        <v>-1037.7380952381</v>
      </c>
      <c r="AU58" s="109" t="n">
        <f aca="false">-(CAPEX!$E$22)/(Hipótesis!$C$86*12)</f>
        <v>-1037.7380952381</v>
      </c>
      <c r="AV58" s="109" t="n">
        <f aca="false">-(CAPEX!$E$22)/(Hipótesis!$C$86*12)</f>
        <v>-1037.7380952381</v>
      </c>
      <c r="AW58" s="109" t="n">
        <f aca="false">-(CAPEX!$E$22)/(Hipótesis!$C$86*12)</f>
        <v>-1037.7380952381</v>
      </c>
      <c r="AX58" s="109" t="n">
        <f aca="false">-(CAPEX!$E$22)/(Hipótesis!$C$86*12)</f>
        <v>-1037.7380952381</v>
      </c>
      <c r="AY58" s="109" t="n">
        <f aca="false">-(CAPEX!$E$22)/(Hipótesis!$C$86*12)</f>
        <v>-1037.7380952381</v>
      </c>
      <c r="AZ58" s="109" t="n">
        <f aca="false">-(CAPEX!$E$22)/(Hipótesis!$C$86*12)</f>
        <v>-1037.7380952381</v>
      </c>
      <c r="BA58" s="109" t="n">
        <f aca="false">-(CAPEX!$E$22)/(Hipótesis!$C$86*12)</f>
        <v>-1037.7380952381</v>
      </c>
      <c r="BB58" s="109" t="n">
        <f aca="false">-(CAPEX!$E$22)/(Hipótesis!$C$86*12)</f>
        <v>-1037.7380952381</v>
      </c>
      <c r="BC58" s="109" t="n">
        <f aca="false">-(CAPEX!$E$22)/(Hipótesis!$C$86*12)</f>
        <v>-1037.7380952381</v>
      </c>
      <c r="BD58" s="109" t="n">
        <f aca="false">-(CAPEX!$E$22)/(Hipótesis!$C$86*12)</f>
        <v>-1037.7380952381</v>
      </c>
      <c r="BE58" s="109" t="n">
        <f aca="false">-(CAPEX!$E$22)/(Hipótesis!$C$86*12)</f>
        <v>-1037.7380952381</v>
      </c>
      <c r="BF58" s="109" t="n">
        <f aca="false">-(CAPEX!$E$22)/(Hipótesis!$C$86*12)</f>
        <v>-1037.7380952381</v>
      </c>
      <c r="BG58" s="109" t="n">
        <f aca="false">-(CAPEX!$E$22)/(Hipótesis!$C$86*12)</f>
        <v>-1037.7380952381</v>
      </c>
      <c r="BH58" s="109" t="n">
        <f aca="false">-(CAPEX!$E$22)/(Hipótesis!$C$86*12)</f>
        <v>-1037.7380952381</v>
      </c>
      <c r="BI58" s="109" t="n">
        <f aca="false">-(CAPEX!$E$22)/(Hipótesis!$C$86*12)</f>
        <v>-1037.7380952381</v>
      </c>
      <c r="BJ58" s="109" t="n">
        <f aca="false">-(CAPEX!$E$22)/(Hipótesis!$C$86*12)</f>
        <v>-1037.7380952381</v>
      </c>
      <c r="BK58" s="109" t="n">
        <f aca="false">-(CAPEX!$E$22)/(Hipótesis!$C$86*12)</f>
        <v>-1037.7380952381</v>
      </c>
      <c r="BL58" s="109" t="n">
        <f aca="false">-(CAPEX!$E$22)/(Hipótesis!$C$86*12)</f>
        <v>-1037.7380952381</v>
      </c>
      <c r="BM58" s="109" t="n">
        <f aca="false">-(CAPEX!$E$22)/(Hipótesis!$C$86*12)</f>
        <v>-1037.7380952381</v>
      </c>
      <c r="BN58" s="109" t="n">
        <f aca="false">-(CAPEX!$E$22)/(Hipótesis!$C$86*12)</f>
        <v>-1037.7380952381</v>
      </c>
      <c r="BO58" s="109" t="n">
        <f aca="false">-(CAPEX!$E$22)/(Hipótesis!$C$86*12)</f>
        <v>-1037.7380952381</v>
      </c>
      <c r="BP58" s="109" t="n">
        <f aca="false">-(CAPEX!$E$22)/(Hipótesis!$C$86*12)</f>
        <v>-1037.7380952381</v>
      </c>
      <c r="BQ58" s="109" t="n">
        <f aca="false">-(CAPEX!$E$22)/(Hipótesis!$C$86*12)</f>
        <v>-1037.7380952381</v>
      </c>
      <c r="BR58" s="109" t="n">
        <f aca="false">-(CAPEX!$E$22)/(Hipótesis!$C$86*12)</f>
        <v>-1037.7380952381</v>
      </c>
      <c r="BS58" s="109" t="n">
        <f aca="false">-(CAPEX!$E$22)/(Hipótesis!$C$86*12)</f>
        <v>-1037.7380952381</v>
      </c>
      <c r="BT58" s="109" t="n">
        <f aca="false">-(CAPEX!$E$22)/(Hipótesis!$C$86*12)</f>
        <v>-1037.7380952381</v>
      </c>
      <c r="BU58" s="109" t="n">
        <f aca="false">-(CAPEX!$E$22)/(Hipótesis!$C$86*12)</f>
        <v>-1037.7380952381</v>
      </c>
      <c r="BV58" s="109" t="n">
        <f aca="false">-(CAPEX!$E$22)/(Hipótesis!$C$86*12)</f>
        <v>-1037.7380952381</v>
      </c>
      <c r="BW58" s="109" t="n">
        <f aca="false">-(CAPEX!$E$22)/(Hipótesis!$C$86*12)</f>
        <v>-1037.7380952381</v>
      </c>
      <c r="BX58" s="109" t="n">
        <f aca="false">-(CAPEX!$E$22)/(Hipótesis!$C$86*12)</f>
        <v>-1037.7380952381</v>
      </c>
      <c r="BY58" s="109" t="n">
        <f aca="false">-(CAPEX!$E$22)/(Hipótesis!$C$86*12)</f>
        <v>-1037.7380952381</v>
      </c>
      <c r="BZ58" s="109" t="n">
        <f aca="false">-(CAPEX!$E$22)/(Hipótesis!$C$86*12)</f>
        <v>-1037.7380952381</v>
      </c>
      <c r="CA58" s="109" t="n">
        <f aca="false">-(CAPEX!$E$22)/(Hipótesis!$C$86*12)</f>
        <v>-1037.7380952381</v>
      </c>
      <c r="CB58" s="109" t="n">
        <f aca="false">-(CAPEX!$E$22)/(Hipótesis!$C$86*12)</f>
        <v>-1037.7380952381</v>
      </c>
      <c r="CC58" s="109" t="n">
        <f aca="false">-(CAPEX!$E$22)/(Hipótesis!$C$86*12)</f>
        <v>-1037.7380952381</v>
      </c>
      <c r="CD58" s="109" t="n">
        <f aca="false">-(CAPEX!$E$22)/(Hipótesis!$C$86*12)</f>
        <v>-1037.7380952381</v>
      </c>
      <c r="CE58" s="109" t="n">
        <f aca="false">-(CAPEX!$E$22)/(Hipótesis!$C$86*12)</f>
        <v>-1037.7380952381</v>
      </c>
      <c r="CF58" s="109" t="n">
        <f aca="false">-(CAPEX!$E$22)/(Hipótesis!$C$86*12)</f>
        <v>-1037.7380952381</v>
      </c>
      <c r="CG58" s="109" t="n">
        <f aca="false">-(CAPEX!$E$22)/(Hipótesis!$C$86*12)</f>
        <v>-1037.7380952381</v>
      </c>
      <c r="CH58" s="109" t="n">
        <f aca="false">-(CAPEX!$E$22)/(Hipótesis!$C$86*12)</f>
        <v>-1037.7380952381</v>
      </c>
    </row>
    <row r="59" customFormat="false" ht="13.5" hidden="false" customHeight="true" outlineLevel="0" collapsed="false">
      <c r="A59" s="22" t="s">
        <v>563</v>
      </c>
      <c r="C59" s="109" t="n">
        <f aca="false">C56+C58</f>
        <v>-15678.3838151072</v>
      </c>
      <c r="D59" s="109" t="n">
        <f aca="false">D56+D58</f>
        <v>-14865.5159230057</v>
      </c>
      <c r="E59" s="109" t="n">
        <f aca="false">E56+E58</f>
        <v>-13246.4173449777</v>
      </c>
      <c r="F59" s="109" t="n">
        <f aca="false">F56+F58</f>
        <v>-12388.6730470807</v>
      </c>
      <c r="G59" s="109" t="n">
        <f aca="false">G56+G58</f>
        <v>-11582.4423611541</v>
      </c>
      <c r="H59" s="109" t="n">
        <f aca="false">H56+H58</f>
        <v>-10347.445288065</v>
      </c>
      <c r="I59" s="109" t="n">
        <f aca="false">I56+I58</f>
        <v>-8010.56316083267</v>
      </c>
      <c r="J59" s="109" t="n">
        <f aca="false">J56+J58</f>
        <v>-5673.68103360029</v>
      </c>
      <c r="K59" s="109" t="n">
        <f aca="false">K56+K58</f>
        <v>-3336.79890636792</v>
      </c>
      <c r="L59" s="109" t="n">
        <f aca="false">L56+L58</f>
        <v>-999.916779135546</v>
      </c>
      <c r="M59" s="109" t="n">
        <f aca="false">M56+M58</f>
        <v>530.734662170297</v>
      </c>
      <c r="N59" s="109" t="n">
        <f aca="false">N56+N58</f>
        <v>382.321302985293</v>
      </c>
      <c r="O59" s="109" t="n">
        <f aca="false">O56+O58</f>
        <v>-2816.61205619971</v>
      </c>
      <c r="P59" s="109" t="n">
        <f aca="false">P56+P58</f>
        <v>-947.307722743593</v>
      </c>
      <c r="Q59" s="109" t="n">
        <f aca="false">Q56+Q58</f>
        <v>-1389.32338928747</v>
      </c>
      <c r="R59" s="109" t="n">
        <f aca="false">R56+R58</f>
        <v>479.980944168638</v>
      </c>
      <c r="S59" s="109" t="n">
        <f aca="false">S56+S58</f>
        <v>2349.28527762476</v>
      </c>
      <c r="T59" s="109" t="n">
        <f aca="false">T56+T58</f>
        <v>1907.26961108087</v>
      </c>
      <c r="U59" s="109" t="n">
        <f aca="false">U56+U58</f>
        <v>3776.57394453698</v>
      </c>
      <c r="V59" s="109" t="n">
        <f aca="false">V56+V58</f>
        <v>2926.6782779931</v>
      </c>
      <c r="W59" s="109" t="n">
        <f aca="false">W56+W58</f>
        <v>4795.98261144922</v>
      </c>
      <c r="X59" s="109" t="n">
        <f aca="false">X56+X58</f>
        <v>3789.03174539617</v>
      </c>
      <c r="Y59" s="109" t="n">
        <f aca="false">Y56+Y58</f>
        <v>5093.40087934314</v>
      </c>
      <c r="Z59" s="109" t="n">
        <f aca="false">Z56+Z58</f>
        <v>6195.28593348643</v>
      </c>
      <c r="AA59" s="109" t="n">
        <f aca="false">AA56+AA58</f>
        <v>4876.66058762974</v>
      </c>
      <c r="AB59" s="109" t="n">
        <f aca="false">AB56+AB58</f>
        <v>5978.54564177302</v>
      </c>
      <c r="AC59" s="109" t="n">
        <f aca="false">AC56+AC58</f>
        <v>7080.43069591633</v>
      </c>
      <c r="AD59" s="109" t="n">
        <f aca="false">AD56+AD58</f>
        <v>8182.31575005962</v>
      </c>
      <c r="AE59" s="109" t="n">
        <f aca="false">AE56+AE58</f>
        <v>6903.5412042029</v>
      </c>
      <c r="AF59" s="109" t="n">
        <f aca="false">AF56+AF58</f>
        <v>8005.4262583462</v>
      </c>
      <c r="AG59" s="109" t="n">
        <f aca="false">AG56+AG58</f>
        <v>9107.31131248949</v>
      </c>
      <c r="AH59" s="109" t="n">
        <f aca="false">AH56+AH58</f>
        <v>10209.1963666328</v>
      </c>
      <c r="AI59" s="109" t="n">
        <f aca="false">AI56+AI58</f>
        <v>11311.0814207761</v>
      </c>
      <c r="AJ59" s="109" t="n">
        <f aca="false">AJ56+AJ58</f>
        <v>12412.9664749194</v>
      </c>
      <c r="AK59" s="109" t="n">
        <f aca="false">AK56+AK58</f>
        <v>13514.8515290627</v>
      </c>
      <c r="AL59" s="109" t="n">
        <f aca="false">AL56+AL58</f>
        <v>14616.736583206</v>
      </c>
      <c r="AM59" s="109" t="n">
        <f aca="false">AM56+AM58</f>
        <v>10761.3967493493</v>
      </c>
      <c r="AN59" s="109" t="n">
        <f aca="false">AN56+AN58</f>
        <v>11863.2818034926</v>
      </c>
      <c r="AO59" s="109" t="n">
        <f aca="false">AO56+AO58</f>
        <v>12965.1668576359</v>
      </c>
      <c r="AP59" s="109" t="n">
        <f aca="false">AP56+AP58</f>
        <v>14067.0519117792</v>
      </c>
      <c r="AQ59" s="109" t="n">
        <f aca="false">AQ56+AQ58</f>
        <v>15168.9369659224</v>
      </c>
      <c r="AR59" s="109" t="n">
        <f aca="false">AR56+AR58</f>
        <v>16270.8220200657</v>
      </c>
      <c r="AS59" s="109" t="n">
        <f aca="false">AS56+AS58</f>
        <v>16270.8220200657</v>
      </c>
      <c r="AT59" s="109" t="n">
        <f aca="false">AT56+AT58</f>
        <v>16270.8220200657</v>
      </c>
      <c r="AU59" s="109" t="n">
        <f aca="false">AU56+AU58</f>
        <v>16270.8220200657</v>
      </c>
      <c r="AV59" s="109" t="n">
        <f aca="false">AV56+AV58</f>
        <v>16270.8220200657</v>
      </c>
      <c r="AW59" s="109" t="n">
        <f aca="false">AW56+AW58</f>
        <v>16270.8220200657</v>
      </c>
      <c r="AX59" s="109" t="n">
        <f aca="false">AX56+AX58</f>
        <v>16270.8220200657</v>
      </c>
      <c r="AY59" s="109" t="n">
        <f aca="false">AY56+AY58</f>
        <v>13676.3597734257</v>
      </c>
      <c r="AZ59" s="109" t="n">
        <f aca="false">AZ56+AZ58</f>
        <v>13676.3597734257</v>
      </c>
      <c r="BA59" s="109" t="n">
        <f aca="false">BA56+BA58</f>
        <v>13676.3597734257</v>
      </c>
      <c r="BB59" s="109" t="n">
        <f aca="false">BB56+BB58</f>
        <v>13676.3597734257</v>
      </c>
      <c r="BC59" s="109" t="n">
        <f aca="false">BC56+BC58</f>
        <v>13676.3597734257</v>
      </c>
      <c r="BD59" s="109" t="n">
        <f aca="false">BD56+BD58</f>
        <v>13676.3597734257</v>
      </c>
      <c r="BE59" s="109" t="n">
        <f aca="false">BE56+BE58</f>
        <v>13676.3597734257</v>
      </c>
      <c r="BF59" s="109" t="n">
        <f aca="false">BF56+BF58</f>
        <v>13676.3597734257</v>
      </c>
      <c r="BG59" s="109" t="n">
        <f aca="false">BG56+BG58</f>
        <v>13676.3597734257</v>
      </c>
      <c r="BH59" s="109" t="n">
        <f aca="false">BH56+BH58</f>
        <v>13676.3597734257</v>
      </c>
      <c r="BI59" s="109" t="n">
        <f aca="false">BI56+BI58</f>
        <v>13676.3597734257</v>
      </c>
      <c r="BJ59" s="109" t="n">
        <f aca="false">BJ56+BJ58</f>
        <v>13676.3597734257</v>
      </c>
      <c r="BK59" s="109" t="n">
        <f aca="false">BK56+BK58</f>
        <v>11063.4636593865</v>
      </c>
      <c r="BL59" s="109" t="n">
        <f aca="false">BL56+BL58</f>
        <v>11063.4636593865</v>
      </c>
      <c r="BM59" s="109" t="n">
        <f aca="false">BM56+BM58</f>
        <v>11063.4636593865</v>
      </c>
      <c r="BN59" s="109" t="n">
        <f aca="false">BN56+BN58</f>
        <v>11063.4636593865</v>
      </c>
      <c r="BO59" s="109" t="n">
        <f aca="false">BO56+BO58</f>
        <v>11063.4636593865</v>
      </c>
      <c r="BP59" s="109" t="n">
        <f aca="false">BP56+BP58</f>
        <v>11063.4636593865</v>
      </c>
      <c r="BQ59" s="109" t="n">
        <f aca="false">BQ56+BQ58</f>
        <v>11063.4636593865</v>
      </c>
      <c r="BR59" s="109" t="n">
        <f aca="false">BR56+BR58</f>
        <v>11063.4636593865</v>
      </c>
      <c r="BS59" s="109" t="n">
        <f aca="false">BS56+BS58</f>
        <v>11063.4636593865</v>
      </c>
      <c r="BT59" s="109" t="n">
        <f aca="false">BT56+BT58</f>
        <v>11063.4636593865</v>
      </c>
      <c r="BU59" s="109" t="n">
        <f aca="false">BU56+BU58</f>
        <v>11063.4636593865</v>
      </c>
      <c r="BV59" s="109" t="n">
        <f aca="false">BV56+BV58</f>
        <v>11063.4636593865</v>
      </c>
      <c r="BW59" s="109" t="n">
        <f aca="false">BW56+BW58</f>
        <v>8431.58066192617</v>
      </c>
      <c r="BX59" s="109" t="n">
        <f aca="false">BX56+BX58</f>
        <v>8431.58066192617</v>
      </c>
      <c r="BY59" s="109" t="n">
        <f aca="false">BY56+BY58</f>
        <v>8431.58066192617</v>
      </c>
      <c r="BZ59" s="109" t="n">
        <f aca="false">BZ56+BZ58</f>
        <v>8431.58066192617</v>
      </c>
      <c r="CA59" s="109" t="n">
        <f aca="false">CA56+CA58</f>
        <v>8431.58066192617</v>
      </c>
      <c r="CB59" s="109" t="n">
        <f aca="false">CB56+CB58</f>
        <v>8431.58066192617</v>
      </c>
      <c r="CC59" s="109" t="n">
        <f aca="false">CC56+CC58</f>
        <v>8431.58066192617</v>
      </c>
      <c r="CD59" s="109" t="n">
        <f aca="false">CD56+CD58</f>
        <v>8431.58066192617</v>
      </c>
      <c r="CE59" s="109" t="n">
        <f aca="false">CE56+CE58</f>
        <v>8431.58066192617</v>
      </c>
      <c r="CF59" s="109" t="n">
        <f aca="false">CF56+CF58</f>
        <v>8431.58066192617</v>
      </c>
      <c r="CG59" s="109" t="n">
        <f aca="false">CG56+CG58</f>
        <v>8431.58066192617</v>
      </c>
      <c r="CH59" s="109" t="n">
        <f aca="false">CH56+CH58</f>
        <v>8431.58066192617</v>
      </c>
    </row>
    <row r="60" customFormat="false" ht="13.5" hidden="false" customHeight="true" outlineLevel="0" collapsed="false">
      <c r="A60" s="6" t="s">
        <v>564</v>
      </c>
      <c r="C60" s="109" t="n">
        <f aca="false">-(C91+C98+C103+C77+C68*Hipótesis!$D$73*Hipótesis!$D$74/12)</f>
        <v>-337.858420833333</v>
      </c>
      <c r="D60" s="109" t="n">
        <f aca="false">-(D91+D98+D103+D77+D68*Hipótesis!$D$73*Hipótesis!$D$74/12)</f>
        <v>-342.735858333333</v>
      </c>
      <c r="E60" s="109" t="n">
        <f aca="false">-(E91+E98+E103+E77+E68*Hipótesis!$D$73*Hipótesis!$D$74/12)</f>
        <v>-352.916897395833</v>
      </c>
      <c r="F60" s="109" t="n">
        <f aca="false">-(F91+F98+F103+F77+F68*Hipótesis!$D$73*Hipótesis!$D$74/12)</f>
        <v>-358.572848958333</v>
      </c>
      <c r="G60" s="109" t="n">
        <f aca="false">-(G91+G98+G103+G77+G68*Hipótesis!$D$73*Hipótesis!$D$74/12)</f>
        <v>-363.876450520833</v>
      </c>
      <c r="H60" s="109" t="n">
        <f aca="false">-(H91+H98+H103+H77+H68*Hipótesis!$D$73*Hipótesis!$D$74/12)</f>
        <v>-372.409927083333</v>
      </c>
      <c r="I60" s="109" t="n">
        <f aca="false">-(I91+I98+I103+I77+I68*Hipótesis!$D$73*Hipótesis!$D$74/12)</f>
        <v>-388.486480569701</v>
      </c>
      <c r="J60" s="109" t="n">
        <f aca="false">-(J91+J98+J103+J77+J68*Hipótesis!$D$73*Hipótesis!$D$74/12)</f>
        <v>-404.56303405607</v>
      </c>
      <c r="K60" s="109" t="n">
        <f aca="false">-(K91+K98+K103+K77+K68*Hipótesis!$D$73*Hipótesis!$D$74/12)</f>
        <v>-420.639587542438</v>
      </c>
      <c r="L60" s="109" t="n">
        <f aca="false">-(L91+L98+L103+L77+L68*Hipótesis!$D$73*Hipótesis!$D$74/12)</f>
        <v>-469.523218401319</v>
      </c>
      <c r="M60" s="109" t="n">
        <f aca="false">-(M91+M98+M103+M77+M68*Hipótesis!$D$73*Hipótesis!$D$74/12)</f>
        <v>-530.886521827991</v>
      </c>
      <c r="N60" s="109" t="n">
        <f aca="false">-(N91+N98+N103+N77+N68*Hipótesis!$D$73*Hipótesis!$D$74/12)</f>
        <v>-550.912349923435</v>
      </c>
      <c r="O60" s="109" t="n">
        <f aca="false">-(O91+O98+O103+O77+O68*Hipótesis!$D$73*Hipótesis!$D$74/12)</f>
        <v>-547.415235496202</v>
      </c>
      <c r="P60" s="109" t="n">
        <f aca="false">-(P91+P98+P103+P77+P68*Hipótesis!$D$73*Hipótesis!$D$74/12)</f>
        <v>-579.437112627403</v>
      </c>
      <c r="Q60" s="109" t="n">
        <f aca="false">-(Q91+Q98+Q103+Q77+Q68*Hipótesis!$D$73*Hipótesis!$D$74/12)</f>
        <v>-599.221081215464</v>
      </c>
      <c r="R60" s="109" t="n">
        <f aca="false">-(R91+R98+R103+R77+R68*Hipótesis!$D$73*Hipótesis!$D$74/12)</f>
        <v>-653.49919319359</v>
      </c>
      <c r="S60" s="109" t="n">
        <f aca="false">-(S91+S98+S103+S77+S68*Hipótesis!$D$73*Hipótesis!$D$74/12)</f>
        <v>-706.704714361951</v>
      </c>
      <c r="T60" s="109" t="n">
        <f aca="false">-(T91+T98+T103+T77+T68*Hipótesis!$D$73*Hipótesis!$D$74/12)</f>
        <v>-706.703896935589</v>
      </c>
      <c r="U60" s="109" t="n">
        <f aca="false">-(U91+U98+U103+U77+U68*Hipótesis!$D$73*Hipótesis!$D$74/12)</f>
        <v>-754.866069183269</v>
      </c>
      <c r="V60" s="109" t="n">
        <f aca="false">-(V91+V98+V103+V77+V68*Hipótesis!$D$73*Hipótesis!$D$74/12)</f>
        <v>-741.763948585593</v>
      </c>
      <c r="W60" s="109" t="n">
        <f aca="false">-(W91+W98+W103+W77+W68*Hipótesis!$D$73*Hipótesis!$D$74/12)</f>
        <v>-786.520409668354</v>
      </c>
      <c r="X60" s="109" t="n">
        <f aca="false">-(X91+X98+X103+X77+X68*Hipótesis!$D$73*Hipótesis!$D$74/12)</f>
        <v>-762.453830832498</v>
      </c>
      <c r="Y60" s="109" t="n">
        <f aca="false">-(Y91+Y98+Y103+Y77+Y68*Hipótesis!$D$73*Hipótesis!$D$74/12)</f>
        <v>-787.689486531244</v>
      </c>
      <c r="Z60" s="109" t="n">
        <f aca="false">-(Z91+Z98+Z103+Z77+Z68*Hipótesis!$D$73*Hipótesis!$D$74/12)</f>
        <v>-802.392911251345</v>
      </c>
      <c r="AA60" s="109" t="n">
        <f aca="false">-(AA91+AA98+AA103+AA77+AA68*Hipótesis!$D$73*Hipótesis!$D$74/12)</f>
        <v>-764.267808257276</v>
      </c>
      <c r="AB60" s="109" t="n">
        <f aca="false">-(AB91+AB98+AB103+AB77+AB68*Hipótesis!$D$73*Hipótesis!$D$74/12)</f>
        <v>-781.743944960795</v>
      </c>
      <c r="AC60" s="109" t="n">
        <f aca="false">-(AC91+AC98+AC103+AC77+AC68*Hipótesis!$D$73*Hipótesis!$D$74/12)</f>
        <v>-795.114488091559</v>
      </c>
      <c r="AD60" s="109" t="n">
        <f aca="false">-(AD91+AD98+AD103+AD77+AD68*Hipótesis!$D$73*Hipótesis!$D$74/12)</f>
        <v>-810.402310897719</v>
      </c>
      <c r="AE60" s="109" t="n">
        <f aca="false">-(AE91+AE98+AE103+AE77+AE68*Hipótesis!$D$73*Hipótesis!$D$74/12)</f>
        <v>-786.814341348897</v>
      </c>
      <c r="AF60" s="109" t="n">
        <f aca="false">-(AF91+AF98+AF103+AF77+AF68*Hipótesis!$D$73*Hipótesis!$D$74/12)</f>
        <v>-810.839563800076</v>
      </c>
      <c r="AG60" s="109" t="n">
        <f aca="false">-(AG91+AG98+AG103+AG77+AG68*Hipótesis!$D$73*Hipótesis!$D$74/12)</f>
        <v>-834.864786251254</v>
      </c>
      <c r="AH60" s="109" t="n">
        <f aca="false">-(AH91+AH98+AH103+AH77+AH68*Hipótesis!$D$73*Hipótesis!$D$74/12)</f>
        <v>-858.890008702433</v>
      </c>
      <c r="AI60" s="109" t="n">
        <f aca="false">-(AI91+AI98+AI103+AI77+AI68*Hipótesis!$D$73*Hipótesis!$D$74/12)</f>
        <v>-882.915231153611</v>
      </c>
      <c r="AJ60" s="109" t="n">
        <f aca="false">-(AJ91+AJ98+AJ103+AJ77+AJ68*Hipótesis!$D$73*Hipótesis!$D$74/12)</f>
        <v>-906.94045360479</v>
      </c>
      <c r="AK60" s="109" t="n">
        <f aca="false">-(AK91+AK98+AK103+AK77+AK68*Hipótesis!$D$73*Hipótesis!$D$74/12)</f>
        <v>-930.965676055969</v>
      </c>
      <c r="AL60" s="109" t="n">
        <f aca="false">-(AL91+AL98+AL103+AL77+AL68*Hipótesis!$D$73*Hipótesis!$D$74/12)</f>
        <v>-954.990898507147</v>
      </c>
      <c r="AM60" s="109" t="n">
        <f aca="false">-(AM91+AM98+AM103+AM77+AM68*Hipótesis!$D$73*Hipótesis!$D$74/12)</f>
        <v>-879.871623198325</v>
      </c>
      <c r="AN60" s="109" t="n">
        <f aca="false">-(AN91+AN98+AN103+AN77+AN68*Hipótesis!$D$73*Hipótesis!$D$74/12)</f>
        <v>-903.896845649504</v>
      </c>
      <c r="AO60" s="109" t="n">
        <f aca="false">-(AO91+AO98+AO103+AO77+AO68*Hipótesis!$D$73*Hipótesis!$D$74/12)</f>
        <v>-927.922068100683</v>
      </c>
      <c r="AP60" s="109" t="n">
        <f aca="false">-(AP91+AP98+AP103+AP77+AP68*Hipótesis!$D$73*Hipótesis!$D$74/12)</f>
        <v>-951.947290551861</v>
      </c>
      <c r="AQ60" s="109" t="n">
        <f aca="false">-(AQ91+AQ98+AQ103+AQ77+AQ68*Hipótesis!$D$73*Hipótesis!$D$74/12)</f>
        <v>-975.972513003039</v>
      </c>
      <c r="AR60" s="109" t="n">
        <f aca="false">-(AR91+AR98+AR103+AR77+AR68*Hipótesis!$D$73*Hipótesis!$D$74/12)</f>
        <v>-999.997735454218</v>
      </c>
      <c r="AS60" s="109" t="n">
        <f aca="false">-(AS91+AS98+AS103+AS77+AS68*Hipótesis!$D$73*Hipótesis!$D$74/12)</f>
        <v>-994.442179898662</v>
      </c>
      <c r="AT60" s="109" t="n">
        <f aca="false">-(AT91+AT98+AT103+AT77+AT68*Hipótesis!$D$73*Hipótesis!$D$74/12)</f>
        <v>-988.886624343106</v>
      </c>
      <c r="AU60" s="109" t="n">
        <f aca="false">-(AU91+AU98+AU103+AU77+AU68*Hipótesis!$D$73*Hipótesis!$D$74/12)</f>
        <v>-983.331068787551</v>
      </c>
      <c r="AV60" s="109" t="n">
        <f aca="false">-(AV91+AV98+AV103+AV77+AV68*Hipótesis!$D$73*Hipótesis!$D$74/12)</f>
        <v>-977.775513231995</v>
      </c>
      <c r="AW60" s="109" t="n">
        <f aca="false">-(AW91+AW98+AW103+AW77+AW68*Hipótesis!$D$73*Hipótesis!$D$74/12)</f>
        <v>-972.21995767644</v>
      </c>
      <c r="AX60" s="109" t="n">
        <f aca="false">-(AX91+AX98+AX103+AX77+AX68*Hipótesis!$D$73*Hipótesis!$D$74/12)</f>
        <v>-966.664402120884</v>
      </c>
      <c r="AY60" s="109" t="n">
        <f aca="false">-(AY91+AY98+AY103+AY77+AY68*Hipótesis!$D$73*Hipótesis!$D$74/12)</f>
        <v>-909.219601632529</v>
      </c>
      <c r="AZ60" s="109" t="n">
        <f aca="false">-(AZ91+AZ98+AZ103+AZ77+AZ68*Hipótesis!$D$73*Hipótesis!$D$74/12)</f>
        <v>-903.664046076973</v>
      </c>
      <c r="BA60" s="109" t="n">
        <f aca="false">-(BA91+BA98+BA103+BA77+BA68*Hipótesis!$D$73*Hipótesis!$D$74/12)</f>
        <v>-898.108490521418</v>
      </c>
      <c r="BB60" s="109" t="n">
        <f aca="false">-(BB91+BB98+BB103+BB77+BB68*Hipótesis!$D$73*Hipótesis!$D$74/12)</f>
        <v>-892.552934965862</v>
      </c>
      <c r="BC60" s="109" t="n">
        <f aca="false">-(BC91+BC98+BC103+BC77+BC68*Hipótesis!$D$73*Hipótesis!$D$74/12)</f>
        <v>-886.997379410306</v>
      </c>
      <c r="BD60" s="109" t="n">
        <f aca="false">-(BD91+BD98+BD103+BD77+BD68*Hipótesis!$D$73*Hipótesis!$D$74/12)</f>
        <v>-881.441823854751</v>
      </c>
      <c r="BE60" s="109" t="n">
        <f aca="false">-(BE91+BE98+BE103+BE77+BE68*Hipótesis!$D$73*Hipótesis!$D$74/12)</f>
        <v>-875.886268299195</v>
      </c>
      <c r="BF60" s="109" t="n">
        <f aca="false">-(BF91+BF98+BF103+BF77+BF68*Hipótesis!$D$73*Hipótesis!$D$74/12)</f>
        <v>-870.33071274364</v>
      </c>
      <c r="BG60" s="109" t="n">
        <f aca="false">-(BG91+BG98+BG103+BG77+BG68*Hipótesis!$D$73*Hipótesis!$D$74/12)</f>
        <v>-864.775157188084</v>
      </c>
      <c r="BH60" s="109" t="n">
        <f aca="false">-(BH91+BH98+BH103+BH77+BH68*Hipótesis!$D$73*Hipótesis!$D$74/12)</f>
        <v>-859.219601632529</v>
      </c>
      <c r="BI60" s="109" t="n">
        <f aca="false">-(BI91+BI98+BI103+BI77+BI68*Hipótesis!$D$73*Hipótesis!$D$74/12)</f>
        <v>-853.664046076973</v>
      </c>
      <c r="BJ60" s="109" t="n">
        <f aca="false">-(BJ91+BJ98+BJ103+BJ77+BJ68*Hipótesis!$D$73*Hipótesis!$D$74/12)</f>
        <v>-848.108490521418</v>
      </c>
      <c r="BK60" s="109" t="n">
        <f aca="false">-(BK91+BK98+BK103+BK77+BK68*Hipótesis!$D$73*Hipótesis!$D$74/12)</f>
        <v>-790.295012685078</v>
      </c>
      <c r="BL60" s="109" t="n">
        <f aca="false">-(BL91+BL98+BL103+BL77+BL68*Hipótesis!$D$73*Hipótesis!$D$74/12)</f>
        <v>-784.739457129522</v>
      </c>
      <c r="BM60" s="109" t="n">
        <f aca="false">-(BM91+BM98+BM103+BM77+BM68*Hipótesis!$D$73*Hipótesis!$D$74/12)</f>
        <v>-779.183901573967</v>
      </c>
      <c r="BN60" s="109" t="n">
        <f aca="false">-(BN91+BN98+BN103+BN77+BN68*Hipótesis!$D$73*Hipótesis!$D$74/12)</f>
        <v>-773.628346018411</v>
      </c>
      <c r="BO60" s="109" t="n">
        <f aca="false">-(BO91+BO98+BO103+BO77+BO68*Hipótesis!$D$73*Hipótesis!$D$74/12)</f>
        <v>-768.072790462856</v>
      </c>
      <c r="BP60" s="109" t="n">
        <f aca="false">-(BP91+BP98+BP103+BP77+BP68*Hipótesis!$D$73*Hipótesis!$D$74/12)</f>
        <v>-762.5172349073</v>
      </c>
      <c r="BQ60" s="109" t="n">
        <f aca="false">-(BQ91+BQ98+BQ103+BQ77+BQ68*Hipótesis!$D$73*Hipótesis!$D$74/12)</f>
        <v>-756.961679351745</v>
      </c>
      <c r="BR60" s="109" t="n">
        <f aca="false">-(BR91+BR98+BR103+BR77+BR68*Hipótesis!$D$73*Hipótesis!$D$74/12)</f>
        <v>-751.406123796189</v>
      </c>
      <c r="BS60" s="109" t="n">
        <f aca="false">-(BS91+BS98+BS103+BS77+BS68*Hipótesis!$D$73*Hipótesis!$D$74/12)</f>
        <v>-745.850568240634</v>
      </c>
      <c r="BT60" s="109" t="n">
        <f aca="false">-(BT91+BT98+BT103+BT77+BT68*Hipótesis!$D$73*Hipótesis!$D$74/12)</f>
        <v>-740.295012685078</v>
      </c>
      <c r="BU60" s="109" t="n">
        <f aca="false">-(BU91+BU98+BU103+BU77+BU68*Hipótesis!$D$73*Hipótesis!$D$74/12)</f>
        <v>-734.739457129522</v>
      </c>
      <c r="BV60" s="109" t="n">
        <f aca="false">-(BV91+BV98+BV103+BV77+BV68*Hipótesis!$D$73*Hipótesis!$D$74/12)</f>
        <v>-729.183901573967</v>
      </c>
      <c r="BW60" s="109" t="n">
        <f aca="false">-(BW91+BW98+BW103+BW77+BW68*Hipótesis!$D$73*Hipótesis!$D$74/12)</f>
        <v>-670.990686069204</v>
      </c>
      <c r="BX60" s="109" t="n">
        <f aca="false">-(BX91+BX98+BX103+BX77+BX68*Hipótesis!$D$73*Hipótesis!$D$74/12)</f>
        <v>-665.435130513648</v>
      </c>
      <c r="BY60" s="109" t="n">
        <f aca="false">-(BY91+BY98+BY103+BY77+BY68*Hipótesis!$D$73*Hipótesis!$D$74/12)</f>
        <v>-659.879574958093</v>
      </c>
      <c r="BZ60" s="109" t="n">
        <f aca="false">-(BZ91+BZ98+BZ103+BZ77+BZ68*Hipótesis!$D$73*Hipótesis!$D$74/12)</f>
        <v>-654.324019402537</v>
      </c>
      <c r="CA60" s="109" t="n">
        <f aca="false">-(CA91+CA98+CA103+CA77+CA68*Hipótesis!$D$73*Hipótesis!$D$74/12)</f>
        <v>-648.768463846982</v>
      </c>
      <c r="CB60" s="109" t="n">
        <f aca="false">-(CB91+CB98+CB103+CB77+CB68*Hipótesis!$D$73*Hipótesis!$D$74/12)</f>
        <v>-643.212908291426</v>
      </c>
      <c r="CC60" s="109" t="n">
        <f aca="false">-(CC91+CC98+CC103+CC77+CC68*Hipótesis!$D$73*Hipótesis!$D$74/12)</f>
        <v>-637.65735273587</v>
      </c>
      <c r="CD60" s="109" t="n">
        <f aca="false">-(CD91+CD98+CD103+CD77+CD68*Hipótesis!$D$73*Hipótesis!$D$74/12)</f>
        <v>-632.101797180315</v>
      </c>
      <c r="CE60" s="109" t="n">
        <f aca="false">-(CE91+CE98+CE103+CE77+CE68*Hipótesis!$D$73*Hipótesis!$D$74/12)</f>
        <v>-626.546241624759</v>
      </c>
      <c r="CF60" s="109" t="n">
        <f aca="false">-(CF91+CF98+CF103+CF77+CF68*Hipótesis!$D$73*Hipótesis!$D$74/12)</f>
        <v>-620.990686069204</v>
      </c>
      <c r="CG60" s="109" t="n">
        <f aca="false">-(CG91+CG98+CG103+CG77+CG68*Hipótesis!$D$73*Hipótesis!$D$74/12)</f>
        <v>-615.435130513648</v>
      </c>
      <c r="CH60" s="109" t="n">
        <f aca="false">-(CH91+CH98+CH103+CH77+CH68*Hipótesis!$D$73*Hipótesis!$D$74/12)</f>
        <v>-609.879574958093</v>
      </c>
    </row>
    <row r="61" customFormat="false" ht="13.5" hidden="false" customHeight="true" outlineLevel="0" collapsed="false">
      <c r="A61" s="22" t="s">
        <v>565</v>
      </c>
      <c r="C61" s="109" t="n">
        <f aca="false">C59+C60</f>
        <v>-16016.2422359405</v>
      </c>
      <c r="D61" s="109" t="n">
        <f aca="false">D59+D60</f>
        <v>-15208.2517813391</v>
      </c>
      <c r="E61" s="109" t="n">
        <f aca="false">E59+E60</f>
        <v>-13599.3342423736</v>
      </c>
      <c r="F61" s="109" t="n">
        <f aca="false">F59+F60</f>
        <v>-12747.245896039</v>
      </c>
      <c r="G61" s="109" t="n">
        <f aca="false">G59+G60</f>
        <v>-11946.318811675</v>
      </c>
      <c r="H61" s="109" t="n">
        <f aca="false">H59+H60</f>
        <v>-10719.8552151484</v>
      </c>
      <c r="I61" s="109" t="n">
        <f aca="false">I59+I60</f>
        <v>-8399.04964140237</v>
      </c>
      <c r="J61" s="109" t="n">
        <f aca="false">J59+J60</f>
        <v>-6078.24406765636</v>
      </c>
      <c r="K61" s="109" t="n">
        <f aca="false">K59+K60</f>
        <v>-3757.43849391036</v>
      </c>
      <c r="L61" s="109" t="n">
        <f aca="false">L59+L60</f>
        <v>-1469.43999753687</v>
      </c>
      <c r="M61" s="109" t="n">
        <f aca="false">M59+M60</f>
        <v>-0.151859657694217</v>
      </c>
      <c r="N61" s="109" t="n">
        <f aca="false">N59+N60</f>
        <v>-168.591046938143</v>
      </c>
      <c r="O61" s="109" t="n">
        <f aca="false">O59+O60</f>
        <v>-3364.02729169591</v>
      </c>
      <c r="P61" s="109" t="n">
        <f aca="false">P59+P60</f>
        <v>-1526.744835371</v>
      </c>
      <c r="Q61" s="109" t="n">
        <f aca="false">Q59+Q60</f>
        <v>-1988.54447050294</v>
      </c>
      <c r="R61" s="109" t="n">
        <f aca="false">R59+R60</f>
        <v>-173.518249024953</v>
      </c>
      <c r="S61" s="109" t="n">
        <f aca="false">S59+S60</f>
        <v>1642.58056326281</v>
      </c>
      <c r="T61" s="109" t="n">
        <f aca="false">T59+T60</f>
        <v>1200.56571414528</v>
      </c>
      <c r="U61" s="109" t="n">
        <f aca="false">U59+U60</f>
        <v>3021.70787535372</v>
      </c>
      <c r="V61" s="109" t="n">
        <f aca="false">V59+V60</f>
        <v>2184.9143294075</v>
      </c>
      <c r="W61" s="109" t="n">
        <f aca="false">W59+W60</f>
        <v>4009.46220178086</v>
      </c>
      <c r="X61" s="109" t="n">
        <f aca="false">X59+X60</f>
        <v>3026.57791456368</v>
      </c>
      <c r="Y61" s="109" t="n">
        <f aca="false">Y59+Y60</f>
        <v>4305.71139281189</v>
      </c>
      <c r="Z61" s="109" t="n">
        <f aca="false">Z59+Z60</f>
        <v>5392.89302223509</v>
      </c>
      <c r="AA61" s="109" t="n">
        <f aca="false">AA59+AA60</f>
        <v>4112.39277937246</v>
      </c>
      <c r="AB61" s="109" t="n">
        <f aca="false">AB59+AB60</f>
        <v>5196.80169681223</v>
      </c>
      <c r="AC61" s="109" t="n">
        <f aca="false">AC59+AC60</f>
        <v>6285.31620782477</v>
      </c>
      <c r="AD61" s="109" t="n">
        <f aca="false">AD59+AD60</f>
        <v>7371.9134391619</v>
      </c>
      <c r="AE61" s="109" t="n">
        <f aca="false">AE59+AE60</f>
        <v>6116.726862854</v>
      </c>
      <c r="AF61" s="109" t="n">
        <f aca="false">AF59+AF60</f>
        <v>7194.58669454613</v>
      </c>
      <c r="AG61" s="109" t="n">
        <f aca="false">AG59+AG60</f>
        <v>8272.44652623824</v>
      </c>
      <c r="AH61" s="109" t="n">
        <f aca="false">AH59+AH60</f>
        <v>9350.30635793036</v>
      </c>
      <c r="AI61" s="109" t="n">
        <f aca="false">AI59+AI60</f>
        <v>10428.1661896225</v>
      </c>
      <c r="AJ61" s="109" t="n">
        <f aca="false">AJ59+AJ60</f>
        <v>11506.0260213146</v>
      </c>
      <c r="AK61" s="109" t="n">
        <f aca="false">AK59+AK60</f>
        <v>12583.8858530067</v>
      </c>
      <c r="AL61" s="109" t="n">
        <f aca="false">AL59+AL60</f>
        <v>13661.7456846988</v>
      </c>
      <c r="AM61" s="109" t="n">
        <f aca="false">AM59+AM60</f>
        <v>9881.52512615095</v>
      </c>
      <c r="AN61" s="109" t="n">
        <f aca="false">AN59+AN60</f>
        <v>10959.3849578431</v>
      </c>
      <c r="AO61" s="109" t="n">
        <f aca="false">AO59+AO60</f>
        <v>12037.2447895352</v>
      </c>
      <c r="AP61" s="109" t="n">
        <f aca="false">AP59+AP60</f>
        <v>13115.1046212273</v>
      </c>
      <c r="AQ61" s="109" t="n">
        <f aca="false">AQ59+AQ60</f>
        <v>14192.9644529194</v>
      </c>
      <c r="AR61" s="109" t="n">
        <f aca="false">AR59+AR60</f>
        <v>15270.8242846115</v>
      </c>
      <c r="AS61" s="109" t="n">
        <f aca="false">AS59+AS60</f>
        <v>15276.3798401671</v>
      </c>
      <c r="AT61" s="109" t="n">
        <f aca="false">AT59+AT60</f>
        <v>15281.9353957226</v>
      </c>
      <c r="AU61" s="109" t="n">
        <f aca="false">AU59+AU60</f>
        <v>15287.4909512782</v>
      </c>
      <c r="AV61" s="109" t="n">
        <f aca="false">AV59+AV60</f>
        <v>15293.0465068338</v>
      </c>
      <c r="AW61" s="109" t="n">
        <f aca="false">AW59+AW60</f>
        <v>15298.6020623893</v>
      </c>
      <c r="AX61" s="109" t="n">
        <f aca="false">AX59+AX60</f>
        <v>15304.1576179449</v>
      </c>
      <c r="AY61" s="109" t="n">
        <f aca="false">AY59+AY60</f>
        <v>12767.1401717932</v>
      </c>
      <c r="AZ61" s="109" t="n">
        <f aca="false">AZ59+AZ60</f>
        <v>12772.6957273488</v>
      </c>
      <c r="BA61" s="109" t="n">
        <f aca="false">BA59+BA60</f>
        <v>12778.2512829043</v>
      </c>
      <c r="BB61" s="109" t="n">
        <f aca="false">BB59+BB60</f>
        <v>12783.8068384599</v>
      </c>
      <c r="BC61" s="109" t="n">
        <f aca="false">BC59+BC60</f>
        <v>12789.3623940154</v>
      </c>
      <c r="BD61" s="109" t="n">
        <f aca="false">BD59+BD60</f>
        <v>12794.917949571</v>
      </c>
      <c r="BE61" s="109" t="n">
        <f aca="false">BE59+BE60</f>
        <v>12800.4735051266</v>
      </c>
      <c r="BF61" s="109" t="n">
        <f aca="false">BF59+BF60</f>
        <v>12806.0290606821</v>
      </c>
      <c r="BG61" s="109" t="n">
        <f aca="false">BG59+BG60</f>
        <v>12811.5846162377</v>
      </c>
      <c r="BH61" s="109" t="n">
        <f aca="false">BH59+BH60</f>
        <v>12817.1401717932</v>
      </c>
      <c r="BI61" s="109" t="n">
        <f aca="false">BI59+BI60</f>
        <v>12822.6957273488</v>
      </c>
      <c r="BJ61" s="109" t="n">
        <f aca="false">BJ59+BJ60</f>
        <v>12828.2512829043</v>
      </c>
      <c r="BK61" s="109" t="n">
        <f aca="false">BK59+BK60</f>
        <v>10273.1686467015</v>
      </c>
      <c r="BL61" s="109" t="n">
        <f aca="false">BL59+BL60</f>
        <v>10278.724202257</v>
      </c>
      <c r="BM61" s="109" t="n">
        <f aca="false">BM59+BM60</f>
        <v>10284.2797578126</v>
      </c>
      <c r="BN61" s="109" t="n">
        <f aca="false">BN59+BN60</f>
        <v>10289.8353133681</v>
      </c>
      <c r="BO61" s="109" t="n">
        <f aca="false">BO59+BO60</f>
        <v>10295.3908689237</v>
      </c>
      <c r="BP61" s="109" t="n">
        <f aca="false">BP59+BP60</f>
        <v>10300.9464244792</v>
      </c>
      <c r="BQ61" s="109" t="n">
        <f aca="false">BQ59+BQ60</f>
        <v>10306.5019800348</v>
      </c>
      <c r="BR61" s="109" t="n">
        <f aca="false">BR59+BR60</f>
        <v>10312.0575355904</v>
      </c>
      <c r="BS61" s="109" t="n">
        <f aca="false">BS59+BS60</f>
        <v>10317.6130911459</v>
      </c>
      <c r="BT61" s="109" t="n">
        <f aca="false">BT59+BT60</f>
        <v>10323.1686467015</v>
      </c>
      <c r="BU61" s="109" t="n">
        <f aca="false">BU59+BU60</f>
        <v>10328.724202257</v>
      </c>
      <c r="BV61" s="109" t="n">
        <f aca="false">BV59+BV60</f>
        <v>10334.2797578126</v>
      </c>
      <c r="BW61" s="109" t="n">
        <f aca="false">BW59+BW60</f>
        <v>7760.58997585696</v>
      </c>
      <c r="BX61" s="109" t="n">
        <f aca="false">BX59+BX60</f>
        <v>7766.14553141252</v>
      </c>
      <c r="BY61" s="109" t="n">
        <f aca="false">BY59+BY60</f>
        <v>7771.70108696808</v>
      </c>
      <c r="BZ61" s="109" t="n">
        <f aca="false">BZ59+BZ60</f>
        <v>7777.25664252363</v>
      </c>
      <c r="CA61" s="109" t="n">
        <f aca="false">CA59+CA60</f>
        <v>7782.81219807919</v>
      </c>
      <c r="CB61" s="109" t="n">
        <f aca="false">CB59+CB60</f>
        <v>7788.36775363474</v>
      </c>
      <c r="CC61" s="109" t="n">
        <f aca="false">CC59+CC60</f>
        <v>7793.9233091903</v>
      </c>
      <c r="CD61" s="109" t="n">
        <f aca="false">CD59+CD60</f>
        <v>7799.47886474585</v>
      </c>
      <c r="CE61" s="109" t="n">
        <f aca="false">CE59+CE60</f>
        <v>7805.03442030141</v>
      </c>
      <c r="CF61" s="109" t="n">
        <f aca="false">CF59+CF60</f>
        <v>7810.58997585696</v>
      </c>
      <c r="CG61" s="109" t="n">
        <f aca="false">CG59+CG60</f>
        <v>7816.14553141252</v>
      </c>
      <c r="CH61" s="109" t="n">
        <f aca="false">CH59+CH60</f>
        <v>7821.70108696807</v>
      </c>
    </row>
    <row r="62" customFormat="false" ht="13.5" hidden="false" customHeight="true" outlineLevel="0" collapsed="false">
      <c r="A62" s="6" t="s">
        <v>566</v>
      </c>
      <c r="C62" s="109" t="n">
        <f aca="false">-IF(1&lt;Hipótesis!$D$89,Hipótesis!$C$87,Hipótesis!$C$88)*MAX(0,C61)</f>
        <v>-0</v>
      </c>
      <c r="D62" s="109" t="n">
        <f aca="false">-IF(1&lt;Hipótesis!$D$89,Hipótesis!$C$87,Hipótesis!$C$88)*MAX(0,D61)</f>
        <v>-0</v>
      </c>
      <c r="E62" s="109" t="n">
        <f aca="false">-IF(1&lt;Hipótesis!$D$89,Hipótesis!$C$87,Hipótesis!$C$88)*MAX(0,E61)</f>
        <v>-0</v>
      </c>
      <c r="F62" s="109" t="n">
        <f aca="false">-IF(1&lt;Hipótesis!$D$89,Hipótesis!$C$87,Hipótesis!$C$88)*MAX(0,F61)</f>
        <v>-0</v>
      </c>
      <c r="G62" s="109" t="n">
        <f aca="false">-IF(1&lt;Hipótesis!$D$89,Hipótesis!$C$87,Hipótesis!$C$88)*MAX(0,G61)</f>
        <v>-0</v>
      </c>
      <c r="H62" s="109" t="n">
        <f aca="false">-IF(1&lt;Hipótesis!$D$89,Hipótesis!$C$87,Hipótesis!$C$88)*MAX(0,H61)</f>
        <v>-0</v>
      </c>
      <c r="I62" s="109" t="n">
        <f aca="false">-IF(1&lt;Hipótesis!$D$89,Hipótesis!$C$87,Hipótesis!$C$88)*MAX(0,I61)</f>
        <v>-0</v>
      </c>
      <c r="J62" s="109" t="n">
        <f aca="false">-IF(1&lt;Hipótesis!$D$89,Hipótesis!$C$87,Hipótesis!$C$88)*MAX(0,J61)</f>
        <v>-0</v>
      </c>
      <c r="K62" s="109" t="n">
        <f aca="false">-IF(1&lt;Hipótesis!$D$89,Hipótesis!$C$87,Hipótesis!$C$88)*MAX(0,K61)</f>
        <v>-0</v>
      </c>
      <c r="L62" s="109" t="n">
        <f aca="false">-IF(1&lt;Hipótesis!$D$89,Hipótesis!$C$87,Hipótesis!$C$88)*MAX(0,L61)</f>
        <v>-0</v>
      </c>
      <c r="M62" s="109" t="n">
        <f aca="false">-IF(1&lt;Hipótesis!$D$89,Hipótesis!$C$87,Hipótesis!$C$88)*MAX(0,M61)</f>
        <v>-0</v>
      </c>
      <c r="N62" s="109" t="n">
        <f aca="false">-IF(1&lt;Hipótesis!$D$89,Hipótesis!$C$87,Hipótesis!$C$88)*MAX(0,N61)</f>
        <v>-0</v>
      </c>
      <c r="O62" s="109" t="n">
        <f aca="false">-IF(2&lt;Hipótesis!$D$89,Hipótesis!$C$87,Hipótesis!$C$88)*MAX(0,O61)</f>
        <v>-0</v>
      </c>
      <c r="P62" s="109" t="n">
        <f aca="false">-IF(2&lt;Hipótesis!$D$89,Hipótesis!$C$87,Hipótesis!$C$88)*MAX(0,P61)</f>
        <v>-0</v>
      </c>
      <c r="Q62" s="109" t="n">
        <f aca="false">-IF(2&lt;Hipótesis!$D$89,Hipótesis!$C$87,Hipótesis!$C$88)*MAX(0,Q61)</f>
        <v>-0</v>
      </c>
      <c r="R62" s="109" t="n">
        <f aca="false">-IF(2&lt;Hipótesis!$D$89,Hipótesis!$C$87,Hipótesis!$C$88)*MAX(0,R61)</f>
        <v>-0</v>
      </c>
      <c r="S62" s="109" t="n">
        <f aca="false">-IF(2&lt;Hipótesis!$D$89,Hipótesis!$C$87,Hipótesis!$C$88)*MAX(0,S61)</f>
        <v>-246.387084489421</v>
      </c>
      <c r="T62" s="109" t="n">
        <f aca="false">-IF(2&lt;Hipótesis!$D$89,Hipótesis!$C$87,Hipótesis!$C$88)*MAX(0,T61)</f>
        <v>-180.084857121791</v>
      </c>
      <c r="U62" s="109" t="n">
        <f aca="false">-IF(2&lt;Hipótesis!$D$89,Hipótesis!$C$87,Hipótesis!$C$88)*MAX(0,U61)</f>
        <v>-453.256181303057</v>
      </c>
      <c r="V62" s="109" t="n">
        <f aca="false">-IF(2&lt;Hipótesis!$D$89,Hipótesis!$C$87,Hipótesis!$C$88)*MAX(0,V61)</f>
        <v>-327.737149411126</v>
      </c>
      <c r="W62" s="109" t="n">
        <f aca="false">-IF(2&lt;Hipótesis!$D$89,Hipótesis!$C$87,Hipótesis!$C$88)*MAX(0,W61)</f>
        <v>-601.41933026713</v>
      </c>
      <c r="X62" s="109" t="n">
        <f aca="false">-IF(2&lt;Hipótesis!$D$89,Hipótesis!$C$87,Hipótesis!$C$88)*MAX(0,X61)</f>
        <v>-453.986687184551</v>
      </c>
      <c r="Y62" s="109" t="n">
        <f aca="false">-IF(2&lt;Hipótesis!$D$89,Hipótesis!$C$87,Hipótesis!$C$88)*MAX(0,Y61)</f>
        <v>-645.856708921784</v>
      </c>
      <c r="Z62" s="109" t="n">
        <f aca="false">-IF(2&lt;Hipótesis!$D$89,Hipótesis!$C$87,Hipótesis!$C$88)*MAX(0,Z61)</f>
        <v>-808.933953335263</v>
      </c>
      <c r="AA62" s="109" t="n">
        <f aca="false">-IF(3&lt;Hipótesis!$D$89,Hipótesis!$C$87,Hipótesis!$C$88)*MAX(0,AA61)</f>
        <v>-616.858916905869</v>
      </c>
      <c r="AB62" s="109" t="n">
        <f aca="false">-IF(3&lt;Hipótesis!$D$89,Hipótesis!$C$87,Hipótesis!$C$88)*MAX(0,AB61)</f>
        <v>-779.520254521834</v>
      </c>
      <c r="AC62" s="109" t="n">
        <f aca="false">-IF(3&lt;Hipótesis!$D$89,Hipótesis!$C$87,Hipótesis!$C$88)*MAX(0,AC61)</f>
        <v>-942.797431173716</v>
      </c>
      <c r="AD62" s="109" t="n">
        <f aca="false">-IF(3&lt;Hipótesis!$D$89,Hipótesis!$C$87,Hipótesis!$C$88)*MAX(0,AD61)</f>
        <v>-1105.78701587429</v>
      </c>
      <c r="AE62" s="109" t="n">
        <f aca="false">-IF(3&lt;Hipótesis!$D$89,Hipótesis!$C$87,Hipótesis!$C$88)*MAX(0,AE61)</f>
        <v>-917.509029428101</v>
      </c>
      <c r="AF62" s="109" t="n">
        <f aca="false">-IF(3&lt;Hipótesis!$D$89,Hipótesis!$C$87,Hipótesis!$C$88)*MAX(0,AF61)</f>
        <v>-1079.18800418192</v>
      </c>
      <c r="AG62" s="109" t="n">
        <f aca="false">-IF(3&lt;Hipótesis!$D$89,Hipótesis!$C$87,Hipótesis!$C$88)*MAX(0,AG61)</f>
        <v>-1240.86697893574</v>
      </c>
      <c r="AH62" s="109" t="n">
        <f aca="false">-IF(3&lt;Hipótesis!$D$89,Hipótesis!$C$87,Hipótesis!$C$88)*MAX(0,AH61)</f>
        <v>-1402.54595368955</v>
      </c>
      <c r="AI62" s="109" t="n">
        <f aca="false">-IF(3&lt;Hipótesis!$D$89,Hipótesis!$C$87,Hipótesis!$C$88)*MAX(0,AI61)</f>
        <v>-1564.22492844337</v>
      </c>
      <c r="AJ62" s="109" t="n">
        <f aca="false">-IF(3&lt;Hipótesis!$D$89,Hipótesis!$C$87,Hipótesis!$C$88)*MAX(0,AJ61)</f>
        <v>-1725.90390319719</v>
      </c>
      <c r="AK62" s="109" t="n">
        <f aca="false">-IF(3&lt;Hipótesis!$D$89,Hipótesis!$C$87,Hipótesis!$C$88)*MAX(0,AK61)</f>
        <v>-1887.58287795101</v>
      </c>
      <c r="AL62" s="109" t="n">
        <f aca="false">-IF(3&lt;Hipótesis!$D$89,Hipótesis!$C$87,Hipótesis!$C$88)*MAX(0,AL61)</f>
        <v>-2049.26185270483</v>
      </c>
      <c r="AM62" s="109" t="n">
        <f aca="false">-IF(4&lt;Hipótesis!$D$89,Hipótesis!$C$87,Hipótesis!$C$88)*MAX(0,AM61)</f>
        <v>-2470.38128153774</v>
      </c>
      <c r="AN62" s="109" t="n">
        <f aca="false">-IF(4&lt;Hipótesis!$D$89,Hipótesis!$C$87,Hipótesis!$C$88)*MAX(0,AN61)</f>
        <v>-2739.84623946076</v>
      </c>
      <c r="AO62" s="109" t="n">
        <f aca="false">-IF(4&lt;Hipótesis!$D$89,Hipótesis!$C$87,Hipótesis!$C$88)*MAX(0,AO61)</f>
        <v>-3009.3111973838</v>
      </c>
      <c r="AP62" s="109" t="n">
        <f aca="false">-IF(4&lt;Hipótesis!$D$89,Hipótesis!$C$87,Hipótesis!$C$88)*MAX(0,AP61)</f>
        <v>-3278.77615530683</v>
      </c>
      <c r="AQ62" s="109" t="n">
        <f aca="false">-IF(4&lt;Hipótesis!$D$89,Hipótesis!$C$87,Hipótesis!$C$88)*MAX(0,AQ61)</f>
        <v>-3548.24111322985</v>
      </c>
      <c r="AR62" s="109" t="n">
        <f aca="false">-IF(4&lt;Hipótesis!$D$89,Hipótesis!$C$87,Hipótesis!$C$88)*MAX(0,AR61)</f>
        <v>-3817.70607115288</v>
      </c>
      <c r="AS62" s="109" t="n">
        <f aca="false">-IF(4&lt;Hipótesis!$D$89,Hipótesis!$C$87,Hipótesis!$C$88)*MAX(0,AS61)</f>
        <v>-3819.09496004177</v>
      </c>
      <c r="AT62" s="109" t="n">
        <f aca="false">-IF(4&lt;Hipótesis!$D$89,Hipótesis!$C$87,Hipótesis!$C$88)*MAX(0,AT61)</f>
        <v>-3820.48384893066</v>
      </c>
      <c r="AU62" s="109" t="n">
        <f aca="false">-IF(4&lt;Hipótesis!$D$89,Hipótesis!$C$87,Hipótesis!$C$88)*MAX(0,AU61)</f>
        <v>-3821.87273781955</v>
      </c>
      <c r="AV62" s="109" t="n">
        <f aca="false">-IF(4&lt;Hipótesis!$D$89,Hipótesis!$C$87,Hipótesis!$C$88)*MAX(0,AV61)</f>
        <v>-3823.26162670844</v>
      </c>
      <c r="AW62" s="109" t="n">
        <f aca="false">-IF(4&lt;Hipótesis!$D$89,Hipótesis!$C$87,Hipótesis!$C$88)*MAX(0,AW61)</f>
        <v>-3824.65051559733</v>
      </c>
      <c r="AX62" s="109" t="n">
        <f aca="false">-IF(4&lt;Hipótesis!$D$89,Hipótesis!$C$87,Hipótesis!$C$88)*MAX(0,AX61)</f>
        <v>-3826.03940448622</v>
      </c>
      <c r="AY62" s="109" t="n">
        <f aca="false">-IF(5&lt;Hipótesis!$D$89,Hipótesis!$C$87,Hipótesis!$C$88)*MAX(0,AY61)</f>
        <v>-3191.7850429483</v>
      </c>
      <c r="AZ62" s="109" t="n">
        <f aca="false">-IF(5&lt;Hipótesis!$D$89,Hipótesis!$C$87,Hipótesis!$C$88)*MAX(0,AZ61)</f>
        <v>-3193.17393183719</v>
      </c>
      <c r="BA62" s="109" t="n">
        <f aca="false">-IF(5&lt;Hipótesis!$D$89,Hipótesis!$C$87,Hipótesis!$C$88)*MAX(0,BA61)</f>
        <v>-3194.56282072608</v>
      </c>
      <c r="BB62" s="109" t="n">
        <f aca="false">-IF(5&lt;Hipótesis!$D$89,Hipótesis!$C$87,Hipótesis!$C$88)*MAX(0,BB61)</f>
        <v>-3195.95170961497</v>
      </c>
      <c r="BC62" s="109" t="n">
        <f aca="false">-IF(5&lt;Hipótesis!$D$89,Hipótesis!$C$87,Hipótesis!$C$88)*MAX(0,BC61)</f>
        <v>-3197.34059850386</v>
      </c>
      <c r="BD62" s="109" t="n">
        <f aca="false">-IF(5&lt;Hipótesis!$D$89,Hipótesis!$C$87,Hipótesis!$C$88)*MAX(0,BD61)</f>
        <v>-3198.72948739275</v>
      </c>
      <c r="BE62" s="109" t="n">
        <f aca="false">-IF(5&lt;Hipótesis!$D$89,Hipótesis!$C$87,Hipótesis!$C$88)*MAX(0,BE61)</f>
        <v>-3200.11837628164</v>
      </c>
      <c r="BF62" s="109" t="n">
        <f aca="false">-IF(5&lt;Hipótesis!$D$89,Hipótesis!$C$87,Hipótesis!$C$88)*MAX(0,BF61)</f>
        <v>-3201.50726517053</v>
      </c>
      <c r="BG62" s="109" t="n">
        <f aca="false">-IF(5&lt;Hipótesis!$D$89,Hipótesis!$C$87,Hipótesis!$C$88)*MAX(0,BG61)</f>
        <v>-3202.89615405942</v>
      </c>
      <c r="BH62" s="109" t="n">
        <f aca="false">-IF(5&lt;Hipótesis!$D$89,Hipótesis!$C$87,Hipótesis!$C$88)*MAX(0,BH61)</f>
        <v>-3204.2850429483</v>
      </c>
      <c r="BI62" s="109" t="n">
        <f aca="false">-IF(5&lt;Hipótesis!$D$89,Hipótesis!$C$87,Hipótesis!$C$88)*MAX(0,BI61)</f>
        <v>-3205.67393183719</v>
      </c>
      <c r="BJ62" s="109" t="n">
        <f aca="false">-IF(5&lt;Hipótesis!$D$89,Hipótesis!$C$87,Hipótesis!$C$88)*MAX(0,BJ61)</f>
        <v>-3207.06282072608</v>
      </c>
      <c r="BK62" s="109" t="n">
        <f aca="false">-IF(6&lt;Hipótesis!$D$89,Hipótesis!$C$87,Hipótesis!$C$88)*MAX(0,BK61)</f>
        <v>-2568.29216167537</v>
      </c>
      <c r="BL62" s="109" t="n">
        <f aca="false">-IF(6&lt;Hipótesis!$D$89,Hipótesis!$C$87,Hipótesis!$C$88)*MAX(0,BL61)</f>
        <v>-2569.68105056426</v>
      </c>
      <c r="BM62" s="109" t="n">
        <f aca="false">-IF(6&lt;Hipótesis!$D$89,Hipótesis!$C$87,Hipótesis!$C$88)*MAX(0,BM61)</f>
        <v>-2571.06993945315</v>
      </c>
      <c r="BN62" s="109" t="n">
        <f aca="false">-IF(6&lt;Hipótesis!$D$89,Hipótesis!$C$87,Hipótesis!$C$88)*MAX(0,BN61)</f>
        <v>-2572.45882834203</v>
      </c>
      <c r="BO62" s="109" t="n">
        <f aca="false">-IF(6&lt;Hipótesis!$D$89,Hipótesis!$C$87,Hipótesis!$C$88)*MAX(0,BO61)</f>
        <v>-2573.84771723092</v>
      </c>
      <c r="BP62" s="109" t="n">
        <f aca="false">-IF(6&lt;Hipótesis!$D$89,Hipótesis!$C$87,Hipótesis!$C$88)*MAX(0,BP61)</f>
        <v>-2575.23660611981</v>
      </c>
      <c r="BQ62" s="109" t="n">
        <f aca="false">-IF(6&lt;Hipótesis!$D$89,Hipótesis!$C$87,Hipótesis!$C$88)*MAX(0,BQ61)</f>
        <v>-2576.6254950087</v>
      </c>
      <c r="BR62" s="109" t="n">
        <f aca="false">-IF(6&lt;Hipótesis!$D$89,Hipótesis!$C$87,Hipótesis!$C$88)*MAX(0,BR61)</f>
        <v>-2578.01438389759</v>
      </c>
      <c r="BS62" s="109" t="n">
        <f aca="false">-IF(6&lt;Hipótesis!$D$89,Hipótesis!$C$87,Hipótesis!$C$88)*MAX(0,BS61)</f>
        <v>-2579.40327278648</v>
      </c>
      <c r="BT62" s="109" t="n">
        <f aca="false">-IF(6&lt;Hipótesis!$D$89,Hipótesis!$C$87,Hipótesis!$C$88)*MAX(0,BT61)</f>
        <v>-2580.79216167537</v>
      </c>
      <c r="BU62" s="109" t="n">
        <f aca="false">-IF(6&lt;Hipótesis!$D$89,Hipótesis!$C$87,Hipótesis!$C$88)*MAX(0,BU61)</f>
        <v>-2582.18105056426</v>
      </c>
      <c r="BV62" s="109" t="n">
        <f aca="false">-IF(6&lt;Hipótesis!$D$89,Hipótesis!$C$87,Hipótesis!$C$88)*MAX(0,BV61)</f>
        <v>-2583.56993945315</v>
      </c>
      <c r="BW62" s="109" t="n">
        <f aca="false">-IF(7&lt;Hipótesis!$D$89,Hipótesis!$C$87,Hipótesis!$C$88)*MAX(0,BW61)</f>
        <v>-1940.14749396424</v>
      </c>
      <c r="BX62" s="109" t="n">
        <f aca="false">-IF(7&lt;Hipótesis!$D$89,Hipótesis!$C$87,Hipótesis!$C$88)*MAX(0,BX61)</f>
        <v>-1941.53638285313</v>
      </c>
      <c r="BY62" s="109" t="n">
        <f aca="false">-IF(7&lt;Hipótesis!$D$89,Hipótesis!$C$87,Hipótesis!$C$88)*MAX(0,BY61)</f>
        <v>-1942.92527174202</v>
      </c>
      <c r="BZ62" s="109" t="n">
        <f aca="false">-IF(7&lt;Hipótesis!$D$89,Hipótesis!$C$87,Hipótesis!$C$88)*MAX(0,BZ61)</f>
        <v>-1944.31416063091</v>
      </c>
      <c r="CA62" s="109" t="n">
        <f aca="false">-IF(7&lt;Hipótesis!$D$89,Hipótesis!$C$87,Hipótesis!$C$88)*MAX(0,CA61)</f>
        <v>-1945.7030495198</v>
      </c>
      <c r="CB62" s="109" t="n">
        <f aca="false">-IF(7&lt;Hipótesis!$D$89,Hipótesis!$C$87,Hipótesis!$C$88)*MAX(0,CB61)</f>
        <v>-1947.09193840869</v>
      </c>
      <c r="CC62" s="109" t="n">
        <f aca="false">-IF(7&lt;Hipótesis!$D$89,Hipótesis!$C$87,Hipótesis!$C$88)*MAX(0,CC61)</f>
        <v>-1948.48082729757</v>
      </c>
      <c r="CD62" s="109" t="n">
        <f aca="false">-IF(7&lt;Hipótesis!$D$89,Hipótesis!$C$87,Hipótesis!$C$88)*MAX(0,CD61)</f>
        <v>-1949.86971618646</v>
      </c>
      <c r="CE62" s="109" t="n">
        <f aca="false">-IF(7&lt;Hipótesis!$D$89,Hipótesis!$C$87,Hipótesis!$C$88)*MAX(0,CE61)</f>
        <v>-1951.25860507535</v>
      </c>
      <c r="CF62" s="109" t="n">
        <f aca="false">-IF(7&lt;Hipótesis!$D$89,Hipótesis!$C$87,Hipótesis!$C$88)*MAX(0,CF61)</f>
        <v>-1952.64749396424</v>
      </c>
      <c r="CG62" s="109" t="n">
        <f aca="false">-IF(7&lt;Hipótesis!$D$89,Hipótesis!$C$87,Hipótesis!$C$88)*MAX(0,CG61)</f>
        <v>-1954.03638285313</v>
      </c>
      <c r="CH62" s="109" t="n">
        <f aca="false">-IF(7&lt;Hipótesis!$D$89,Hipótesis!$C$87,Hipótesis!$C$88)*MAX(0,CH61)</f>
        <v>-1955.42527174202</v>
      </c>
    </row>
    <row r="63" customFormat="false" ht="13.5" hidden="false" customHeight="true" outlineLevel="0" collapsed="false">
      <c r="A63" s="22" t="s">
        <v>567</v>
      </c>
      <c r="C63" s="109" t="n">
        <f aca="false">C61+C62</f>
        <v>-16016.2422359405</v>
      </c>
      <c r="D63" s="109" t="n">
        <f aca="false">D61+D62</f>
        <v>-15208.2517813391</v>
      </c>
      <c r="E63" s="109" t="n">
        <f aca="false">E61+E62</f>
        <v>-13599.3342423736</v>
      </c>
      <c r="F63" s="109" t="n">
        <f aca="false">F61+F62</f>
        <v>-12747.245896039</v>
      </c>
      <c r="G63" s="109" t="n">
        <f aca="false">G61+G62</f>
        <v>-11946.318811675</v>
      </c>
      <c r="H63" s="109" t="n">
        <f aca="false">H61+H62</f>
        <v>-10719.8552151484</v>
      </c>
      <c r="I63" s="109" t="n">
        <f aca="false">I61+I62</f>
        <v>-8399.04964140237</v>
      </c>
      <c r="J63" s="109" t="n">
        <f aca="false">J61+J62</f>
        <v>-6078.24406765636</v>
      </c>
      <c r="K63" s="109" t="n">
        <f aca="false">K61+K62</f>
        <v>-3757.43849391036</v>
      </c>
      <c r="L63" s="109" t="n">
        <f aca="false">L61+L62</f>
        <v>-1469.43999753687</v>
      </c>
      <c r="M63" s="109" t="n">
        <f aca="false">M61+M62</f>
        <v>-0.151859657694217</v>
      </c>
      <c r="N63" s="109" t="n">
        <f aca="false">N61+N62</f>
        <v>-168.591046938143</v>
      </c>
      <c r="O63" s="109" t="n">
        <f aca="false">O61+O62</f>
        <v>-3364.02729169591</v>
      </c>
      <c r="P63" s="109" t="n">
        <f aca="false">P61+P62</f>
        <v>-1526.744835371</v>
      </c>
      <c r="Q63" s="109" t="n">
        <f aca="false">Q61+Q62</f>
        <v>-1988.54447050294</v>
      </c>
      <c r="R63" s="109" t="n">
        <f aca="false">R61+R62</f>
        <v>-173.518249024953</v>
      </c>
      <c r="S63" s="109" t="n">
        <f aca="false">S61+S62</f>
        <v>1396.19347877338</v>
      </c>
      <c r="T63" s="109" t="n">
        <f aca="false">T61+T62</f>
        <v>1020.48085702348</v>
      </c>
      <c r="U63" s="109" t="n">
        <f aca="false">U61+U62</f>
        <v>2568.45169405066</v>
      </c>
      <c r="V63" s="109" t="n">
        <f aca="false">V61+V62</f>
        <v>1857.17717999638</v>
      </c>
      <c r="W63" s="109" t="n">
        <f aca="false">W61+W62</f>
        <v>3408.04287151373</v>
      </c>
      <c r="X63" s="109" t="n">
        <f aca="false">X61+X62</f>
        <v>2572.59122737912</v>
      </c>
      <c r="Y63" s="109" t="n">
        <f aca="false">Y61+Y62</f>
        <v>3659.85468389011</v>
      </c>
      <c r="Z63" s="109" t="n">
        <f aca="false">Z61+Z62</f>
        <v>4583.95906889982</v>
      </c>
      <c r="AA63" s="109" t="n">
        <f aca="false">AA61+AA62</f>
        <v>3495.53386246659</v>
      </c>
      <c r="AB63" s="109" t="n">
        <f aca="false">AB61+AB62</f>
        <v>4417.28144229039</v>
      </c>
      <c r="AC63" s="109" t="n">
        <f aca="false">AC61+AC62</f>
        <v>5342.51877665106</v>
      </c>
      <c r="AD63" s="109" t="n">
        <f aca="false">AD61+AD62</f>
        <v>6266.12642328762</v>
      </c>
      <c r="AE63" s="109" t="n">
        <f aca="false">AE61+AE62</f>
        <v>5199.2178334259</v>
      </c>
      <c r="AF63" s="109" t="n">
        <f aca="false">AF61+AF62</f>
        <v>6115.39869036421</v>
      </c>
      <c r="AG63" s="109" t="n">
        <f aca="false">AG61+AG62</f>
        <v>7031.5795473025</v>
      </c>
      <c r="AH63" s="109" t="n">
        <f aca="false">AH61+AH62</f>
        <v>7947.76040424081</v>
      </c>
      <c r="AI63" s="109" t="n">
        <f aca="false">AI61+AI62</f>
        <v>8863.94126117911</v>
      </c>
      <c r="AJ63" s="109" t="n">
        <f aca="false">AJ61+AJ62</f>
        <v>9780.1221181174</v>
      </c>
      <c r="AK63" s="109" t="n">
        <f aca="false">AK61+AK62</f>
        <v>10696.3029750557</v>
      </c>
      <c r="AL63" s="109" t="n">
        <f aca="false">AL61+AL62</f>
        <v>11612.483831994</v>
      </c>
      <c r="AM63" s="109" t="n">
        <f aca="false">AM61+AM62</f>
        <v>7411.14384461321</v>
      </c>
      <c r="AN63" s="109" t="n">
        <f aca="false">AN61+AN62</f>
        <v>8219.53871838229</v>
      </c>
      <c r="AO63" s="109" t="n">
        <f aca="false">AO61+AO62</f>
        <v>9027.93359215139</v>
      </c>
      <c r="AP63" s="109" t="n">
        <f aca="false">AP61+AP62</f>
        <v>9836.32846592048</v>
      </c>
      <c r="AQ63" s="109" t="n">
        <f aca="false">AQ61+AQ62</f>
        <v>10644.7233396896</v>
      </c>
      <c r="AR63" s="109" t="n">
        <f aca="false">AR61+AR62</f>
        <v>11453.1182134586</v>
      </c>
      <c r="AS63" s="109" t="n">
        <f aca="false">AS61+AS62</f>
        <v>11457.2848801253</v>
      </c>
      <c r="AT63" s="109" t="n">
        <f aca="false">AT61+AT62</f>
        <v>11461.451546792</v>
      </c>
      <c r="AU63" s="109" t="n">
        <f aca="false">AU61+AU62</f>
        <v>11465.6182134586</v>
      </c>
      <c r="AV63" s="109" t="n">
        <f aca="false">AV61+AV62</f>
        <v>11469.7848801253</v>
      </c>
      <c r="AW63" s="109" t="n">
        <f aca="false">AW61+AW62</f>
        <v>11473.951546792</v>
      </c>
      <c r="AX63" s="109" t="n">
        <f aca="false">AX61+AX62</f>
        <v>11478.1182134586</v>
      </c>
      <c r="AY63" s="109" t="n">
        <f aca="false">AY61+AY62</f>
        <v>9575.35512884491</v>
      </c>
      <c r="AZ63" s="109" t="n">
        <f aca="false">AZ61+AZ62</f>
        <v>9579.52179551158</v>
      </c>
      <c r="BA63" s="109" t="n">
        <f aca="false">BA61+BA62</f>
        <v>9583.68846217825</v>
      </c>
      <c r="BB63" s="109" t="n">
        <f aca="false">BB61+BB62</f>
        <v>9587.85512884491</v>
      </c>
      <c r="BC63" s="109" t="n">
        <f aca="false">BC61+BC62</f>
        <v>9592.02179551158</v>
      </c>
      <c r="BD63" s="109" t="n">
        <f aca="false">BD61+BD62</f>
        <v>9596.18846217825</v>
      </c>
      <c r="BE63" s="109" t="n">
        <f aca="false">BE61+BE62</f>
        <v>9600.35512884491</v>
      </c>
      <c r="BF63" s="109" t="n">
        <f aca="false">BF61+BF62</f>
        <v>9604.52179551158</v>
      </c>
      <c r="BG63" s="109" t="n">
        <f aca="false">BG61+BG62</f>
        <v>9608.68846217825</v>
      </c>
      <c r="BH63" s="109" t="n">
        <f aca="false">BH61+BH62</f>
        <v>9612.85512884491</v>
      </c>
      <c r="BI63" s="109" t="n">
        <f aca="false">BI61+BI62</f>
        <v>9617.02179551158</v>
      </c>
      <c r="BJ63" s="109" t="n">
        <f aca="false">BJ61+BJ62</f>
        <v>9621.18846217825</v>
      </c>
      <c r="BK63" s="109" t="n">
        <f aca="false">BK61+BK62</f>
        <v>7704.8764850261</v>
      </c>
      <c r="BL63" s="109" t="n">
        <f aca="false">BL61+BL62</f>
        <v>7709.04315169277</v>
      </c>
      <c r="BM63" s="109" t="n">
        <f aca="false">BM61+BM62</f>
        <v>7713.20981835943</v>
      </c>
      <c r="BN63" s="109" t="n">
        <f aca="false">BN61+BN62</f>
        <v>7717.3764850261</v>
      </c>
      <c r="BO63" s="109" t="n">
        <f aca="false">BO61+BO62</f>
        <v>7721.54315169277</v>
      </c>
      <c r="BP63" s="109" t="n">
        <f aca="false">BP61+BP62</f>
        <v>7725.70981835944</v>
      </c>
      <c r="BQ63" s="109" t="n">
        <f aca="false">BQ61+BQ62</f>
        <v>7729.8764850261</v>
      </c>
      <c r="BR63" s="109" t="n">
        <f aca="false">BR61+BR62</f>
        <v>7734.04315169277</v>
      </c>
      <c r="BS63" s="109" t="n">
        <f aca="false">BS61+BS62</f>
        <v>7738.20981835944</v>
      </c>
      <c r="BT63" s="109" t="n">
        <f aca="false">BT61+BT62</f>
        <v>7742.3764850261</v>
      </c>
      <c r="BU63" s="109" t="n">
        <f aca="false">BU61+BU62</f>
        <v>7746.54315169277</v>
      </c>
      <c r="BV63" s="109" t="n">
        <f aca="false">BV61+BV62</f>
        <v>7750.70981835944</v>
      </c>
      <c r="BW63" s="109" t="n">
        <f aca="false">BW61+BW62</f>
        <v>5820.44248189272</v>
      </c>
      <c r="BX63" s="109" t="n">
        <f aca="false">BX61+BX62</f>
        <v>5824.60914855939</v>
      </c>
      <c r="BY63" s="109" t="n">
        <f aca="false">BY61+BY62</f>
        <v>5828.77581522606</v>
      </c>
      <c r="BZ63" s="109" t="n">
        <f aca="false">BZ61+BZ62</f>
        <v>5832.94248189272</v>
      </c>
      <c r="CA63" s="109" t="n">
        <f aca="false">CA61+CA62</f>
        <v>5837.10914855939</v>
      </c>
      <c r="CB63" s="109" t="n">
        <f aca="false">CB61+CB62</f>
        <v>5841.27581522606</v>
      </c>
      <c r="CC63" s="109" t="n">
        <f aca="false">CC61+CC62</f>
        <v>5845.44248189272</v>
      </c>
      <c r="CD63" s="109" t="n">
        <f aca="false">CD61+CD62</f>
        <v>5849.60914855939</v>
      </c>
      <c r="CE63" s="109" t="n">
        <f aca="false">CE61+CE62</f>
        <v>5853.77581522606</v>
      </c>
      <c r="CF63" s="109" t="n">
        <f aca="false">CF61+CF62</f>
        <v>5857.94248189272</v>
      </c>
      <c r="CG63" s="109" t="n">
        <f aca="false">CG61+CG62</f>
        <v>5862.10914855939</v>
      </c>
      <c r="CH63" s="109" t="n">
        <f aca="false">CH61+CH62</f>
        <v>5866.27581522606</v>
      </c>
    </row>
    <row r="64" customFormat="false" ht="13.5" hidden="false" customHeight="true" outlineLevel="0" collapsed="false"/>
    <row r="65" customFormat="false" ht="12.75" hidden="false" customHeight="true" outlineLevel="0" collapsed="false">
      <c r="A65" s="9" t="s">
        <v>568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  <c r="CD65" s="9"/>
      <c r="CE65" s="9"/>
      <c r="CF65" s="9"/>
      <c r="CG65" s="9"/>
      <c r="CH65" s="9"/>
    </row>
    <row r="66" customFormat="false" ht="13.5" hidden="false" customHeight="true" outlineLevel="0" collapsed="false">
      <c r="A66" s="6" t="s">
        <v>561</v>
      </c>
      <c r="C66" s="109" t="n">
        <f aca="false">C56</f>
        <v>-14640.6457198691</v>
      </c>
      <c r="D66" s="109" t="n">
        <f aca="false">D56</f>
        <v>-13827.7778277676</v>
      </c>
      <c r="E66" s="109" t="n">
        <f aca="false">E56</f>
        <v>-12208.6792497396</v>
      </c>
      <c r="F66" s="109" t="n">
        <f aca="false">F56</f>
        <v>-11350.9349518426</v>
      </c>
      <c r="G66" s="109" t="n">
        <f aca="false">G56</f>
        <v>-10544.704265916</v>
      </c>
      <c r="H66" s="109" t="n">
        <f aca="false">H56</f>
        <v>-9309.70719282695</v>
      </c>
      <c r="I66" s="109" t="n">
        <f aca="false">I56</f>
        <v>-6972.82506559457</v>
      </c>
      <c r="J66" s="109" t="n">
        <f aca="false">J56</f>
        <v>-4635.9429383622</v>
      </c>
      <c r="K66" s="109" t="n">
        <f aca="false">K56</f>
        <v>-2299.06081112982</v>
      </c>
      <c r="L66" s="109" t="n">
        <f aca="false">L56</f>
        <v>37.8213161025487</v>
      </c>
      <c r="M66" s="109" t="n">
        <f aca="false">M56</f>
        <v>1568.47275740839</v>
      </c>
      <c r="N66" s="109" t="n">
        <f aca="false">N56</f>
        <v>1420.05939822339</v>
      </c>
      <c r="O66" s="109" t="n">
        <f aca="false">O56</f>
        <v>-1778.87396096161</v>
      </c>
      <c r="P66" s="109" t="n">
        <f aca="false">P56</f>
        <v>90.4303724945021</v>
      </c>
      <c r="Q66" s="109" t="n">
        <f aca="false">Q56</f>
        <v>-351.585294049379</v>
      </c>
      <c r="R66" s="109" t="n">
        <f aca="false">R56</f>
        <v>1517.71903940673</v>
      </c>
      <c r="S66" s="109" t="n">
        <f aca="false">S56</f>
        <v>3387.02337286285</v>
      </c>
      <c r="T66" s="109" t="n">
        <f aca="false">T56</f>
        <v>2945.00770631896</v>
      </c>
      <c r="U66" s="109" t="n">
        <f aca="false">U56</f>
        <v>4814.31203977508</v>
      </c>
      <c r="V66" s="109" t="n">
        <f aca="false">V56</f>
        <v>3964.41637323119</v>
      </c>
      <c r="W66" s="109" t="n">
        <f aca="false">W56</f>
        <v>5833.72070668731</v>
      </c>
      <c r="X66" s="109" t="n">
        <f aca="false">X56</f>
        <v>4826.76984063427</v>
      </c>
      <c r="Y66" s="109" t="n">
        <f aca="false">Y56</f>
        <v>6131.13897458123</v>
      </c>
      <c r="Z66" s="109" t="n">
        <f aca="false">Z56</f>
        <v>7233.02402872453</v>
      </c>
      <c r="AA66" s="109" t="n">
        <f aca="false">AA56</f>
        <v>5914.39868286783</v>
      </c>
      <c r="AB66" s="109" t="n">
        <f aca="false">AB56</f>
        <v>7016.28373701112</v>
      </c>
      <c r="AC66" s="109" t="n">
        <f aca="false">AC56</f>
        <v>8118.16879115443</v>
      </c>
      <c r="AD66" s="109" t="n">
        <f aca="false">AD56</f>
        <v>9220.05384529772</v>
      </c>
      <c r="AE66" s="109" t="n">
        <f aca="false">AE56</f>
        <v>7941.279299441</v>
      </c>
      <c r="AF66" s="109" t="n">
        <f aca="false">AF56</f>
        <v>9043.1643535843</v>
      </c>
      <c r="AG66" s="109" t="n">
        <f aca="false">AG56</f>
        <v>10145.0494077276</v>
      </c>
      <c r="AH66" s="109" t="n">
        <f aca="false">AH56</f>
        <v>11246.9344618709</v>
      </c>
      <c r="AI66" s="109" t="n">
        <f aca="false">AI56</f>
        <v>12348.8195160142</v>
      </c>
      <c r="AJ66" s="109" t="n">
        <f aca="false">AJ56</f>
        <v>13450.7045701575</v>
      </c>
      <c r="AK66" s="109" t="n">
        <f aca="false">AK56</f>
        <v>14552.5896243008</v>
      </c>
      <c r="AL66" s="109" t="n">
        <f aca="false">AL56</f>
        <v>15654.4746784441</v>
      </c>
      <c r="AM66" s="109" t="n">
        <f aca="false">AM56</f>
        <v>11799.1348445874</v>
      </c>
      <c r="AN66" s="109" t="n">
        <f aca="false">AN56</f>
        <v>12901.0198987307</v>
      </c>
      <c r="AO66" s="109" t="n">
        <f aca="false">AO56</f>
        <v>14002.904952874</v>
      </c>
      <c r="AP66" s="109" t="n">
        <f aca="false">AP56</f>
        <v>15104.7900070173</v>
      </c>
      <c r="AQ66" s="109" t="n">
        <f aca="false">AQ56</f>
        <v>16206.6750611605</v>
      </c>
      <c r="AR66" s="109" t="n">
        <f aca="false">AR56</f>
        <v>17308.5601153038</v>
      </c>
      <c r="AS66" s="109" t="n">
        <f aca="false">AS56</f>
        <v>17308.5601153038</v>
      </c>
      <c r="AT66" s="109" t="n">
        <f aca="false">AT56</f>
        <v>17308.5601153038</v>
      </c>
      <c r="AU66" s="109" t="n">
        <f aca="false">AU56</f>
        <v>17308.5601153038</v>
      </c>
      <c r="AV66" s="109" t="n">
        <f aca="false">AV56</f>
        <v>17308.5601153038</v>
      </c>
      <c r="AW66" s="109" t="n">
        <f aca="false">AW56</f>
        <v>17308.5601153038</v>
      </c>
      <c r="AX66" s="109" t="n">
        <f aca="false">AX56</f>
        <v>17308.5601153038</v>
      </c>
      <c r="AY66" s="109" t="n">
        <f aca="false">AY56</f>
        <v>14714.0978686638</v>
      </c>
      <c r="AZ66" s="109" t="n">
        <f aca="false">AZ56</f>
        <v>14714.0978686638</v>
      </c>
      <c r="BA66" s="109" t="n">
        <f aca="false">BA56</f>
        <v>14714.0978686638</v>
      </c>
      <c r="BB66" s="109" t="n">
        <f aca="false">BB56</f>
        <v>14714.0978686638</v>
      </c>
      <c r="BC66" s="109" t="n">
        <f aca="false">BC56</f>
        <v>14714.0978686638</v>
      </c>
      <c r="BD66" s="109" t="n">
        <f aca="false">BD56</f>
        <v>14714.0978686638</v>
      </c>
      <c r="BE66" s="109" t="n">
        <f aca="false">BE56</f>
        <v>14714.0978686638</v>
      </c>
      <c r="BF66" s="109" t="n">
        <f aca="false">BF56</f>
        <v>14714.0978686638</v>
      </c>
      <c r="BG66" s="109" t="n">
        <f aca="false">BG56</f>
        <v>14714.0978686638</v>
      </c>
      <c r="BH66" s="109" t="n">
        <f aca="false">BH56</f>
        <v>14714.0978686638</v>
      </c>
      <c r="BI66" s="109" t="n">
        <f aca="false">BI56</f>
        <v>14714.0978686638</v>
      </c>
      <c r="BJ66" s="109" t="n">
        <f aca="false">BJ56</f>
        <v>14714.0978686638</v>
      </c>
      <c r="BK66" s="109" t="n">
        <f aca="false">BK56</f>
        <v>12101.2017546246</v>
      </c>
      <c r="BL66" s="109" t="n">
        <f aca="false">BL56</f>
        <v>12101.2017546246</v>
      </c>
      <c r="BM66" s="109" t="n">
        <f aca="false">BM56</f>
        <v>12101.2017546246</v>
      </c>
      <c r="BN66" s="109" t="n">
        <f aca="false">BN56</f>
        <v>12101.2017546246</v>
      </c>
      <c r="BO66" s="109" t="n">
        <f aca="false">BO56</f>
        <v>12101.2017546246</v>
      </c>
      <c r="BP66" s="109" t="n">
        <f aca="false">BP56</f>
        <v>12101.2017546246</v>
      </c>
      <c r="BQ66" s="109" t="n">
        <f aca="false">BQ56</f>
        <v>12101.2017546246</v>
      </c>
      <c r="BR66" s="109" t="n">
        <f aca="false">BR56</f>
        <v>12101.2017546246</v>
      </c>
      <c r="BS66" s="109" t="n">
        <f aca="false">BS56</f>
        <v>12101.2017546246</v>
      </c>
      <c r="BT66" s="109" t="n">
        <f aca="false">BT56</f>
        <v>12101.2017546246</v>
      </c>
      <c r="BU66" s="109" t="n">
        <f aca="false">BU56</f>
        <v>12101.2017546246</v>
      </c>
      <c r="BV66" s="109" t="n">
        <f aca="false">BV56</f>
        <v>12101.2017546246</v>
      </c>
      <c r="BW66" s="109" t="n">
        <f aca="false">BW56</f>
        <v>9469.31875716426</v>
      </c>
      <c r="BX66" s="109" t="n">
        <f aca="false">BX56</f>
        <v>9469.31875716426</v>
      </c>
      <c r="BY66" s="109" t="n">
        <f aca="false">BY56</f>
        <v>9469.31875716426</v>
      </c>
      <c r="BZ66" s="109" t="n">
        <f aca="false">BZ56</f>
        <v>9469.31875716426</v>
      </c>
      <c r="CA66" s="109" t="n">
        <f aca="false">CA56</f>
        <v>9469.31875716426</v>
      </c>
      <c r="CB66" s="109" t="n">
        <f aca="false">CB56</f>
        <v>9469.31875716426</v>
      </c>
      <c r="CC66" s="109" t="n">
        <f aca="false">CC56</f>
        <v>9469.31875716426</v>
      </c>
      <c r="CD66" s="109" t="n">
        <f aca="false">CD56</f>
        <v>9469.31875716426</v>
      </c>
      <c r="CE66" s="109" t="n">
        <f aca="false">CE56</f>
        <v>9469.31875716426</v>
      </c>
      <c r="CF66" s="109" t="n">
        <f aca="false">CF56</f>
        <v>9469.31875716426</v>
      </c>
      <c r="CG66" s="109" t="n">
        <f aca="false">CG56</f>
        <v>9469.31875716426</v>
      </c>
      <c r="CH66" s="109" t="n">
        <f aca="false">CH56</f>
        <v>9469.31875716426</v>
      </c>
    </row>
    <row r="67" customFormat="false" ht="13.5" hidden="false" customHeight="true" outlineLevel="0" collapsed="false">
      <c r="A67" s="6" t="s">
        <v>569</v>
      </c>
      <c r="C67" s="109" t="n">
        <f aca="false">C62</f>
        <v>-0</v>
      </c>
      <c r="D67" s="109" t="n">
        <f aca="false">D62</f>
        <v>-0</v>
      </c>
      <c r="E67" s="109" t="n">
        <f aca="false">E62</f>
        <v>-0</v>
      </c>
      <c r="F67" s="109" t="n">
        <f aca="false">F62</f>
        <v>-0</v>
      </c>
      <c r="G67" s="109" t="n">
        <f aca="false">G62</f>
        <v>-0</v>
      </c>
      <c r="H67" s="109" t="n">
        <f aca="false">H62</f>
        <v>-0</v>
      </c>
      <c r="I67" s="109" t="n">
        <f aca="false">I62</f>
        <v>-0</v>
      </c>
      <c r="J67" s="109" t="n">
        <f aca="false">J62</f>
        <v>-0</v>
      </c>
      <c r="K67" s="109" t="n">
        <f aca="false">K62</f>
        <v>-0</v>
      </c>
      <c r="L67" s="109" t="n">
        <f aca="false">L62</f>
        <v>-0</v>
      </c>
      <c r="M67" s="109" t="n">
        <f aca="false">M62</f>
        <v>-0</v>
      </c>
      <c r="N67" s="109" t="n">
        <f aca="false">N62</f>
        <v>-0</v>
      </c>
      <c r="O67" s="109" t="n">
        <f aca="false">O62</f>
        <v>-0</v>
      </c>
      <c r="P67" s="109" t="n">
        <f aca="false">P62</f>
        <v>-0</v>
      </c>
      <c r="Q67" s="109" t="n">
        <f aca="false">Q62</f>
        <v>-0</v>
      </c>
      <c r="R67" s="109" t="n">
        <f aca="false">R62</f>
        <v>-0</v>
      </c>
      <c r="S67" s="109" t="n">
        <f aca="false">S62</f>
        <v>-246.387084489421</v>
      </c>
      <c r="T67" s="109" t="n">
        <f aca="false">T62</f>
        <v>-180.084857121791</v>
      </c>
      <c r="U67" s="109" t="n">
        <f aca="false">U62</f>
        <v>-453.256181303057</v>
      </c>
      <c r="V67" s="109" t="n">
        <f aca="false">V62</f>
        <v>-327.737149411126</v>
      </c>
      <c r="W67" s="109" t="n">
        <f aca="false">W62</f>
        <v>-601.41933026713</v>
      </c>
      <c r="X67" s="109" t="n">
        <f aca="false">X62</f>
        <v>-453.986687184551</v>
      </c>
      <c r="Y67" s="109" t="n">
        <f aca="false">Y62</f>
        <v>-645.856708921784</v>
      </c>
      <c r="Z67" s="109" t="n">
        <f aca="false">Z62</f>
        <v>-808.933953335263</v>
      </c>
      <c r="AA67" s="109" t="n">
        <f aca="false">AA62</f>
        <v>-616.858916905869</v>
      </c>
      <c r="AB67" s="109" t="n">
        <f aca="false">AB62</f>
        <v>-779.520254521834</v>
      </c>
      <c r="AC67" s="109" t="n">
        <f aca="false">AC62</f>
        <v>-942.797431173716</v>
      </c>
      <c r="AD67" s="109" t="n">
        <f aca="false">AD62</f>
        <v>-1105.78701587429</v>
      </c>
      <c r="AE67" s="109" t="n">
        <f aca="false">AE62</f>
        <v>-917.509029428101</v>
      </c>
      <c r="AF67" s="109" t="n">
        <f aca="false">AF62</f>
        <v>-1079.18800418192</v>
      </c>
      <c r="AG67" s="109" t="n">
        <f aca="false">AG62</f>
        <v>-1240.86697893574</v>
      </c>
      <c r="AH67" s="109" t="n">
        <f aca="false">AH62</f>
        <v>-1402.54595368955</v>
      </c>
      <c r="AI67" s="109" t="n">
        <f aca="false">AI62</f>
        <v>-1564.22492844337</v>
      </c>
      <c r="AJ67" s="109" t="n">
        <f aca="false">AJ62</f>
        <v>-1725.90390319719</v>
      </c>
      <c r="AK67" s="109" t="n">
        <f aca="false">AK62</f>
        <v>-1887.58287795101</v>
      </c>
      <c r="AL67" s="109" t="n">
        <f aca="false">AL62</f>
        <v>-2049.26185270483</v>
      </c>
      <c r="AM67" s="109" t="n">
        <f aca="false">AM62</f>
        <v>-2470.38128153774</v>
      </c>
      <c r="AN67" s="109" t="n">
        <f aca="false">AN62</f>
        <v>-2739.84623946076</v>
      </c>
      <c r="AO67" s="109" t="n">
        <f aca="false">AO62</f>
        <v>-3009.3111973838</v>
      </c>
      <c r="AP67" s="109" t="n">
        <f aca="false">AP62</f>
        <v>-3278.77615530683</v>
      </c>
      <c r="AQ67" s="109" t="n">
        <f aca="false">AQ62</f>
        <v>-3548.24111322985</v>
      </c>
      <c r="AR67" s="109" t="n">
        <f aca="false">AR62</f>
        <v>-3817.70607115288</v>
      </c>
      <c r="AS67" s="109" t="n">
        <f aca="false">AS62</f>
        <v>-3819.09496004177</v>
      </c>
      <c r="AT67" s="109" t="n">
        <f aca="false">AT62</f>
        <v>-3820.48384893066</v>
      </c>
      <c r="AU67" s="109" t="n">
        <f aca="false">AU62</f>
        <v>-3821.87273781955</v>
      </c>
      <c r="AV67" s="109" t="n">
        <f aca="false">AV62</f>
        <v>-3823.26162670844</v>
      </c>
      <c r="AW67" s="109" t="n">
        <f aca="false">AW62</f>
        <v>-3824.65051559733</v>
      </c>
      <c r="AX67" s="109" t="n">
        <f aca="false">AX62</f>
        <v>-3826.03940448622</v>
      </c>
      <c r="AY67" s="109" t="n">
        <f aca="false">AY62</f>
        <v>-3191.7850429483</v>
      </c>
      <c r="AZ67" s="109" t="n">
        <f aca="false">AZ62</f>
        <v>-3193.17393183719</v>
      </c>
      <c r="BA67" s="109" t="n">
        <f aca="false">BA62</f>
        <v>-3194.56282072608</v>
      </c>
      <c r="BB67" s="109" t="n">
        <f aca="false">BB62</f>
        <v>-3195.95170961497</v>
      </c>
      <c r="BC67" s="109" t="n">
        <f aca="false">BC62</f>
        <v>-3197.34059850386</v>
      </c>
      <c r="BD67" s="109" t="n">
        <f aca="false">BD62</f>
        <v>-3198.72948739275</v>
      </c>
      <c r="BE67" s="109" t="n">
        <f aca="false">BE62</f>
        <v>-3200.11837628164</v>
      </c>
      <c r="BF67" s="109" t="n">
        <f aca="false">BF62</f>
        <v>-3201.50726517053</v>
      </c>
      <c r="BG67" s="109" t="n">
        <f aca="false">BG62</f>
        <v>-3202.89615405942</v>
      </c>
      <c r="BH67" s="109" t="n">
        <f aca="false">BH62</f>
        <v>-3204.2850429483</v>
      </c>
      <c r="BI67" s="109" t="n">
        <f aca="false">BI62</f>
        <v>-3205.67393183719</v>
      </c>
      <c r="BJ67" s="109" t="n">
        <f aca="false">BJ62</f>
        <v>-3207.06282072608</v>
      </c>
      <c r="BK67" s="109" t="n">
        <f aca="false">BK62</f>
        <v>-2568.29216167537</v>
      </c>
      <c r="BL67" s="109" t="n">
        <f aca="false">BL62</f>
        <v>-2569.68105056426</v>
      </c>
      <c r="BM67" s="109" t="n">
        <f aca="false">BM62</f>
        <v>-2571.06993945315</v>
      </c>
      <c r="BN67" s="109" t="n">
        <f aca="false">BN62</f>
        <v>-2572.45882834203</v>
      </c>
      <c r="BO67" s="109" t="n">
        <f aca="false">BO62</f>
        <v>-2573.84771723092</v>
      </c>
      <c r="BP67" s="109" t="n">
        <f aca="false">BP62</f>
        <v>-2575.23660611981</v>
      </c>
      <c r="BQ67" s="109" t="n">
        <f aca="false">BQ62</f>
        <v>-2576.6254950087</v>
      </c>
      <c r="BR67" s="109" t="n">
        <f aca="false">BR62</f>
        <v>-2578.01438389759</v>
      </c>
      <c r="BS67" s="109" t="n">
        <f aca="false">BS62</f>
        <v>-2579.40327278648</v>
      </c>
      <c r="BT67" s="109" t="n">
        <f aca="false">BT62</f>
        <v>-2580.79216167537</v>
      </c>
      <c r="BU67" s="109" t="n">
        <f aca="false">BU62</f>
        <v>-2582.18105056426</v>
      </c>
      <c r="BV67" s="109" t="n">
        <f aca="false">BV62</f>
        <v>-2583.56993945315</v>
      </c>
      <c r="BW67" s="109" t="n">
        <f aca="false">BW62</f>
        <v>-1940.14749396424</v>
      </c>
      <c r="BX67" s="109" t="n">
        <f aca="false">BX62</f>
        <v>-1941.53638285313</v>
      </c>
      <c r="BY67" s="109" t="n">
        <f aca="false">BY62</f>
        <v>-1942.92527174202</v>
      </c>
      <c r="BZ67" s="109" t="n">
        <f aca="false">BZ62</f>
        <v>-1944.31416063091</v>
      </c>
      <c r="CA67" s="109" t="n">
        <f aca="false">CA62</f>
        <v>-1945.7030495198</v>
      </c>
      <c r="CB67" s="109" t="n">
        <f aca="false">CB62</f>
        <v>-1947.09193840869</v>
      </c>
      <c r="CC67" s="109" t="n">
        <f aca="false">CC62</f>
        <v>-1948.48082729757</v>
      </c>
      <c r="CD67" s="109" t="n">
        <f aca="false">CD62</f>
        <v>-1949.86971618646</v>
      </c>
      <c r="CE67" s="109" t="n">
        <f aca="false">CE62</f>
        <v>-1951.25860507535</v>
      </c>
      <c r="CF67" s="109" t="n">
        <f aca="false">CF62</f>
        <v>-1952.64749396424</v>
      </c>
      <c r="CG67" s="109" t="n">
        <f aca="false">CG62</f>
        <v>-1954.03638285313</v>
      </c>
      <c r="CH67" s="109" t="n">
        <f aca="false">CH62</f>
        <v>-1955.42527174202</v>
      </c>
    </row>
    <row r="68" customFormat="false" ht="13.5" hidden="false" customHeight="true" outlineLevel="0" collapsed="false">
      <c r="A68" s="6" t="s">
        <v>570</v>
      </c>
      <c r="C68" s="110" t="n">
        <f aca="false">C38*Hipótesis!$C$66/30</f>
        <v>1206.69</v>
      </c>
      <c r="D68" s="110" t="n">
        <f aca="false">D38*Hipótesis!$C$66/30</f>
        <v>2507.34</v>
      </c>
      <c r="E68" s="110" t="n">
        <f aca="false">E38*Hipótesis!$C$66/30</f>
        <v>5222.28375</v>
      </c>
      <c r="F68" s="110" t="n">
        <f aca="false">F38*Hipótesis!$C$66/30</f>
        <v>6730.5375</v>
      </c>
      <c r="G68" s="110" t="n">
        <f aca="false">G38*Hipótesis!$C$66/30</f>
        <v>8144.83125</v>
      </c>
      <c r="H68" s="110" t="n">
        <f aca="false">H38*Hipótesis!$C$66/30</f>
        <v>10420.425</v>
      </c>
      <c r="I68" s="110" t="n">
        <f aca="false">I38*Hipótesis!$C$66/30</f>
        <v>14707.5059296982</v>
      </c>
      <c r="J68" s="110" t="n">
        <f aca="false">J38*Hipótesis!$C$66/30</f>
        <v>18994.5868593963</v>
      </c>
      <c r="K68" s="110" t="n">
        <f aca="false">K38*Hipótesis!$C$66/30</f>
        <v>23281.6677890945</v>
      </c>
      <c r="L68" s="110" t="n">
        <f aca="false">L38*Hipótesis!$C$66/30</f>
        <v>27568.7487187927</v>
      </c>
      <c r="M68" s="110" t="n">
        <f aca="false">M38*Hipótesis!$C$66/30</f>
        <v>30441.5358984908</v>
      </c>
      <c r="N68" s="110" t="n">
        <f aca="false">N38*Hipótesis!$C$66/30</f>
        <v>34488.823078189</v>
      </c>
      <c r="O68" s="110" t="n">
        <f aca="false">O38*Hipótesis!$C$66/30</f>
        <v>38536.1102578871</v>
      </c>
      <c r="P68" s="110" t="n">
        <f aca="false">P38*Hipótesis!$C$66/30</f>
        <v>42160.5774375853</v>
      </c>
      <c r="Q68" s="110" t="n">
        <f aca="false">Q38*Hipótesis!$C$66/30</f>
        <v>45785.0446172835</v>
      </c>
      <c r="R68" s="110" t="n">
        <f aca="false">R38*Hipótesis!$C$66/30</f>
        <v>49409.5117969816</v>
      </c>
      <c r="S68" s="110" t="n">
        <f aca="false">S38*Hipótesis!$C$66/30</f>
        <v>53033.9789766798</v>
      </c>
      <c r="T68" s="110" t="n">
        <f aca="false">T38*Hipótesis!$C$66/30</f>
        <v>56658.4461563779</v>
      </c>
      <c r="U68" s="110" t="n">
        <f aca="false">U38*Hipótesis!$C$66/30</f>
        <v>60282.9133360761</v>
      </c>
      <c r="V68" s="110" t="n">
        <f aca="false">V38*Hipótesis!$C$66/30</f>
        <v>63907.3805157743</v>
      </c>
      <c r="W68" s="110" t="n">
        <f aca="false">W38*Hipótesis!$C$66/30</f>
        <v>67531.8476954724</v>
      </c>
      <c r="X68" s="110" t="n">
        <f aca="false">X38*Hipótesis!$C$66/30</f>
        <v>69981.8148751706</v>
      </c>
      <c r="Y68" s="110" t="n">
        <f aca="false">Y38*Hipótesis!$C$66/30</f>
        <v>72431.7820548688</v>
      </c>
      <c r="Z68" s="110" t="n">
        <f aca="false">Z38*Hipótesis!$C$66/30</f>
        <v>74443.2692345669</v>
      </c>
      <c r="AA68" s="110" t="n">
        <f aca="false">AA38*Hipótesis!$C$66/30</f>
        <v>76454.7564142651</v>
      </c>
      <c r="AB68" s="110" t="n">
        <f aca="false">AB38*Hipótesis!$C$66/30</f>
        <v>78466.2435939633</v>
      </c>
      <c r="AC68" s="110" t="n">
        <f aca="false">AC38*Hipótesis!$C$66/30</f>
        <v>80477.7307736614</v>
      </c>
      <c r="AD68" s="110" t="n">
        <f aca="false">AD38*Hipótesis!$C$66/30</f>
        <v>82489.2179533596</v>
      </c>
      <c r="AE68" s="110" t="n">
        <f aca="false">AE38*Hipótesis!$C$66/30</f>
        <v>84500.7051330577</v>
      </c>
      <c r="AF68" s="110" t="n">
        <f aca="false">AF38*Hipótesis!$C$66/30</f>
        <v>86512.1923127559</v>
      </c>
      <c r="AG68" s="110" t="n">
        <f aca="false">AG38*Hipótesis!$C$66/30</f>
        <v>88523.6794924541</v>
      </c>
      <c r="AH68" s="110" t="n">
        <f aca="false">AH38*Hipótesis!$C$66/30</f>
        <v>90535.1666721522</v>
      </c>
      <c r="AI68" s="110" t="n">
        <f aca="false">AI38*Hipótesis!$C$66/30</f>
        <v>92546.6538518504</v>
      </c>
      <c r="AJ68" s="110" t="n">
        <f aca="false">AJ38*Hipótesis!$C$66/30</f>
        <v>94558.1410315485</v>
      </c>
      <c r="AK68" s="110" t="n">
        <f aca="false">AK38*Hipótesis!$C$66/30</f>
        <v>96569.6282112467</v>
      </c>
      <c r="AL68" s="110" t="n">
        <f aca="false">AL38*Hipótesis!$C$66/30</f>
        <v>98581.1153909449</v>
      </c>
      <c r="AM68" s="110" t="n">
        <f aca="false">AM38*Hipótesis!$C$66/30</f>
        <v>100592.602570643</v>
      </c>
      <c r="AN68" s="110" t="n">
        <f aca="false">AN38*Hipótesis!$C$66/30</f>
        <v>102604.089750341</v>
      </c>
      <c r="AO68" s="110" t="n">
        <f aca="false">AO38*Hipótesis!$C$66/30</f>
        <v>104615.576930039</v>
      </c>
      <c r="AP68" s="110" t="n">
        <f aca="false">AP38*Hipótesis!$C$66/30</f>
        <v>106627.064109738</v>
      </c>
      <c r="AQ68" s="110" t="n">
        <f aca="false">AQ38*Hipótesis!$C$66/30</f>
        <v>108638.551289436</v>
      </c>
      <c r="AR68" s="110" t="n">
        <f aca="false">AR38*Hipótesis!$C$66/30</f>
        <v>110650.038469134</v>
      </c>
      <c r="AS68" s="110" t="n">
        <f aca="false">AS38*Hipótesis!$C$66/30</f>
        <v>110650.038469134</v>
      </c>
      <c r="AT68" s="110" t="n">
        <f aca="false">AT38*Hipótesis!$C$66/30</f>
        <v>110650.038469134</v>
      </c>
      <c r="AU68" s="110" t="n">
        <f aca="false">AU38*Hipótesis!$C$66/30</f>
        <v>110650.038469134</v>
      </c>
      <c r="AV68" s="110" t="n">
        <f aca="false">AV38*Hipótesis!$C$66/30</f>
        <v>110650.038469134</v>
      </c>
      <c r="AW68" s="110" t="n">
        <f aca="false">AW38*Hipótesis!$C$66/30</f>
        <v>110650.038469134</v>
      </c>
      <c r="AX68" s="110" t="n">
        <f aca="false">AX38*Hipótesis!$C$66/30</f>
        <v>110650.038469134</v>
      </c>
      <c r="AY68" s="110" t="n">
        <f aca="false">AY38*Hipótesis!$C$66/30</f>
        <v>110650.038469134</v>
      </c>
      <c r="AZ68" s="110" t="n">
        <f aca="false">AZ38*Hipótesis!$C$66/30</f>
        <v>110650.038469134</v>
      </c>
      <c r="BA68" s="110" t="n">
        <f aca="false">BA38*Hipótesis!$C$66/30</f>
        <v>110650.038469134</v>
      </c>
      <c r="BB68" s="110" t="n">
        <f aca="false">BB38*Hipótesis!$C$66/30</f>
        <v>110650.038469134</v>
      </c>
      <c r="BC68" s="110" t="n">
        <f aca="false">BC38*Hipótesis!$C$66/30</f>
        <v>110650.038469134</v>
      </c>
      <c r="BD68" s="110" t="n">
        <f aca="false">BD38*Hipótesis!$C$66/30</f>
        <v>110650.038469134</v>
      </c>
      <c r="BE68" s="110" t="n">
        <f aca="false">BE38*Hipótesis!$C$66/30</f>
        <v>110650.038469134</v>
      </c>
      <c r="BF68" s="110" t="n">
        <f aca="false">BF38*Hipótesis!$C$66/30</f>
        <v>110650.038469134</v>
      </c>
      <c r="BG68" s="110" t="n">
        <f aca="false">BG38*Hipótesis!$C$66/30</f>
        <v>110650.038469134</v>
      </c>
      <c r="BH68" s="110" t="n">
        <f aca="false">BH38*Hipótesis!$C$66/30</f>
        <v>110650.038469134</v>
      </c>
      <c r="BI68" s="110" t="n">
        <f aca="false">BI38*Hipótesis!$C$66/30</f>
        <v>110650.038469134</v>
      </c>
      <c r="BJ68" s="110" t="n">
        <f aca="false">BJ38*Hipótesis!$C$66/30</f>
        <v>110650.038469134</v>
      </c>
      <c r="BK68" s="110" t="n">
        <f aca="false">BK38*Hipótesis!$C$66/30</f>
        <v>110650.038469134</v>
      </c>
      <c r="BL68" s="110" t="n">
        <f aca="false">BL38*Hipótesis!$C$66/30</f>
        <v>110650.038469134</v>
      </c>
      <c r="BM68" s="110" t="n">
        <f aca="false">BM38*Hipótesis!$C$66/30</f>
        <v>110650.038469134</v>
      </c>
      <c r="BN68" s="110" t="n">
        <f aca="false">BN38*Hipótesis!$C$66/30</f>
        <v>110650.038469134</v>
      </c>
      <c r="BO68" s="110" t="n">
        <f aca="false">BO38*Hipótesis!$C$66/30</f>
        <v>110650.038469134</v>
      </c>
      <c r="BP68" s="110" t="n">
        <f aca="false">BP38*Hipótesis!$C$66/30</f>
        <v>110650.038469134</v>
      </c>
      <c r="BQ68" s="110" t="n">
        <f aca="false">BQ38*Hipótesis!$C$66/30</f>
        <v>110650.038469134</v>
      </c>
      <c r="BR68" s="110" t="n">
        <f aca="false">BR38*Hipótesis!$C$66/30</f>
        <v>110650.038469134</v>
      </c>
      <c r="BS68" s="110" t="n">
        <f aca="false">BS38*Hipótesis!$C$66/30</f>
        <v>110650.038469134</v>
      </c>
      <c r="BT68" s="110" t="n">
        <f aca="false">BT38*Hipótesis!$C$66/30</f>
        <v>110650.038469134</v>
      </c>
      <c r="BU68" s="110" t="n">
        <f aca="false">BU38*Hipótesis!$C$66/30</f>
        <v>110650.038469134</v>
      </c>
      <c r="BV68" s="110" t="n">
        <f aca="false">BV38*Hipótesis!$C$66/30</f>
        <v>110650.038469134</v>
      </c>
      <c r="BW68" s="110" t="n">
        <f aca="false">BW38*Hipótesis!$C$66/30</f>
        <v>110650.038469134</v>
      </c>
      <c r="BX68" s="110" t="n">
        <f aca="false">BX38*Hipótesis!$C$66/30</f>
        <v>110650.038469134</v>
      </c>
      <c r="BY68" s="110" t="n">
        <f aca="false">BY38*Hipótesis!$C$66/30</f>
        <v>110650.038469134</v>
      </c>
      <c r="BZ68" s="110" t="n">
        <f aca="false">BZ38*Hipótesis!$C$66/30</f>
        <v>110650.038469134</v>
      </c>
      <c r="CA68" s="110" t="n">
        <f aca="false">CA38*Hipótesis!$C$66/30</f>
        <v>110650.038469134</v>
      </c>
      <c r="CB68" s="110" t="n">
        <f aca="false">CB38*Hipótesis!$C$66/30</f>
        <v>110650.038469134</v>
      </c>
      <c r="CC68" s="110" t="n">
        <f aca="false">CC38*Hipótesis!$C$66/30</f>
        <v>110650.038469134</v>
      </c>
      <c r="CD68" s="110" t="n">
        <f aca="false">CD38*Hipótesis!$C$66/30</f>
        <v>110650.038469134</v>
      </c>
      <c r="CE68" s="110" t="n">
        <f aca="false">CE38*Hipótesis!$C$66/30</f>
        <v>110650.038469134</v>
      </c>
      <c r="CF68" s="110" t="n">
        <f aca="false">CF38*Hipótesis!$C$66/30</f>
        <v>110650.038469134</v>
      </c>
      <c r="CG68" s="110" t="n">
        <f aca="false">CG38*Hipótesis!$C$66/30</f>
        <v>110650.038469134</v>
      </c>
      <c r="CH68" s="110" t="n">
        <f aca="false">CH38*Hipótesis!$C$66/30</f>
        <v>110650.038469134</v>
      </c>
    </row>
    <row r="69" customFormat="false" ht="13.5" hidden="false" customHeight="true" outlineLevel="0" collapsed="false">
      <c r="A69" s="6" t="s">
        <v>571</v>
      </c>
      <c r="C69" s="110" t="n">
        <f aca="false">-C39*Hipótesis!$C$67/30</f>
        <v>106.083333333333</v>
      </c>
      <c r="D69" s="110" t="n">
        <f aca="false">-D39*Hipótesis!$C$67/30</f>
        <v>228.59431372549</v>
      </c>
      <c r="E69" s="110" t="n">
        <f aca="false">-E39*Hipótesis!$C$67/30</f>
        <v>567.492245648259</v>
      </c>
      <c r="F69" s="110" t="n">
        <f aca="false">-F39*Hipótesis!$C$67/30</f>
        <v>800.306844237695</v>
      </c>
      <c r="G69" s="110" t="n">
        <f aca="false">-G39*Hipótesis!$C$67/30</f>
        <v>1016.69379576831</v>
      </c>
      <c r="H69" s="110" t="n">
        <f aca="false">-H39*Hipótesis!$C$67/30</f>
        <v>1421.31420318127</v>
      </c>
      <c r="I69" s="110" t="n">
        <f aca="false">-I39*Hipótesis!$C$67/30</f>
        <v>2180.35623097262</v>
      </c>
      <c r="J69" s="110" t="n">
        <f aca="false">-J39*Hipótesis!$C$67/30</f>
        <v>2939.39825876396</v>
      </c>
      <c r="K69" s="110" t="n">
        <f aca="false">-K39*Hipótesis!$C$67/30</f>
        <v>3698.4402865553</v>
      </c>
      <c r="L69" s="110" t="n">
        <f aca="false">-L39*Hipótesis!$C$67/30</f>
        <v>4457.48231434665</v>
      </c>
      <c r="M69" s="110" t="n">
        <f aca="false">-M39*Hipótesis!$C$67/30</f>
        <v>5000.13739060738</v>
      </c>
      <c r="N69" s="110" t="n">
        <f aca="false">-N39*Hipótesis!$C$67/30</f>
        <v>5816.58658451517</v>
      </c>
      <c r="O69" s="110" t="n">
        <f aca="false">-O39*Hipótesis!$C$67/30</f>
        <v>6633.03577842296</v>
      </c>
      <c r="P69" s="110" t="n">
        <f aca="false">-P39*Hipótesis!$C$67/30</f>
        <v>7370.76916350722</v>
      </c>
      <c r="Q69" s="110" t="n">
        <f aca="false">-Q39*Hipótesis!$C$67/30</f>
        <v>8108.50254859148</v>
      </c>
      <c r="R69" s="110" t="n">
        <f aca="false">-R39*Hipótesis!$C$67/30</f>
        <v>8846.23593367574</v>
      </c>
      <c r="S69" s="110" t="n">
        <f aca="false">-S39*Hipótesis!$C$67/30</f>
        <v>9583.96931876</v>
      </c>
      <c r="T69" s="110" t="n">
        <f aca="false">-T39*Hipótesis!$C$67/30</f>
        <v>10321.7027038443</v>
      </c>
      <c r="U69" s="110" t="n">
        <f aca="false">-U39*Hipótesis!$C$67/30</f>
        <v>11059.4360889285</v>
      </c>
      <c r="V69" s="110" t="n">
        <f aca="false">-V39*Hipótesis!$C$67/30</f>
        <v>11797.1694740128</v>
      </c>
      <c r="W69" s="110" t="n">
        <f aca="false">-W39*Hipótesis!$C$67/30</f>
        <v>12534.902859097</v>
      </c>
      <c r="X69" s="110" t="n">
        <f aca="false">-X39*Hipótesis!$C$67/30</f>
        <v>12998.8421265342</v>
      </c>
      <c r="Y69" s="110" t="n">
        <f aca="false">-Y39*Hipótesis!$C$67/30</f>
        <v>13462.7813939714</v>
      </c>
      <c r="Z69" s="110" t="n">
        <f aca="false">-Z39*Hipótesis!$C$67/30</f>
        <v>13817.2030143498</v>
      </c>
      <c r="AA69" s="110" t="n">
        <f aca="false">-AA39*Hipótesis!$C$67/30</f>
        <v>14171.6246347282</v>
      </c>
      <c r="AB69" s="110" t="n">
        <f aca="false">-AB39*Hipótesis!$C$67/30</f>
        <v>14526.0462551066</v>
      </c>
      <c r="AC69" s="110" t="n">
        <f aca="false">-AC39*Hipótesis!$C$67/30</f>
        <v>14880.467875485</v>
      </c>
      <c r="AD69" s="110" t="n">
        <f aca="false">-AD39*Hipótesis!$C$67/30</f>
        <v>15234.8894958633</v>
      </c>
      <c r="AE69" s="110" t="n">
        <f aca="false">-AE39*Hipótesis!$C$67/30</f>
        <v>15589.3111162417</v>
      </c>
      <c r="AF69" s="110" t="n">
        <f aca="false">-AF39*Hipótesis!$C$67/30</f>
        <v>15943.7327366201</v>
      </c>
      <c r="AG69" s="110" t="n">
        <f aca="false">-AG39*Hipótesis!$C$67/30</f>
        <v>16298.1543569985</v>
      </c>
      <c r="AH69" s="110" t="n">
        <f aca="false">-AH39*Hipótesis!$C$67/30</f>
        <v>16652.5759773769</v>
      </c>
      <c r="AI69" s="110" t="n">
        <f aca="false">-AI39*Hipótesis!$C$67/30</f>
        <v>17006.9975977552</v>
      </c>
      <c r="AJ69" s="110" t="n">
        <f aca="false">-AJ39*Hipótesis!$C$67/30</f>
        <v>17361.4192181336</v>
      </c>
      <c r="AK69" s="110" t="n">
        <f aca="false">-AK39*Hipótesis!$C$67/30</f>
        <v>17715.840838512</v>
      </c>
      <c r="AL69" s="110" t="n">
        <f aca="false">-AL39*Hipótesis!$C$67/30</f>
        <v>18070.2624588904</v>
      </c>
      <c r="AM69" s="110" t="n">
        <f aca="false">-AM39*Hipótesis!$C$67/30</f>
        <v>18424.6840792687</v>
      </c>
      <c r="AN69" s="110" t="n">
        <f aca="false">-AN39*Hipótesis!$C$67/30</f>
        <v>18779.1056996471</v>
      </c>
      <c r="AO69" s="110" t="n">
        <f aca="false">-AO39*Hipótesis!$C$67/30</f>
        <v>19133.5273200255</v>
      </c>
      <c r="AP69" s="110" t="n">
        <f aca="false">-AP39*Hipótesis!$C$67/30</f>
        <v>19487.9489404039</v>
      </c>
      <c r="AQ69" s="110" t="n">
        <f aca="false">-AQ39*Hipótesis!$C$67/30</f>
        <v>19842.3705607823</v>
      </c>
      <c r="AR69" s="110" t="n">
        <f aca="false">-AR39*Hipótesis!$C$67/30</f>
        <v>20196.7921811606</v>
      </c>
      <c r="AS69" s="110" t="n">
        <f aca="false">-AS39*Hipótesis!$C$67/30</f>
        <v>20196.7921811606</v>
      </c>
      <c r="AT69" s="110" t="n">
        <f aca="false">-AT39*Hipótesis!$C$67/30</f>
        <v>20196.7921811606</v>
      </c>
      <c r="AU69" s="110" t="n">
        <f aca="false">-AU39*Hipótesis!$C$67/30</f>
        <v>20196.7921811606</v>
      </c>
      <c r="AV69" s="110" t="n">
        <f aca="false">-AV39*Hipótesis!$C$67/30</f>
        <v>20196.7921811606</v>
      </c>
      <c r="AW69" s="110" t="n">
        <f aca="false">-AW39*Hipótesis!$C$67/30</f>
        <v>20196.7921811606</v>
      </c>
      <c r="AX69" s="110" t="n">
        <f aca="false">-AX39*Hipótesis!$C$67/30</f>
        <v>20196.7921811606</v>
      </c>
      <c r="AY69" s="110" t="n">
        <f aca="false">-AY39*Hipótesis!$C$67/30</f>
        <v>20196.7921811606</v>
      </c>
      <c r="AZ69" s="110" t="n">
        <f aca="false">-AZ39*Hipótesis!$C$67/30</f>
        <v>20196.7921811606</v>
      </c>
      <c r="BA69" s="110" t="n">
        <f aca="false">-BA39*Hipótesis!$C$67/30</f>
        <v>20196.7921811606</v>
      </c>
      <c r="BB69" s="110" t="n">
        <f aca="false">-BB39*Hipótesis!$C$67/30</f>
        <v>20196.7921811606</v>
      </c>
      <c r="BC69" s="110" t="n">
        <f aca="false">-BC39*Hipótesis!$C$67/30</f>
        <v>20196.7921811606</v>
      </c>
      <c r="BD69" s="110" t="n">
        <f aca="false">-BD39*Hipótesis!$C$67/30</f>
        <v>20196.7921811606</v>
      </c>
      <c r="BE69" s="110" t="n">
        <f aca="false">-BE39*Hipótesis!$C$67/30</f>
        <v>20196.7921811606</v>
      </c>
      <c r="BF69" s="110" t="n">
        <f aca="false">-BF39*Hipótesis!$C$67/30</f>
        <v>20196.7921811606</v>
      </c>
      <c r="BG69" s="110" t="n">
        <f aca="false">-BG39*Hipótesis!$C$67/30</f>
        <v>20196.7921811606</v>
      </c>
      <c r="BH69" s="110" t="n">
        <f aca="false">-BH39*Hipótesis!$C$67/30</f>
        <v>20196.7921811606</v>
      </c>
      <c r="BI69" s="110" t="n">
        <f aca="false">-BI39*Hipótesis!$C$67/30</f>
        <v>20196.7921811606</v>
      </c>
      <c r="BJ69" s="110" t="n">
        <f aca="false">-BJ39*Hipótesis!$C$67/30</f>
        <v>20196.7921811606</v>
      </c>
      <c r="BK69" s="110" t="n">
        <f aca="false">-BK39*Hipótesis!$C$67/30</f>
        <v>20196.7921811606</v>
      </c>
      <c r="BL69" s="110" t="n">
        <f aca="false">-BL39*Hipótesis!$C$67/30</f>
        <v>20196.7921811606</v>
      </c>
      <c r="BM69" s="110" t="n">
        <f aca="false">-BM39*Hipótesis!$C$67/30</f>
        <v>20196.7921811606</v>
      </c>
      <c r="BN69" s="110" t="n">
        <f aca="false">-BN39*Hipótesis!$C$67/30</f>
        <v>20196.7921811606</v>
      </c>
      <c r="BO69" s="110" t="n">
        <f aca="false">-BO39*Hipótesis!$C$67/30</f>
        <v>20196.7921811606</v>
      </c>
      <c r="BP69" s="110" t="n">
        <f aca="false">-BP39*Hipótesis!$C$67/30</f>
        <v>20196.7921811606</v>
      </c>
      <c r="BQ69" s="110" t="n">
        <f aca="false">-BQ39*Hipótesis!$C$67/30</f>
        <v>20196.7921811606</v>
      </c>
      <c r="BR69" s="110" t="n">
        <f aca="false">-BR39*Hipótesis!$C$67/30</f>
        <v>20196.7921811606</v>
      </c>
      <c r="BS69" s="110" t="n">
        <f aca="false">-BS39*Hipótesis!$C$67/30</f>
        <v>20196.7921811606</v>
      </c>
      <c r="BT69" s="110" t="n">
        <f aca="false">-BT39*Hipótesis!$C$67/30</f>
        <v>20196.7921811606</v>
      </c>
      <c r="BU69" s="110" t="n">
        <f aca="false">-BU39*Hipótesis!$C$67/30</f>
        <v>20196.7921811606</v>
      </c>
      <c r="BV69" s="110" t="n">
        <f aca="false">-BV39*Hipótesis!$C$67/30</f>
        <v>20196.7921811606</v>
      </c>
      <c r="BW69" s="110" t="n">
        <f aca="false">-BW39*Hipótesis!$C$67/30</f>
        <v>20196.7921811606</v>
      </c>
      <c r="BX69" s="110" t="n">
        <f aca="false">-BX39*Hipótesis!$C$67/30</f>
        <v>20196.7921811606</v>
      </c>
      <c r="BY69" s="110" t="n">
        <f aca="false">-BY39*Hipótesis!$C$67/30</f>
        <v>20196.7921811606</v>
      </c>
      <c r="BZ69" s="110" t="n">
        <f aca="false">-BZ39*Hipótesis!$C$67/30</f>
        <v>20196.7921811606</v>
      </c>
      <c r="CA69" s="110" t="n">
        <f aca="false">-CA39*Hipótesis!$C$67/30</f>
        <v>20196.7921811606</v>
      </c>
      <c r="CB69" s="110" t="n">
        <f aca="false">-CB39*Hipótesis!$C$67/30</f>
        <v>20196.7921811606</v>
      </c>
      <c r="CC69" s="110" t="n">
        <f aca="false">-CC39*Hipótesis!$C$67/30</f>
        <v>20196.7921811606</v>
      </c>
      <c r="CD69" s="110" t="n">
        <f aca="false">-CD39*Hipótesis!$C$67/30</f>
        <v>20196.7921811606</v>
      </c>
      <c r="CE69" s="110" t="n">
        <f aca="false">-CE39*Hipótesis!$C$67/30</f>
        <v>20196.7921811606</v>
      </c>
      <c r="CF69" s="110" t="n">
        <f aca="false">-CF39*Hipótesis!$C$67/30</f>
        <v>20196.7921811606</v>
      </c>
      <c r="CG69" s="110" t="n">
        <f aca="false">-CG39*Hipótesis!$C$67/30</f>
        <v>20196.7921811606</v>
      </c>
      <c r="CH69" s="110" t="n">
        <f aca="false">-CH39*Hipótesis!$C$67/30</f>
        <v>20196.7921811606</v>
      </c>
    </row>
    <row r="70" customFormat="false" ht="13.5" hidden="false" customHeight="true" outlineLevel="0" collapsed="false">
      <c r="A70" s="22" t="s">
        <v>572</v>
      </c>
      <c r="C70" s="110" t="n">
        <f aca="false">C68*(1-Hipótesis!$D$73)-C69</f>
        <v>376.592666666667</v>
      </c>
      <c r="D70" s="110" t="n">
        <f aca="false">D68*(1-Hipótesis!$D$73)-D69</f>
        <v>774.34168627451</v>
      </c>
      <c r="E70" s="110" t="n">
        <f aca="false">E68*(1-Hipótesis!$D$73)-E69</f>
        <v>1521.42125435174</v>
      </c>
      <c r="F70" s="110" t="n">
        <f aca="false">F68*(1-Hipótesis!$D$73)-F69</f>
        <v>1891.90815576231</v>
      </c>
      <c r="G70" s="110" t="n">
        <f aca="false">G68*(1-Hipótesis!$D$73)-G69</f>
        <v>2241.23870423169</v>
      </c>
      <c r="H70" s="110" t="n">
        <f aca="false">H68*(1-Hipótesis!$D$73)-H69</f>
        <v>2746.85579681873</v>
      </c>
      <c r="I70" s="110" t="n">
        <f aca="false">I68*(1-Hipótesis!$D$73)-I69</f>
        <v>3702.64614090665</v>
      </c>
      <c r="J70" s="110" t="n">
        <f aca="false">J68*(1-Hipótesis!$D$73)-J69</f>
        <v>4658.43648499457</v>
      </c>
      <c r="K70" s="110" t="n">
        <f aca="false">K68*(1-Hipótesis!$D$73)-K69</f>
        <v>5614.22682908249</v>
      </c>
      <c r="L70" s="110" t="n">
        <f aca="false">L68*(1-Hipótesis!$D$73)-L69</f>
        <v>6570.01717317041</v>
      </c>
      <c r="M70" s="110" t="n">
        <f aca="false">M68*(1-Hipótesis!$D$73)-M69</f>
        <v>7176.47696878895</v>
      </c>
      <c r="N70" s="110" t="n">
        <f aca="false">N68*(1-Hipótesis!$D$73)-N69</f>
        <v>7978.94264676042</v>
      </c>
      <c r="O70" s="110" t="n">
        <f aca="false">O68*(1-Hipótesis!$D$73)-O69</f>
        <v>8781.4083247319</v>
      </c>
      <c r="P70" s="110" t="n">
        <f aca="false">P68*(1-Hipótesis!$D$73)-P69</f>
        <v>9493.4618115269</v>
      </c>
      <c r="Q70" s="110" t="n">
        <f aca="false">Q68*(1-Hipótesis!$D$73)-Q69</f>
        <v>10205.5152983219</v>
      </c>
      <c r="R70" s="110" t="n">
        <f aca="false">R68*(1-Hipótesis!$D$73)-R69</f>
        <v>10917.5687851169</v>
      </c>
      <c r="S70" s="110" t="n">
        <f aca="false">S68*(1-Hipótesis!$D$73)-S69</f>
        <v>11629.6222719119</v>
      </c>
      <c r="T70" s="110" t="n">
        <f aca="false">T68*(1-Hipótesis!$D$73)-T69</f>
        <v>12341.6757587069</v>
      </c>
      <c r="U70" s="110" t="n">
        <f aca="false">U68*(1-Hipótesis!$D$73)-U69</f>
        <v>13053.7292455019</v>
      </c>
      <c r="V70" s="110" t="n">
        <f aca="false">V68*(1-Hipótesis!$D$73)-V69</f>
        <v>13765.7827322969</v>
      </c>
      <c r="W70" s="110" t="n">
        <f aca="false">W68*(1-Hipótesis!$D$73)-W69</f>
        <v>14477.8362190919</v>
      </c>
      <c r="X70" s="110" t="n">
        <f aca="false">X68*(1-Hipótesis!$D$73)-X69</f>
        <v>14993.883823534</v>
      </c>
      <c r="Y70" s="110" t="n">
        <f aca="false">Y68*(1-Hipótesis!$D$73)-Y69</f>
        <v>15509.9314279761</v>
      </c>
      <c r="Z70" s="110" t="n">
        <f aca="false">Z68*(1-Hipótesis!$D$73)-Z69</f>
        <v>15960.104679477</v>
      </c>
      <c r="AA70" s="110" t="n">
        <f aca="false">AA68*(1-Hipótesis!$D$73)-AA69</f>
        <v>16410.2779309778</v>
      </c>
      <c r="AB70" s="110" t="n">
        <f aca="false">AB68*(1-Hipótesis!$D$73)-AB69</f>
        <v>16860.4511824787</v>
      </c>
      <c r="AC70" s="110" t="n">
        <f aca="false">AC68*(1-Hipótesis!$D$73)-AC69</f>
        <v>17310.6244339796</v>
      </c>
      <c r="AD70" s="110" t="n">
        <f aca="false">AD68*(1-Hipótesis!$D$73)-AD69</f>
        <v>17760.7976854805</v>
      </c>
      <c r="AE70" s="110" t="n">
        <f aca="false">AE68*(1-Hipótesis!$D$73)-AE69</f>
        <v>18210.9709369814</v>
      </c>
      <c r="AF70" s="110" t="n">
        <f aca="false">AF68*(1-Hipótesis!$D$73)-AF69</f>
        <v>18661.1441884823</v>
      </c>
      <c r="AG70" s="110" t="n">
        <f aca="false">AG68*(1-Hipótesis!$D$73)-AG69</f>
        <v>19111.3174399832</v>
      </c>
      <c r="AH70" s="110" t="n">
        <f aca="false">AH68*(1-Hipótesis!$D$73)-AH69</f>
        <v>19561.490691484</v>
      </c>
      <c r="AI70" s="110" t="n">
        <f aca="false">AI68*(1-Hipótesis!$D$73)-AI69</f>
        <v>20011.6639429849</v>
      </c>
      <c r="AJ70" s="110" t="n">
        <f aca="false">AJ68*(1-Hipótesis!$D$73)-AJ69</f>
        <v>20461.8371944858</v>
      </c>
      <c r="AK70" s="110" t="n">
        <f aca="false">AK68*(1-Hipótesis!$D$73)-AK69</f>
        <v>20912.0104459867</v>
      </c>
      <c r="AL70" s="110" t="n">
        <f aca="false">AL68*(1-Hipótesis!$D$73)-AL69</f>
        <v>21362.1836974876</v>
      </c>
      <c r="AM70" s="110" t="n">
        <f aca="false">AM68*(1-Hipótesis!$D$73)-AM69</f>
        <v>21812.3569489885</v>
      </c>
      <c r="AN70" s="110" t="n">
        <f aca="false">AN68*(1-Hipótesis!$D$73)-AN69</f>
        <v>22262.5302004894</v>
      </c>
      <c r="AO70" s="110" t="n">
        <f aca="false">AO68*(1-Hipótesis!$D$73)-AO69</f>
        <v>22712.7034519903</v>
      </c>
      <c r="AP70" s="110" t="n">
        <f aca="false">AP68*(1-Hipótesis!$D$73)-AP69</f>
        <v>23162.8767034911</v>
      </c>
      <c r="AQ70" s="110" t="n">
        <f aca="false">AQ68*(1-Hipótesis!$D$73)-AQ69</f>
        <v>23613.049954992</v>
      </c>
      <c r="AR70" s="110" t="n">
        <f aca="false">AR68*(1-Hipótesis!$D$73)-AR69</f>
        <v>24063.2232064929</v>
      </c>
      <c r="AS70" s="110" t="n">
        <f aca="false">AS68*(1-Hipótesis!$D$73)-AS69</f>
        <v>24063.2232064929</v>
      </c>
      <c r="AT70" s="110" t="n">
        <f aca="false">AT68*(1-Hipótesis!$D$73)-AT69</f>
        <v>24063.2232064929</v>
      </c>
      <c r="AU70" s="110" t="n">
        <f aca="false">AU68*(1-Hipótesis!$D$73)-AU69</f>
        <v>24063.2232064929</v>
      </c>
      <c r="AV70" s="110" t="n">
        <f aca="false">AV68*(1-Hipótesis!$D$73)-AV69</f>
        <v>24063.2232064929</v>
      </c>
      <c r="AW70" s="110" t="n">
        <f aca="false">AW68*(1-Hipótesis!$D$73)-AW69</f>
        <v>24063.2232064929</v>
      </c>
      <c r="AX70" s="110" t="n">
        <f aca="false">AX68*(1-Hipótesis!$D$73)-AX69</f>
        <v>24063.2232064929</v>
      </c>
      <c r="AY70" s="110" t="n">
        <f aca="false">AY68*(1-Hipótesis!$D$73)-AY69</f>
        <v>24063.2232064929</v>
      </c>
      <c r="AZ70" s="110" t="n">
        <f aca="false">AZ68*(1-Hipótesis!$D$73)-AZ69</f>
        <v>24063.2232064929</v>
      </c>
      <c r="BA70" s="110" t="n">
        <f aca="false">BA68*(1-Hipótesis!$D$73)-BA69</f>
        <v>24063.2232064929</v>
      </c>
      <c r="BB70" s="110" t="n">
        <f aca="false">BB68*(1-Hipótesis!$D$73)-BB69</f>
        <v>24063.2232064929</v>
      </c>
      <c r="BC70" s="110" t="n">
        <f aca="false">BC68*(1-Hipótesis!$D$73)-BC69</f>
        <v>24063.2232064929</v>
      </c>
      <c r="BD70" s="110" t="n">
        <f aca="false">BD68*(1-Hipótesis!$D$73)-BD69</f>
        <v>24063.2232064929</v>
      </c>
      <c r="BE70" s="110" t="n">
        <f aca="false">BE68*(1-Hipótesis!$D$73)-BE69</f>
        <v>24063.2232064929</v>
      </c>
      <c r="BF70" s="110" t="n">
        <f aca="false">BF68*(1-Hipótesis!$D$73)-BF69</f>
        <v>24063.2232064929</v>
      </c>
      <c r="BG70" s="110" t="n">
        <f aca="false">BG68*(1-Hipótesis!$D$73)-BG69</f>
        <v>24063.2232064929</v>
      </c>
      <c r="BH70" s="110" t="n">
        <f aca="false">BH68*(1-Hipótesis!$D$73)-BH69</f>
        <v>24063.2232064929</v>
      </c>
      <c r="BI70" s="110" t="n">
        <f aca="false">BI68*(1-Hipótesis!$D$73)-BI69</f>
        <v>24063.2232064929</v>
      </c>
      <c r="BJ70" s="110" t="n">
        <f aca="false">BJ68*(1-Hipótesis!$D$73)-BJ69</f>
        <v>24063.2232064929</v>
      </c>
      <c r="BK70" s="110" t="n">
        <f aca="false">BK68*(1-Hipótesis!$D$73)-BK69</f>
        <v>24063.2232064929</v>
      </c>
      <c r="BL70" s="110" t="n">
        <f aca="false">BL68*(1-Hipótesis!$D$73)-BL69</f>
        <v>24063.2232064929</v>
      </c>
      <c r="BM70" s="110" t="n">
        <f aca="false">BM68*(1-Hipótesis!$D$73)-BM69</f>
        <v>24063.2232064929</v>
      </c>
      <c r="BN70" s="110" t="n">
        <f aca="false">BN68*(1-Hipótesis!$D$73)-BN69</f>
        <v>24063.2232064929</v>
      </c>
      <c r="BO70" s="110" t="n">
        <f aca="false">BO68*(1-Hipótesis!$D$73)-BO69</f>
        <v>24063.2232064929</v>
      </c>
      <c r="BP70" s="110" t="n">
        <f aca="false">BP68*(1-Hipótesis!$D$73)-BP69</f>
        <v>24063.2232064929</v>
      </c>
      <c r="BQ70" s="110" t="n">
        <f aca="false">BQ68*(1-Hipótesis!$D$73)-BQ69</f>
        <v>24063.2232064929</v>
      </c>
      <c r="BR70" s="110" t="n">
        <f aca="false">BR68*(1-Hipótesis!$D$73)-BR69</f>
        <v>24063.2232064929</v>
      </c>
      <c r="BS70" s="110" t="n">
        <f aca="false">BS68*(1-Hipótesis!$D$73)-BS69</f>
        <v>24063.2232064929</v>
      </c>
      <c r="BT70" s="110" t="n">
        <f aca="false">BT68*(1-Hipótesis!$D$73)-BT69</f>
        <v>24063.2232064929</v>
      </c>
      <c r="BU70" s="110" t="n">
        <f aca="false">BU68*(1-Hipótesis!$D$73)-BU69</f>
        <v>24063.2232064929</v>
      </c>
      <c r="BV70" s="110" t="n">
        <f aca="false">BV68*(1-Hipótesis!$D$73)-BV69</f>
        <v>24063.2232064929</v>
      </c>
      <c r="BW70" s="110" t="n">
        <f aca="false">BW68*(1-Hipótesis!$D$73)-BW69</f>
        <v>24063.2232064929</v>
      </c>
      <c r="BX70" s="110" t="n">
        <f aca="false">BX68*(1-Hipótesis!$D$73)-BX69</f>
        <v>24063.2232064929</v>
      </c>
      <c r="BY70" s="110" t="n">
        <f aca="false">BY68*(1-Hipótesis!$D$73)-BY69</f>
        <v>24063.2232064929</v>
      </c>
      <c r="BZ70" s="110" t="n">
        <f aca="false">BZ68*(1-Hipótesis!$D$73)-BZ69</f>
        <v>24063.2232064929</v>
      </c>
      <c r="CA70" s="110" t="n">
        <f aca="false">CA68*(1-Hipótesis!$D$73)-CA69</f>
        <v>24063.2232064929</v>
      </c>
      <c r="CB70" s="110" t="n">
        <f aca="false">CB68*(1-Hipótesis!$D$73)-CB69</f>
        <v>24063.2232064929</v>
      </c>
      <c r="CC70" s="110" t="n">
        <f aca="false">CC68*(1-Hipótesis!$D$73)-CC69</f>
        <v>24063.2232064929</v>
      </c>
      <c r="CD70" s="110" t="n">
        <f aca="false">CD68*(1-Hipótesis!$D$73)-CD69</f>
        <v>24063.2232064929</v>
      </c>
      <c r="CE70" s="110" t="n">
        <f aca="false">CE68*(1-Hipótesis!$D$73)-CE69</f>
        <v>24063.2232064929</v>
      </c>
      <c r="CF70" s="110" t="n">
        <f aca="false">CF68*(1-Hipótesis!$D$73)-CF69</f>
        <v>24063.2232064929</v>
      </c>
      <c r="CG70" s="110" t="n">
        <f aca="false">CG68*(1-Hipótesis!$D$73)-CG69</f>
        <v>24063.2232064929</v>
      </c>
      <c r="CH70" s="110" t="n">
        <f aca="false">CH68*(1-Hipótesis!$D$73)-CH69</f>
        <v>24063.2232064929</v>
      </c>
    </row>
    <row r="71" customFormat="false" ht="13.5" hidden="false" customHeight="true" outlineLevel="0" collapsed="false">
      <c r="A71" s="6" t="s">
        <v>573</v>
      </c>
      <c r="C71" s="109" t="n">
        <f aca="false">-C70</f>
        <v>-376.592666666667</v>
      </c>
      <c r="D71" s="109" t="n">
        <f aca="false">-(D70-C70)</f>
        <v>-397.749019607843</v>
      </c>
      <c r="E71" s="109" t="n">
        <f aca="false">-(E70-D70)</f>
        <v>-747.079568077231</v>
      </c>
      <c r="F71" s="109" t="n">
        <f aca="false">-(F70-E70)</f>
        <v>-370.486901410565</v>
      </c>
      <c r="G71" s="109" t="n">
        <f aca="false">-(G70-F70)</f>
        <v>-349.330548469388</v>
      </c>
      <c r="H71" s="109" t="n">
        <f aca="false">-(H70-G70)</f>
        <v>-505.617092587035</v>
      </c>
      <c r="I71" s="109" t="n">
        <f aca="false">-(I70-H70)</f>
        <v>-955.790344087921</v>
      </c>
      <c r="J71" s="109" t="n">
        <f aca="false">-(J70-I70)</f>
        <v>-955.790344087921</v>
      </c>
      <c r="K71" s="109" t="n">
        <f aca="false">-(K70-J70)</f>
        <v>-955.790344087921</v>
      </c>
      <c r="L71" s="109" t="n">
        <f aca="false">-(L70-K70)</f>
        <v>-955.790344087921</v>
      </c>
      <c r="M71" s="109" t="n">
        <f aca="false">-(M70-L70)</f>
        <v>-606.459795618536</v>
      </c>
      <c r="N71" s="109" t="n">
        <f aca="false">-(N70-M70)</f>
        <v>-802.465677971473</v>
      </c>
      <c r="O71" s="109" t="n">
        <f aca="false">-(O70-N70)</f>
        <v>-802.465677971476</v>
      </c>
      <c r="P71" s="109" t="n">
        <f aca="false">-(P70-O70)</f>
        <v>-712.053486795006</v>
      </c>
      <c r="Q71" s="109" t="n">
        <f aca="false">-(Q70-P70)</f>
        <v>-712.053486795005</v>
      </c>
      <c r="R71" s="109" t="n">
        <f aca="false">-(R70-Q70)</f>
        <v>-712.053486795006</v>
      </c>
      <c r="S71" s="109" t="n">
        <f aca="false">-(S70-R70)</f>
        <v>-712.053486795003</v>
      </c>
      <c r="T71" s="109" t="n">
        <f aca="false">-(T70-S70)</f>
        <v>-712.053486794997</v>
      </c>
      <c r="U71" s="109" t="n">
        <f aca="false">-(U70-T70)</f>
        <v>-712.053486795008</v>
      </c>
      <c r="V71" s="109" t="n">
        <f aca="false">-(V70-U70)</f>
        <v>-712.053486795003</v>
      </c>
      <c r="W71" s="109" t="n">
        <f aca="false">-(W70-V70)</f>
        <v>-712.053486795003</v>
      </c>
      <c r="X71" s="109" t="n">
        <f aca="false">-(X70-W70)</f>
        <v>-516.047604442067</v>
      </c>
      <c r="Y71" s="109" t="n">
        <f aca="false">-(Y70-X70)</f>
        <v>-516.047604442068</v>
      </c>
      <c r="Z71" s="109" t="n">
        <f aca="false">-(Z70-Y70)</f>
        <v>-450.173251500886</v>
      </c>
      <c r="AA71" s="109" t="n">
        <f aca="false">-(AA70-Z70)</f>
        <v>-450.173251500884</v>
      </c>
      <c r="AB71" s="109" t="n">
        <f aca="false">-(AB70-AA70)</f>
        <v>-450.173251500888</v>
      </c>
      <c r="AC71" s="109" t="n">
        <f aca="false">-(AC70-AB70)</f>
        <v>-450.173251500888</v>
      </c>
      <c r="AD71" s="109" t="n">
        <f aca="false">-(AD70-AC70)</f>
        <v>-450.173251500884</v>
      </c>
      <c r="AE71" s="109" t="n">
        <f aca="false">-(AE70-AD70)</f>
        <v>-450.173251500877</v>
      </c>
      <c r="AF71" s="109" t="n">
        <f aca="false">-(AF70-AE70)</f>
        <v>-450.173251500895</v>
      </c>
      <c r="AG71" s="109" t="n">
        <f aca="false">-(AG70-AF70)</f>
        <v>-450.173251500884</v>
      </c>
      <c r="AH71" s="109" t="n">
        <f aca="false">-(AH70-AG70)</f>
        <v>-450.173251500892</v>
      </c>
      <c r="AI71" s="109" t="n">
        <f aca="false">-(AI70-AH70)</f>
        <v>-450.173251500888</v>
      </c>
      <c r="AJ71" s="109" t="n">
        <f aca="false">-(AJ70-AI70)</f>
        <v>-450.173251500877</v>
      </c>
      <c r="AK71" s="109" t="n">
        <f aca="false">-(AK70-AJ70)</f>
        <v>-450.173251500895</v>
      </c>
      <c r="AL71" s="109" t="n">
        <f aca="false">-(AL70-AK70)</f>
        <v>-450.173251500892</v>
      </c>
      <c r="AM71" s="109" t="n">
        <f aca="false">-(AM70-AL70)</f>
        <v>-450.173251500877</v>
      </c>
      <c r="AN71" s="109" t="n">
        <f aca="false">-(AN70-AM70)</f>
        <v>-450.173251500888</v>
      </c>
      <c r="AO71" s="109" t="n">
        <f aca="false">-(AO70-AN70)</f>
        <v>-450.173251500892</v>
      </c>
      <c r="AP71" s="109" t="n">
        <f aca="false">-(AP70-AO70)</f>
        <v>-450.173251500884</v>
      </c>
      <c r="AQ71" s="109" t="n">
        <f aca="false">-(AQ70-AP70)</f>
        <v>-450.173251500888</v>
      </c>
      <c r="AR71" s="109" t="n">
        <f aca="false">-(AR70-AQ70)</f>
        <v>-450.173251500884</v>
      </c>
      <c r="AS71" s="109" t="n">
        <f aca="false">-(AS70-AR70)</f>
        <v>-0</v>
      </c>
      <c r="AT71" s="109" t="n">
        <f aca="false">-(AT70-AS70)</f>
        <v>-0</v>
      </c>
      <c r="AU71" s="109" t="n">
        <f aca="false">-(AU70-AT70)</f>
        <v>-0</v>
      </c>
      <c r="AV71" s="109" t="n">
        <f aca="false">-(AV70-AU70)</f>
        <v>-0</v>
      </c>
      <c r="AW71" s="109" t="n">
        <f aca="false">-(AW70-AV70)</f>
        <v>-0</v>
      </c>
      <c r="AX71" s="109" t="n">
        <f aca="false">-(AX70-AW70)</f>
        <v>-0</v>
      </c>
      <c r="AY71" s="109" t="n">
        <f aca="false">-(AY70-AX70)</f>
        <v>-0</v>
      </c>
      <c r="AZ71" s="109" t="n">
        <f aca="false">-(AZ70-AY70)</f>
        <v>-0</v>
      </c>
      <c r="BA71" s="109" t="n">
        <f aca="false">-(BA70-AZ70)</f>
        <v>-0</v>
      </c>
      <c r="BB71" s="109" t="n">
        <f aca="false">-(BB70-BA70)</f>
        <v>-0</v>
      </c>
      <c r="BC71" s="109" t="n">
        <f aca="false">-(BC70-BB70)</f>
        <v>-0</v>
      </c>
      <c r="BD71" s="109" t="n">
        <f aca="false">-(BD70-BC70)</f>
        <v>-0</v>
      </c>
      <c r="BE71" s="109" t="n">
        <f aca="false">-(BE70-BD70)</f>
        <v>-0</v>
      </c>
      <c r="BF71" s="109" t="n">
        <f aca="false">-(BF70-BE70)</f>
        <v>-0</v>
      </c>
      <c r="BG71" s="109" t="n">
        <f aca="false">-(BG70-BF70)</f>
        <v>-0</v>
      </c>
      <c r="BH71" s="109" t="n">
        <f aca="false">-(BH70-BG70)</f>
        <v>-0</v>
      </c>
      <c r="BI71" s="109" t="n">
        <f aca="false">-(BI70-BH70)</f>
        <v>-0</v>
      </c>
      <c r="BJ71" s="109" t="n">
        <f aca="false">-(BJ70-BI70)</f>
        <v>-0</v>
      </c>
      <c r="BK71" s="109" t="n">
        <f aca="false">-(BK70-BJ70)</f>
        <v>-0</v>
      </c>
      <c r="BL71" s="109" t="n">
        <f aca="false">-(BL70-BK70)</f>
        <v>-0</v>
      </c>
      <c r="BM71" s="109" t="n">
        <f aca="false">-(BM70-BL70)</f>
        <v>-0</v>
      </c>
      <c r="BN71" s="109" t="n">
        <f aca="false">-(BN70-BM70)</f>
        <v>-0</v>
      </c>
      <c r="BO71" s="109" t="n">
        <f aca="false">-(BO70-BN70)</f>
        <v>-0</v>
      </c>
      <c r="BP71" s="109" t="n">
        <f aca="false">-(BP70-BO70)</f>
        <v>-0</v>
      </c>
      <c r="BQ71" s="109" t="n">
        <f aca="false">-(BQ70-BP70)</f>
        <v>-0</v>
      </c>
      <c r="BR71" s="109" t="n">
        <f aca="false">-(BR70-BQ70)</f>
        <v>-0</v>
      </c>
      <c r="BS71" s="109" t="n">
        <f aca="false">-(BS70-BR70)</f>
        <v>-0</v>
      </c>
      <c r="BT71" s="109" t="n">
        <f aca="false">-(BT70-BS70)</f>
        <v>-0</v>
      </c>
      <c r="BU71" s="109" t="n">
        <f aca="false">-(BU70-BT70)</f>
        <v>-0</v>
      </c>
      <c r="BV71" s="109" t="n">
        <f aca="false">-(BV70-BU70)</f>
        <v>-0</v>
      </c>
      <c r="BW71" s="109" t="n">
        <f aca="false">-(BW70-BV70)</f>
        <v>-0</v>
      </c>
      <c r="BX71" s="109" t="n">
        <f aca="false">-(BX70-BW70)</f>
        <v>-0</v>
      </c>
      <c r="BY71" s="109" t="n">
        <f aca="false">-(BY70-BX70)</f>
        <v>-0</v>
      </c>
      <c r="BZ71" s="109" t="n">
        <f aca="false">-(BZ70-BY70)</f>
        <v>-0</v>
      </c>
      <c r="CA71" s="109" t="n">
        <f aca="false">-(CA70-BZ70)</f>
        <v>-0</v>
      </c>
      <c r="CB71" s="109" t="n">
        <f aca="false">-(CB70-CA70)</f>
        <v>-0</v>
      </c>
      <c r="CC71" s="109" t="n">
        <f aca="false">-(CC70-CB70)</f>
        <v>-0</v>
      </c>
      <c r="CD71" s="109" t="n">
        <f aca="false">-(CD70-CC70)</f>
        <v>-0</v>
      </c>
      <c r="CE71" s="109" t="n">
        <f aca="false">-(CE70-CD70)</f>
        <v>-0</v>
      </c>
      <c r="CF71" s="109" t="n">
        <f aca="false">-(CF70-CE70)</f>
        <v>-0</v>
      </c>
      <c r="CG71" s="109" t="n">
        <f aca="false">-(CG70-CF70)</f>
        <v>-0</v>
      </c>
      <c r="CH71" s="109" t="n">
        <f aca="false">-(CH70-CG70)</f>
        <v>-0</v>
      </c>
    </row>
    <row r="72" customFormat="false" ht="13.5" hidden="false" customHeight="true" outlineLevel="0" collapsed="false">
      <c r="A72" s="6" t="s">
        <v>574</v>
      </c>
      <c r="C72" s="109" t="n">
        <f aca="false">-CAPEX!$E$22*CAPEX!$C$29</f>
        <v>-26151</v>
      </c>
      <c r="D72" s="109" t="n">
        <f aca="false">-CAPEX!$E$22*CAPEX!$D$29</f>
        <v>-12203.8</v>
      </c>
      <c r="E72" s="109" t="n">
        <f aca="false">-CAPEX!$E$22*CAPEX!$E$29</f>
        <v>-8717</v>
      </c>
      <c r="F72" s="109" t="n">
        <f aca="false">-CAPEX!$E$22*CAPEX!$F$29</f>
        <v>-7845.3</v>
      </c>
      <c r="G72" s="109" t="n">
        <f aca="false">-CAPEX!$E$22*CAPEX!$G$29</f>
        <v>-6973.6</v>
      </c>
      <c r="H72" s="109" t="n">
        <f aca="false">-CAPEX!$E$22*CAPEX!$H$29</f>
        <v>-6101.9</v>
      </c>
      <c r="I72" s="109" t="n">
        <f aca="false">-CAPEX!$E$22*CAPEX!$I$29</f>
        <v>-5230.2</v>
      </c>
      <c r="J72" s="109" t="n">
        <f aca="false">-CAPEX!$E$22*CAPEX!$J$29</f>
        <v>-4358.5</v>
      </c>
      <c r="K72" s="109" t="n">
        <f aca="false">-CAPEX!$E$22*CAPEX!$K$29</f>
        <v>-3486.8</v>
      </c>
      <c r="L72" s="109" t="n">
        <f aca="false">-CAPEX!$E$22*CAPEX!$L$29</f>
        <v>-2615.1</v>
      </c>
      <c r="M72" s="109" t="n">
        <f aca="false">-CAPEX!$E$22*CAPEX!$M$29</f>
        <v>-1743.4</v>
      </c>
      <c r="N72" s="109" t="n">
        <f aca="false">-CAPEX!$E$22*CAPEX!$N$29</f>
        <v>-1743.4</v>
      </c>
      <c r="O72" s="109" t="n">
        <f aca="false">0</f>
        <v>0</v>
      </c>
      <c r="P72" s="109" t="n">
        <f aca="false">0</f>
        <v>0</v>
      </c>
      <c r="Q72" s="109" t="n">
        <f aca="false">0</f>
        <v>0</v>
      </c>
      <c r="R72" s="109" t="n">
        <f aca="false">0</f>
        <v>0</v>
      </c>
      <c r="S72" s="109" t="n">
        <f aca="false">0</f>
        <v>0</v>
      </c>
      <c r="T72" s="109" t="n">
        <f aca="false">0</f>
        <v>0</v>
      </c>
      <c r="U72" s="109" t="n">
        <f aca="false">0</f>
        <v>0</v>
      </c>
      <c r="V72" s="109" t="n">
        <f aca="false">0</f>
        <v>0</v>
      </c>
      <c r="W72" s="109" t="n">
        <f aca="false">0</f>
        <v>0</v>
      </c>
      <c r="X72" s="109" t="n">
        <f aca="false">0</f>
        <v>0</v>
      </c>
      <c r="Y72" s="109" t="n">
        <f aca="false">0</f>
        <v>0</v>
      </c>
      <c r="Z72" s="109" t="n">
        <f aca="false">0</f>
        <v>0</v>
      </c>
      <c r="AA72" s="109" t="n">
        <f aca="false">0</f>
        <v>0</v>
      </c>
      <c r="AB72" s="109" t="n">
        <f aca="false">0</f>
        <v>0</v>
      </c>
      <c r="AC72" s="109" t="n">
        <f aca="false">0</f>
        <v>0</v>
      </c>
      <c r="AD72" s="109" t="n">
        <f aca="false">0</f>
        <v>0</v>
      </c>
      <c r="AE72" s="109" t="n">
        <f aca="false">0</f>
        <v>0</v>
      </c>
      <c r="AF72" s="109" t="n">
        <f aca="false">0</f>
        <v>0</v>
      </c>
      <c r="AG72" s="109" t="n">
        <f aca="false">0</f>
        <v>0</v>
      </c>
      <c r="AH72" s="109" t="n">
        <f aca="false">0</f>
        <v>0</v>
      </c>
      <c r="AI72" s="109" t="n">
        <f aca="false">0</f>
        <v>0</v>
      </c>
      <c r="AJ72" s="109" t="n">
        <f aca="false">0</f>
        <v>0</v>
      </c>
      <c r="AK72" s="109" t="n">
        <f aca="false">0</f>
        <v>0</v>
      </c>
      <c r="AL72" s="109" t="n">
        <f aca="false">0</f>
        <v>0</v>
      </c>
      <c r="AM72" s="109" t="n">
        <f aca="false">0</f>
        <v>0</v>
      </c>
      <c r="AN72" s="109" t="n">
        <f aca="false">0</f>
        <v>0</v>
      </c>
      <c r="AO72" s="109" t="n">
        <f aca="false">0</f>
        <v>0</v>
      </c>
      <c r="AP72" s="109" t="n">
        <f aca="false">0</f>
        <v>0</v>
      </c>
      <c r="AQ72" s="109" t="n">
        <f aca="false">0</f>
        <v>0</v>
      </c>
      <c r="AR72" s="109" t="n">
        <f aca="false">0</f>
        <v>0</v>
      </c>
      <c r="AS72" s="109" t="n">
        <f aca="false">0</f>
        <v>0</v>
      </c>
      <c r="AT72" s="109" t="n">
        <f aca="false">0</f>
        <v>0</v>
      </c>
      <c r="AU72" s="109" t="n">
        <f aca="false">0</f>
        <v>0</v>
      </c>
      <c r="AV72" s="109" t="n">
        <f aca="false">0</f>
        <v>0</v>
      </c>
      <c r="AW72" s="109" t="n">
        <f aca="false">0</f>
        <v>0</v>
      </c>
      <c r="AX72" s="109" t="n">
        <f aca="false">0</f>
        <v>0</v>
      </c>
      <c r="AY72" s="109" t="n">
        <f aca="false">0</f>
        <v>0</v>
      </c>
      <c r="AZ72" s="109" t="n">
        <f aca="false">0</f>
        <v>0</v>
      </c>
      <c r="BA72" s="109" t="n">
        <f aca="false">0</f>
        <v>0</v>
      </c>
      <c r="BB72" s="109" t="n">
        <f aca="false">0</f>
        <v>0</v>
      </c>
      <c r="BC72" s="109" t="n">
        <f aca="false">0</f>
        <v>0</v>
      </c>
      <c r="BD72" s="109" t="n">
        <f aca="false">0</f>
        <v>0</v>
      </c>
      <c r="BE72" s="109" t="n">
        <f aca="false">0</f>
        <v>0</v>
      </c>
      <c r="BF72" s="109" t="n">
        <f aca="false">0</f>
        <v>0</v>
      </c>
      <c r="BG72" s="109" t="n">
        <f aca="false">0</f>
        <v>0</v>
      </c>
      <c r="BH72" s="109" t="n">
        <f aca="false">0</f>
        <v>0</v>
      </c>
      <c r="BI72" s="109" t="n">
        <f aca="false">0</f>
        <v>0</v>
      </c>
      <c r="BJ72" s="109" t="n">
        <f aca="false">0</f>
        <v>0</v>
      </c>
      <c r="BK72" s="109" t="n">
        <f aca="false">0</f>
        <v>0</v>
      </c>
      <c r="BL72" s="109" t="n">
        <f aca="false">0</f>
        <v>0</v>
      </c>
      <c r="BM72" s="109" t="n">
        <f aca="false">0</f>
        <v>0</v>
      </c>
      <c r="BN72" s="109" t="n">
        <f aca="false">0</f>
        <v>0</v>
      </c>
      <c r="BO72" s="109" t="n">
        <f aca="false">0</f>
        <v>0</v>
      </c>
      <c r="BP72" s="109" t="n">
        <f aca="false">0</f>
        <v>0</v>
      </c>
      <c r="BQ72" s="109" t="n">
        <f aca="false">0</f>
        <v>0</v>
      </c>
      <c r="BR72" s="109" t="n">
        <f aca="false">0</f>
        <v>0</v>
      </c>
      <c r="BS72" s="109" t="n">
        <f aca="false">0</f>
        <v>0</v>
      </c>
      <c r="BT72" s="109" t="n">
        <f aca="false">0</f>
        <v>0</v>
      </c>
      <c r="BU72" s="109" t="n">
        <f aca="false">0</f>
        <v>0</v>
      </c>
      <c r="BV72" s="109" t="n">
        <f aca="false">0</f>
        <v>0</v>
      </c>
      <c r="BW72" s="109" t="n">
        <f aca="false">0</f>
        <v>0</v>
      </c>
      <c r="BX72" s="109" t="n">
        <f aca="false">0</f>
        <v>0</v>
      </c>
      <c r="BY72" s="109" t="n">
        <f aca="false">0</f>
        <v>0</v>
      </c>
      <c r="BZ72" s="109" t="n">
        <f aca="false">0</f>
        <v>0</v>
      </c>
      <c r="CA72" s="109" t="n">
        <f aca="false">0</f>
        <v>0</v>
      </c>
      <c r="CB72" s="109" t="n">
        <f aca="false">0</f>
        <v>0</v>
      </c>
      <c r="CC72" s="109" t="n">
        <f aca="false">0</f>
        <v>0</v>
      </c>
      <c r="CD72" s="109" t="n">
        <f aca="false">0</f>
        <v>0</v>
      </c>
      <c r="CE72" s="109" t="n">
        <f aca="false">0</f>
        <v>0</v>
      </c>
      <c r="CF72" s="109" t="n">
        <f aca="false">0</f>
        <v>0</v>
      </c>
      <c r="CG72" s="109" t="n">
        <f aca="false">0</f>
        <v>0</v>
      </c>
      <c r="CH72" s="109" t="n">
        <f aca="false">0</f>
        <v>0</v>
      </c>
    </row>
    <row r="73" customFormat="false" ht="13.5" hidden="false" customHeight="true" outlineLevel="0" collapsed="false">
      <c r="A73" s="6" t="s">
        <v>575</v>
      </c>
      <c r="C73" s="109" t="n">
        <f aca="false">-C36*Hipótesis!$D$68</f>
        <v>-20.1115</v>
      </c>
      <c r="D73" s="109" t="n">
        <f aca="false">-D36*Hipótesis!$D$68</f>
        <v>-41.789</v>
      </c>
      <c r="E73" s="109" t="n">
        <f aca="false">-E36*Hipótesis!$D$68</f>
        <v>-87.0380625</v>
      </c>
      <c r="F73" s="109" t="n">
        <f aca="false">-F36*Hipótesis!$D$68</f>
        <v>-112.175625</v>
      </c>
      <c r="G73" s="109" t="n">
        <f aca="false">-G36*Hipótesis!$D$68</f>
        <v>-135.7471875</v>
      </c>
      <c r="H73" s="109" t="n">
        <f aca="false">-H36*Hipótesis!$D$68</f>
        <v>-173.67375</v>
      </c>
      <c r="I73" s="109" t="n">
        <f aca="false">-I36*Hipótesis!$D$68</f>
        <v>-245.125098828303</v>
      </c>
      <c r="J73" s="109" t="n">
        <f aca="false">-J36*Hipótesis!$D$68</f>
        <v>-316.576447656605</v>
      </c>
      <c r="K73" s="109" t="n">
        <f aca="false">-K36*Hipótesis!$D$68</f>
        <v>-388.027796484908</v>
      </c>
      <c r="L73" s="109" t="n">
        <f aca="false">-L36*Hipótesis!$D$68</f>
        <v>-459.479145313211</v>
      </c>
      <c r="M73" s="109" t="n">
        <f aca="false">-M36*Hipótesis!$D$68</f>
        <v>-507.358931641514</v>
      </c>
      <c r="N73" s="109" t="n">
        <f aca="false">-N36*Hipótesis!$D$68</f>
        <v>-574.813717969816</v>
      </c>
      <c r="O73" s="109" t="n">
        <f aca="false">-O36*Hipótesis!$D$68</f>
        <v>-642.268504298119</v>
      </c>
      <c r="P73" s="109" t="n">
        <f aca="false">-P36*Hipótesis!$D$68</f>
        <v>-702.676290626422</v>
      </c>
      <c r="Q73" s="109" t="n">
        <f aca="false">-Q36*Hipótesis!$D$68</f>
        <v>-763.084076954724</v>
      </c>
      <c r="R73" s="109" t="n">
        <f aca="false">-R36*Hipótesis!$D$68</f>
        <v>-823.491863283027</v>
      </c>
      <c r="S73" s="109" t="n">
        <f aca="false">-S36*Hipótesis!$D$68</f>
        <v>-883.89964961133</v>
      </c>
      <c r="T73" s="109" t="n">
        <f aca="false">-T36*Hipótesis!$D$68</f>
        <v>-944.307435939633</v>
      </c>
      <c r="U73" s="109" t="n">
        <f aca="false">-U36*Hipótesis!$D$68</f>
        <v>-1004.71522226794</v>
      </c>
      <c r="V73" s="109" t="n">
        <f aca="false">-V36*Hipótesis!$D$68</f>
        <v>-1065.12300859624</v>
      </c>
      <c r="W73" s="109" t="n">
        <f aca="false">-W36*Hipótesis!$D$68</f>
        <v>-1125.53079492454</v>
      </c>
      <c r="X73" s="109" t="n">
        <f aca="false">-X36*Hipótesis!$D$68</f>
        <v>-1166.36358125284</v>
      </c>
      <c r="Y73" s="109" t="n">
        <f aca="false">-Y36*Hipótesis!$D$68</f>
        <v>-1207.19636758115</v>
      </c>
      <c r="Z73" s="109" t="n">
        <f aca="false">-Z36*Hipótesis!$D$68</f>
        <v>-1240.72115390945</v>
      </c>
      <c r="AA73" s="109" t="n">
        <f aca="false">-AA36*Hipótesis!$D$68</f>
        <v>-1274.24594023775</v>
      </c>
      <c r="AB73" s="109" t="n">
        <f aca="false">-AB36*Hipótesis!$D$68</f>
        <v>-1307.77072656605</v>
      </c>
      <c r="AC73" s="109" t="n">
        <f aca="false">-AC36*Hipótesis!$D$68</f>
        <v>-1341.29551289436</v>
      </c>
      <c r="AD73" s="109" t="n">
        <f aca="false">-AD36*Hipótesis!$D$68</f>
        <v>-1374.82029922266</v>
      </c>
      <c r="AE73" s="109" t="n">
        <f aca="false">-AE36*Hipótesis!$D$68</f>
        <v>-1408.34508555096</v>
      </c>
      <c r="AF73" s="109" t="n">
        <f aca="false">-AF36*Hipótesis!$D$68</f>
        <v>-1441.86987187926</v>
      </c>
      <c r="AG73" s="109" t="n">
        <f aca="false">-AG36*Hipótesis!$D$68</f>
        <v>-1475.39465820757</v>
      </c>
      <c r="AH73" s="109" t="n">
        <f aca="false">-AH36*Hipótesis!$D$68</f>
        <v>-1508.91944453587</v>
      </c>
      <c r="AI73" s="109" t="n">
        <f aca="false">-AI36*Hipótesis!$D$68</f>
        <v>-1542.44423086417</v>
      </c>
      <c r="AJ73" s="109" t="n">
        <f aca="false">-AJ36*Hipótesis!$D$68</f>
        <v>-1575.96901719248</v>
      </c>
      <c r="AK73" s="109" t="n">
        <f aca="false">-AK36*Hipótesis!$D$68</f>
        <v>-1609.49380352078</v>
      </c>
      <c r="AL73" s="109" t="n">
        <f aca="false">-AL36*Hipótesis!$D$68</f>
        <v>-1643.01858984908</v>
      </c>
      <c r="AM73" s="109" t="n">
        <f aca="false">-AM36*Hipótesis!$D$68</f>
        <v>-1676.54337617738</v>
      </c>
      <c r="AN73" s="109" t="n">
        <f aca="false">-AN36*Hipótesis!$D$68</f>
        <v>-1710.06816250569</v>
      </c>
      <c r="AO73" s="109" t="n">
        <f aca="false">-AO36*Hipótesis!$D$68</f>
        <v>-1743.59294883399</v>
      </c>
      <c r="AP73" s="109" t="n">
        <f aca="false">-AP36*Hipótesis!$D$68</f>
        <v>-1777.11773516229</v>
      </c>
      <c r="AQ73" s="109" t="n">
        <f aca="false">-AQ36*Hipótesis!$D$68</f>
        <v>-1810.6425214906</v>
      </c>
      <c r="AR73" s="109" t="n">
        <f aca="false">-AR36*Hipótesis!$D$68</f>
        <v>-1844.1673078189</v>
      </c>
      <c r="AS73" s="109" t="n">
        <f aca="false">-AS36*Hipótesis!$D$68</f>
        <v>-1844.1673078189</v>
      </c>
      <c r="AT73" s="109" t="n">
        <f aca="false">-AT36*Hipótesis!$D$68</f>
        <v>-1844.1673078189</v>
      </c>
      <c r="AU73" s="109" t="n">
        <f aca="false">-AU36*Hipótesis!$D$68</f>
        <v>-1844.1673078189</v>
      </c>
      <c r="AV73" s="109" t="n">
        <f aca="false">-AV36*Hipótesis!$D$68</f>
        <v>-1844.1673078189</v>
      </c>
      <c r="AW73" s="109" t="n">
        <f aca="false">-AW36*Hipótesis!$D$68</f>
        <v>-1844.1673078189</v>
      </c>
      <c r="AX73" s="109" t="n">
        <f aca="false">-AX36*Hipótesis!$D$68</f>
        <v>-1844.1673078189</v>
      </c>
      <c r="AY73" s="109" t="n">
        <f aca="false">-AY36*Hipótesis!$D$68</f>
        <v>-1844.1673078189</v>
      </c>
      <c r="AZ73" s="109" t="n">
        <f aca="false">-AZ36*Hipótesis!$D$68</f>
        <v>-1844.1673078189</v>
      </c>
      <c r="BA73" s="109" t="n">
        <f aca="false">-BA36*Hipótesis!$D$68</f>
        <v>-1844.1673078189</v>
      </c>
      <c r="BB73" s="109" t="n">
        <f aca="false">-BB36*Hipótesis!$D$68</f>
        <v>-1844.1673078189</v>
      </c>
      <c r="BC73" s="109" t="n">
        <f aca="false">-BC36*Hipótesis!$D$68</f>
        <v>-1844.1673078189</v>
      </c>
      <c r="BD73" s="109" t="n">
        <f aca="false">-BD36*Hipótesis!$D$68</f>
        <v>-1844.1673078189</v>
      </c>
      <c r="BE73" s="109" t="n">
        <f aca="false">-BE36*Hipótesis!$D$68</f>
        <v>-1844.1673078189</v>
      </c>
      <c r="BF73" s="109" t="n">
        <f aca="false">-BF36*Hipótesis!$D$68</f>
        <v>-1844.1673078189</v>
      </c>
      <c r="BG73" s="109" t="n">
        <f aca="false">-BG36*Hipótesis!$D$68</f>
        <v>-1844.1673078189</v>
      </c>
      <c r="BH73" s="109" t="n">
        <f aca="false">-BH36*Hipótesis!$D$68</f>
        <v>-1844.1673078189</v>
      </c>
      <c r="BI73" s="109" t="n">
        <f aca="false">-BI36*Hipótesis!$D$68</f>
        <v>-1844.1673078189</v>
      </c>
      <c r="BJ73" s="109" t="n">
        <f aca="false">-BJ36*Hipótesis!$D$68</f>
        <v>-1844.1673078189</v>
      </c>
      <c r="BK73" s="109" t="n">
        <f aca="false">-BK36*Hipótesis!$D$68</f>
        <v>-1844.1673078189</v>
      </c>
      <c r="BL73" s="109" t="n">
        <f aca="false">-BL36*Hipótesis!$D$68</f>
        <v>-1844.1673078189</v>
      </c>
      <c r="BM73" s="109" t="n">
        <f aca="false">-BM36*Hipótesis!$D$68</f>
        <v>-1844.1673078189</v>
      </c>
      <c r="BN73" s="109" t="n">
        <f aca="false">-BN36*Hipótesis!$D$68</f>
        <v>-1844.1673078189</v>
      </c>
      <c r="BO73" s="109" t="n">
        <f aca="false">-BO36*Hipótesis!$D$68</f>
        <v>-1844.1673078189</v>
      </c>
      <c r="BP73" s="109" t="n">
        <f aca="false">-BP36*Hipótesis!$D$68</f>
        <v>-1844.1673078189</v>
      </c>
      <c r="BQ73" s="109" t="n">
        <f aca="false">-BQ36*Hipótesis!$D$68</f>
        <v>-1844.1673078189</v>
      </c>
      <c r="BR73" s="109" t="n">
        <f aca="false">-BR36*Hipótesis!$D$68</f>
        <v>-1844.1673078189</v>
      </c>
      <c r="BS73" s="109" t="n">
        <f aca="false">-BS36*Hipótesis!$D$68</f>
        <v>-1844.1673078189</v>
      </c>
      <c r="BT73" s="109" t="n">
        <f aca="false">-BT36*Hipótesis!$D$68</f>
        <v>-1844.1673078189</v>
      </c>
      <c r="BU73" s="109" t="n">
        <f aca="false">-BU36*Hipótesis!$D$68</f>
        <v>-1844.1673078189</v>
      </c>
      <c r="BV73" s="109" t="n">
        <f aca="false">-BV36*Hipótesis!$D$68</f>
        <v>-1844.1673078189</v>
      </c>
      <c r="BW73" s="109" t="n">
        <f aca="false">-BW36*Hipótesis!$D$68</f>
        <v>-1844.1673078189</v>
      </c>
      <c r="BX73" s="109" t="n">
        <f aca="false">-BX36*Hipótesis!$D$68</f>
        <v>-1844.1673078189</v>
      </c>
      <c r="BY73" s="109" t="n">
        <f aca="false">-BY36*Hipótesis!$D$68</f>
        <v>-1844.1673078189</v>
      </c>
      <c r="BZ73" s="109" t="n">
        <f aca="false">-BZ36*Hipótesis!$D$68</f>
        <v>-1844.1673078189</v>
      </c>
      <c r="CA73" s="109" t="n">
        <f aca="false">-CA36*Hipótesis!$D$68</f>
        <v>-1844.1673078189</v>
      </c>
      <c r="CB73" s="109" t="n">
        <f aca="false">-CB36*Hipótesis!$D$68</f>
        <v>-1844.1673078189</v>
      </c>
      <c r="CC73" s="109" t="n">
        <f aca="false">-CC36*Hipótesis!$D$68</f>
        <v>-1844.1673078189</v>
      </c>
      <c r="CD73" s="109" t="n">
        <f aca="false">-CD36*Hipótesis!$D$68</f>
        <v>-1844.1673078189</v>
      </c>
      <c r="CE73" s="109" t="n">
        <f aca="false">-CE36*Hipótesis!$D$68</f>
        <v>-1844.1673078189</v>
      </c>
      <c r="CF73" s="109" t="n">
        <f aca="false">-CF36*Hipótesis!$D$68</f>
        <v>-1844.1673078189</v>
      </c>
      <c r="CG73" s="109" t="n">
        <f aca="false">-CG36*Hipótesis!$D$68</f>
        <v>-1844.1673078189</v>
      </c>
      <c r="CH73" s="109" t="n">
        <f aca="false">-CH36*Hipótesis!$D$68</f>
        <v>-1844.1673078189</v>
      </c>
    </row>
    <row r="74" customFormat="false" ht="13.5" hidden="false" customHeight="true" outlineLevel="0" collapsed="false">
      <c r="A74" s="22" t="s">
        <v>576</v>
      </c>
      <c r="C74" s="109" t="n">
        <f aca="false">C66+C67+C71+C72+C73</f>
        <v>-41188.3498865358</v>
      </c>
      <c r="D74" s="109" t="n">
        <f aca="false">D66+D67+D71+D72+D73</f>
        <v>-26471.1158473755</v>
      </c>
      <c r="E74" s="109" t="n">
        <f aca="false">E66+E67+E71+E72+E73</f>
        <v>-21759.7968803169</v>
      </c>
      <c r="F74" s="109" t="n">
        <f aca="false">F66+F67+F71+F72+F73</f>
        <v>-19678.8974782531</v>
      </c>
      <c r="G74" s="109" t="n">
        <f aca="false">G66+G67+G71+G72+G73</f>
        <v>-18003.3820018854</v>
      </c>
      <c r="H74" s="109" t="n">
        <f aca="false">H66+H67+H71+H72+H73</f>
        <v>-16090.898035414</v>
      </c>
      <c r="I74" s="109" t="n">
        <f aca="false">I66+I67+I71+I72+I73</f>
        <v>-13403.9405085108</v>
      </c>
      <c r="J74" s="109" t="n">
        <f aca="false">J66+J67+J71+J72+J73</f>
        <v>-10266.8097301067</v>
      </c>
      <c r="K74" s="109" t="n">
        <f aca="false">K66+K67+K71+K72+K73</f>
        <v>-7129.67895170265</v>
      </c>
      <c r="L74" s="109" t="n">
        <f aca="false">L66+L67+L71+L72+L73</f>
        <v>-3992.54817329858</v>
      </c>
      <c r="M74" s="109" t="n">
        <f aca="false">M66+M67+M71+M72+M73</f>
        <v>-1288.74596985166</v>
      </c>
      <c r="N74" s="109" t="n">
        <f aca="false">N66+N67+N71+N72+N73</f>
        <v>-1700.6199977179</v>
      </c>
      <c r="O74" s="109" t="n">
        <f aca="false">O66+O67+O71+O72+O73</f>
        <v>-3223.60814323121</v>
      </c>
      <c r="P74" s="109" t="n">
        <f aca="false">P66+P67+P71+P72+P73</f>
        <v>-1324.29940492693</v>
      </c>
      <c r="Q74" s="109" t="n">
        <f aca="false">Q66+Q67+Q71+Q72+Q73</f>
        <v>-1826.72285779911</v>
      </c>
      <c r="R74" s="109" t="n">
        <f aca="false">R66+R67+R71+R72+R73</f>
        <v>-17.8263106713007</v>
      </c>
      <c r="S74" s="109" t="n">
        <f aca="false">S66+S67+S71+S72+S73</f>
        <v>1544.6831519671</v>
      </c>
      <c r="T74" s="109" t="n">
        <f aca="false">T66+T67+T71+T72+T73</f>
        <v>1108.56192646254</v>
      </c>
      <c r="U74" s="109" t="n">
        <f aca="false">U66+U67+U71+U72+U73</f>
        <v>2644.28714940908</v>
      </c>
      <c r="V74" s="109" t="n">
        <f aca="false">V66+V67+V71+V72+V73</f>
        <v>1859.50272842883</v>
      </c>
      <c r="W74" s="109" t="n">
        <f aca="false">W66+W67+W71+W72+W73</f>
        <v>3394.71709470064</v>
      </c>
      <c r="X74" s="109" t="n">
        <f aca="false">X66+X67+X71+X72+X73</f>
        <v>2690.37196775481</v>
      </c>
      <c r="Y74" s="109" t="n">
        <f aca="false">Y66+Y67+Y71+Y72+Y73</f>
        <v>3762.03829363624</v>
      </c>
      <c r="Z74" s="109" t="n">
        <f aca="false">Z66+Z67+Z71+Z72+Z73</f>
        <v>4733.19566997893</v>
      </c>
      <c r="AA74" s="109" t="n">
        <f aca="false">AA66+AA67+AA71+AA72+AA73</f>
        <v>3573.12057422333</v>
      </c>
      <c r="AB74" s="109" t="n">
        <f aca="false">AB66+AB67+AB71+AB72+AB73</f>
        <v>4478.81950442234</v>
      </c>
      <c r="AC74" s="109" t="n">
        <f aca="false">AC66+AC67+AC71+AC72+AC73</f>
        <v>5383.90259558547</v>
      </c>
      <c r="AD74" s="109" t="n">
        <f aca="false">AD66+AD67+AD71+AD72+AD73</f>
        <v>6289.27327869989</v>
      </c>
      <c r="AE74" s="109" t="n">
        <f aca="false">AE66+AE67+AE71+AE72+AE73</f>
        <v>5165.25193296106</v>
      </c>
      <c r="AF74" s="109" t="n">
        <f aca="false">AF66+AF67+AF71+AF72+AF73</f>
        <v>6071.93322602222</v>
      </c>
      <c r="AG74" s="109" t="n">
        <f aca="false">AG66+AG67+AG71+AG72+AG73</f>
        <v>6978.6145190834</v>
      </c>
      <c r="AH74" s="109" t="n">
        <f aca="false">AH66+AH67+AH71+AH72+AH73</f>
        <v>7885.29581214458</v>
      </c>
      <c r="AI74" s="109" t="n">
        <f aca="false">AI66+AI67+AI71+AI72+AI73</f>
        <v>8791.97710520575</v>
      </c>
      <c r="AJ74" s="109" t="n">
        <f aca="false">AJ66+AJ67+AJ71+AJ72+AJ73</f>
        <v>9698.65839826693</v>
      </c>
      <c r="AK74" s="109" t="n">
        <f aca="false">AK66+AK67+AK71+AK72+AK73</f>
        <v>10605.3396913281</v>
      </c>
      <c r="AL74" s="109" t="n">
        <f aca="false">AL66+AL67+AL71+AL72+AL73</f>
        <v>11512.0209843893</v>
      </c>
      <c r="AM74" s="109" t="n">
        <f aca="false">AM66+AM67+AM71+AM72+AM73</f>
        <v>7202.03693537137</v>
      </c>
      <c r="AN74" s="109" t="n">
        <f aca="false">AN66+AN67+AN71+AN72+AN73</f>
        <v>8000.93224526332</v>
      </c>
      <c r="AO74" s="109" t="n">
        <f aca="false">AO66+AO67+AO71+AO72+AO73</f>
        <v>8799.82755515529</v>
      </c>
      <c r="AP74" s="109" t="n">
        <f aca="false">AP66+AP67+AP71+AP72+AP73</f>
        <v>9598.72286504725</v>
      </c>
      <c r="AQ74" s="109" t="n">
        <f aca="false">AQ66+AQ67+AQ71+AQ72+AQ73</f>
        <v>10397.6181749392</v>
      </c>
      <c r="AR74" s="109" t="n">
        <f aca="false">AR66+AR67+AR71+AR72+AR73</f>
        <v>11196.5134848312</v>
      </c>
      <c r="AS74" s="109" t="n">
        <f aca="false">AS66+AS67+AS71+AS72+AS73</f>
        <v>11645.2978474432</v>
      </c>
      <c r="AT74" s="109" t="n">
        <f aca="false">AT66+AT67+AT71+AT72+AT73</f>
        <v>11643.9089585543</v>
      </c>
      <c r="AU74" s="109" t="n">
        <f aca="false">AU66+AU67+AU71+AU72+AU73</f>
        <v>11642.5200696654</v>
      </c>
      <c r="AV74" s="109" t="n">
        <f aca="false">AV66+AV67+AV71+AV72+AV73</f>
        <v>11641.1311807765</v>
      </c>
      <c r="AW74" s="109" t="n">
        <f aca="false">AW66+AW67+AW71+AW72+AW73</f>
        <v>11639.7422918876</v>
      </c>
      <c r="AX74" s="109" t="n">
        <f aca="false">AX66+AX67+AX71+AX72+AX73</f>
        <v>11638.3534029987</v>
      </c>
      <c r="AY74" s="109" t="n">
        <f aca="false">AY66+AY67+AY71+AY72+AY73</f>
        <v>9678.14551789664</v>
      </c>
      <c r="AZ74" s="109" t="n">
        <f aca="false">AZ66+AZ67+AZ71+AZ72+AZ73</f>
        <v>9676.75662900775</v>
      </c>
      <c r="BA74" s="109" t="n">
        <f aca="false">BA66+BA67+BA71+BA72+BA73</f>
        <v>9675.36774011886</v>
      </c>
      <c r="BB74" s="109" t="n">
        <f aca="false">BB66+BB67+BB71+BB72+BB73</f>
        <v>9673.97885122997</v>
      </c>
      <c r="BC74" s="109" t="n">
        <f aca="false">BC66+BC67+BC71+BC72+BC73</f>
        <v>9672.58996234108</v>
      </c>
      <c r="BD74" s="109" t="n">
        <f aca="false">BD66+BD67+BD71+BD72+BD73</f>
        <v>9671.20107345219</v>
      </c>
      <c r="BE74" s="109" t="n">
        <f aca="false">BE66+BE67+BE71+BE72+BE73</f>
        <v>9669.81218456331</v>
      </c>
      <c r="BF74" s="109" t="n">
        <f aca="false">BF66+BF67+BF71+BF72+BF73</f>
        <v>9668.42329567442</v>
      </c>
      <c r="BG74" s="109" t="n">
        <f aca="false">BG66+BG67+BG71+BG72+BG73</f>
        <v>9667.03440678553</v>
      </c>
      <c r="BH74" s="109" t="n">
        <f aca="false">BH66+BH67+BH71+BH72+BH73</f>
        <v>9665.64551789664</v>
      </c>
      <c r="BI74" s="109" t="n">
        <f aca="false">BI66+BI67+BI71+BI72+BI73</f>
        <v>9664.25662900775</v>
      </c>
      <c r="BJ74" s="109" t="n">
        <f aca="false">BJ66+BJ67+BJ71+BJ72+BJ73</f>
        <v>9662.86774011886</v>
      </c>
      <c r="BK74" s="109" t="n">
        <f aca="false">BK66+BK67+BK71+BK72+BK73</f>
        <v>7688.74228513038</v>
      </c>
      <c r="BL74" s="109" t="n">
        <f aca="false">BL66+BL67+BL71+BL72+BL73</f>
        <v>7687.35339624149</v>
      </c>
      <c r="BM74" s="109" t="n">
        <f aca="false">BM66+BM67+BM71+BM72+BM73</f>
        <v>7685.9645073526</v>
      </c>
      <c r="BN74" s="109" t="n">
        <f aca="false">BN66+BN67+BN71+BN72+BN73</f>
        <v>7684.57561846371</v>
      </c>
      <c r="BO74" s="109" t="n">
        <f aca="false">BO66+BO67+BO71+BO72+BO73</f>
        <v>7683.18672957482</v>
      </c>
      <c r="BP74" s="109" t="n">
        <f aca="false">BP66+BP67+BP71+BP72+BP73</f>
        <v>7681.79784068593</v>
      </c>
      <c r="BQ74" s="109" t="n">
        <f aca="false">BQ66+BQ67+BQ71+BQ72+BQ73</f>
        <v>7680.40895179704</v>
      </c>
      <c r="BR74" s="109" t="n">
        <f aca="false">BR66+BR67+BR71+BR72+BR73</f>
        <v>7679.02006290816</v>
      </c>
      <c r="BS74" s="109" t="n">
        <f aca="false">BS66+BS67+BS71+BS72+BS73</f>
        <v>7677.63117401927</v>
      </c>
      <c r="BT74" s="109" t="n">
        <f aca="false">BT66+BT67+BT71+BT72+BT73</f>
        <v>7676.24228513038</v>
      </c>
      <c r="BU74" s="109" t="n">
        <f aca="false">BU66+BU67+BU71+BU72+BU73</f>
        <v>7674.85339624149</v>
      </c>
      <c r="BV74" s="109" t="n">
        <f aca="false">BV66+BV67+BV71+BV72+BV73</f>
        <v>7673.4645073526</v>
      </c>
      <c r="BW74" s="109" t="n">
        <f aca="false">BW66+BW67+BW71+BW72+BW73</f>
        <v>5685.00395538112</v>
      </c>
      <c r="BX74" s="109" t="n">
        <f aca="false">BX66+BX67+BX71+BX72+BX73</f>
        <v>5683.61506649224</v>
      </c>
      <c r="BY74" s="109" t="n">
        <f aca="false">BY66+BY67+BY71+BY72+BY73</f>
        <v>5682.22617760335</v>
      </c>
      <c r="BZ74" s="109" t="n">
        <f aca="false">BZ66+BZ67+BZ71+BZ72+BZ73</f>
        <v>5680.83728871446</v>
      </c>
      <c r="CA74" s="109" t="n">
        <f aca="false">CA66+CA67+CA71+CA72+CA73</f>
        <v>5679.44839982557</v>
      </c>
      <c r="CB74" s="109" t="n">
        <f aca="false">CB66+CB67+CB71+CB72+CB73</f>
        <v>5678.05951093668</v>
      </c>
      <c r="CC74" s="109" t="n">
        <f aca="false">CC66+CC67+CC71+CC72+CC73</f>
        <v>5676.67062204779</v>
      </c>
      <c r="CD74" s="109" t="n">
        <f aca="false">CD66+CD67+CD71+CD72+CD73</f>
        <v>5675.2817331589</v>
      </c>
      <c r="CE74" s="109" t="n">
        <f aca="false">CE66+CE67+CE71+CE72+CE73</f>
        <v>5673.89284427001</v>
      </c>
      <c r="CF74" s="109" t="n">
        <f aca="false">CF66+CF67+CF71+CF72+CF73</f>
        <v>5672.50395538112</v>
      </c>
      <c r="CG74" s="109" t="n">
        <f aca="false">CG66+CG67+CG71+CG72+CG73</f>
        <v>5671.11506649224</v>
      </c>
      <c r="CH74" s="109" t="n">
        <f aca="false">CH66+CH67+CH71+CH72+CH73</f>
        <v>5669.72617760335</v>
      </c>
    </row>
    <row r="75" customFormat="false" ht="13.5" hidden="false" customHeight="true" outlineLevel="0" collapsed="false">
      <c r="A75" s="6" t="s">
        <v>577</v>
      </c>
      <c r="C75" s="109" t="n">
        <f aca="false">Hipótesis!$D$122</f>
        <v>200000</v>
      </c>
      <c r="D75" s="109" t="n">
        <f aca="false">0</f>
        <v>0</v>
      </c>
      <c r="E75" s="109" t="n">
        <f aca="false">0</f>
        <v>0</v>
      </c>
      <c r="F75" s="109" t="n">
        <f aca="false">0</f>
        <v>0</v>
      </c>
      <c r="G75" s="109" t="n">
        <f aca="false">0</f>
        <v>0</v>
      </c>
      <c r="H75" s="109" t="n">
        <f aca="false">0</f>
        <v>0</v>
      </c>
      <c r="I75" s="109" t="n">
        <f aca="false">0</f>
        <v>0</v>
      </c>
      <c r="J75" s="109" t="n">
        <f aca="false">0</f>
        <v>0</v>
      </c>
      <c r="K75" s="109" t="n">
        <f aca="false">0</f>
        <v>0</v>
      </c>
      <c r="L75" s="109" t="n">
        <f aca="false">0</f>
        <v>0</v>
      </c>
      <c r="M75" s="109" t="n">
        <f aca="false">0</f>
        <v>0</v>
      </c>
      <c r="N75" s="109" t="n">
        <f aca="false">0</f>
        <v>0</v>
      </c>
      <c r="O75" s="109" t="n">
        <f aca="false">0</f>
        <v>0</v>
      </c>
      <c r="P75" s="109" t="n">
        <f aca="false">0</f>
        <v>0</v>
      </c>
      <c r="Q75" s="109" t="n">
        <f aca="false">0</f>
        <v>0</v>
      </c>
      <c r="R75" s="109" t="n">
        <f aca="false">0</f>
        <v>0</v>
      </c>
      <c r="S75" s="109" t="n">
        <f aca="false">0</f>
        <v>0</v>
      </c>
      <c r="T75" s="109" t="n">
        <f aca="false">0</f>
        <v>0</v>
      </c>
      <c r="U75" s="109" t="n">
        <f aca="false">0</f>
        <v>0</v>
      </c>
      <c r="V75" s="109" t="n">
        <f aca="false">0</f>
        <v>0</v>
      </c>
      <c r="W75" s="109" t="n">
        <f aca="false">0</f>
        <v>0</v>
      </c>
      <c r="X75" s="109" t="n">
        <f aca="false">0</f>
        <v>0</v>
      </c>
      <c r="Y75" s="109" t="n">
        <f aca="false">0</f>
        <v>0</v>
      </c>
      <c r="Z75" s="109" t="n">
        <f aca="false">0</f>
        <v>0</v>
      </c>
      <c r="AA75" s="109" t="n">
        <f aca="false">0</f>
        <v>0</v>
      </c>
      <c r="AB75" s="109" t="n">
        <f aca="false">0</f>
        <v>0</v>
      </c>
      <c r="AC75" s="109" t="n">
        <f aca="false">0</f>
        <v>0</v>
      </c>
      <c r="AD75" s="109" t="n">
        <f aca="false">0</f>
        <v>0</v>
      </c>
      <c r="AE75" s="109" t="n">
        <f aca="false">0</f>
        <v>0</v>
      </c>
      <c r="AF75" s="109" t="n">
        <f aca="false">0</f>
        <v>0</v>
      </c>
      <c r="AG75" s="109" t="n">
        <f aca="false">0</f>
        <v>0</v>
      </c>
      <c r="AH75" s="109" t="n">
        <f aca="false">0</f>
        <v>0</v>
      </c>
      <c r="AI75" s="109" t="n">
        <f aca="false">0</f>
        <v>0</v>
      </c>
      <c r="AJ75" s="109" t="n">
        <f aca="false">0</f>
        <v>0</v>
      </c>
      <c r="AK75" s="109" t="n">
        <f aca="false">0</f>
        <v>0</v>
      </c>
      <c r="AL75" s="109" t="n">
        <f aca="false">0</f>
        <v>0</v>
      </c>
      <c r="AM75" s="109" t="n">
        <f aca="false">0</f>
        <v>0</v>
      </c>
      <c r="AN75" s="109" t="n">
        <f aca="false">0</f>
        <v>0</v>
      </c>
      <c r="AO75" s="109" t="n">
        <f aca="false">0</f>
        <v>0</v>
      </c>
      <c r="AP75" s="109" t="n">
        <f aca="false">0</f>
        <v>0</v>
      </c>
      <c r="AQ75" s="109" t="n">
        <f aca="false">0</f>
        <v>0</v>
      </c>
      <c r="AR75" s="109" t="n">
        <f aca="false">0</f>
        <v>0</v>
      </c>
      <c r="AS75" s="109" t="n">
        <f aca="false">0</f>
        <v>0</v>
      </c>
      <c r="AT75" s="109" t="n">
        <f aca="false">0</f>
        <v>0</v>
      </c>
      <c r="AU75" s="109" t="n">
        <f aca="false">0</f>
        <v>0</v>
      </c>
      <c r="AV75" s="109" t="n">
        <f aca="false">0</f>
        <v>0</v>
      </c>
      <c r="AW75" s="109" t="n">
        <f aca="false">0</f>
        <v>0</v>
      </c>
      <c r="AX75" s="109" t="n">
        <f aca="false">0</f>
        <v>0</v>
      </c>
      <c r="AY75" s="109" t="n">
        <f aca="false">0</f>
        <v>0</v>
      </c>
      <c r="AZ75" s="109" t="n">
        <f aca="false">0</f>
        <v>0</v>
      </c>
      <c r="BA75" s="109" t="n">
        <f aca="false">0</f>
        <v>0</v>
      </c>
      <c r="BB75" s="109" t="n">
        <f aca="false">0</f>
        <v>0</v>
      </c>
      <c r="BC75" s="109" t="n">
        <f aca="false">0</f>
        <v>0</v>
      </c>
      <c r="BD75" s="109" t="n">
        <f aca="false">0</f>
        <v>0</v>
      </c>
      <c r="BE75" s="109" t="n">
        <f aca="false">0</f>
        <v>0</v>
      </c>
      <c r="BF75" s="109" t="n">
        <f aca="false">0</f>
        <v>0</v>
      </c>
      <c r="BG75" s="109" t="n">
        <f aca="false">0</f>
        <v>0</v>
      </c>
      <c r="BH75" s="109" t="n">
        <f aca="false">0</f>
        <v>0</v>
      </c>
      <c r="BI75" s="109" t="n">
        <f aca="false">0</f>
        <v>0</v>
      </c>
      <c r="BJ75" s="109" t="n">
        <f aca="false">0</f>
        <v>0</v>
      </c>
      <c r="BK75" s="109" t="n">
        <f aca="false">0</f>
        <v>0</v>
      </c>
      <c r="BL75" s="109" t="n">
        <f aca="false">0</f>
        <v>0</v>
      </c>
      <c r="BM75" s="109" t="n">
        <f aca="false">0</f>
        <v>0</v>
      </c>
      <c r="BN75" s="109" t="n">
        <f aca="false">0</f>
        <v>0</v>
      </c>
      <c r="BO75" s="109" t="n">
        <f aca="false">0</f>
        <v>0</v>
      </c>
      <c r="BP75" s="109" t="n">
        <f aca="false">0</f>
        <v>0</v>
      </c>
      <c r="BQ75" s="109" t="n">
        <f aca="false">0</f>
        <v>0</v>
      </c>
      <c r="BR75" s="109" t="n">
        <f aca="false">0</f>
        <v>0</v>
      </c>
      <c r="BS75" s="109" t="n">
        <f aca="false">0</f>
        <v>0</v>
      </c>
      <c r="BT75" s="109" t="n">
        <f aca="false">0</f>
        <v>0</v>
      </c>
      <c r="BU75" s="109" t="n">
        <f aca="false">0</f>
        <v>0</v>
      </c>
      <c r="BV75" s="109" t="n">
        <f aca="false">0</f>
        <v>0</v>
      </c>
      <c r="BW75" s="109" t="n">
        <f aca="false">0</f>
        <v>0</v>
      </c>
      <c r="BX75" s="109" t="n">
        <f aca="false">0</f>
        <v>0</v>
      </c>
      <c r="BY75" s="109" t="n">
        <f aca="false">0</f>
        <v>0</v>
      </c>
      <c r="BZ75" s="109" t="n">
        <f aca="false">0</f>
        <v>0</v>
      </c>
      <c r="CA75" s="109" t="n">
        <f aca="false">0</f>
        <v>0</v>
      </c>
      <c r="CB75" s="109" t="n">
        <f aca="false">0</f>
        <v>0</v>
      </c>
      <c r="CC75" s="109" t="n">
        <f aca="false">0</f>
        <v>0</v>
      </c>
      <c r="CD75" s="109" t="n">
        <f aca="false">0</f>
        <v>0</v>
      </c>
      <c r="CE75" s="109" t="n">
        <f aca="false">0</f>
        <v>0</v>
      </c>
      <c r="CF75" s="109" t="n">
        <f aca="false">0</f>
        <v>0</v>
      </c>
      <c r="CG75" s="109" t="n">
        <f aca="false">0</f>
        <v>0</v>
      </c>
      <c r="CH75" s="109" t="n">
        <f aca="false">0</f>
        <v>0</v>
      </c>
    </row>
    <row r="76" customFormat="false" ht="13.5" hidden="false" customHeight="true" outlineLevel="0" collapsed="false">
      <c r="A76" s="6" t="s">
        <v>578</v>
      </c>
      <c r="C76" s="109" t="n">
        <f aca="false">-C106</f>
        <v>-333.333333333333</v>
      </c>
      <c r="D76" s="109" t="n">
        <f aca="false">-D106</f>
        <v>-333.333333333333</v>
      </c>
      <c r="E76" s="109" t="n">
        <f aca="false">-E106</f>
        <v>-333.333333333333</v>
      </c>
      <c r="F76" s="109" t="n">
        <f aca="false">-F106</f>
        <v>-333.333333333333</v>
      </c>
      <c r="G76" s="109" t="n">
        <f aca="false">-G106</f>
        <v>-333.333333333333</v>
      </c>
      <c r="H76" s="109" t="n">
        <f aca="false">-H106</f>
        <v>-333.333333333333</v>
      </c>
      <c r="I76" s="109" t="n">
        <f aca="false">-I106</f>
        <v>-333.333333333333</v>
      </c>
      <c r="J76" s="109" t="n">
        <f aca="false">-J106</f>
        <v>-333.333333333333</v>
      </c>
      <c r="K76" s="109" t="n">
        <f aca="false">-K106</f>
        <v>-333.333333333333</v>
      </c>
      <c r="L76" s="109" t="n">
        <f aca="false">-L106</f>
        <v>-334.089759655384</v>
      </c>
      <c r="M76" s="109" t="n">
        <f aca="false">-M106</f>
        <v>-364.702788481501</v>
      </c>
      <c r="N76" s="109" t="n">
        <f aca="false">-N106</f>
        <v>-361.734521297801</v>
      </c>
      <c r="O76" s="109" t="n">
        <f aca="false">-O106</f>
        <v>-333.333333333333</v>
      </c>
      <c r="P76" s="109" t="n">
        <f aca="false">-P106</f>
        <v>-335.141940783223</v>
      </c>
      <c r="Q76" s="109" t="n">
        <f aca="false">-Q106</f>
        <v>-333.333333333333</v>
      </c>
      <c r="R76" s="109" t="n">
        <f aca="false">-R106</f>
        <v>-363.687714121468</v>
      </c>
      <c r="S76" s="109" t="n">
        <f aca="false">-S106</f>
        <v>-401.07380079059</v>
      </c>
      <c r="T76" s="109" t="n">
        <f aca="false">-T106</f>
        <v>-392.233487459713</v>
      </c>
      <c r="U76" s="109" t="n">
        <f aca="false">-U106</f>
        <v>-429.619574128835</v>
      </c>
      <c r="V76" s="109" t="n">
        <f aca="false">-V106</f>
        <v>-412.621660797957</v>
      </c>
      <c r="W76" s="109" t="n">
        <f aca="false">-W106</f>
        <v>-450.00774746708</v>
      </c>
      <c r="X76" s="109" t="n">
        <f aca="false">-X106</f>
        <v>-429.868730146019</v>
      </c>
      <c r="Y76" s="109" t="n">
        <f aca="false">-Y106</f>
        <v>-455.956112824958</v>
      </c>
      <c r="Z76" s="109" t="n">
        <f aca="false">-Z106</f>
        <v>-477.993813907824</v>
      </c>
      <c r="AA76" s="109" t="n">
        <f aca="false">-AA106</f>
        <v>-2118.28797365736</v>
      </c>
      <c r="AB76" s="109" t="n">
        <f aca="false">-AB106</f>
        <v>-2134.77011918467</v>
      </c>
      <c r="AC76" s="109" t="n">
        <f aca="false">-AC106</f>
        <v>-2151.25226471198</v>
      </c>
      <c r="AD76" s="109" t="n">
        <f aca="false">-AD106</f>
        <v>-2167.73441023929</v>
      </c>
      <c r="AE76" s="109" t="n">
        <f aca="false">-AE106</f>
        <v>-2136.6033637666</v>
      </c>
      <c r="AF76" s="109" t="n">
        <f aca="false">-AF106</f>
        <v>-2153.08550929391</v>
      </c>
      <c r="AG76" s="109" t="n">
        <f aca="false">-AG106</f>
        <v>-2169.56765482122</v>
      </c>
      <c r="AH76" s="109" t="n">
        <f aca="false">-AH106</f>
        <v>-2186.04980034853</v>
      </c>
      <c r="AI76" s="109" t="n">
        <f aca="false">-AI106</f>
        <v>-2202.53194587584</v>
      </c>
      <c r="AJ76" s="109" t="n">
        <f aca="false">-AJ106</f>
        <v>-2219.01409140315</v>
      </c>
      <c r="AK76" s="109" t="n">
        <f aca="false">-AK106</f>
        <v>-2235.49623693046</v>
      </c>
      <c r="AL76" s="109" t="n">
        <f aca="false">-AL106</f>
        <v>-2251.97838245777</v>
      </c>
      <c r="AM76" s="109" t="n">
        <f aca="false">-AM106</f>
        <v>-2169.31603022508</v>
      </c>
      <c r="AN76" s="109" t="n">
        <f aca="false">-AN106</f>
        <v>-2185.79817575239</v>
      </c>
      <c r="AO76" s="109" t="n">
        <f aca="false">-AO106</f>
        <v>-2202.2803212797</v>
      </c>
      <c r="AP76" s="109" t="n">
        <f aca="false">-AP106</f>
        <v>-2218.76246680701</v>
      </c>
      <c r="AQ76" s="109" t="n">
        <f aca="false">-AQ106</f>
        <v>-2235.24461233432</v>
      </c>
      <c r="AR76" s="109" t="n">
        <f aca="false">-AR106</f>
        <v>-2251.72675786163</v>
      </c>
      <c r="AS76" s="109" t="n">
        <f aca="false">-AS106</f>
        <v>-2246.17120230608</v>
      </c>
      <c r="AT76" s="109" t="n">
        <f aca="false">-AT106</f>
        <v>-2240.61564675052</v>
      </c>
      <c r="AU76" s="109" t="n">
        <f aca="false">-AU106</f>
        <v>-2235.06009119497</v>
      </c>
      <c r="AV76" s="109" t="n">
        <f aca="false">-AV106</f>
        <v>-2229.50453563941</v>
      </c>
      <c r="AW76" s="109" t="n">
        <f aca="false">-AW106</f>
        <v>-2223.94898008385</v>
      </c>
      <c r="AX76" s="109" t="n">
        <f aca="false">-AX106</f>
        <v>-2218.3934245283</v>
      </c>
      <c r="AY76" s="109" t="n">
        <f aca="false">-AY106</f>
        <v>-2160.94862403994</v>
      </c>
      <c r="AZ76" s="109" t="n">
        <f aca="false">-AZ106</f>
        <v>-2155.39306848439</v>
      </c>
      <c r="BA76" s="109" t="n">
        <f aca="false">-BA106</f>
        <v>-2149.83751292883</v>
      </c>
      <c r="BB76" s="109" t="n">
        <f aca="false">-BB106</f>
        <v>-2144.28195737328</v>
      </c>
      <c r="BC76" s="109" t="n">
        <f aca="false">-BC106</f>
        <v>-2138.72640181772</v>
      </c>
      <c r="BD76" s="109" t="n">
        <f aca="false">-BD106</f>
        <v>-2133.17084626217</v>
      </c>
      <c r="BE76" s="109" t="n">
        <f aca="false">-BE106</f>
        <v>-2127.61529070661</v>
      </c>
      <c r="BF76" s="109" t="n">
        <f aca="false">-BF106</f>
        <v>-2122.05973515105</v>
      </c>
      <c r="BG76" s="109" t="n">
        <f aca="false">-BG106</f>
        <v>-2116.5041795955</v>
      </c>
      <c r="BH76" s="109" t="n">
        <f aca="false">-BH106</f>
        <v>-2110.94862403994</v>
      </c>
      <c r="BI76" s="109" t="n">
        <f aca="false">-BI106</f>
        <v>-2105.39306848439</v>
      </c>
      <c r="BJ76" s="109" t="n">
        <f aca="false">-BJ106</f>
        <v>-2099.83751292883</v>
      </c>
      <c r="BK76" s="109" t="n">
        <f aca="false">-BK106</f>
        <v>-2042.02403509249</v>
      </c>
      <c r="BL76" s="109" t="n">
        <f aca="false">-BL106</f>
        <v>-2036.46847953694</v>
      </c>
      <c r="BM76" s="109" t="n">
        <f aca="false">-BM106</f>
        <v>-2030.91292398138</v>
      </c>
      <c r="BN76" s="109" t="n">
        <f aca="false">-BN106</f>
        <v>-2025.35736842583</v>
      </c>
      <c r="BO76" s="109" t="n">
        <f aca="false">-BO106</f>
        <v>-2019.80181287027</v>
      </c>
      <c r="BP76" s="109" t="n">
        <f aca="false">-BP106</f>
        <v>-2014.24625731472</v>
      </c>
      <c r="BQ76" s="109" t="n">
        <f aca="false">-BQ106</f>
        <v>-2008.69070175916</v>
      </c>
      <c r="BR76" s="109" t="n">
        <f aca="false">-BR106</f>
        <v>-2003.1351462036</v>
      </c>
      <c r="BS76" s="109" t="n">
        <f aca="false">-BS106</f>
        <v>-1997.57959064805</v>
      </c>
      <c r="BT76" s="109" t="n">
        <f aca="false">-BT106</f>
        <v>-1992.02403509249</v>
      </c>
      <c r="BU76" s="109" t="n">
        <f aca="false">-BU106</f>
        <v>-1986.46847953694</v>
      </c>
      <c r="BV76" s="109" t="n">
        <f aca="false">-BV106</f>
        <v>-1980.91292398138</v>
      </c>
      <c r="BW76" s="109" t="n">
        <f aca="false">-BW106</f>
        <v>-1922.71970847662</v>
      </c>
      <c r="BX76" s="109" t="n">
        <f aca="false">-BX106</f>
        <v>-1917.16415292106</v>
      </c>
      <c r="BY76" s="109" t="n">
        <f aca="false">-BY106</f>
        <v>-1911.60859736551</v>
      </c>
      <c r="BZ76" s="109" t="n">
        <f aca="false">-BZ106</f>
        <v>-1906.05304180995</v>
      </c>
      <c r="CA76" s="109" t="n">
        <f aca="false">-CA106</f>
        <v>-1900.4974862544</v>
      </c>
      <c r="CB76" s="109" t="n">
        <f aca="false">-CB106</f>
        <v>-1894.94193069884</v>
      </c>
      <c r="CC76" s="109" t="n">
        <f aca="false">-CC106</f>
        <v>-1889.38637514329</v>
      </c>
      <c r="CD76" s="109" t="n">
        <f aca="false">-CD106</f>
        <v>-1883.83081958773</v>
      </c>
      <c r="CE76" s="109" t="n">
        <f aca="false">-CE106</f>
        <v>-1878.27526403217</v>
      </c>
      <c r="CF76" s="109" t="n">
        <f aca="false">-CF106</f>
        <v>-1872.71970847662</v>
      </c>
      <c r="CG76" s="109" t="n">
        <f aca="false">-CG106</f>
        <v>-1867.16415292106</v>
      </c>
      <c r="CH76" s="109" t="n">
        <f aca="false">-CH106</f>
        <v>-1861.60859736545</v>
      </c>
    </row>
    <row r="77" customFormat="false" ht="13.5" hidden="false" customHeight="true" outlineLevel="0" collapsed="false">
      <c r="A77" s="6" t="s">
        <v>579</v>
      </c>
      <c r="C77" s="109" t="n">
        <f aca="false">0</f>
        <v>0</v>
      </c>
      <c r="D77" s="109" t="n">
        <f aca="false">C81*Hipótesis!$D$71/12</f>
        <v>-0</v>
      </c>
      <c r="E77" s="109" t="n">
        <f aca="false">D81*Hipótesis!$D$71/12</f>
        <v>0</v>
      </c>
      <c r="F77" s="109" t="n">
        <f aca="false">E81*Hipótesis!$D$71/12</f>
        <v>0</v>
      </c>
      <c r="G77" s="109" t="n">
        <f aca="false">F81*Hipótesis!$D$71/12</f>
        <v>0</v>
      </c>
      <c r="H77" s="109" t="n">
        <f aca="false">G81*Hipótesis!$D$71/12</f>
        <v>0</v>
      </c>
      <c r="I77" s="109" t="n">
        <f aca="false">H81*Hipótesis!$D$71/12</f>
        <v>0</v>
      </c>
      <c r="J77" s="109" t="n">
        <f aca="false">I81*Hipótesis!$D$71/12</f>
        <v>0</v>
      </c>
      <c r="K77" s="109" t="n">
        <f aca="false">J81*Hipótesis!$D$71/12</f>
        <v>0</v>
      </c>
      <c r="L77" s="109" t="n">
        <f aca="false">K81*Hipótesis!$D$71/12</f>
        <v>32.0506510504621</v>
      </c>
      <c r="M77" s="109" t="n">
        <f aca="false">L81*Hipótesis!$D$71/12</f>
        <v>52.0279737271491</v>
      </c>
      <c r="N77" s="109" t="n">
        <f aca="false">M81*Hipótesis!$D$71/12</f>
        <v>59.8447420824255</v>
      </c>
      <c r="O77" s="109" t="n">
        <f aca="false">N81*Hipótesis!$D$71/12</f>
        <v>69.5714886957919</v>
      </c>
      <c r="P77" s="109" t="n">
        <f aca="false">O81*Hipótesis!$D$71/12</f>
        <v>86.1930064532351</v>
      </c>
      <c r="Q77" s="109" t="n">
        <f aca="false">P81*Hipótesis!$D$71/12</f>
        <v>94.1938305673173</v>
      </c>
      <c r="R77" s="109" t="n">
        <f aca="false">Q81*Hipótesis!$D$71/12</f>
        <v>104.525809833441</v>
      </c>
      <c r="S77" s="109" t="n">
        <f aca="false">R81*Hipótesis!$D$71/12</f>
        <v>106.753492408811</v>
      </c>
      <c r="T77" s="109" t="n">
        <f aca="false">S81*Hipótesis!$D$71/12</f>
        <v>102.001236389459</v>
      </c>
      <c r="U77" s="109" t="n">
        <f aca="false">T81*Hipótesis!$D$71/12</f>
        <v>99.1855700441481</v>
      </c>
      <c r="V77" s="109" t="n">
        <f aca="false">U81*Hipótesis!$D$71/12</f>
        <v>89.4896108534827</v>
      </c>
      <c r="W77" s="109" t="n">
        <f aca="false">V81*Hipótesis!$D$71/12</f>
        <v>83.268233343253</v>
      </c>
      <c r="X77" s="109" t="n">
        <f aca="false">W81*Hipótesis!$D$71/12</f>
        <v>70.1532949045891</v>
      </c>
      <c r="Y77" s="109" t="n">
        <f aca="false">X81*Hipótesis!$D$71/12</f>
        <v>60.1141910005281</v>
      </c>
      <c r="Z77" s="109" t="n">
        <f aca="false">Y81*Hipótesis!$D$71/12</f>
        <v>45.2368377138955</v>
      </c>
      <c r="AA77" s="109" t="n">
        <f aca="false">Z81*Hipótesis!$D$71/12</f>
        <v>25.9411647130917</v>
      </c>
      <c r="AB77" s="109" t="n">
        <f aca="false">AA81*Hipótesis!$D$71/12</f>
        <v>19.3920789654326</v>
      </c>
      <c r="AC77" s="109" t="n">
        <f aca="false">AB81*Hipótesis!$D$71/12</f>
        <v>8.73739964501822</v>
      </c>
      <c r="AD77" s="109" t="n">
        <f aca="false">AC81*Hipótesis!$D$71/12</f>
        <v>0</v>
      </c>
      <c r="AE77" s="109" t="n">
        <f aca="false">AD81*Hipótesis!$D$71/12</f>
        <v>0</v>
      </c>
      <c r="AF77" s="109" t="n">
        <f aca="false">AE81*Hipótesis!$D$71/12</f>
        <v>0</v>
      </c>
      <c r="AG77" s="109" t="n">
        <f aca="false">AF81*Hipótesis!$D$71/12</f>
        <v>0</v>
      </c>
      <c r="AH77" s="109" t="n">
        <f aca="false">AG81*Hipótesis!$D$71/12</f>
        <v>0</v>
      </c>
      <c r="AI77" s="109" t="n">
        <f aca="false">AH81*Hipótesis!$D$71/12</f>
        <v>0</v>
      </c>
      <c r="AJ77" s="109" t="n">
        <f aca="false">AI81*Hipótesis!$D$71/12</f>
        <v>0</v>
      </c>
      <c r="AK77" s="109" t="n">
        <f aca="false">AJ81*Hipótesis!$D$71/12</f>
        <v>0</v>
      </c>
      <c r="AL77" s="109" t="n">
        <f aca="false">AK81*Hipótesis!$D$71/12</f>
        <v>0</v>
      </c>
      <c r="AM77" s="109" t="n">
        <f aca="false">AL81*Hipótesis!$D$71/12</f>
        <v>0</v>
      </c>
      <c r="AN77" s="109" t="n">
        <f aca="false">AM81*Hipótesis!$D$71/12</f>
        <v>0</v>
      </c>
      <c r="AO77" s="109" t="n">
        <f aca="false">AN81*Hipótesis!$D$71/12</f>
        <v>0</v>
      </c>
      <c r="AP77" s="109" t="n">
        <f aca="false">AO81*Hipótesis!$D$71/12</f>
        <v>0</v>
      </c>
      <c r="AQ77" s="109" t="n">
        <f aca="false">AP81*Hipótesis!$D$71/12</f>
        <v>0</v>
      </c>
      <c r="AR77" s="109" t="n">
        <f aca="false">AQ81*Hipótesis!$D$71/12</f>
        <v>0</v>
      </c>
      <c r="AS77" s="109" t="n">
        <f aca="false">AR81*Hipótesis!$D$71/12</f>
        <v>0</v>
      </c>
      <c r="AT77" s="109" t="n">
        <f aca="false">AS81*Hipótesis!$D$71/12</f>
        <v>0</v>
      </c>
      <c r="AU77" s="109" t="n">
        <f aca="false">AT81*Hipótesis!$D$71/12</f>
        <v>0</v>
      </c>
      <c r="AV77" s="109" t="n">
        <f aca="false">AU81*Hipótesis!$D$71/12</f>
        <v>0</v>
      </c>
      <c r="AW77" s="109" t="n">
        <f aca="false">AV81*Hipótesis!$D$71/12</f>
        <v>0</v>
      </c>
      <c r="AX77" s="109" t="n">
        <f aca="false">AW81*Hipótesis!$D$71/12</f>
        <v>0</v>
      </c>
      <c r="AY77" s="109" t="n">
        <f aca="false">AX81*Hipótesis!$D$71/12</f>
        <v>0</v>
      </c>
      <c r="AZ77" s="109" t="n">
        <f aca="false">AY81*Hipótesis!$D$71/12</f>
        <v>0</v>
      </c>
      <c r="BA77" s="109" t="n">
        <f aca="false">AZ81*Hipótesis!$D$71/12</f>
        <v>0</v>
      </c>
      <c r="BB77" s="109" t="n">
        <f aca="false">BA81*Hipótesis!$D$71/12</f>
        <v>0</v>
      </c>
      <c r="BC77" s="109" t="n">
        <f aca="false">BB81*Hipótesis!$D$71/12</f>
        <v>0</v>
      </c>
      <c r="BD77" s="109" t="n">
        <f aca="false">BC81*Hipótesis!$D$71/12</f>
        <v>0</v>
      </c>
      <c r="BE77" s="109" t="n">
        <f aca="false">BD81*Hipótesis!$D$71/12</f>
        <v>0</v>
      </c>
      <c r="BF77" s="109" t="n">
        <f aca="false">BE81*Hipótesis!$D$71/12</f>
        <v>0</v>
      </c>
      <c r="BG77" s="109" t="n">
        <f aca="false">BF81*Hipótesis!$D$71/12</f>
        <v>0</v>
      </c>
      <c r="BH77" s="109" t="n">
        <f aca="false">BG81*Hipótesis!$D$71/12</f>
        <v>0</v>
      </c>
      <c r="BI77" s="109" t="n">
        <f aca="false">BH81*Hipótesis!$D$71/12</f>
        <v>0</v>
      </c>
      <c r="BJ77" s="109" t="n">
        <f aca="false">BI81*Hipótesis!$D$71/12</f>
        <v>0</v>
      </c>
      <c r="BK77" s="109" t="n">
        <f aca="false">BJ81*Hipótesis!$D$71/12</f>
        <v>0</v>
      </c>
      <c r="BL77" s="109" t="n">
        <f aca="false">BK81*Hipótesis!$D$71/12</f>
        <v>0</v>
      </c>
      <c r="BM77" s="109" t="n">
        <f aca="false">BL81*Hipótesis!$D$71/12</f>
        <v>0</v>
      </c>
      <c r="BN77" s="109" t="n">
        <f aca="false">BM81*Hipótesis!$D$71/12</f>
        <v>0</v>
      </c>
      <c r="BO77" s="109" t="n">
        <f aca="false">BN81*Hipótesis!$D$71/12</f>
        <v>0</v>
      </c>
      <c r="BP77" s="109" t="n">
        <f aca="false">BO81*Hipótesis!$D$71/12</f>
        <v>0</v>
      </c>
      <c r="BQ77" s="109" t="n">
        <f aca="false">BP81*Hipótesis!$D$71/12</f>
        <v>0</v>
      </c>
      <c r="BR77" s="109" t="n">
        <f aca="false">BQ81*Hipótesis!$D$71/12</f>
        <v>0</v>
      </c>
      <c r="BS77" s="109" t="n">
        <f aca="false">BR81*Hipótesis!$D$71/12</f>
        <v>0</v>
      </c>
      <c r="BT77" s="109" t="n">
        <f aca="false">BS81*Hipótesis!$D$71/12</f>
        <v>0</v>
      </c>
      <c r="BU77" s="109" t="n">
        <f aca="false">BT81*Hipótesis!$D$71/12</f>
        <v>0</v>
      </c>
      <c r="BV77" s="109" t="n">
        <f aca="false">BU81*Hipótesis!$D$71/12</f>
        <v>0</v>
      </c>
      <c r="BW77" s="109" t="n">
        <f aca="false">BV81*Hipótesis!$D$71/12</f>
        <v>0</v>
      </c>
      <c r="BX77" s="109" t="n">
        <f aca="false">BW81*Hipótesis!$D$71/12</f>
        <v>0</v>
      </c>
      <c r="BY77" s="109" t="n">
        <f aca="false">BX81*Hipótesis!$D$71/12</f>
        <v>0</v>
      </c>
      <c r="BZ77" s="109" t="n">
        <f aca="false">BY81*Hipótesis!$D$71/12</f>
        <v>0</v>
      </c>
      <c r="CA77" s="109" t="n">
        <f aca="false">BZ81*Hipótesis!$D$71/12</f>
        <v>0</v>
      </c>
      <c r="CB77" s="109" t="n">
        <f aca="false">CA81*Hipótesis!$D$71/12</f>
        <v>0</v>
      </c>
      <c r="CC77" s="109" t="n">
        <f aca="false">CB81*Hipótesis!$D$71/12</f>
        <v>0</v>
      </c>
      <c r="CD77" s="109" t="n">
        <f aca="false">CC81*Hipótesis!$D$71/12</f>
        <v>0</v>
      </c>
      <c r="CE77" s="109" t="n">
        <f aca="false">CD81*Hipótesis!$D$71/12</f>
        <v>0</v>
      </c>
      <c r="CF77" s="109" t="n">
        <f aca="false">CE81*Hipótesis!$D$71/12</f>
        <v>0</v>
      </c>
      <c r="CG77" s="109" t="n">
        <f aca="false">CF81*Hipótesis!$D$71/12</f>
        <v>0</v>
      </c>
      <c r="CH77" s="109" t="n">
        <f aca="false">CG81*Hipótesis!$D$71/12</f>
        <v>0</v>
      </c>
    </row>
    <row r="78" customFormat="false" ht="13.5" hidden="false" customHeight="true" outlineLevel="0" collapsed="false">
      <c r="A78" s="22" t="s">
        <v>580</v>
      </c>
      <c r="C78" s="109" t="n">
        <f aca="false">C74+C75+C76-C77</f>
        <v>158478.316780131</v>
      </c>
      <c r="D78" s="109" t="n">
        <f aca="false">D74+D75+D76-D77</f>
        <v>-26804.4491807088</v>
      </c>
      <c r="E78" s="109" t="n">
        <f aca="false">E74+E75+E76-E77</f>
        <v>-22093.1302136502</v>
      </c>
      <c r="F78" s="109" t="n">
        <f aca="false">F74+F75+F76-F77</f>
        <v>-20012.2308115865</v>
      </c>
      <c r="G78" s="109" t="n">
        <f aca="false">G74+G75+G76-G77</f>
        <v>-18336.7153352187</v>
      </c>
      <c r="H78" s="109" t="n">
        <f aca="false">H74+H75+H76-H77</f>
        <v>-16424.2313687473</v>
      </c>
      <c r="I78" s="109" t="n">
        <f aca="false">I74+I75+I76-I77</f>
        <v>-13737.2738418441</v>
      </c>
      <c r="J78" s="109" t="n">
        <f aca="false">J74+J75+J76-J77</f>
        <v>-10600.1430634401</v>
      </c>
      <c r="K78" s="109" t="n">
        <f aca="false">K74+K75+K76-K77</f>
        <v>-7463.01228503599</v>
      </c>
      <c r="L78" s="109" t="n">
        <f aca="false">L74+L75+L76-L77</f>
        <v>-4358.68858400443</v>
      </c>
      <c r="M78" s="109" t="n">
        <f aca="false">M74+M75+M76-M77</f>
        <v>-1705.47673206031</v>
      </c>
      <c r="N78" s="109" t="n">
        <f aca="false">N74+N75+N76-N77</f>
        <v>-2122.19926109813</v>
      </c>
      <c r="O78" s="109" t="n">
        <f aca="false">O74+O75+O76-O77</f>
        <v>-3626.51296526033</v>
      </c>
      <c r="P78" s="109" t="n">
        <f aca="false">P74+P75+P76-P77</f>
        <v>-1745.63435216338</v>
      </c>
      <c r="Q78" s="109" t="n">
        <f aca="false">Q74+Q75+Q76-Q77</f>
        <v>-2254.25002169976</v>
      </c>
      <c r="R78" s="109" t="n">
        <f aca="false">R74+R75+R76-R77</f>
        <v>-486.03983462621</v>
      </c>
      <c r="S78" s="109" t="n">
        <f aca="false">S74+S75+S76-S77</f>
        <v>1036.8558587677</v>
      </c>
      <c r="T78" s="109" t="n">
        <f aca="false">T74+T75+T76-T77</f>
        <v>614.327202613368</v>
      </c>
      <c r="U78" s="109" t="n">
        <f aca="false">U74+U75+U76-U77</f>
        <v>2115.4820052361</v>
      </c>
      <c r="V78" s="109" t="n">
        <f aca="false">V74+V75+V76-V77</f>
        <v>1357.39145677739</v>
      </c>
      <c r="W78" s="109" t="n">
        <f aca="false">W74+W75+W76-W77</f>
        <v>2861.44111389031</v>
      </c>
      <c r="X78" s="109" t="n">
        <f aca="false">X74+X75+X76-X77</f>
        <v>2190.3499427042</v>
      </c>
      <c r="Y78" s="109" t="n">
        <f aca="false">Y74+Y75+Y76-Y77</f>
        <v>3245.96798981075</v>
      </c>
      <c r="Z78" s="109" t="n">
        <f aca="false">Z74+Z75+Z76-Z77</f>
        <v>4209.96501835721</v>
      </c>
      <c r="AA78" s="109" t="n">
        <f aca="false">AA74+AA75+AA76-AA77</f>
        <v>1428.89143585288</v>
      </c>
      <c r="AB78" s="109" t="n">
        <f aca="false">AB74+AB75+AB76-AB77</f>
        <v>2324.65730627224</v>
      </c>
      <c r="AC78" s="109" t="n">
        <f aca="false">AC74+AC75+AC76-AC77</f>
        <v>3223.91293122847</v>
      </c>
      <c r="AD78" s="109" t="n">
        <f aca="false">AD74+AD75+AD76-AD77</f>
        <v>4121.5388684606</v>
      </c>
      <c r="AE78" s="109" t="n">
        <f aca="false">AE74+AE75+AE76-AE77</f>
        <v>3028.64856919446</v>
      </c>
      <c r="AF78" s="109" t="n">
        <f aca="false">AF74+AF75+AF76-AF77</f>
        <v>3918.84771672831</v>
      </c>
      <c r="AG78" s="109" t="n">
        <f aca="false">AG74+AG75+AG76-AG77</f>
        <v>4809.04686426218</v>
      </c>
      <c r="AH78" s="109" t="n">
        <f aca="false">AH74+AH75+AH76-AH77</f>
        <v>5699.24601179605</v>
      </c>
      <c r="AI78" s="109" t="n">
        <f aca="false">AI74+AI75+AI76-AI77</f>
        <v>6589.44515932991</v>
      </c>
      <c r="AJ78" s="109" t="n">
        <f aca="false">AJ74+AJ75+AJ76-AJ77</f>
        <v>7479.64430686378</v>
      </c>
      <c r="AK78" s="109" t="n">
        <f aca="false">AK74+AK75+AK76-AK77</f>
        <v>8369.84345439765</v>
      </c>
      <c r="AL78" s="109" t="n">
        <f aca="false">AL74+AL75+AL76-AL77</f>
        <v>9260.04260193151</v>
      </c>
      <c r="AM78" s="109" t="n">
        <f aca="false">AM74+AM75+AM76-AM77</f>
        <v>5032.72090514629</v>
      </c>
      <c r="AN78" s="109" t="n">
        <f aca="false">AN74+AN75+AN76-AN77</f>
        <v>5815.13406951093</v>
      </c>
      <c r="AO78" s="109" t="n">
        <f aca="false">AO74+AO75+AO76-AO77</f>
        <v>6597.54723387559</v>
      </c>
      <c r="AP78" s="109" t="n">
        <f aca="false">AP74+AP75+AP76-AP77</f>
        <v>7379.96039824024</v>
      </c>
      <c r="AQ78" s="109" t="n">
        <f aca="false">AQ74+AQ75+AQ76-AQ77</f>
        <v>8162.37356260488</v>
      </c>
      <c r="AR78" s="109" t="n">
        <f aca="false">AR74+AR75+AR76-AR77</f>
        <v>8944.78672696955</v>
      </c>
      <c r="AS78" s="109" t="n">
        <f aca="false">AS74+AS75+AS76-AS77</f>
        <v>9399.1266451371</v>
      </c>
      <c r="AT78" s="109" t="n">
        <f aca="false">AT74+AT75+AT76-AT77</f>
        <v>9403.29331180377</v>
      </c>
      <c r="AU78" s="109" t="n">
        <f aca="false">AU74+AU75+AU76-AU77</f>
        <v>9407.45997847043</v>
      </c>
      <c r="AV78" s="109" t="n">
        <f aca="false">AV74+AV75+AV76-AV77</f>
        <v>9411.6266451371</v>
      </c>
      <c r="AW78" s="109" t="n">
        <f aca="false">AW74+AW75+AW76-AW77</f>
        <v>9415.79331180376</v>
      </c>
      <c r="AX78" s="109" t="n">
        <f aca="false">AX74+AX75+AX76-AX77</f>
        <v>9419.95997847043</v>
      </c>
      <c r="AY78" s="109" t="n">
        <f aca="false">AY74+AY75+AY76-AY77</f>
        <v>7517.1968938567</v>
      </c>
      <c r="AZ78" s="109" t="n">
        <f aca="false">AZ74+AZ75+AZ76-AZ77</f>
        <v>7521.36356052336</v>
      </c>
      <c r="BA78" s="109" t="n">
        <f aca="false">BA74+BA75+BA76-BA77</f>
        <v>7525.53022719003</v>
      </c>
      <c r="BB78" s="109" t="n">
        <f aca="false">BB74+BB75+BB76-BB77</f>
        <v>7529.6968938567</v>
      </c>
      <c r="BC78" s="109" t="n">
        <f aca="false">BC74+BC75+BC76-BC77</f>
        <v>7533.86356052336</v>
      </c>
      <c r="BD78" s="109" t="n">
        <f aca="false">BD74+BD75+BD76-BD77</f>
        <v>7538.03022719003</v>
      </c>
      <c r="BE78" s="109" t="n">
        <f aca="false">BE74+BE75+BE76-BE77</f>
        <v>7542.1968938567</v>
      </c>
      <c r="BF78" s="109" t="n">
        <f aca="false">BF74+BF75+BF76-BF77</f>
        <v>7546.36356052336</v>
      </c>
      <c r="BG78" s="109" t="n">
        <f aca="false">BG74+BG75+BG76-BG77</f>
        <v>7550.53022719003</v>
      </c>
      <c r="BH78" s="109" t="n">
        <f aca="false">BH74+BH75+BH76-BH77</f>
        <v>7554.6968938567</v>
      </c>
      <c r="BI78" s="109" t="n">
        <f aca="false">BI74+BI75+BI76-BI77</f>
        <v>7558.86356052336</v>
      </c>
      <c r="BJ78" s="109" t="n">
        <f aca="false">BJ74+BJ75+BJ76-BJ77</f>
        <v>7563.03022719003</v>
      </c>
      <c r="BK78" s="109" t="n">
        <f aca="false">BK74+BK75+BK76-BK77</f>
        <v>5646.71825003789</v>
      </c>
      <c r="BL78" s="109" t="n">
        <f aca="false">BL74+BL75+BL76-BL77</f>
        <v>5650.88491670455</v>
      </c>
      <c r="BM78" s="109" t="n">
        <f aca="false">BM74+BM75+BM76-BM77</f>
        <v>5655.05158337122</v>
      </c>
      <c r="BN78" s="109" t="n">
        <f aca="false">BN74+BN75+BN76-BN77</f>
        <v>5659.21825003788</v>
      </c>
      <c r="BO78" s="109" t="n">
        <f aca="false">BO74+BO75+BO76-BO77</f>
        <v>5663.38491670455</v>
      </c>
      <c r="BP78" s="109" t="n">
        <f aca="false">BP74+BP75+BP76-BP77</f>
        <v>5667.55158337122</v>
      </c>
      <c r="BQ78" s="109" t="n">
        <f aca="false">BQ74+BQ75+BQ76-BQ77</f>
        <v>5671.71825003789</v>
      </c>
      <c r="BR78" s="109" t="n">
        <f aca="false">BR74+BR75+BR76-BR77</f>
        <v>5675.88491670455</v>
      </c>
      <c r="BS78" s="109" t="n">
        <f aca="false">BS74+BS75+BS76-BS77</f>
        <v>5680.05158337122</v>
      </c>
      <c r="BT78" s="109" t="n">
        <f aca="false">BT74+BT75+BT76-BT77</f>
        <v>5684.21825003789</v>
      </c>
      <c r="BU78" s="109" t="n">
        <f aca="false">BU74+BU75+BU76-BU77</f>
        <v>5688.38491670455</v>
      </c>
      <c r="BV78" s="109" t="n">
        <f aca="false">BV74+BV75+BV76-BV77</f>
        <v>5692.55158337122</v>
      </c>
      <c r="BW78" s="109" t="n">
        <f aca="false">BW74+BW75+BW76-BW77</f>
        <v>3762.28424690451</v>
      </c>
      <c r="BX78" s="109" t="n">
        <f aca="false">BX74+BX75+BX76-BX77</f>
        <v>3766.45091357117</v>
      </c>
      <c r="BY78" s="109" t="n">
        <f aca="false">BY74+BY75+BY76-BY77</f>
        <v>3770.61758023784</v>
      </c>
      <c r="BZ78" s="109" t="n">
        <f aca="false">BZ74+BZ75+BZ76-BZ77</f>
        <v>3774.78424690451</v>
      </c>
      <c r="CA78" s="109" t="n">
        <f aca="false">CA74+CA75+CA76-CA77</f>
        <v>3778.95091357117</v>
      </c>
      <c r="CB78" s="109" t="n">
        <f aca="false">CB74+CB75+CB76-CB77</f>
        <v>3783.11758023784</v>
      </c>
      <c r="CC78" s="109" t="n">
        <f aca="false">CC74+CC75+CC76-CC77</f>
        <v>3787.28424690451</v>
      </c>
      <c r="CD78" s="109" t="n">
        <f aca="false">CD74+CD75+CD76-CD77</f>
        <v>3791.45091357117</v>
      </c>
      <c r="CE78" s="109" t="n">
        <f aca="false">CE74+CE75+CE76-CE77</f>
        <v>3795.61758023784</v>
      </c>
      <c r="CF78" s="109" t="n">
        <f aca="false">CF74+CF75+CF76-CF77</f>
        <v>3799.78424690451</v>
      </c>
      <c r="CG78" s="109" t="n">
        <f aca="false">CG74+CG75+CG76-CG77</f>
        <v>3803.95091357117</v>
      </c>
      <c r="CH78" s="109" t="n">
        <f aca="false">CH74+CH75+CH76-CH77</f>
        <v>3808.1175802379</v>
      </c>
    </row>
    <row r="79" customFormat="false" ht="13.5" hidden="false" customHeight="true" outlineLevel="0" collapsed="false">
      <c r="A79" s="6" t="s">
        <v>581</v>
      </c>
      <c r="C79" s="109" t="n">
        <f aca="false">C78</f>
        <v>158478.316780131</v>
      </c>
      <c r="D79" s="109" t="n">
        <f aca="false">C86+D78</f>
        <v>131673.867599422</v>
      </c>
      <c r="E79" s="109" t="n">
        <f aca="false">D86+E78</f>
        <v>109580.737385772</v>
      </c>
      <c r="F79" s="109" t="n">
        <f aca="false">E86+F78</f>
        <v>89568.5065741854</v>
      </c>
      <c r="G79" s="109" t="n">
        <f aca="false">F86+G78</f>
        <v>71231.7912389667</v>
      </c>
      <c r="H79" s="109" t="n">
        <f aca="false">G86+H78</f>
        <v>54807.5598702194</v>
      </c>
      <c r="I79" s="109" t="n">
        <f aca="false">H86+I78</f>
        <v>41070.2860283752</v>
      </c>
      <c r="J79" s="109" t="n">
        <f aca="false">I86+J78</f>
        <v>30470.1429649352</v>
      </c>
      <c r="K79" s="109" t="n">
        <f aca="false">J86+K78</f>
        <v>23007.1306798992</v>
      </c>
      <c r="L79" s="109" t="n">
        <f aca="false">K86+L78</f>
        <v>25641.3114159956</v>
      </c>
      <c r="M79" s="109" t="n">
        <f aca="false">L86+M78</f>
        <v>28294.5232679397</v>
      </c>
      <c r="N79" s="109" t="n">
        <f aca="false">M86+N78</f>
        <v>27877.8007389019</v>
      </c>
      <c r="O79" s="109" t="n">
        <f aca="false">N86+O78</f>
        <v>26373.4870347397</v>
      </c>
      <c r="P79" s="109" t="n">
        <f aca="false">O86+P78</f>
        <v>28254.3656478366</v>
      </c>
      <c r="Q79" s="109" t="n">
        <f aca="false">P86+Q78</f>
        <v>27745.7499783002</v>
      </c>
      <c r="R79" s="109" t="n">
        <f aca="false">Q86+R78</f>
        <v>29513.9601653738</v>
      </c>
      <c r="S79" s="109" t="n">
        <f aca="false">R86+S78</f>
        <v>31036.8558587677</v>
      </c>
      <c r="T79" s="109" t="n">
        <f aca="false">S86+T78</f>
        <v>30614.3272026134</v>
      </c>
      <c r="U79" s="109" t="n">
        <f aca="false">T86+U78</f>
        <v>32115.4820052361</v>
      </c>
      <c r="V79" s="109" t="n">
        <f aca="false">U86+V78</f>
        <v>31357.3914567774</v>
      </c>
      <c r="W79" s="109" t="n">
        <f aca="false">V86+W78</f>
        <v>32861.4411138903</v>
      </c>
      <c r="X79" s="109" t="n">
        <f aca="false">W86+X78</f>
        <v>32190.3499427042</v>
      </c>
      <c r="Y79" s="109" t="n">
        <f aca="false">X86+Y78</f>
        <v>33245.9679898108</v>
      </c>
      <c r="Z79" s="109" t="n">
        <f aca="false">Y86+Z78</f>
        <v>34209.9650183572</v>
      </c>
      <c r="AA79" s="109" t="n">
        <f aca="false">Z86+AA78</f>
        <v>31428.8914358529</v>
      </c>
      <c r="AB79" s="109" t="n">
        <f aca="false">AA86+AB78</f>
        <v>32324.6573062722</v>
      </c>
      <c r="AC79" s="109" t="n">
        <f aca="false">AB86+AC78</f>
        <v>33223.9129312285</v>
      </c>
      <c r="AD79" s="109" t="n">
        <f aca="false">AC86+AD78</f>
        <v>35439.1100589578</v>
      </c>
      <c r="AE79" s="109" t="n">
        <f aca="false">AD86+AE78</f>
        <v>38467.7586281523</v>
      </c>
      <c r="AF79" s="109" t="n">
        <f aca="false">AE86+AF78</f>
        <v>42386.6063448806</v>
      </c>
      <c r="AG79" s="109" t="n">
        <f aca="false">AF86+AG78</f>
        <v>47195.6532091428</v>
      </c>
      <c r="AH79" s="109" t="n">
        <f aca="false">AG86+AH78</f>
        <v>52894.8992209388</v>
      </c>
      <c r="AI79" s="109" t="n">
        <f aca="false">AH86+AI78</f>
        <v>59484.3443802687</v>
      </c>
      <c r="AJ79" s="109" t="n">
        <f aca="false">AI86+AJ78</f>
        <v>66963.9886871325</v>
      </c>
      <c r="AK79" s="109" t="n">
        <f aca="false">AJ86+AK78</f>
        <v>75333.8321415302</v>
      </c>
      <c r="AL79" s="109" t="n">
        <f aca="false">AK86+AL78</f>
        <v>84593.8747434617</v>
      </c>
      <c r="AM79" s="109" t="n">
        <f aca="false">AL86+AM78</f>
        <v>89626.595648608</v>
      </c>
      <c r="AN79" s="109" t="n">
        <f aca="false">AM86+AN78</f>
        <v>95441.7297181189</v>
      </c>
      <c r="AO79" s="109" t="n">
        <f aca="false">AN86+AO78</f>
        <v>102039.276951994</v>
      </c>
      <c r="AP79" s="109" t="n">
        <f aca="false">AO86+AP78</f>
        <v>109419.237350235</v>
      </c>
      <c r="AQ79" s="109" t="n">
        <f aca="false">AP86+AQ78</f>
        <v>117581.61091284</v>
      </c>
      <c r="AR79" s="109" t="n">
        <f aca="false">AQ86+AR78</f>
        <v>126526.397639809</v>
      </c>
      <c r="AS79" s="109" t="n">
        <f aca="false">AR86+AS78</f>
        <v>135925.524284946</v>
      </c>
      <c r="AT79" s="109" t="n">
        <f aca="false">AS86+AT78</f>
        <v>145328.81759675</v>
      </c>
      <c r="AU79" s="109" t="n">
        <f aca="false">AT86+AU78</f>
        <v>154736.27757522</v>
      </c>
      <c r="AV79" s="109" t="n">
        <f aca="false">AU86+AV78</f>
        <v>164147.904220358</v>
      </c>
      <c r="AW79" s="109" t="n">
        <f aca="false">AV86+AW78</f>
        <v>173563.697532161</v>
      </c>
      <c r="AX79" s="109" t="n">
        <f aca="false">AW86+AX78</f>
        <v>182983.657510632</v>
      </c>
      <c r="AY79" s="109" t="n">
        <f aca="false">AX86+AY78</f>
        <v>140341.256222501</v>
      </c>
      <c r="AZ79" s="109" t="n">
        <f aca="false">AY86+AZ78</f>
        <v>147862.619783025</v>
      </c>
      <c r="BA79" s="109" t="n">
        <f aca="false">AZ86+BA78</f>
        <v>155388.150010215</v>
      </c>
      <c r="BB79" s="109" t="n">
        <f aca="false">BA86+BB78</f>
        <v>162917.846904072</v>
      </c>
      <c r="BC79" s="109" t="n">
        <f aca="false">BB86+BC78</f>
        <v>170451.710464595</v>
      </c>
      <c r="BD79" s="109" t="n">
        <f aca="false">BC86+BD78</f>
        <v>177989.740691785</v>
      </c>
      <c r="BE79" s="109" t="n">
        <f aca="false">BD86+BE78</f>
        <v>185531.937585642</v>
      </c>
      <c r="BF79" s="109" t="n">
        <f aca="false">BE86+BF78</f>
        <v>193078.301146165</v>
      </c>
      <c r="BG79" s="109" t="n">
        <f aca="false">BF86+BG78</f>
        <v>200628.831373355</v>
      </c>
      <c r="BH79" s="109" t="n">
        <f aca="false">BG86+BH78</f>
        <v>208183.528267212</v>
      </c>
      <c r="BI79" s="109" t="n">
        <f aca="false">BH86+BI78</f>
        <v>215742.391827735</v>
      </c>
      <c r="BJ79" s="109" t="n">
        <f aca="false">BI86+BJ78</f>
        <v>223305.422054925</v>
      </c>
      <c r="BK79" s="109" t="n">
        <f aca="false">BJ86+BK78</f>
        <v>182880.435686507</v>
      </c>
      <c r="BL79" s="109" t="n">
        <f aca="false">BK86+BL78</f>
        <v>188531.320603212</v>
      </c>
      <c r="BM79" s="109" t="n">
        <f aca="false">BL86+BM78</f>
        <v>194186.372186583</v>
      </c>
      <c r="BN79" s="109" t="n">
        <f aca="false">BM86+BN78</f>
        <v>199845.590436621</v>
      </c>
      <c r="BO79" s="109" t="n">
        <f aca="false">BN86+BO78</f>
        <v>205508.975353326</v>
      </c>
      <c r="BP79" s="109" t="n">
        <f aca="false">BO86+BP78</f>
        <v>211176.526936697</v>
      </c>
      <c r="BQ79" s="109" t="n">
        <f aca="false">BP86+BQ78</f>
        <v>216848.245186735</v>
      </c>
      <c r="BR79" s="109" t="n">
        <f aca="false">BQ86+BR78</f>
        <v>222524.130103439</v>
      </c>
      <c r="BS79" s="109" t="n">
        <f aca="false">BR86+BS78</f>
        <v>228204.181686811</v>
      </c>
      <c r="BT79" s="109" t="n">
        <f aca="false">BS86+BT78</f>
        <v>233888.399936848</v>
      </c>
      <c r="BU79" s="109" t="n">
        <f aca="false">BT86+BU78</f>
        <v>239576.784853553</v>
      </c>
      <c r="BV79" s="109" t="n">
        <f aca="false">BU86+BV78</f>
        <v>245269.336436924</v>
      </c>
      <c r="BW79" s="109" t="n">
        <f aca="false">BV86+BW78</f>
        <v>211938.213555703</v>
      </c>
      <c r="BX79" s="109" t="n">
        <f aca="false">BW86+BX78</f>
        <v>215704.664469275</v>
      </c>
      <c r="BY79" s="109" t="n">
        <f aca="false">BX86+BY78</f>
        <v>219475.282049512</v>
      </c>
      <c r="BZ79" s="109" t="n">
        <f aca="false">BY86+BZ78</f>
        <v>223250.066296417</v>
      </c>
      <c r="CA79" s="109" t="n">
        <f aca="false">BZ86+CA78</f>
        <v>227029.017209988</v>
      </c>
      <c r="CB79" s="109" t="n">
        <f aca="false">CA86+CB78</f>
        <v>230812.134790226</v>
      </c>
      <c r="CC79" s="109" t="n">
        <f aca="false">CB86+CC78</f>
        <v>234599.41903713</v>
      </c>
      <c r="CD79" s="109" t="n">
        <f aca="false">CC86+CD78</f>
        <v>238390.869950702</v>
      </c>
      <c r="CE79" s="109" t="n">
        <f aca="false">CD86+CE78</f>
        <v>242186.487530939</v>
      </c>
      <c r="CF79" s="109" t="n">
        <f aca="false">CE86+CF78</f>
        <v>245986.271777844</v>
      </c>
      <c r="CG79" s="109" t="n">
        <f aca="false">CF86+CG78</f>
        <v>249790.222691415</v>
      </c>
      <c r="CH79" s="109" t="n">
        <f aca="false">CG86+CH78</f>
        <v>253598.340271653</v>
      </c>
    </row>
    <row r="80" customFormat="false" ht="13.5" hidden="false" customHeight="true" outlineLevel="0" collapsed="false">
      <c r="A80" s="22" t="s">
        <v>582</v>
      </c>
      <c r="C80" s="109" t="n">
        <f aca="false">IF(C79&lt;Hipótesis!$D$72,MIN(Hipótesis!$D$70-0,Hipótesis!$D$72-C79),-MIN(0,MAX(0,C79-Hipótesis!$D$72)))</f>
        <v>-0</v>
      </c>
      <c r="D80" s="109" t="n">
        <f aca="false">IF(D79&lt;Hipótesis!$D$72,MIN(Hipótesis!$D$70-C81,Hipótesis!$D$72-D79),-MIN(C81,MAX(0,D79-Hipótesis!$D$72)))</f>
        <v>0</v>
      </c>
      <c r="E80" s="109" t="n">
        <f aca="false">IF(E79&lt;Hipótesis!$D$72,MIN(Hipótesis!$D$70-D81,Hipótesis!$D$72-E79),-MIN(D81,MAX(0,E79-Hipótesis!$D$72)))</f>
        <v>-0</v>
      </c>
      <c r="F80" s="109" t="n">
        <f aca="false">IF(F79&lt;Hipótesis!$D$72,MIN(Hipótesis!$D$70-E81,Hipótesis!$D$72-F79),-MIN(E81,MAX(0,F79-Hipótesis!$D$72)))</f>
        <v>-0</v>
      </c>
      <c r="G80" s="109" t="n">
        <f aca="false">IF(G79&lt;Hipótesis!$D$72,MIN(Hipótesis!$D$70-F81,Hipótesis!$D$72-G79),-MIN(F81,MAX(0,G79-Hipótesis!$D$72)))</f>
        <v>-0</v>
      </c>
      <c r="H80" s="109" t="n">
        <f aca="false">IF(H79&lt;Hipótesis!$D$72,MIN(Hipótesis!$D$70-G81,Hipótesis!$D$72-H79),-MIN(G81,MAX(0,H79-Hipótesis!$D$72)))</f>
        <v>-0</v>
      </c>
      <c r="I80" s="109" t="n">
        <f aca="false">IF(I79&lt;Hipótesis!$D$72,MIN(Hipótesis!$D$70-H81,Hipótesis!$D$72-I79),-MIN(H81,MAX(0,I79-Hipótesis!$D$72)))</f>
        <v>-0</v>
      </c>
      <c r="J80" s="109" t="n">
        <f aca="false">IF(J79&lt;Hipótesis!$D$72,MIN(Hipótesis!$D$70-I81,Hipótesis!$D$72-J79),-MIN(I81,MAX(0,J79-Hipótesis!$D$72)))</f>
        <v>-0</v>
      </c>
      <c r="K80" s="109" t="n">
        <f aca="false">IF(K79&lt;Hipótesis!$D$72,MIN(Hipótesis!$D$70-J81,Hipótesis!$D$72-K79),-MIN(J81,MAX(0,K79-Hipótesis!$D$72)))</f>
        <v>6992.86932010083</v>
      </c>
      <c r="L80" s="109" t="n">
        <f aca="false">IF(L79&lt;Hipótesis!$D$72,MIN(Hipótesis!$D$70-K81,Hipótesis!$D$72-L79),-MIN(K81,MAX(0,L79-Hipótesis!$D$72)))</f>
        <v>4358.68858400443</v>
      </c>
      <c r="M80" s="109" t="n">
        <f aca="false">IF(M79&lt;Hipótesis!$D$72,MIN(Hipótesis!$D$70-L81,Hipótesis!$D$72-M79),-MIN(L81,MAX(0,M79-Hipótesis!$D$72)))</f>
        <v>1705.47673206031</v>
      </c>
      <c r="N80" s="109" t="n">
        <f aca="false">IF(N79&lt;Hipótesis!$D$72,MIN(Hipótesis!$D$70-M81,Hipótesis!$D$72-N79),-MIN(M81,MAX(0,N79-Hipótesis!$D$72)))</f>
        <v>2122.19926109813</v>
      </c>
      <c r="O80" s="109" t="n">
        <f aca="false">IF(O79&lt;Hipótesis!$D$72,MIN(Hipótesis!$D$70-N81,Hipótesis!$D$72-O79),-MIN(N81,MAX(0,O79-Hipótesis!$D$72)))</f>
        <v>3626.51296526034</v>
      </c>
      <c r="P80" s="109" t="n">
        <f aca="false">IF(P79&lt;Hipótesis!$D$72,MIN(Hipótesis!$D$70-O81,Hipótesis!$D$72-P79),-MIN(O81,MAX(0,P79-Hipótesis!$D$72)))</f>
        <v>1745.63435216338</v>
      </c>
      <c r="Q80" s="109" t="n">
        <f aca="false">IF(Q79&lt;Hipótesis!$D$72,MIN(Hipótesis!$D$70-P81,Hipótesis!$D$72-Q79),-MIN(P81,MAX(0,Q79-Hipótesis!$D$72)))</f>
        <v>2254.25002169976</v>
      </c>
      <c r="R80" s="109" t="n">
        <f aca="false">IF(R79&lt;Hipótesis!$D$72,MIN(Hipótesis!$D$70-Q81,Hipótesis!$D$72-R79),-MIN(Q81,MAX(0,R79-Hipótesis!$D$72)))</f>
        <v>486.039834626208</v>
      </c>
      <c r="S80" s="109" t="n">
        <f aca="false">IF(S79&lt;Hipótesis!$D$72,MIN(Hipótesis!$D$70-R81,Hipótesis!$D$72-S79),-MIN(R81,MAX(0,S79-Hipótesis!$D$72)))</f>
        <v>-1036.8558587677</v>
      </c>
      <c r="T80" s="109" t="n">
        <f aca="false">IF(T79&lt;Hipótesis!$D$72,MIN(Hipótesis!$D$70-S81,Hipótesis!$D$72-T79),-MIN(S81,MAX(0,T79-Hipótesis!$D$72)))</f>
        <v>-614.327202613367</v>
      </c>
      <c r="U80" s="109" t="n">
        <f aca="false">IF(U79&lt;Hipótesis!$D$72,MIN(Hipótesis!$D$70-T81,Hipótesis!$D$72-U79),-MIN(T81,MAX(0,U79-Hipótesis!$D$72)))</f>
        <v>-2115.4820052361</v>
      </c>
      <c r="V80" s="109" t="n">
        <f aca="false">IF(V79&lt;Hipótesis!$D$72,MIN(Hipótesis!$D$70-U81,Hipótesis!$D$72-V79),-MIN(U81,MAX(0,V79-Hipótesis!$D$72)))</f>
        <v>-1357.39145677739</v>
      </c>
      <c r="W80" s="109" t="n">
        <f aca="false">IF(W79&lt;Hipótesis!$D$72,MIN(Hipótesis!$D$70-V81,Hipótesis!$D$72-W79),-MIN(V81,MAX(0,W79-Hipótesis!$D$72)))</f>
        <v>-2861.44111389031</v>
      </c>
      <c r="X80" s="109" t="n">
        <f aca="false">IF(X79&lt;Hipótesis!$D$72,MIN(Hipótesis!$D$70-W81,Hipótesis!$D$72-X79),-MIN(W81,MAX(0,X79-Hipótesis!$D$72)))</f>
        <v>-2190.3499427042</v>
      </c>
      <c r="Y80" s="109" t="n">
        <f aca="false">IF(Y79&lt;Hipótesis!$D$72,MIN(Hipótesis!$D$70-X81,Hipótesis!$D$72-Y79),-MIN(X81,MAX(0,Y79-Hipótesis!$D$72)))</f>
        <v>-3245.96798981075</v>
      </c>
      <c r="Z80" s="109" t="n">
        <f aca="false">IF(Z79&lt;Hipótesis!$D$72,MIN(Hipótesis!$D$70-Y81,Hipótesis!$D$72-Z79),-MIN(Y81,MAX(0,Z79-Hipótesis!$D$72)))</f>
        <v>-4209.96501835721</v>
      </c>
      <c r="AA80" s="109" t="n">
        <f aca="false">IF(AA79&lt;Hipótesis!$D$72,MIN(Hipótesis!$D$70-Z81,Hipótesis!$D$72-AA79),-MIN(Z81,MAX(0,AA79-Hipótesis!$D$72)))</f>
        <v>-1428.89143585288</v>
      </c>
      <c r="AB80" s="109" t="n">
        <f aca="false">IF(AB79&lt;Hipótesis!$D$72,MIN(Hipótesis!$D$70-AA81,Hipótesis!$D$72-AB79),-MIN(AA81,MAX(0,AB79-Hipótesis!$D$72)))</f>
        <v>-2324.65730627224</v>
      </c>
      <c r="AC80" s="109" t="n">
        <f aca="false">IF(AC79&lt;Hipótesis!$D$72,MIN(Hipótesis!$D$70-AB81,Hipótesis!$D$72-AC79),-MIN(AB81,MAX(0,AC79-Hipótesis!$D$72)))</f>
        <v>-1906.34174073125</v>
      </c>
      <c r="AD80" s="109" t="n">
        <f aca="false">IF(AD79&lt;Hipótesis!$D$72,MIN(Hipótesis!$D$70-AC81,Hipótesis!$D$72-AD79),-MIN(AC81,MAX(0,AD79-Hipótesis!$D$72)))</f>
        <v>-0</v>
      </c>
      <c r="AE80" s="109" t="n">
        <f aca="false">IF(AE79&lt;Hipótesis!$D$72,MIN(Hipótesis!$D$70-AD81,Hipótesis!$D$72-AE79),-MIN(AD81,MAX(0,AE79-Hipótesis!$D$72)))</f>
        <v>-0</v>
      </c>
      <c r="AF80" s="109" t="n">
        <f aca="false">IF(AF79&lt;Hipótesis!$D$72,MIN(Hipótesis!$D$70-AE81,Hipótesis!$D$72-AF79),-MIN(AE81,MAX(0,AF79-Hipótesis!$D$72)))</f>
        <v>-0</v>
      </c>
      <c r="AG80" s="109" t="n">
        <f aca="false">IF(AG79&lt;Hipótesis!$D$72,MIN(Hipótesis!$D$70-AF81,Hipótesis!$D$72-AG79),-MIN(AF81,MAX(0,AG79-Hipótesis!$D$72)))</f>
        <v>-0</v>
      </c>
      <c r="AH80" s="109" t="n">
        <f aca="false">IF(AH79&lt;Hipótesis!$D$72,MIN(Hipótesis!$D$70-AG81,Hipótesis!$D$72-AH79),-MIN(AG81,MAX(0,AH79-Hipótesis!$D$72)))</f>
        <v>-0</v>
      </c>
      <c r="AI80" s="109" t="n">
        <f aca="false">IF(AI79&lt;Hipótesis!$D$72,MIN(Hipótesis!$D$70-AH81,Hipótesis!$D$72-AI79),-MIN(AH81,MAX(0,AI79-Hipótesis!$D$72)))</f>
        <v>-0</v>
      </c>
      <c r="AJ80" s="109" t="n">
        <f aca="false">IF(AJ79&lt;Hipótesis!$D$72,MIN(Hipótesis!$D$70-AI81,Hipótesis!$D$72-AJ79),-MIN(AI81,MAX(0,AJ79-Hipótesis!$D$72)))</f>
        <v>-0</v>
      </c>
      <c r="AK80" s="109" t="n">
        <f aca="false">IF(AK79&lt;Hipótesis!$D$72,MIN(Hipótesis!$D$70-AJ81,Hipótesis!$D$72-AK79),-MIN(AJ81,MAX(0,AK79-Hipótesis!$D$72)))</f>
        <v>-0</v>
      </c>
      <c r="AL80" s="109" t="n">
        <f aca="false">IF(AL79&lt;Hipótesis!$D$72,MIN(Hipótesis!$D$70-AK81,Hipótesis!$D$72-AL79),-MIN(AK81,MAX(0,AL79-Hipótesis!$D$72)))</f>
        <v>-0</v>
      </c>
      <c r="AM80" s="109" t="n">
        <f aca="false">IF(AM79&lt;Hipótesis!$D$72,MIN(Hipótesis!$D$70-AL81,Hipótesis!$D$72-AM79),-MIN(AL81,MAX(0,AM79-Hipótesis!$D$72)))</f>
        <v>-0</v>
      </c>
      <c r="AN80" s="109" t="n">
        <f aca="false">IF(AN79&lt;Hipótesis!$D$72,MIN(Hipótesis!$D$70-AM81,Hipótesis!$D$72-AN79),-MIN(AM81,MAX(0,AN79-Hipótesis!$D$72)))</f>
        <v>-0</v>
      </c>
      <c r="AO80" s="109" t="n">
        <f aca="false">IF(AO79&lt;Hipótesis!$D$72,MIN(Hipótesis!$D$70-AN81,Hipótesis!$D$72-AO79),-MIN(AN81,MAX(0,AO79-Hipótesis!$D$72)))</f>
        <v>-0</v>
      </c>
      <c r="AP80" s="109" t="n">
        <f aca="false">IF(AP79&lt;Hipótesis!$D$72,MIN(Hipótesis!$D$70-AO81,Hipótesis!$D$72-AP79),-MIN(AO81,MAX(0,AP79-Hipótesis!$D$72)))</f>
        <v>-0</v>
      </c>
      <c r="AQ80" s="109" t="n">
        <f aca="false">IF(AQ79&lt;Hipótesis!$D$72,MIN(Hipótesis!$D$70-AP81,Hipótesis!$D$72-AQ79),-MIN(AP81,MAX(0,AQ79-Hipótesis!$D$72)))</f>
        <v>-0</v>
      </c>
      <c r="AR80" s="109" t="n">
        <f aca="false">IF(AR79&lt;Hipótesis!$D$72,MIN(Hipótesis!$D$70-AQ81,Hipótesis!$D$72-AR79),-MIN(AQ81,MAX(0,AR79-Hipótesis!$D$72)))</f>
        <v>-0</v>
      </c>
      <c r="AS80" s="109" t="n">
        <f aca="false">IF(AS79&lt;Hipótesis!$D$72,MIN(Hipótesis!$D$70-AR81,Hipótesis!$D$72-AS79),-MIN(AR81,MAX(0,AS79-Hipótesis!$D$72)))</f>
        <v>-0</v>
      </c>
      <c r="AT80" s="109" t="n">
        <f aca="false">IF(AT79&lt;Hipótesis!$D$72,MIN(Hipótesis!$D$70-AS81,Hipótesis!$D$72-AT79),-MIN(AS81,MAX(0,AT79-Hipótesis!$D$72)))</f>
        <v>-0</v>
      </c>
      <c r="AU80" s="109" t="n">
        <f aca="false">IF(AU79&lt;Hipótesis!$D$72,MIN(Hipótesis!$D$70-AT81,Hipótesis!$D$72-AU79),-MIN(AT81,MAX(0,AU79-Hipótesis!$D$72)))</f>
        <v>-0</v>
      </c>
      <c r="AV80" s="109" t="n">
        <f aca="false">IF(AV79&lt;Hipótesis!$D$72,MIN(Hipótesis!$D$70-AU81,Hipótesis!$D$72-AV79),-MIN(AU81,MAX(0,AV79-Hipótesis!$D$72)))</f>
        <v>-0</v>
      </c>
      <c r="AW80" s="109" t="n">
        <f aca="false">IF(AW79&lt;Hipótesis!$D$72,MIN(Hipótesis!$D$70-AV81,Hipótesis!$D$72-AW79),-MIN(AV81,MAX(0,AW79-Hipótesis!$D$72)))</f>
        <v>-0</v>
      </c>
      <c r="AX80" s="109" t="n">
        <f aca="false">IF(AX79&lt;Hipótesis!$D$72,MIN(Hipótesis!$D$70-AW81,Hipótesis!$D$72-AX79),-MIN(AW81,MAX(0,AX79-Hipótesis!$D$72)))</f>
        <v>-0</v>
      </c>
      <c r="AY80" s="109" t="n">
        <f aca="false">IF(AY79&lt;Hipótesis!$D$72,MIN(Hipótesis!$D$70-AX81,Hipótesis!$D$72-AY79),-MIN(AX81,MAX(0,AY79-Hipótesis!$D$72)))</f>
        <v>-0</v>
      </c>
      <c r="AZ80" s="109" t="n">
        <f aca="false">IF(AZ79&lt;Hipótesis!$D$72,MIN(Hipótesis!$D$70-AY81,Hipótesis!$D$72-AZ79),-MIN(AY81,MAX(0,AZ79-Hipótesis!$D$72)))</f>
        <v>-0</v>
      </c>
      <c r="BA80" s="109" t="n">
        <f aca="false">IF(BA79&lt;Hipótesis!$D$72,MIN(Hipótesis!$D$70-AZ81,Hipótesis!$D$72-BA79),-MIN(AZ81,MAX(0,BA79-Hipótesis!$D$72)))</f>
        <v>-0</v>
      </c>
      <c r="BB80" s="109" t="n">
        <f aca="false">IF(BB79&lt;Hipótesis!$D$72,MIN(Hipótesis!$D$70-BA81,Hipótesis!$D$72-BB79),-MIN(BA81,MAX(0,BB79-Hipótesis!$D$72)))</f>
        <v>-0</v>
      </c>
      <c r="BC80" s="109" t="n">
        <f aca="false">IF(BC79&lt;Hipótesis!$D$72,MIN(Hipótesis!$D$70-BB81,Hipótesis!$D$72-BC79),-MIN(BB81,MAX(0,BC79-Hipótesis!$D$72)))</f>
        <v>-0</v>
      </c>
      <c r="BD80" s="109" t="n">
        <f aca="false">IF(BD79&lt;Hipótesis!$D$72,MIN(Hipótesis!$D$70-BC81,Hipótesis!$D$72-BD79),-MIN(BC81,MAX(0,BD79-Hipótesis!$D$72)))</f>
        <v>-0</v>
      </c>
      <c r="BE80" s="109" t="n">
        <f aca="false">IF(BE79&lt;Hipótesis!$D$72,MIN(Hipótesis!$D$70-BD81,Hipótesis!$D$72-BE79),-MIN(BD81,MAX(0,BE79-Hipótesis!$D$72)))</f>
        <v>-0</v>
      </c>
      <c r="BF80" s="109" t="n">
        <f aca="false">IF(BF79&lt;Hipótesis!$D$72,MIN(Hipótesis!$D$70-BE81,Hipótesis!$D$72-BF79),-MIN(BE81,MAX(0,BF79-Hipótesis!$D$72)))</f>
        <v>-0</v>
      </c>
      <c r="BG80" s="109" t="n">
        <f aca="false">IF(BG79&lt;Hipótesis!$D$72,MIN(Hipótesis!$D$70-BF81,Hipótesis!$D$72-BG79),-MIN(BF81,MAX(0,BG79-Hipótesis!$D$72)))</f>
        <v>-0</v>
      </c>
      <c r="BH80" s="109" t="n">
        <f aca="false">IF(BH79&lt;Hipótesis!$D$72,MIN(Hipótesis!$D$70-BG81,Hipótesis!$D$72-BH79),-MIN(BG81,MAX(0,BH79-Hipótesis!$D$72)))</f>
        <v>-0</v>
      </c>
      <c r="BI80" s="109" t="n">
        <f aca="false">IF(BI79&lt;Hipótesis!$D$72,MIN(Hipótesis!$D$70-BH81,Hipótesis!$D$72-BI79),-MIN(BH81,MAX(0,BI79-Hipótesis!$D$72)))</f>
        <v>-0</v>
      </c>
      <c r="BJ80" s="109" t="n">
        <f aca="false">IF(BJ79&lt;Hipótesis!$D$72,MIN(Hipótesis!$D$70-BI81,Hipótesis!$D$72-BJ79),-MIN(BI81,MAX(0,BJ79-Hipótesis!$D$72)))</f>
        <v>-0</v>
      </c>
      <c r="BK80" s="109" t="n">
        <f aca="false">IF(BK79&lt;Hipótesis!$D$72,MIN(Hipótesis!$D$70-BJ81,Hipótesis!$D$72-BK79),-MIN(BJ81,MAX(0,BK79-Hipótesis!$D$72)))</f>
        <v>-0</v>
      </c>
      <c r="BL80" s="109" t="n">
        <f aca="false">IF(BL79&lt;Hipótesis!$D$72,MIN(Hipótesis!$D$70-BK81,Hipótesis!$D$72-BL79),-MIN(BK81,MAX(0,BL79-Hipótesis!$D$72)))</f>
        <v>-0</v>
      </c>
      <c r="BM80" s="109" t="n">
        <f aca="false">IF(BM79&lt;Hipótesis!$D$72,MIN(Hipótesis!$D$70-BL81,Hipótesis!$D$72-BM79),-MIN(BL81,MAX(0,BM79-Hipótesis!$D$72)))</f>
        <v>-0</v>
      </c>
      <c r="BN80" s="109" t="n">
        <f aca="false">IF(BN79&lt;Hipótesis!$D$72,MIN(Hipótesis!$D$70-BM81,Hipótesis!$D$72-BN79),-MIN(BM81,MAX(0,BN79-Hipótesis!$D$72)))</f>
        <v>-0</v>
      </c>
      <c r="BO80" s="109" t="n">
        <f aca="false">IF(BO79&lt;Hipótesis!$D$72,MIN(Hipótesis!$D$70-BN81,Hipótesis!$D$72-BO79),-MIN(BN81,MAX(0,BO79-Hipótesis!$D$72)))</f>
        <v>-0</v>
      </c>
      <c r="BP80" s="109" t="n">
        <f aca="false">IF(BP79&lt;Hipótesis!$D$72,MIN(Hipótesis!$D$70-BO81,Hipótesis!$D$72-BP79),-MIN(BO81,MAX(0,BP79-Hipótesis!$D$72)))</f>
        <v>-0</v>
      </c>
      <c r="BQ80" s="109" t="n">
        <f aca="false">IF(BQ79&lt;Hipótesis!$D$72,MIN(Hipótesis!$D$70-BP81,Hipótesis!$D$72-BQ79),-MIN(BP81,MAX(0,BQ79-Hipótesis!$D$72)))</f>
        <v>-0</v>
      </c>
      <c r="BR80" s="109" t="n">
        <f aca="false">IF(BR79&lt;Hipótesis!$D$72,MIN(Hipótesis!$D$70-BQ81,Hipótesis!$D$72-BR79),-MIN(BQ81,MAX(0,BR79-Hipótesis!$D$72)))</f>
        <v>-0</v>
      </c>
      <c r="BS80" s="109" t="n">
        <f aca="false">IF(BS79&lt;Hipótesis!$D$72,MIN(Hipótesis!$D$70-BR81,Hipótesis!$D$72-BS79),-MIN(BR81,MAX(0,BS79-Hipótesis!$D$72)))</f>
        <v>-0</v>
      </c>
      <c r="BT80" s="109" t="n">
        <f aca="false">IF(BT79&lt;Hipótesis!$D$72,MIN(Hipótesis!$D$70-BS81,Hipótesis!$D$72-BT79),-MIN(BS81,MAX(0,BT79-Hipótesis!$D$72)))</f>
        <v>-0</v>
      </c>
      <c r="BU80" s="109" t="n">
        <f aca="false">IF(BU79&lt;Hipótesis!$D$72,MIN(Hipótesis!$D$70-BT81,Hipótesis!$D$72-BU79),-MIN(BT81,MAX(0,BU79-Hipótesis!$D$72)))</f>
        <v>-0</v>
      </c>
      <c r="BV80" s="109" t="n">
        <f aca="false">IF(BV79&lt;Hipótesis!$D$72,MIN(Hipótesis!$D$70-BU81,Hipótesis!$D$72-BV79),-MIN(BU81,MAX(0,BV79-Hipótesis!$D$72)))</f>
        <v>-0</v>
      </c>
      <c r="BW80" s="109" t="n">
        <f aca="false">IF(BW79&lt;Hipótesis!$D$72,MIN(Hipótesis!$D$70-BV81,Hipótesis!$D$72-BW79),-MIN(BV81,MAX(0,BW79-Hipótesis!$D$72)))</f>
        <v>-0</v>
      </c>
      <c r="BX80" s="109" t="n">
        <f aca="false">IF(BX79&lt;Hipótesis!$D$72,MIN(Hipótesis!$D$70-BW81,Hipótesis!$D$72-BX79),-MIN(BW81,MAX(0,BX79-Hipótesis!$D$72)))</f>
        <v>-0</v>
      </c>
      <c r="BY80" s="109" t="n">
        <f aca="false">IF(BY79&lt;Hipótesis!$D$72,MIN(Hipótesis!$D$70-BX81,Hipótesis!$D$72-BY79),-MIN(BX81,MAX(0,BY79-Hipótesis!$D$72)))</f>
        <v>-0</v>
      </c>
      <c r="BZ80" s="109" t="n">
        <f aca="false">IF(BZ79&lt;Hipótesis!$D$72,MIN(Hipótesis!$D$70-BY81,Hipótesis!$D$72-BZ79),-MIN(BY81,MAX(0,BZ79-Hipótesis!$D$72)))</f>
        <v>-0</v>
      </c>
      <c r="CA80" s="109" t="n">
        <f aca="false">IF(CA79&lt;Hipótesis!$D$72,MIN(Hipótesis!$D$70-BZ81,Hipótesis!$D$72-CA79),-MIN(BZ81,MAX(0,CA79-Hipótesis!$D$72)))</f>
        <v>-0</v>
      </c>
      <c r="CB80" s="109" t="n">
        <f aca="false">IF(CB79&lt;Hipótesis!$D$72,MIN(Hipótesis!$D$70-CA81,Hipótesis!$D$72-CB79),-MIN(CA81,MAX(0,CB79-Hipótesis!$D$72)))</f>
        <v>-0</v>
      </c>
      <c r="CC80" s="109" t="n">
        <f aca="false">IF(CC79&lt;Hipótesis!$D$72,MIN(Hipótesis!$D$70-CB81,Hipótesis!$D$72-CC79),-MIN(CB81,MAX(0,CC79-Hipótesis!$D$72)))</f>
        <v>-0</v>
      </c>
      <c r="CD80" s="109" t="n">
        <f aca="false">IF(CD79&lt;Hipótesis!$D$72,MIN(Hipótesis!$D$70-CC81,Hipótesis!$D$72-CD79),-MIN(CC81,MAX(0,CD79-Hipótesis!$D$72)))</f>
        <v>-0</v>
      </c>
      <c r="CE80" s="109" t="n">
        <f aca="false">IF(CE79&lt;Hipótesis!$D$72,MIN(Hipótesis!$D$70-CD81,Hipótesis!$D$72-CE79),-MIN(CD81,MAX(0,CE79-Hipótesis!$D$72)))</f>
        <v>-0</v>
      </c>
      <c r="CF80" s="109" t="n">
        <f aca="false">IF(CF79&lt;Hipótesis!$D$72,MIN(Hipótesis!$D$70-CE81,Hipótesis!$D$72-CF79),-MIN(CE81,MAX(0,CF79-Hipótesis!$D$72)))</f>
        <v>-0</v>
      </c>
      <c r="CG80" s="109" t="n">
        <f aca="false">IF(CG79&lt;Hipótesis!$D$72,MIN(Hipótesis!$D$70-CF81,Hipótesis!$D$72-CG79),-MIN(CF81,MAX(0,CG79-Hipótesis!$D$72)))</f>
        <v>-0</v>
      </c>
      <c r="CH80" s="109" t="n">
        <f aca="false">IF(CH79&lt;Hipótesis!$D$72,MIN(Hipótesis!$D$70-CG81,Hipótesis!$D$72-CH79),-MIN(CG81,MAX(0,CH79-Hipótesis!$D$72)))</f>
        <v>-0</v>
      </c>
    </row>
    <row r="81" customFormat="false" ht="13.5" hidden="false" customHeight="true" outlineLevel="0" collapsed="false">
      <c r="A81" s="47" t="s">
        <v>583</v>
      </c>
      <c r="C81" s="71" t="n">
        <f aca="false">C80</f>
        <v>-0</v>
      </c>
      <c r="D81" s="71" t="n">
        <f aca="false">C81+D80</f>
        <v>0</v>
      </c>
      <c r="E81" s="71" t="n">
        <f aca="false">D81+E80</f>
        <v>0</v>
      </c>
      <c r="F81" s="71" t="n">
        <f aca="false">E81+F80</f>
        <v>0</v>
      </c>
      <c r="G81" s="71" t="n">
        <f aca="false">F81+G80</f>
        <v>0</v>
      </c>
      <c r="H81" s="71" t="n">
        <f aca="false">G81+H80</f>
        <v>0</v>
      </c>
      <c r="I81" s="71" t="n">
        <f aca="false">H81+I80</f>
        <v>0</v>
      </c>
      <c r="J81" s="71" t="n">
        <f aca="false">I81+J80</f>
        <v>0</v>
      </c>
      <c r="K81" s="71" t="n">
        <f aca="false">J81+K80</f>
        <v>6992.86932010083</v>
      </c>
      <c r="L81" s="71" t="n">
        <f aca="false">K81+L80</f>
        <v>11351.5579041053</v>
      </c>
      <c r="M81" s="71" t="n">
        <f aca="false">L81+M80</f>
        <v>13057.0346361656</v>
      </c>
      <c r="N81" s="71" t="n">
        <f aca="false">M81+N80</f>
        <v>15179.2338972637</v>
      </c>
      <c r="O81" s="71" t="n">
        <f aca="false">N81+O80</f>
        <v>18805.746862524</v>
      </c>
      <c r="P81" s="71" t="n">
        <f aca="false">O81+P80</f>
        <v>20551.3812146874</v>
      </c>
      <c r="Q81" s="71" t="n">
        <f aca="false">P81+Q80</f>
        <v>22805.6312363872</v>
      </c>
      <c r="R81" s="71" t="n">
        <f aca="false">Q81+R80</f>
        <v>23291.6710710134</v>
      </c>
      <c r="S81" s="71" t="n">
        <f aca="false">R81+S80</f>
        <v>22254.8152122457</v>
      </c>
      <c r="T81" s="71" t="n">
        <f aca="false">S81+T80</f>
        <v>21640.4880096323</v>
      </c>
      <c r="U81" s="71" t="n">
        <f aca="false">T81+U80</f>
        <v>19525.0060043962</v>
      </c>
      <c r="V81" s="71" t="n">
        <f aca="false">U81+V80</f>
        <v>18167.6145476188</v>
      </c>
      <c r="W81" s="71" t="n">
        <f aca="false">V81+W80</f>
        <v>15306.1734337285</v>
      </c>
      <c r="X81" s="71" t="n">
        <f aca="false">W81+X80</f>
        <v>13115.8234910243</v>
      </c>
      <c r="Y81" s="71" t="n">
        <f aca="false">X81+Y80</f>
        <v>9869.85550121357</v>
      </c>
      <c r="Z81" s="71" t="n">
        <f aca="false">Y81+Z80</f>
        <v>5659.89048285636</v>
      </c>
      <c r="AA81" s="71" t="n">
        <f aca="false">Z81+AA80</f>
        <v>4230.99904700349</v>
      </c>
      <c r="AB81" s="71" t="n">
        <f aca="false">AA81+AB80</f>
        <v>1906.34174073125</v>
      </c>
      <c r="AC81" s="71" t="n">
        <f aca="false">AB81+AC80</f>
        <v>0</v>
      </c>
      <c r="AD81" s="71" t="n">
        <f aca="false">AC81+AD80</f>
        <v>0</v>
      </c>
      <c r="AE81" s="71" t="n">
        <f aca="false">AD81+AE80</f>
        <v>0</v>
      </c>
      <c r="AF81" s="71" t="n">
        <f aca="false">AE81+AF80</f>
        <v>0</v>
      </c>
      <c r="AG81" s="71" t="n">
        <f aca="false">AF81+AG80</f>
        <v>0</v>
      </c>
      <c r="AH81" s="71" t="n">
        <f aca="false">AG81+AH80</f>
        <v>0</v>
      </c>
      <c r="AI81" s="71" t="n">
        <f aca="false">AH81+AI80</f>
        <v>0</v>
      </c>
      <c r="AJ81" s="71" t="n">
        <f aca="false">AI81+AJ80</f>
        <v>0</v>
      </c>
      <c r="AK81" s="71" t="n">
        <f aca="false">AJ81+AK80</f>
        <v>0</v>
      </c>
      <c r="AL81" s="71" t="n">
        <f aca="false">AK81+AL80</f>
        <v>0</v>
      </c>
      <c r="AM81" s="71" t="n">
        <f aca="false">AL81+AM80</f>
        <v>0</v>
      </c>
      <c r="AN81" s="71" t="n">
        <f aca="false">AM81+AN80</f>
        <v>0</v>
      </c>
      <c r="AO81" s="71" t="n">
        <f aca="false">AN81+AO80</f>
        <v>0</v>
      </c>
      <c r="AP81" s="71" t="n">
        <f aca="false">AO81+AP80</f>
        <v>0</v>
      </c>
      <c r="AQ81" s="71" t="n">
        <f aca="false">AP81+AQ80</f>
        <v>0</v>
      </c>
      <c r="AR81" s="71" t="n">
        <f aca="false">AQ81+AR80</f>
        <v>0</v>
      </c>
      <c r="AS81" s="71" t="n">
        <f aca="false">AR81+AS80</f>
        <v>0</v>
      </c>
      <c r="AT81" s="71" t="n">
        <f aca="false">AS81+AT80</f>
        <v>0</v>
      </c>
      <c r="AU81" s="71" t="n">
        <f aca="false">AT81+AU80</f>
        <v>0</v>
      </c>
      <c r="AV81" s="71" t="n">
        <f aca="false">AU81+AV80</f>
        <v>0</v>
      </c>
      <c r="AW81" s="71" t="n">
        <f aca="false">AV81+AW80</f>
        <v>0</v>
      </c>
      <c r="AX81" s="71" t="n">
        <f aca="false">AW81+AX80</f>
        <v>0</v>
      </c>
      <c r="AY81" s="71" t="n">
        <f aca="false">AX81+AY80</f>
        <v>0</v>
      </c>
      <c r="AZ81" s="71" t="n">
        <f aca="false">AY81+AZ80</f>
        <v>0</v>
      </c>
      <c r="BA81" s="71" t="n">
        <f aca="false">AZ81+BA80</f>
        <v>0</v>
      </c>
      <c r="BB81" s="71" t="n">
        <f aca="false">BA81+BB80</f>
        <v>0</v>
      </c>
      <c r="BC81" s="71" t="n">
        <f aca="false">BB81+BC80</f>
        <v>0</v>
      </c>
      <c r="BD81" s="71" t="n">
        <f aca="false">BC81+BD80</f>
        <v>0</v>
      </c>
      <c r="BE81" s="71" t="n">
        <f aca="false">BD81+BE80</f>
        <v>0</v>
      </c>
      <c r="BF81" s="71" t="n">
        <f aca="false">BE81+BF80</f>
        <v>0</v>
      </c>
      <c r="BG81" s="71" t="n">
        <f aca="false">BF81+BG80</f>
        <v>0</v>
      </c>
      <c r="BH81" s="71" t="n">
        <f aca="false">BG81+BH80</f>
        <v>0</v>
      </c>
      <c r="BI81" s="71" t="n">
        <f aca="false">BH81+BI80</f>
        <v>0</v>
      </c>
      <c r="BJ81" s="71" t="n">
        <f aca="false">BI81+BJ80</f>
        <v>0</v>
      </c>
      <c r="BK81" s="71" t="n">
        <f aca="false">BJ81+BK80</f>
        <v>0</v>
      </c>
      <c r="BL81" s="71" t="n">
        <f aca="false">BK81+BL80</f>
        <v>0</v>
      </c>
      <c r="BM81" s="71" t="n">
        <f aca="false">BL81+BM80</f>
        <v>0</v>
      </c>
      <c r="BN81" s="71" t="n">
        <f aca="false">BM81+BN80</f>
        <v>0</v>
      </c>
      <c r="BO81" s="71" t="n">
        <f aca="false">BN81+BO80</f>
        <v>0</v>
      </c>
      <c r="BP81" s="71" t="n">
        <f aca="false">BO81+BP80</f>
        <v>0</v>
      </c>
      <c r="BQ81" s="71" t="n">
        <f aca="false">BP81+BQ80</f>
        <v>0</v>
      </c>
      <c r="BR81" s="71" t="n">
        <f aca="false">BQ81+BR80</f>
        <v>0</v>
      </c>
      <c r="BS81" s="71" t="n">
        <f aca="false">BR81+BS80</f>
        <v>0</v>
      </c>
      <c r="BT81" s="71" t="n">
        <f aca="false">BS81+BT80</f>
        <v>0</v>
      </c>
      <c r="BU81" s="71" t="n">
        <f aca="false">BT81+BU80</f>
        <v>0</v>
      </c>
      <c r="BV81" s="71" t="n">
        <f aca="false">BU81+BV80</f>
        <v>0</v>
      </c>
      <c r="BW81" s="71" t="n">
        <f aca="false">BV81+BW80</f>
        <v>0</v>
      </c>
      <c r="BX81" s="71" t="n">
        <f aca="false">BW81+BX80</f>
        <v>0</v>
      </c>
      <c r="BY81" s="71" t="n">
        <f aca="false">BX81+BY80</f>
        <v>0</v>
      </c>
      <c r="BZ81" s="71" t="n">
        <f aca="false">BY81+BZ80</f>
        <v>0</v>
      </c>
      <c r="CA81" s="71" t="n">
        <f aca="false">BZ81+CA80</f>
        <v>0</v>
      </c>
      <c r="CB81" s="71" t="n">
        <f aca="false">CA81+CB80</f>
        <v>0</v>
      </c>
      <c r="CC81" s="71" t="n">
        <f aca="false">CB81+CC80</f>
        <v>0</v>
      </c>
      <c r="CD81" s="71" t="n">
        <f aca="false">CC81+CD80</f>
        <v>0</v>
      </c>
      <c r="CE81" s="71" t="n">
        <f aca="false">CD81+CE80</f>
        <v>0</v>
      </c>
      <c r="CF81" s="71" t="n">
        <f aca="false">CE81+CF80</f>
        <v>0</v>
      </c>
      <c r="CG81" s="71" t="n">
        <f aca="false">CF81+CG80</f>
        <v>0</v>
      </c>
      <c r="CH81" s="71" t="n">
        <f aca="false">CG81+CH80</f>
        <v>0</v>
      </c>
    </row>
    <row r="82" customFormat="false" ht="13.5" hidden="false" customHeight="true" outlineLevel="0" collapsed="false">
      <c r="A82" s="6" t="s">
        <v>584</v>
      </c>
      <c r="C82" s="109" t="n">
        <f aca="false">C79+C80</f>
        <v>158478.316780131</v>
      </c>
      <c r="D82" s="109" t="n">
        <f aca="false">D79+D80</f>
        <v>131673.867599422</v>
      </c>
      <c r="E82" s="109" t="n">
        <f aca="false">E79+E80</f>
        <v>109580.737385772</v>
      </c>
      <c r="F82" s="109" t="n">
        <f aca="false">F79+F80</f>
        <v>89568.5065741854</v>
      </c>
      <c r="G82" s="109" t="n">
        <f aca="false">G79+G80</f>
        <v>71231.7912389667</v>
      </c>
      <c r="H82" s="109" t="n">
        <f aca="false">H79+H80</f>
        <v>54807.5598702194</v>
      </c>
      <c r="I82" s="109" t="n">
        <f aca="false">I79+I80</f>
        <v>41070.2860283752</v>
      </c>
      <c r="J82" s="109" t="n">
        <f aca="false">J79+J80</f>
        <v>30470.1429649352</v>
      </c>
      <c r="K82" s="109" t="n">
        <f aca="false">K79+K80</f>
        <v>30000</v>
      </c>
      <c r="L82" s="109" t="n">
        <f aca="false">L79+L80</f>
        <v>30000</v>
      </c>
      <c r="M82" s="109" t="n">
        <f aca="false">M79+M80</f>
        <v>30000</v>
      </c>
      <c r="N82" s="109" t="n">
        <f aca="false">N79+N80</f>
        <v>30000</v>
      </c>
      <c r="O82" s="109" t="n">
        <f aca="false">O79+O80</f>
        <v>30000</v>
      </c>
      <c r="P82" s="109" t="n">
        <f aca="false">P79+P80</f>
        <v>30000</v>
      </c>
      <c r="Q82" s="109" t="n">
        <f aca="false">Q79+Q80</f>
        <v>30000</v>
      </c>
      <c r="R82" s="109" t="n">
        <f aca="false">R79+R80</f>
        <v>30000</v>
      </c>
      <c r="S82" s="109" t="n">
        <f aca="false">S79+S80</f>
        <v>30000</v>
      </c>
      <c r="T82" s="109" t="n">
        <f aca="false">T79+T80</f>
        <v>30000</v>
      </c>
      <c r="U82" s="109" t="n">
        <f aca="false">U79+U80</f>
        <v>30000</v>
      </c>
      <c r="V82" s="109" t="n">
        <f aca="false">V79+V80</f>
        <v>30000</v>
      </c>
      <c r="W82" s="109" t="n">
        <f aca="false">W79+W80</f>
        <v>30000</v>
      </c>
      <c r="X82" s="109" t="n">
        <f aca="false">X79+X80</f>
        <v>30000</v>
      </c>
      <c r="Y82" s="109" t="n">
        <f aca="false">Y79+Y80</f>
        <v>30000</v>
      </c>
      <c r="Z82" s="109" t="n">
        <f aca="false">Z79+Z80</f>
        <v>30000</v>
      </c>
      <c r="AA82" s="109" t="n">
        <f aca="false">AA79+AA80</f>
        <v>30000</v>
      </c>
      <c r="AB82" s="109" t="n">
        <f aca="false">AB79+AB80</f>
        <v>30000</v>
      </c>
      <c r="AC82" s="109" t="n">
        <f aca="false">AC79+AC80</f>
        <v>31317.5711904972</v>
      </c>
      <c r="AD82" s="109" t="n">
        <f aca="false">AD79+AD80</f>
        <v>35439.1100589578</v>
      </c>
      <c r="AE82" s="109" t="n">
        <f aca="false">AE79+AE80</f>
        <v>38467.7586281523</v>
      </c>
      <c r="AF82" s="109" t="n">
        <f aca="false">AF79+AF80</f>
        <v>42386.6063448806</v>
      </c>
      <c r="AG82" s="109" t="n">
        <f aca="false">AG79+AG80</f>
        <v>47195.6532091428</v>
      </c>
      <c r="AH82" s="109" t="n">
        <f aca="false">AH79+AH80</f>
        <v>52894.8992209388</v>
      </c>
      <c r="AI82" s="109" t="n">
        <f aca="false">AI79+AI80</f>
        <v>59484.3443802687</v>
      </c>
      <c r="AJ82" s="109" t="n">
        <f aca="false">AJ79+AJ80</f>
        <v>66963.9886871325</v>
      </c>
      <c r="AK82" s="109" t="n">
        <f aca="false">AK79+AK80</f>
        <v>75333.8321415302</v>
      </c>
      <c r="AL82" s="109" t="n">
        <f aca="false">AL79+AL80</f>
        <v>84593.8747434617</v>
      </c>
      <c r="AM82" s="109" t="n">
        <f aca="false">AM79+AM80</f>
        <v>89626.595648608</v>
      </c>
      <c r="AN82" s="109" t="n">
        <f aca="false">AN79+AN80</f>
        <v>95441.7297181189</v>
      </c>
      <c r="AO82" s="109" t="n">
        <f aca="false">AO79+AO80</f>
        <v>102039.276951994</v>
      </c>
      <c r="AP82" s="109" t="n">
        <f aca="false">AP79+AP80</f>
        <v>109419.237350235</v>
      </c>
      <c r="AQ82" s="109" t="n">
        <f aca="false">AQ79+AQ80</f>
        <v>117581.61091284</v>
      </c>
      <c r="AR82" s="109" t="n">
        <f aca="false">AR79+AR80</f>
        <v>126526.397639809</v>
      </c>
      <c r="AS82" s="109" t="n">
        <f aca="false">AS79+AS80</f>
        <v>135925.524284946</v>
      </c>
      <c r="AT82" s="109" t="n">
        <f aca="false">AT79+AT80</f>
        <v>145328.81759675</v>
      </c>
      <c r="AU82" s="109" t="n">
        <f aca="false">AU79+AU80</f>
        <v>154736.27757522</v>
      </c>
      <c r="AV82" s="109" t="n">
        <f aca="false">AV79+AV80</f>
        <v>164147.904220358</v>
      </c>
      <c r="AW82" s="109" t="n">
        <f aca="false">AW79+AW80</f>
        <v>173563.697532161</v>
      </c>
      <c r="AX82" s="109" t="n">
        <f aca="false">AX79+AX80</f>
        <v>182983.657510632</v>
      </c>
      <c r="AY82" s="109" t="n">
        <f aca="false">AY79+AY80</f>
        <v>140341.256222501</v>
      </c>
      <c r="AZ82" s="109" t="n">
        <f aca="false">AZ79+AZ80</f>
        <v>147862.619783025</v>
      </c>
      <c r="BA82" s="109" t="n">
        <f aca="false">BA79+BA80</f>
        <v>155388.150010215</v>
      </c>
      <c r="BB82" s="109" t="n">
        <f aca="false">BB79+BB80</f>
        <v>162917.846904072</v>
      </c>
      <c r="BC82" s="109" t="n">
        <f aca="false">BC79+BC80</f>
        <v>170451.710464595</v>
      </c>
      <c r="BD82" s="109" t="n">
        <f aca="false">BD79+BD80</f>
        <v>177989.740691785</v>
      </c>
      <c r="BE82" s="109" t="n">
        <f aca="false">BE79+BE80</f>
        <v>185531.937585642</v>
      </c>
      <c r="BF82" s="109" t="n">
        <f aca="false">BF79+BF80</f>
        <v>193078.301146165</v>
      </c>
      <c r="BG82" s="109" t="n">
        <f aca="false">BG79+BG80</f>
        <v>200628.831373355</v>
      </c>
      <c r="BH82" s="109" t="n">
        <f aca="false">BH79+BH80</f>
        <v>208183.528267212</v>
      </c>
      <c r="BI82" s="109" t="n">
        <f aca="false">BI79+BI80</f>
        <v>215742.391827735</v>
      </c>
      <c r="BJ82" s="109" t="n">
        <f aca="false">BJ79+BJ80</f>
        <v>223305.422054925</v>
      </c>
      <c r="BK82" s="109" t="n">
        <f aca="false">BK79+BK80</f>
        <v>182880.435686507</v>
      </c>
      <c r="BL82" s="109" t="n">
        <f aca="false">BL79+BL80</f>
        <v>188531.320603212</v>
      </c>
      <c r="BM82" s="109" t="n">
        <f aca="false">BM79+BM80</f>
        <v>194186.372186583</v>
      </c>
      <c r="BN82" s="109" t="n">
        <f aca="false">BN79+BN80</f>
        <v>199845.590436621</v>
      </c>
      <c r="BO82" s="109" t="n">
        <f aca="false">BO79+BO80</f>
        <v>205508.975353326</v>
      </c>
      <c r="BP82" s="109" t="n">
        <f aca="false">BP79+BP80</f>
        <v>211176.526936697</v>
      </c>
      <c r="BQ82" s="109" t="n">
        <f aca="false">BQ79+BQ80</f>
        <v>216848.245186735</v>
      </c>
      <c r="BR82" s="109" t="n">
        <f aca="false">BR79+BR80</f>
        <v>222524.130103439</v>
      </c>
      <c r="BS82" s="109" t="n">
        <f aca="false">BS79+BS80</f>
        <v>228204.181686811</v>
      </c>
      <c r="BT82" s="109" t="n">
        <f aca="false">BT79+BT80</f>
        <v>233888.399936848</v>
      </c>
      <c r="BU82" s="109" t="n">
        <f aca="false">BU79+BU80</f>
        <v>239576.784853553</v>
      </c>
      <c r="BV82" s="109" t="n">
        <f aca="false">BV79+BV80</f>
        <v>245269.336436924</v>
      </c>
      <c r="BW82" s="109" t="n">
        <f aca="false">BW79+BW80</f>
        <v>211938.213555703</v>
      </c>
      <c r="BX82" s="109" t="n">
        <f aca="false">BX79+BX80</f>
        <v>215704.664469275</v>
      </c>
      <c r="BY82" s="109" t="n">
        <f aca="false">BY79+BY80</f>
        <v>219475.282049512</v>
      </c>
      <c r="BZ82" s="109" t="n">
        <f aca="false">BZ79+BZ80</f>
        <v>223250.066296417</v>
      </c>
      <c r="CA82" s="109" t="n">
        <f aca="false">CA79+CA80</f>
        <v>227029.017209988</v>
      </c>
      <c r="CB82" s="109" t="n">
        <f aca="false">CB79+CB80</f>
        <v>230812.134790226</v>
      </c>
      <c r="CC82" s="109" t="n">
        <f aca="false">CC79+CC80</f>
        <v>234599.41903713</v>
      </c>
      <c r="CD82" s="109" t="n">
        <f aca="false">CD79+CD80</f>
        <v>238390.869950702</v>
      </c>
      <c r="CE82" s="109" t="n">
        <f aca="false">CE79+CE80</f>
        <v>242186.487530939</v>
      </c>
      <c r="CF82" s="109" t="n">
        <f aca="false">CF79+CF80</f>
        <v>245986.271777844</v>
      </c>
      <c r="CG82" s="109" t="n">
        <f aca="false">CG79+CG80</f>
        <v>249790.222691415</v>
      </c>
      <c r="CH82" s="109" t="n">
        <f aca="false">CH79+CH80</f>
        <v>253598.340271653</v>
      </c>
    </row>
    <row r="83" customFormat="false" ht="13.5" hidden="false" customHeight="true" outlineLevel="0" collapsed="false">
      <c r="A83" s="6" t="s">
        <v>585</v>
      </c>
      <c r="C83" s="109" t="n">
        <f aca="false">-IF(AND(1&gt;=Hipótesis!$D$76,MOD(1,12)=0,C81=0),MIN(Hipótesis!$D$77*MAX(0,SUM(C63:C63)),MAX(0,C82-Hipótesis!$D$80)),0)</f>
        <v>-0</v>
      </c>
      <c r="D83" s="109" t="n">
        <f aca="false">-IF(AND(2&gt;=Hipótesis!$D$76,MOD(2,12)=0,D81=0),MIN(Hipótesis!$D$77*MAX(0,SUM(C63:D63)),MAX(0,D82-Hipótesis!$D$80)),0)</f>
        <v>-0</v>
      </c>
      <c r="E83" s="109" t="n">
        <f aca="false">-IF(AND(3&gt;=Hipótesis!$D$76,MOD(3,12)=0,E81=0),MIN(Hipótesis!$D$77*MAX(0,SUM(C63:E63)),MAX(0,E82-Hipótesis!$D$80)),0)</f>
        <v>-0</v>
      </c>
      <c r="F83" s="109" t="n">
        <f aca="false">-IF(AND(4&gt;=Hipótesis!$D$76,MOD(4,12)=0,F81=0),MIN(Hipótesis!$D$77*MAX(0,SUM(C63:F63)),MAX(0,F82-Hipótesis!$D$80)),0)</f>
        <v>-0</v>
      </c>
      <c r="G83" s="109" t="n">
        <f aca="false">-IF(AND(5&gt;=Hipótesis!$D$76,MOD(5,12)=0,G81=0),MIN(Hipótesis!$D$77*MAX(0,SUM(C63:G63)),MAX(0,G82-Hipótesis!$D$80)),0)</f>
        <v>-0</v>
      </c>
      <c r="H83" s="109" t="n">
        <f aca="false">-IF(AND(6&gt;=Hipótesis!$D$76,MOD(6,12)=0,H81=0),MIN(Hipótesis!$D$77*MAX(0,SUM(C63:H63)),MAX(0,H82-Hipótesis!$D$80)),0)</f>
        <v>-0</v>
      </c>
      <c r="I83" s="109" t="n">
        <f aca="false">-IF(AND(7&gt;=Hipótesis!$D$76,MOD(7,12)=0,I81=0),MIN(Hipótesis!$D$77*MAX(0,SUM(C63:I63)),MAX(0,I82-Hipótesis!$D$80)),0)</f>
        <v>-0</v>
      </c>
      <c r="J83" s="109" t="n">
        <f aca="false">-IF(AND(8&gt;=Hipótesis!$D$76,MOD(8,12)=0,J81=0),MIN(Hipótesis!$D$77*MAX(0,SUM(C63:J63)),MAX(0,J82-Hipótesis!$D$80)),0)</f>
        <v>-0</v>
      </c>
      <c r="K83" s="109" t="n">
        <f aca="false">-IF(AND(9&gt;=Hipótesis!$D$76,MOD(9,12)=0,K81=0),MIN(Hipótesis!$D$77*MAX(0,SUM(C63:K63)),MAX(0,K82-Hipótesis!$D$80)),0)</f>
        <v>-0</v>
      </c>
      <c r="L83" s="109" t="n">
        <f aca="false">-IF(AND(10&gt;=Hipótesis!$D$76,MOD(10,12)=0,L81=0),MIN(Hipótesis!$D$77*MAX(0,SUM(C63:L63)),MAX(0,L82-Hipótesis!$D$80)),0)</f>
        <v>-0</v>
      </c>
      <c r="M83" s="109" t="n">
        <f aca="false">-IF(AND(11&gt;=Hipótesis!$D$76,MOD(11,12)=0,M81=0),MIN(Hipótesis!$D$77*MAX(0,SUM(C63:M63)),MAX(0,M82-Hipótesis!$D$80)),0)</f>
        <v>-0</v>
      </c>
      <c r="N83" s="109" t="n">
        <f aca="false">-IF(AND(12&gt;=Hipótesis!$D$76,MOD(12,12)=0,N81=0),MIN(Hipótesis!$D$77*MAX(0,SUM(C63:N63)),MAX(0,N82-Hipótesis!$D$80)),0)</f>
        <v>-0</v>
      </c>
      <c r="O83" s="109" t="n">
        <f aca="false">-IF(AND(13&gt;=Hipótesis!$D$76,MOD(13,12)=0,O81=0),MIN(Hipótesis!$D$77*MAX(0,SUM(D63:O63)),MAX(0,O82-Hipótesis!$D$80)),0)</f>
        <v>-0</v>
      </c>
      <c r="P83" s="109" t="n">
        <f aca="false">-IF(AND(14&gt;=Hipótesis!$D$76,MOD(14,12)=0,P81=0),MIN(Hipótesis!$D$77*MAX(0,SUM(E63:P63)),MAX(0,P82-Hipótesis!$D$80)),0)</f>
        <v>-0</v>
      </c>
      <c r="Q83" s="109" t="n">
        <f aca="false">-IF(AND(15&gt;=Hipótesis!$D$76,MOD(15,12)=0,Q81=0),MIN(Hipótesis!$D$77*MAX(0,SUM(F63:Q63)),MAX(0,Q82-Hipótesis!$D$80)),0)</f>
        <v>-0</v>
      </c>
      <c r="R83" s="109" t="n">
        <f aca="false">-IF(AND(16&gt;=Hipótesis!$D$76,MOD(16,12)=0,R81=0),MIN(Hipótesis!$D$77*MAX(0,SUM(G63:R63)),MAX(0,R82-Hipótesis!$D$80)),0)</f>
        <v>-0</v>
      </c>
      <c r="S83" s="109" t="n">
        <f aca="false">-IF(AND(17&gt;=Hipótesis!$D$76,MOD(17,12)=0,S81=0),MIN(Hipótesis!$D$77*MAX(0,SUM(H63:S63)),MAX(0,S82-Hipótesis!$D$80)),0)</f>
        <v>-0</v>
      </c>
      <c r="T83" s="109" t="n">
        <f aca="false">-IF(AND(18&gt;=Hipótesis!$D$76,MOD(18,12)=0,T81=0),MIN(Hipótesis!$D$77*MAX(0,SUM(I63:T63)),MAX(0,T82-Hipótesis!$D$80)),0)</f>
        <v>-0</v>
      </c>
      <c r="U83" s="109" t="n">
        <f aca="false">-IF(AND(19&gt;=Hipótesis!$D$76,MOD(19,12)=0,U81=0),MIN(Hipótesis!$D$77*MAX(0,SUM(J63:U63)),MAX(0,U82-Hipótesis!$D$80)),0)</f>
        <v>-0</v>
      </c>
      <c r="V83" s="109" t="n">
        <f aca="false">-IF(AND(20&gt;=Hipótesis!$D$76,MOD(20,12)=0,V81=0),MIN(Hipótesis!$D$77*MAX(0,SUM(K63:V63)),MAX(0,V82-Hipótesis!$D$80)),0)</f>
        <v>-0</v>
      </c>
      <c r="W83" s="109" t="n">
        <f aca="false">-IF(AND(21&gt;=Hipótesis!$D$76,MOD(21,12)=0,W81=0),MIN(Hipótesis!$D$77*MAX(0,SUM(L63:W63)),MAX(0,W82-Hipótesis!$D$80)),0)</f>
        <v>-0</v>
      </c>
      <c r="X83" s="109" t="n">
        <f aca="false">-IF(AND(22&gt;=Hipótesis!$D$76,MOD(22,12)=0,X81=0),MIN(Hipótesis!$D$77*MAX(0,SUM(M63:X63)),MAX(0,X82-Hipótesis!$D$80)),0)</f>
        <v>-0</v>
      </c>
      <c r="Y83" s="109" t="n">
        <f aca="false">-IF(AND(23&gt;=Hipótesis!$D$76,MOD(23,12)=0,Y81=0),MIN(Hipótesis!$D$77*MAX(0,SUM(N63:Y63)),MAX(0,Y82-Hipótesis!$D$80)),0)</f>
        <v>-0</v>
      </c>
      <c r="Z83" s="109" t="n">
        <f aca="false">-IF(AND(24&gt;=Hipótesis!$D$76,MOD(24,12)=0,Z81=0),MIN(Hipótesis!$D$77*MAX(0,SUM(O63:Z63)),MAX(0,Z82-Hipótesis!$D$80)),0)</f>
        <v>-0</v>
      </c>
      <c r="AA83" s="109" t="n">
        <f aca="false">-IF(AND(25&gt;=Hipótesis!$D$76,MOD(25,12)=0,AA81=0),MIN(Hipótesis!$D$77*MAX(0,SUM(P63:AA63)),MAX(0,AA82-Hipótesis!$D$80)),0)</f>
        <v>-0</v>
      </c>
      <c r="AB83" s="109" t="n">
        <f aca="false">-IF(AND(26&gt;=Hipótesis!$D$76,MOD(26,12)=0,AB81=0),MIN(Hipótesis!$D$77*MAX(0,SUM(Q63:AB63)),MAX(0,AB82-Hipótesis!$D$80)),0)</f>
        <v>-0</v>
      </c>
      <c r="AC83" s="109" t="n">
        <f aca="false">-IF(AND(27&gt;=Hipótesis!$D$76,MOD(27,12)=0,AC81=0),MIN(Hipótesis!$D$77*MAX(0,SUM(R63:AC63)),MAX(0,AC82-Hipótesis!$D$80)),0)</f>
        <v>-0</v>
      </c>
      <c r="AD83" s="109" t="n">
        <f aca="false">-IF(AND(28&gt;=Hipótesis!$D$76,MOD(28,12)=0,AD81=0),MIN(Hipótesis!$D$77*MAX(0,SUM(S63:AD63)),MAX(0,AD82-Hipótesis!$D$80)),0)</f>
        <v>-0</v>
      </c>
      <c r="AE83" s="109" t="n">
        <f aca="false">-IF(AND(29&gt;=Hipótesis!$D$76,MOD(29,12)=0,AE81=0),MIN(Hipótesis!$D$77*MAX(0,SUM(T63:AE63)),MAX(0,AE82-Hipótesis!$D$80)),0)</f>
        <v>-0</v>
      </c>
      <c r="AF83" s="109" t="n">
        <f aca="false">-IF(AND(30&gt;=Hipótesis!$D$76,MOD(30,12)=0,AF81=0),MIN(Hipótesis!$D$77*MAX(0,SUM(U63:AF63)),MAX(0,AF82-Hipótesis!$D$80)),0)</f>
        <v>-0</v>
      </c>
      <c r="AG83" s="109" t="n">
        <f aca="false">-IF(AND(31&gt;=Hipótesis!$D$76,MOD(31,12)=0,AG81=0),MIN(Hipótesis!$D$77*MAX(0,SUM(V63:AG63)),MAX(0,AG82-Hipótesis!$D$80)),0)</f>
        <v>-0</v>
      </c>
      <c r="AH83" s="109" t="n">
        <f aca="false">-IF(AND(32&gt;=Hipótesis!$D$76,MOD(32,12)=0,AH81=0),MIN(Hipótesis!$D$77*MAX(0,SUM(W63:AH63)),MAX(0,AH82-Hipótesis!$D$80)),0)</f>
        <v>-0</v>
      </c>
      <c r="AI83" s="109" t="n">
        <f aca="false">-IF(AND(33&gt;=Hipótesis!$D$76,MOD(33,12)=0,AI81=0),MIN(Hipótesis!$D$77*MAX(0,SUM(X63:AI63)),MAX(0,AI82-Hipótesis!$D$80)),0)</f>
        <v>-0</v>
      </c>
      <c r="AJ83" s="109" t="n">
        <f aca="false">-IF(AND(34&gt;=Hipótesis!$D$76,MOD(34,12)=0,AJ81=0),MIN(Hipótesis!$D$77*MAX(0,SUM(Y63:AJ63)),MAX(0,AJ82-Hipótesis!$D$80)),0)</f>
        <v>-0</v>
      </c>
      <c r="AK83" s="109" t="n">
        <f aca="false">-IF(AND(35&gt;=Hipótesis!$D$76,MOD(35,12)=0,AK81=0),MIN(Hipótesis!$D$77*MAX(0,SUM(Z63:AK63)),MAX(0,AK82-Hipótesis!$D$80)),0)</f>
        <v>-0</v>
      </c>
      <c r="AL83" s="109" t="n">
        <f aca="false">-IF(AND(36&gt;=Hipótesis!$D$76,MOD(36,12)=0,AL81=0),MIN(Hipótesis!$D$77*MAX(0,SUM(AA63:AL63)),MAX(0,AL82-Hipótesis!$D$80)),0)</f>
        <v>-0</v>
      </c>
      <c r="AM83" s="109" t="n">
        <f aca="false">-IF(AND(37&gt;=Hipótesis!$D$76,MOD(37,12)=0,AM81=0),MIN(Hipótesis!$D$77*MAX(0,SUM(AB63:AM63)),MAX(0,AM82-Hipótesis!$D$80)),0)</f>
        <v>-0</v>
      </c>
      <c r="AN83" s="109" t="n">
        <f aca="false">-IF(AND(38&gt;=Hipótesis!$D$76,MOD(38,12)=0,AN81=0),MIN(Hipótesis!$D$77*MAX(0,SUM(AC63:AN63)),MAX(0,AN82-Hipótesis!$D$80)),0)</f>
        <v>-0</v>
      </c>
      <c r="AO83" s="109" t="n">
        <f aca="false">-IF(AND(39&gt;=Hipótesis!$D$76,MOD(39,12)=0,AO81=0),MIN(Hipótesis!$D$77*MAX(0,SUM(AD63:AO63)),MAX(0,AO82-Hipótesis!$D$80)),0)</f>
        <v>-0</v>
      </c>
      <c r="AP83" s="109" t="n">
        <f aca="false">-IF(AND(40&gt;=Hipótesis!$D$76,MOD(40,12)=0,AP81=0),MIN(Hipótesis!$D$77*MAX(0,SUM(AE63:AP63)),MAX(0,AP82-Hipótesis!$D$80)),0)</f>
        <v>-0</v>
      </c>
      <c r="AQ83" s="109" t="n">
        <f aca="false">-IF(AND(41&gt;=Hipótesis!$D$76,MOD(41,12)=0,AQ81=0),MIN(Hipótesis!$D$77*MAX(0,SUM(AF63:AQ63)),MAX(0,AQ82-Hipótesis!$D$80)),0)</f>
        <v>-0</v>
      </c>
      <c r="AR83" s="109" t="n">
        <f aca="false">-IF(AND(42&gt;=Hipótesis!$D$76,MOD(42,12)=0,AR81=0),MIN(Hipótesis!$D$77*MAX(0,SUM(AG63:AR63)),MAX(0,AR82-Hipótesis!$D$80)),0)</f>
        <v>-0</v>
      </c>
      <c r="AS83" s="109" t="n">
        <f aca="false">-IF(AND(43&gt;=Hipótesis!$D$76,MOD(43,12)=0,AS81=0),MIN(Hipótesis!$D$77*MAX(0,SUM(AH63:AS63)),MAX(0,AS82-Hipótesis!$D$80)),0)</f>
        <v>-0</v>
      </c>
      <c r="AT83" s="109" t="n">
        <f aca="false">-IF(AND(44&gt;=Hipótesis!$D$76,MOD(44,12)=0,AT81=0),MIN(Hipótesis!$D$77*MAX(0,SUM(AI63:AT63)),MAX(0,AT82-Hipótesis!$D$80)),0)</f>
        <v>-0</v>
      </c>
      <c r="AU83" s="109" t="n">
        <f aca="false">-IF(AND(45&gt;=Hipótesis!$D$76,MOD(45,12)=0,AU81=0),MIN(Hipótesis!$D$77*MAX(0,SUM(AJ63:AU63)),MAX(0,AU82-Hipótesis!$D$80)),0)</f>
        <v>-0</v>
      </c>
      <c r="AV83" s="109" t="n">
        <f aca="false">-IF(AND(46&gt;=Hipótesis!$D$76,MOD(46,12)=0,AV81=0),MIN(Hipótesis!$D$77*MAX(0,SUM(AK63:AV63)),MAX(0,AV82-Hipótesis!$D$80)),0)</f>
        <v>-0</v>
      </c>
      <c r="AW83" s="109" t="n">
        <f aca="false">-IF(AND(47&gt;=Hipótesis!$D$76,MOD(47,12)=0,AW81=0),MIN(Hipótesis!$D$77*MAX(0,SUM(AL63:AW63)),MAX(0,AW82-Hipótesis!$D$80)),0)</f>
        <v>-0</v>
      </c>
      <c r="AX83" s="109" t="n">
        <f aca="false">-IF(AND(48&gt;=Hipótesis!$D$76,MOD(48,12)=0,AX81=0),MIN(Hipótesis!$D$77*MAX(0,SUM(AM63:AX63)),MAX(0,AX82-Hipótesis!$D$80)),0)</f>
        <v>-50159.598181987</v>
      </c>
      <c r="AY83" s="109" t="n">
        <f aca="false">-IF(AND(49&gt;=Hipótesis!$D$76,MOD(49,12)=0,AY81=0),MIN(Hipótesis!$D$77*MAX(0,SUM(AN63:AY63)),MAX(0,AY82-Hipótesis!$D$80)),0)</f>
        <v>-0</v>
      </c>
      <c r="AZ83" s="109" t="n">
        <f aca="false">-IF(AND(50&gt;=Hipótesis!$D$76,MOD(50,12)=0,AZ81=0),MIN(Hipótesis!$D$77*MAX(0,SUM(AO63:AZ63)),MAX(0,AZ82-Hipótesis!$D$80)),0)</f>
        <v>-0</v>
      </c>
      <c r="BA83" s="109" t="n">
        <f aca="false">-IF(AND(51&gt;=Hipótesis!$D$76,MOD(51,12)=0,BA81=0),MIN(Hipótesis!$D$77*MAX(0,SUM(AP63:BA63)),MAX(0,BA82-Hipótesis!$D$80)),0)</f>
        <v>-0</v>
      </c>
      <c r="BB83" s="109" t="n">
        <f aca="false">-IF(AND(52&gt;=Hipótesis!$D$76,MOD(52,12)=0,BB81=0),MIN(Hipótesis!$D$77*MAX(0,SUM(AQ63:BB63)),MAX(0,BB82-Hipótesis!$D$80)),0)</f>
        <v>-0</v>
      </c>
      <c r="BC83" s="109" t="n">
        <f aca="false">-IF(AND(53&gt;=Hipótesis!$D$76,MOD(53,12)=0,BC81=0),MIN(Hipótesis!$D$77*MAX(0,SUM(AR63:BC63)),MAX(0,BC82-Hipótesis!$D$80)),0)</f>
        <v>-0</v>
      </c>
      <c r="BD83" s="109" t="n">
        <f aca="false">-IF(AND(54&gt;=Hipótesis!$D$76,MOD(54,12)=0,BD81=0),MIN(Hipótesis!$D$77*MAX(0,SUM(AS63:BD63)),MAX(0,BD82-Hipótesis!$D$80)),0)</f>
        <v>-0</v>
      </c>
      <c r="BE83" s="109" t="n">
        <f aca="false">-IF(AND(55&gt;=Hipótesis!$D$76,MOD(55,12)=0,BE81=0),MIN(Hipótesis!$D$77*MAX(0,SUM(AT63:BE63)),MAX(0,BE82-Hipótesis!$D$80)),0)</f>
        <v>-0</v>
      </c>
      <c r="BF83" s="109" t="n">
        <f aca="false">-IF(AND(56&gt;=Hipótesis!$D$76,MOD(56,12)=0,BF81=0),MIN(Hipótesis!$D$77*MAX(0,SUM(AU63:BF63)),MAX(0,BF82-Hipótesis!$D$80)),0)</f>
        <v>-0</v>
      </c>
      <c r="BG83" s="109" t="n">
        <f aca="false">-IF(AND(57&gt;=Hipótesis!$D$76,MOD(57,12)=0,BG81=0),MIN(Hipótesis!$D$77*MAX(0,SUM(AV63:BG63)),MAX(0,BG82-Hipótesis!$D$80)),0)</f>
        <v>-0</v>
      </c>
      <c r="BH83" s="109" t="n">
        <f aca="false">-IF(AND(58&gt;=Hipótesis!$D$76,MOD(58,12)=0,BH81=0),MIN(Hipótesis!$D$77*MAX(0,SUM(AW63:BH63)),MAX(0,BH82-Hipótesis!$D$80)),0)</f>
        <v>-0</v>
      </c>
      <c r="BI83" s="109" t="n">
        <f aca="false">-IF(AND(59&gt;=Hipótesis!$D$76,MOD(59,12)=0,BI81=0),MIN(Hipótesis!$D$77*MAX(0,SUM(AX63:BI63)),MAX(0,BI82-Hipótesis!$D$80)),0)</f>
        <v>-0</v>
      </c>
      <c r="BJ83" s="109" t="n">
        <f aca="false">-IF(AND(60&gt;=Hipótesis!$D$76,MOD(60,12)=0,BJ81=0),MIN(Hipótesis!$D$77*MAX(0,SUM(AY63:BJ63)),MAX(0,BJ82-Hipótesis!$D$80)),0)</f>
        <v>-46071.7046184556</v>
      </c>
      <c r="BK83" s="109" t="n">
        <f aca="false">-IF(AND(61&gt;=Hipótesis!$D$76,MOD(61,12)=0,BK81=0),MIN(Hipótesis!$D$77*MAX(0,SUM(AZ63:BK63)),MAX(0,BK82-Hipótesis!$D$80)),0)</f>
        <v>-0</v>
      </c>
      <c r="BL83" s="109" t="n">
        <f aca="false">-IF(AND(62&gt;=Hipótesis!$D$76,MOD(62,12)=0,BL81=0),MIN(Hipótesis!$D$77*MAX(0,SUM(BA63:BL63)),MAX(0,BL82-Hipótesis!$D$80)),0)</f>
        <v>-0</v>
      </c>
      <c r="BM83" s="109" t="n">
        <f aca="false">-IF(AND(63&gt;=Hipótesis!$D$76,MOD(63,12)=0,BM81=0),MIN(Hipótesis!$D$77*MAX(0,SUM(BB63:BM63)),MAX(0,BM82-Hipótesis!$D$80)),0)</f>
        <v>-0</v>
      </c>
      <c r="BN83" s="109" t="n">
        <f aca="false">-IF(AND(64&gt;=Hipótesis!$D$76,MOD(64,12)=0,BN81=0),MIN(Hipótesis!$D$77*MAX(0,SUM(BC63:BN63)),MAX(0,BN82-Hipótesis!$D$80)),0)</f>
        <v>-0</v>
      </c>
      <c r="BO83" s="109" t="n">
        <f aca="false">-IF(AND(65&gt;=Hipótesis!$D$76,MOD(65,12)=0,BO81=0),MIN(Hipótesis!$D$77*MAX(0,SUM(BD63:BO63)),MAX(0,BO82-Hipótesis!$D$80)),0)</f>
        <v>-0</v>
      </c>
      <c r="BP83" s="109" t="n">
        <f aca="false">-IF(AND(66&gt;=Hipótesis!$D$76,MOD(66,12)=0,BP81=0),MIN(Hipótesis!$D$77*MAX(0,SUM(BE63:BP63)),MAX(0,BP82-Hipótesis!$D$80)),0)</f>
        <v>-0</v>
      </c>
      <c r="BQ83" s="109" t="n">
        <f aca="false">-IF(AND(67&gt;=Hipótesis!$D$76,MOD(67,12)=0,BQ81=0),MIN(Hipótesis!$D$77*MAX(0,SUM(BF63:BQ63)),MAX(0,BQ82-Hipótesis!$D$80)),0)</f>
        <v>-0</v>
      </c>
      <c r="BR83" s="109" t="n">
        <f aca="false">-IF(AND(68&gt;=Hipótesis!$D$76,MOD(68,12)=0,BR81=0),MIN(Hipótesis!$D$77*MAX(0,SUM(BG63:BR63)),MAX(0,BR82-Hipótesis!$D$80)),0)</f>
        <v>-0</v>
      </c>
      <c r="BS83" s="109" t="n">
        <f aca="false">-IF(AND(69&gt;=Hipótesis!$D$76,MOD(69,12)=0,BS81=0),MIN(Hipótesis!$D$77*MAX(0,SUM(BH63:BS63)),MAX(0,BS82-Hipótesis!$D$80)),0)</f>
        <v>-0</v>
      </c>
      <c r="BT83" s="109" t="n">
        <f aca="false">-IF(AND(70&gt;=Hipótesis!$D$76,MOD(70,12)=0,BT81=0),MIN(Hipótesis!$D$77*MAX(0,SUM(BI63:BT63)),MAX(0,BT82-Hipótesis!$D$80)),0)</f>
        <v>-0</v>
      </c>
      <c r="BU83" s="109" t="n">
        <f aca="false">-IF(AND(71&gt;=Hipótesis!$D$76,MOD(71,12)=0,BU81=0),MIN(Hipótesis!$D$77*MAX(0,SUM(BJ63:BU63)),MAX(0,BU82-Hipótesis!$D$80)),0)</f>
        <v>-0</v>
      </c>
      <c r="BV83" s="109" t="n">
        <f aca="false">-IF(AND(72&gt;=Hipótesis!$D$76,MOD(72,12)=0,BV81=0),MIN(Hipótesis!$D$77*MAX(0,SUM(BK63:BV63)),MAX(0,BV82-Hipótesis!$D$80)),0)</f>
        <v>-37093.4071281253</v>
      </c>
      <c r="BW83" s="109" t="n">
        <f aca="false">-IF(AND(73&gt;=Hipótesis!$D$76,MOD(73,12)=0,BW81=0),MIN(Hipótesis!$D$77*MAX(0,SUM(BL63:BW63)),MAX(0,BW82-Hipótesis!$D$80)),0)</f>
        <v>-0</v>
      </c>
      <c r="BX83" s="109" t="n">
        <f aca="false">-IF(AND(74&gt;=Hipótesis!$D$76,MOD(74,12)=0,BX81=0),MIN(Hipótesis!$D$77*MAX(0,SUM(BM63:BX63)),MAX(0,BX82-Hipótesis!$D$80)),0)</f>
        <v>-0</v>
      </c>
      <c r="BY83" s="109" t="n">
        <f aca="false">-IF(AND(75&gt;=Hipótesis!$D$76,MOD(75,12)=0,BY81=0),MIN(Hipótesis!$D$77*MAX(0,SUM(BN63:BY63)),MAX(0,BY82-Hipótesis!$D$80)),0)</f>
        <v>-0</v>
      </c>
      <c r="BZ83" s="109" t="n">
        <f aca="false">-IF(AND(76&gt;=Hipótesis!$D$76,MOD(76,12)=0,BZ81=0),MIN(Hipótesis!$D$77*MAX(0,SUM(BO63:BZ63)),MAX(0,BZ82-Hipótesis!$D$80)),0)</f>
        <v>-0</v>
      </c>
      <c r="CA83" s="109" t="n">
        <f aca="false">-IF(AND(77&gt;=Hipótesis!$D$76,MOD(77,12)=0,CA81=0),MIN(Hipótesis!$D$77*MAX(0,SUM(BP63:CA63)),MAX(0,CA82-Hipótesis!$D$80)),0)</f>
        <v>-0</v>
      </c>
      <c r="CB83" s="109" t="n">
        <f aca="false">-IF(AND(78&gt;=Hipótesis!$D$76,MOD(78,12)=0,CB81=0),MIN(Hipótesis!$D$77*MAX(0,SUM(BQ63:CB63)),MAX(0,CB82-Hipótesis!$D$80)),0)</f>
        <v>-0</v>
      </c>
      <c r="CC83" s="109" t="n">
        <f aca="false">-IF(AND(79&gt;=Hipótesis!$D$76,MOD(79,12)=0,CC81=0),MIN(Hipótesis!$D$77*MAX(0,SUM(BR63:CC63)),MAX(0,CC82-Hipótesis!$D$80)),0)</f>
        <v>-0</v>
      </c>
      <c r="CD83" s="109" t="n">
        <f aca="false">-IF(AND(80&gt;=Hipótesis!$D$76,MOD(80,12)=0,CD81=0),MIN(Hipótesis!$D$77*MAX(0,SUM(BS63:CD63)),MAX(0,CD82-Hipótesis!$D$80)),0)</f>
        <v>-0</v>
      </c>
      <c r="CE83" s="109" t="n">
        <f aca="false">-IF(AND(81&gt;=Hipótesis!$D$76,MOD(81,12)=0,CE81=0),MIN(Hipótesis!$D$77*MAX(0,SUM(BT63:CE63)),MAX(0,CE82-Hipótesis!$D$80)),0)</f>
        <v>-0</v>
      </c>
      <c r="CF83" s="109" t="n">
        <f aca="false">-IF(AND(82&gt;=Hipótesis!$D$76,MOD(82,12)=0,CF81=0),MIN(Hipótesis!$D$77*MAX(0,SUM(BU63:CF63)),MAX(0,CF82-Hipótesis!$D$80)),0)</f>
        <v>-0</v>
      </c>
      <c r="CG83" s="109" t="n">
        <f aca="false">-IF(AND(83&gt;=Hipótesis!$D$76,MOD(83,12)=0,CG81=0),MIN(Hipótesis!$D$77*MAX(0,SUM(BV63:CG63)),MAX(0,CG82-Hipótesis!$D$80)),0)</f>
        <v>-0</v>
      </c>
      <c r="CH83" s="109" t="n">
        <f aca="false">-IF(AND(84&gt;=Hipótesis!$D$76,MOD(84,12)=0,CH81=0),MIN(Hipótesis!$D$77*MAX(0,SUM(BW63:CH63)),MAX(0,CH82-Hipótesis!$D$80)),0)</f>
        <v>-28048.1239130851</v>
      </c>
    </row>
    <row r="84" customFormat="false" ht="13.5" hidden="false" customHeight="true" outlineLevel="0" collapsed="false">
      <c r="A84" s="22" t="s">
        <v>586</v>
      </c>
      <c r="C84" s="109" t="n">
        <f aca="false">-IF(AND(1&gt;=Hipótesis!$D$78,MOD(1,12)=0,C96=0,C89=0,C101=0,C81=0),MIN(Hipótesis!$D$79*MAX(0,C112),MAX(0,C82+C83-Hipótesis!$D$80)),0)</f>
        <v>-0</v>
      </c>
      <c r="D84" s="109" t="n">
        <f aca="false">-IF(AND(2&gt;=Hipótesis!$D$78,MOD(2,12)=0,D96=0,D89=0,D101=0,D81=0),MIN(Hipótesis!$D$79*MAX(0,D112),MAX(0,D82+D83-Hipótesis!$D$80)),0)</f>
        <v>-0</v>
      </c>
      <c r="E84" s="109" t="n">
        <f aca="false">-IF(AND(3&gt;=Hipótesis!$D$78,MOD(3,12)=0,E96=0,E89=0,E101=0,E81=0),MIN(Hipótesis!$D$79*MAX(0,E112),MAX(0,E82+E83-Hipótesis!$D$80)),0)</f>
        <v>-0</v>
      </c>
      <c r="F84" s="109" t="n">
        <f aca="false">-IF(AND(4&gt;=Hipótesis!$D$78,MOD(4,12)=0,F96=0,F89=0,F101=0,F81=0),MIN(Hipótesis!$D$79*MAX(0,F112),MAX(0,F82+F83-Hipótesis!$D$80)),0)</f>
        <v>-0</v>
      </c>
      <c r="G84" s="109" t="n">
        <f aca="false">-IF(AND(5&gt;=Hipótesis!$D$78,MOD(5,12)=0,G96=0,G89=0,G101=0,G81=0),MIN(Hipótesis!$D$79*MAX(0,G112),MAX(0,G82+G83-Hipótesis!$D$80)),0)</f>
        <v>-0</v>
      </c>
      <c r="H84" s="109" t="n">
        <f aca="false">-IF(AND(6&gt;=Hipótesis!$D$78,MOD(6,12)=0,H96=0,H89=0,H101=0,H81=0),MIN(Hipótesis!$D$79*MAX(0,H112),MAX(0,H82+H83-Hipótesis!$D$80)),0)</f>
        <v>-0</v>
      </c>
      <c r="I84" s="109" t="n">
        <f aca="false">-IF(AND(7&gt;=Hipótesis!$D$78,MOD(7,12)=0,I96=0,I89=0,I101=0,I81=0),MIN(Hipótesis!$D$79*MAX(0,I112),MAX(0,I82+I83-Hipótesis!$D$80)),0)</f>
        <v>-0</v>
      </c>
      <c r="J84" s="109" t="n">
        <f aca="false">-IF(AND(8&gt;=Hipótesis!$D$78,MOD(8,12)=0,J96=0,J89=0,J101=0,J81=0),MIN(Hipótesis!$D$79*MAX(0,J112),MAX(0,J82+J83-Hipótesis!$D$80)),0)</f>
        <v>-0</v>
      </c>
      <c r="K84" s="109" t="n">
        <f aca="false">-IF(AND(9&gt;=Hipótesis!$D$78,MOD(9,12)=0,K96=0,K89=0,K101=0,K81=0),MIN(Hipótesis!$D$79*MAX(0,K112),MAX(0,K82+K83-Hipótesis!$D$80)),0)</f>
        <v>-0</v>
      </c>
      <c r="L84" s="109" t="n">
        <f aca="false">-IF(AND(10&gt;=Hipótesis!$D$78,MOD(10,12)=0,L96=0,L89=0,L101=0,L81=0),MIN(Hipótesis!$D$79*MAX(0,L112),MAX(0,L82+L83-Hipótesis!$D$80)),0)</f>
        <v>-0</v>
      </c>
      <c r="M84" s="109" t="n">
        <f aca="false">-IF(AND(11&gt;=Hipótesis!$D$78,MOD(11,12)=0,M96=0,M89=0,M101=0,M81=0),MIN(Hipótesis!$D$79*MAX(0,M112),MAX(0,M82+M83-Hipótesis!$D$80)),0)</f>
        <v>-0</v>
      </c>
      <c r="N84" s="109" t="n">
        <f aca="false">-IF(AND(12&gt;=Hipótesis!$D$78,MOD(12,12)=0,N96=0,N89=0,N101=0,N81=0),MIN(Hipótesis!$D$79*MAX(0,N112),MAX(0,N82+N83-Hipótesis!$D$80)),0)</f>
        <v>-0</v>
      </c>
      <c r="O84" s="109" t="n">
        <f aca="false">-IF(AND(13&gt;=Hipótesis!$D$78,MOD(13,12)=0,O96=0,O89=0,O101=0,O81=0),MIN(Hipótesis!$D$79*MAX(0,O112),MAX(0,O82+O83-Hipótesis!$D$80)),0)</f>
        <v>-0</v>
      </c>
      <c r="P84" s="109" t="n">
        <f aca="false">-IF(AND(14&gt;=Hipótesis!$D$78,MOD(14,12)=0,P96=0,P89=0,P101=0,P81=0),MIN(Hipótesis!$D$79*MAX(0,P112),MAX(0,P82+P83-Hipótesis!$D$80)),0)</f>
        <v>-0</v>
      </c>
      <c r="Q84" s="109" t="n">
        <f aca="false">-IF(AND(15&gt;=Hipótesis!$D$78,MOD(15,12)=0,Q96=0,Q89=0,Q101=0,Q81=0),MIN(Hipótesis!$D$79*MAX(0,Q112),MAX(0,Q82+Q83-Hipótesis!$D$80)),0)</f>
        <v>-0</v>
      </c>
      <c r="R84" s="109" t="n">
        <f aca="false">-IF(AND(16&gt;=Hipótesis!$D$78,MOD(16,12)=0,R96=0,R89=0,R101=0,R81=0),MIN(Hipótesis!$D$79*MAX(0,R112),MAX(0,R82+R83-Hipótesis!$D$80)),0)</f>
        <v>-0</v>
      </c>
      <c r="S84" s="109" t="n">
        <f aca="false">-IF(AND(17&gt;=Hipótesis!$D$78,MOD(17,12)=0,S96=0,S89=0,S101=0,S81=0),MIN(Hipótesis!$D$79*MAX(0,S112),MAX(0,S82+S83-Hipótesis!$D$80)),0)</f>
        <v>-0</v>
      </c>
      <c r="T84" s="109" t="n">
        <f aca="false">-IF(AND(18&gt;=Hipótesis!$D$78,MOD(18,12)=0,T96=0,T89=0,T101=0,T81=0),MIN(Hipótesis!$D$79*MAX(0,T112),MAX(0,T82+T83-Hipótesis!$D$80)),0)</f>
        <v>-0</v>
      </c>
      <c r="U84" s="109" t="n">
        <f aca="false">-IF(AND(19&gt;=Hipótesis!$D$78,MOD(19,12)=0,U96=0,U89=0,U101=0,U81=0),MIN(Hipótesis!$D$79*MAX(0,U112),MAX(0,U82+U83-Hipótesis!$D$80)),0)</f>
        <v>-0</v>
      </c>
      <c r="V84" s="109" t="n">
        <f aca="false">-IF(AND(20&gt;=Hipótesis!$D$78,MOD(20,12)=0,V96=0,V89=0,V101=0,V81=0),MIN(Hipótesis!$D$79*MAX(0,V112),MAX(0,V82+V83-Hipótesis!$D$80)),0)</f>
        <v>-0</v>
      </c>
      <c r="W84" s="109" t="n">
        <f aca="false">-IF(AND(21&gt;=Hipótesis!$D$78,MOD(21,12)=0,W96=0,W89=0,W101=0,W81=0),MIN(Hipótesis!$D$79*MAX(0,W112),MAX(0,W82+W83-Hipótesis!$D$80)),0)</f>
        <v>-0</v>
      </c>
      <c r="X84" s="109" t="n">
        <f aca="false">-IF(AND(22&gt;=Hipótesis!$D$78,MOD(22,12)=0,X96=0,X89=0,X101=0,X81=0),MIN(Hipótesis!$D$79*MAX(0,X112),MAX(0,X82+X83-Hipótesis!$D$80)),0)</f>
        <v>-0</v>
      </c>
      <c r="Y84" s="109" t="n">
        <f aca="false">-IF(AND(23&gt;=Hipótesis!$D$78,MOD(23,12)=0,Y96=0,Y89=0,Y101=0,Y81=0),MIN(Hipótesis!$D$79*MAX(0,Y112),MAX(0,Y82+Y83-Hipótesis!$D$80)),0)</f>
        <v>-0</v>
      </c>
      <c r="Z84" s="109" t="n">
        <f aca="false">-IF(AND(24&gt;=Hipótesis!$D$78,MOD(24,12)=0,Z96=0,Z89=0,Z101=0,Z81=0),MIN(Hipótesis!$D$79*MAX(0,Z112),MAX(0,Z82+Z83-Hipótesis!$D$80)),0)</f>
        <v>-0</v>
      </c>
      <c r="AA84" s="109" t="n">
        <f aca="false">-IF(AND(25&gt;=Hipótesis!$D$78,MOD(25,12)=0,AA96=0,AA89=0,AA101=0,AA81=0),MIN(Hipótesis!$D$79*MAX(0,AA112),MAX(0,AA82+AA83-Hipótesis!$D$80)),0)</f>
        <v>-0</v>
      </c>
      <c r="AB84" s="109" t="n">
        <f aca="false">-IF(AND(26&gt;=Hipótesis!$D$78,MOD(26,12)=0,AB96=0,AB89=0,AB101=0,AB81=0),MIN(Hipótesis!$D$79*MAX(0,AB112),MAX(0,AB82+AB83-Hipótesis!$D$80)),0)</f>
        <v>-0</v>
      </c>
      <c r="AC84" s="109" t="n">
        <f aca="false">-IF(AND(27&gt;=Hipótesis!$D$78,MOD(27,12)=0,AC96=0,AC89=0,AC101=0,AC81=0),MIN(Hipótesis!$D$79*MAX(0,AC112),MAX(0,AC82+AC83-Hipótesis!$D$80)),0)</f>
        <v>-0</v>
      </c>
      <c r="AD84" s="109" t="n">
        <f aca="false">-IF(AND(28&gt;=Hipótesis!$D$78,MOD(28,12)=0,AD96=0,AD89=0,AD101=0,AD81=0),MIN(Hipótesis!$D$79*MAX(0,AD112),MAX(0,AD82+AD83-Hipótesis!$D$80)),0)</f>
        <v>-0</v>
      </c>
      <c r="AE84" s="109" t="n">
        <f aca="false">-IF(AND(29&gt;=Hipótesis!$D$78,MOD(29,12)=0,AE96=0,AE89=0,AE101=0,AE81=0),MIN(Hipótesis!$D$79*MAX(0,AE112),MAX(0,AE82+AE83-Hipótesis!$D$80)),0)</f>
        <v>-0</v>
      </c>
      <c r="AF84" s="109" t="n">
        <f aca="false">-IF(AND(30&gt;=Hipótesis!$D$78,MOD(30,12)=0,AF96=0,AF89=0,AF101=0,AF81=0),MIN(Hipótesis!$D$79*MAX(0,AF112),MAX(0,AF82+AF83-Hipótesis!$D$80)),0)</f>
        <v>-0</v>
      </c>
      <c r="AG84" s="109" t="n">
        <f aca="false">-IF(AND(31&gt;=Hipótesis!$D$78,MOD(31,12)=0,AG96=0,AG89=0,AG101=0,AG81=0),MIN(Hipótesis!$D$79*MAX(0,AG112),MAX(0,AG82+AG83-Hipótesis!$D$80)),0)</f>
        <v>-0</v>
      </c>
      <c r="AH84" s="109" t="n">
        <f aca="false">-IF(AND(32&gt;=Hipótesis!$D$78,MOD(32,12)=0,AH96=0,AH89=0,AH101=0,AH81=0),MIN(Hipótesis!$D$79*MAX(0,AH112),MAX(0,AH82+AH83-Hipótesis!$D$80)),0)</f>
        <v>-0</v>
      </c>
      <c r="AI84" s="109" t="n">
        <f aca="false">-IF(AND(33&gt;=Hipótesis!$D$78,MOD(33,12)=0,AI96=0,AI89=0,AI101=0,AI81=0),MIN(Hipótesis!$D$79*MAX(0,AI112),MAX(0,AI82+AI83-Hipótesis!$D$80)),0)</f>
        <v>-0</v>
      </c>
      <c r="AJ84" s="109" t="n">
        <f aca="false">-IF(AND(34&gt;=Hipótesis!$D$78,MOD(34,12)=0,AJ96=0,AJ89=0,AJ101=0,AJ81=0),MIN(Hipótesis!$D$79*MAX(0,AJ112),MAX(0,AJ82+AJ83-Hipótesis!$D$80)),0)</f>
        <v>-0</v>
      </c>
      <c r="AK84" s="109" t="n">
        <f aca="false">-IF(AND(35&gt;=Hipótesis!$D$78,MOD(35,12)=0,AK96=0,AK89=0,AK101=0,AK81=0),MIN(Hipótesis!$D$79*MAX(0,AK112),MAX(0,AK82+AK83-Hipótesis!$D$80)),0)</f>
        <v>-0</v>
      </c>
      <c r="AL84" s="109" t="n">
        <f aca="false">-IF(AND(36&gt;=Hipótesis!$D$78,MOD(36,12)=0,AL96=0,AL89=0,AL101=0,AL81=0),MIN(Hipótesis!$D$79*MAX(0,AL112),MAX(0,AL82+AL83-Hipótesis!$D$80)),0)</f>
        <v>-0</v>
      </c>
      <c r="AM84" s="109" t="n">
        <f aca="false">-IF(AND(37&gt;=Hipótesis!$D$78,MOD(37,12)=0,AM96=0,AM89=0,AM101=0,AM81=0),MIN(Hipótesis!$D$79*MAX(0,AM112),MAX(0,AM82+AM83-Hipótesis!$D$80)),0)</f>
        <v>-0</v>
      </c>
      <c r="AN84" s="109" t="n">
        <f aca="false">-IF(AND(38&gt;=Hipótesis!$D$78,MOD(38,12)=0,AN96=0,AN89=0,AN101=0,AN81=0),MIN(Hipótesis!$D$79*MAX(0,AN112),MAX(0,AN82+AN83-Hipótesis!$D$80)),0)</f>
        <v>-0</v>
      </c>
      <c r="AO84" s="109" t="n">
        <f aca="false">-IF(AND(39&gt;=Hipótesis!$D$78,MOD(39,12)=0,AO96=0,AO89=0,AO101=0,AO81=0),MIN(Hipótesis!$D$79*MAX(0,AO112),MAX(0,AO82+AO83-Hipótesis!$D$80)),0)</f>
        <v>-0</v>
      </c>
      <c r="AP84" s="109" t="n">
        <f aca="false">-IF(AND(40&gt;=Hipótesis!$D$78,MOD(40,12)=0,AP96=0,AP89=0,AP101=0,AP81=0),MIN(Hipótesis!$D$79*MAX(0,AP112),MAX(0,AP82+AP83-Hipótesis!$D$80)),0)</f>
        <v>-0</v>
      </c>
      <c r="AQ84" s="109" t="n">
        <f aca="false">-IF(AND(41&gt;=Hipótesis!$D$78,MOD(41,12)=0,AQ96=0,AQ89=0,AQ101=0,AQ81=0),MIN(Hipótesis!$D$79*MAX(0,AQ112),MAX(0,AQ82+AQ83-Hipótesis!$D$80)),0)</f>
        <v>-0</v>
      </c>
      <c r="AR84" s="109" t="n">
        <f aca="false">-IF(AND(42&gt;=Hipótesis!$D$78,MOD(42,12)=0,AR96=0,AR89=0,AR101=0,AR81=0),MIN(Hipótesis!$D$79*MAX(0,AR112),MAX(0,AR82+AR83-Hipótesis!$D$80)),0)</f>
        <v>-0</v>
      </c>
      <c r="AS84" s="109" t="n">
        <f aca="false">-IF(AND(43&gt;=Hipótesis!$D$78,MOD(43,12)=0,AS96=0,AS89=0,AS101=0,AS81=0),MIN(Hipótesis!$D$79*MAX(0,AS112),MAX(0,AS82+AS83-Hipótesis!$D$80)),0)</f>
        <v>-0</v>
      </c>
      <c r="AT84" s="109" t="n">
        <f aca="false">-IF(AND(44&gt;=Hipótesis!$D$78,MOD(44,12)=0,AT96=0,AT89=0,AT101=0,AT81=0),MIN(Hipótesis!$D$79*MAX(0,AT112),MAX(0,AT82+AT83-Hipótesis!$D$80)),0)</f>
        <v>-0</v>
      </c>
      <c r="AU84" s="109" t="n">
        <f aca="false">-IF(AND(45&gt;=Hipótesis!$D$78,MOD(45,12)=0,AU96=0,AU89=0,AU101=0,AU81=0),MIN(Hipótesis!$D$79*MAX(0,AU112),MAX(0,AU82+AU83-Hipótesis!$D$80)),0)</f>
        <v>-0</v>
      </c>
      <c r="AV84" s="109" t="n">
        <f aca="false">-IF(AND(46&gt;=Hipótesis!$D$78,MOD(46,12)=0,AV96=0,AV89=0,AV101=0,AV81=0),MIN(Hipótesis!$D$79*MAX(0,AV112),MAX(0,AV82+AV83-Hipótesis!$D$80)),0)</f>
        <v>-0</v>
      </c>
      <c r="AW84" s="109" t="n">
        <f aca="false">-IF(AND(47&gt;=Hipótesis!$D$78,MOD(47,12)=0,AW96=0,AW89=0,AW101=0,AW81=0),MIN(Hipótesis!$D$79*MAX(0,AW112),MAX(0,AW82+AW83-Hipótesis!$D$80)),0)</f>
        <v>-0</v>
      </c>
      <c r="AX84" s="109" t="n">
        <f aca="false">-IF(AND(48&gt;=Hipótesis!$D$78,MOD(48,12)=0,AX96=0,AX89=0,AX101=0,AX81=0),MIN(Hipótesis!$D$79*MAX(0,AX112),MAX(0,AX82+AX83-Hipótesis!$D$80)),0)</f>
        <v>-0</v>
      </c>
      <c r="AY84" s="109" t="n">
        <f aca="false">-IF(AND(49&gt;=Hipótesis!$D$78,MOD(49,12)=0,AY96=0,AY89=0,AY101=0,AY81=0),MIN(Hipótesis!$D$79*MAX(0,AY112),MAX(0,AY82+AY83-Hipótesis!$D$80)),0)</f>
        <v>-0</v>
      </c>
      <c r="AZ84" s="109" t="n">
        <f aca="false">-IF(AND(50&gt;=Hipótesis!$D$78,MOD(50,12)=0,AZ96=0,AZ89=0,AZ101=0,AZ81=0),MIN(Hipótesis!$D$79*MAX(0,AZ112),MAX(0,AZ82+AZ83-Hipótesis!$D$80)),0)</f>
        <v>-0</v>
      </c>
      <c r="BA84" s="109" t="n">
        <f aca="false">-IF(AND(51&gt;=Hipótesis!$D$78,MOD(51,12)=0,BA96=0,BA89=0,BA101=0,BA81=0),MIN(Hipótesis!$D$79*MAX(0,BA112),MAX(0,BA82+BA83-Hipótesis!$D$80)),0)</f>
        <v>-0</v>
      </c>
      <c r="BB84" s="109" t="n">
        <f aca="false">-IF(AND(52&gt;=Hipótesis!$D$78,MOD(52,12)=0,BB96=0,BB89=0,BB101=0,BB81=0),MIN(Hipótesis!$D$79*MAX(0,BB112),MAX(0,BB82+BB83-Hipótesis!$D$80)),0)</f>
        <v>-0</v>
      </c>
      <c r="BC84" s="109" t="n">
        <f aca="false">-IF(AND(53&gt;=Hipótesis!$D$78,MOD(53,12)=0,BC96=0,BC89=0,BC101=0,BC81=0),MIN(Hipótesis!$D$79*MAX(0,BC112),MAX(0,BC82+BC83-Hipótesis!$D$80)),0)</f>
        <v>-0</v>
      </c>
      <c r="BD84" s="109" t="n">
        <f aca="false">-IF(AND(54&gt;=Hipótesis!$D$78,MOD(54,12)=0,BD96=0,BD89=0,BD101=0,BD81=0),MIN(Hipótesis!$D$79*MAX(0,BD112),MAX(0,BD82+BD83-Hipótesis!$D$80)),0)</f>
        <v>-0</v>
      </c>
      <c r="BE84" s="109" t="n">
        <f aca="false">-IF(AND(55&gt;=Hipótesis!$D$78,MOD(55,12)=0,BE96=0,BE89=0,BE101=0,BE81=0),MIN(Hipótesis!$D$79*MAX(0,BE112),MAX(0,BE82+BE83-Hipótesis!$D$80)),0)</f>
        <v>-0</v>
      </c>
      <c r="BF84" s="109" t="n">
        <f aca="false">-IF(AND(56&gt;=Hipótesis!$D$78,MOD(56,12)=0,BF96=0,BF89=0,BF101=0,BF81=0),MIN(Hipótesis!$D$79*MAX(0,BF112),MAX(0,BF82+BF83-Hipótesis!$D$80)),0)</f>
        <v>-0</v>
      </c>
      <c r="BG84" s="109" t="n">
        <f aca="false">-IF(AND(57&gt;=Hipótesis!$D$78,MOD(57,12)=0,BG96=0,BG89=0,BG101=0,BG81=0),MIN(Hipótesis!$D$79*MAX(0,BG112),MAX(0,BG82+BG83-Hipótesis!$D$80)),0)</f>
        <v>-0</v>
      </c>
      <c r="BH84" s="109" t="n">
        <f aca="false">-IF(AND(58&gt;=Hipótesis!$D$78,MOD(58,12)=0,BH96=0,BH89=0,BH101=0,BH81=0),MIN(Hipótesis!$D$79*MAX(0,BH112),MAX(0,BH82+BH83-Hipótesis!$D$80)),0)</f>
        <v>-0</v>
      </c>
      <c r="BI84" s="109" t="n">
        <f aca="false">-IF(AND(59&gt;=Hipótesis!$D$78,MOD(59,12)=0,BI96=0,BI89=0,BI101=0,BI81=0),MIN(Hipótesis!$D$79*MAX(0,BI112),MAX(0,BI82+BI83-Hipótesis!$D$80)),0)</f>
        <v>-0</v>
      </c>
      <c r="BJ84" s="109" t="n">
        <f aca="false">-IF(AND(60&gt;=Hipótesis!$D$78,MOD(60,12)=0,BJ96=0,BJ89=0,BJ101=0,BJ81=0),MIN(Hipótesis!$D$79*MAX(0,BJ112),MAX(0,BJ82+BJ83-Hipótesis!$D$80)),0)</f>
        <v>-0</v>
      </c>
      <c r="BK84" s="109" t="n">
        <f aca="false">-IF(AND(61&gt;=Hipótesis!$D$78,MOD(61,12)=0,BK96=0,BK89=0,BK101=0,BK81=0),MIN(Hipótesis!$D$79*MAX(0,BK112),MAX(0,BK82+BK83-Hipótesis!$D$80)),0)</f>
        <v>-0</v>
      </c>
      <c r="BL84" s="109" t="n">
        <f aca="false">-IF(AND(62&gt;=Hipótesis!$D$78,MOD(62,12)=0,BL96=0,BL89=0,BL101=0,BL81=0),MIN(Hipótesis!$D$79*MAX(0,BL112),MAX(0,BL82+BL83-Hipótesis!$D$80)),0)</f>
        <v>-0</v>
      </c>
      <c r="BM84" s="109" t="n">
        <f aca="false">-IF(AND(63&gt;=Hipótesis!$D$78,MOD(63,12)=0,BM96=0,BM89=0,BM101=0,BM81=0),MIN(Hipótesis!$D$79*MAX(0,BM112),MAX(0,BM82+BM83-Hipótesis!$D$80)),0)</f>
        <v>-0</v>
      </c>
      <c r="BN84" s="109" t="n">
        <f aca="false">-IF(AND(64&gt;=Hipótesis!$D$78,MOD(64,12)=0,BN96=0,BN89=0,BN101=0,BN81=0),MIN(Hipótesis!$D$79*MAX(0,BN112),MAX(0,BN82+BN83-Hipótesis!$D$80)),0)</f>
        <v>-0</v>
      </c>
      <c r="BO84" s="109" t="n">
        <f aca="false">-IF(AND(65&gt;=Hipótesis!$D$78,MOD(65,12)=0,BO96=0,BO89=0,BO101=0,BO81=0),MIN(Hipótesis!$D$79*MAX(0,BO112),MAX(0,BO82+BO83-Hipótesis!$D$80)),0)</f>
        <v>-0</v>
      </c>
      <c r="BP84" s="109" t="n">
        <f aca="false">-IF(AND(66&gt;=Hipótesis!$D$78,MOD(66,12)=0,BP96=0,BP89=0,BP101=0,BP81=0),MIN(Hipótesis!$D$79*MAX(0,BP112),MAX(0,BP82+BP83-Hipótesis!$D$80)),0)</f>
        <v>-0</v>
      </c>
      <c r="BQ84" s="109" t="n">
        <f aca="false">-IF(AND(67&gt;=Hipótesis!$D$78,MOD(67,12)=0,BQ96=0,BQ89=0,BQ101=0,BQ81=0),MIN(Hipótesis!$D$79*MAX(0,BQ112),MAX(0,BQ82+BQ83-Hipótesis!$D$80)),0)</f>
        <v>-0</v>
      </c>
      <c r="BR84" s="109" t="n">
        <f aca="false">-IF(AND(68&gt;=Hipótesis!$D$78,MOD(68,12)=0,BR96=0,BR89=0,BR101=0,BR81=0),MIN(Hipótesis!$D$79*MAX(0,BR112),MAX(0,BR82+BR83-Hipótesis!$D$80)),0)</f>
        <v>-0</v>
      </c>
      <c r="BS84" s="109" t="n">
        <f aca="false">-IF(AND(69&gt;=Hipótesis!$D$78,MOD(69,12)=0,BS96=0,BS89=0,BS101=0,BS81=0),MIN(Hipótesis!$D$79*MAX(0,BS112),MAX(0,BS82+BS83-Hipótesis!$D$80)),0)</f>
        <v>-0</v>
      </c>
      <c r="BT84" s="109" t="n">
        <f aca="false">-IF(AND(70&gt;=Hipótesis!$D$78,MOD(70,12)=0,BT96=0,BT89=0,BT101=0,BT81=0),MIN(Hipótesis!$D$79*MAX(0,BT112),MAX(0,BT82+BT83-Hipótesis!$D$80)),0)</f>
        <v>-0</v>
      </c>
      <c r="BU84" s="109" t="n">
        <f aca="false">-IF(AND(71&gt;=Hipótesis!$D$78,MOD(71,12)=0,BU96=0,BU89=0,BU101=0,BU81=0),MIN(Hipótesis!$D$79*MAX(0,BU112),MAX(0,BU82+BU83-Hipótesis!$D$80)),0)</f>
        <v>-0</v>
      </c>
      <c r="BV84" s="109" t="n">
        <f aca="false">-IF(AND(72&gt;=Hipótesis!$D$78,MOD(72,12)=0,BV96=0,BV89=0,BV101=0,BV81=0),MIN(Hipótesis!$D$79*MAX(0,BV112),MAX(0,BV82+BV83-Hipótesis!$D$80)),0)</f>
        <v>-0</v>
      </c>
      <c r="BW84" s="109" t="n">
        <f aca="false">-IF(AND(73&gt;=Hipótesis!$D$78,MOD(73,12)=0,BW96=0,BW89=0,BW101=0,BW81=0),MIN(Hipótesis!$D$79*MAX(0,BW112),MAX(0,BW82+BW83-Hipótesis!$D$80)),0)</f>
        <v>-0</v>
      </c>
      <c r="BX84" s="109" t="n">
        <f aca="false">-IF(AND(74&gt;=Hipótesis!$D$78,MOD(74,12)=0,BX96=0,BX89=0,BX101=0,BX81=0),MIN(Hipótesis!$D$79*MAX(0,BX112),MAX(0,BX82+BX83-Hipótesis!$D$80)),0)</f>
        <v>-0</v>
      </c>
      <c r="BY84" s="109" t="n">
        <f aca="false">-IF(AND(75&gt;=Hipótesis!$D$78,MOD(75,12)=0,BY96=0,BY89=0,BY101=0,BY81=0),MIN(Hipótesis!$D$79*MAX(0,BY112),MAX(0,BY82+BY83-Hipótesis!$D$80)),0)</f>
        <v>-0</v>
      </c>
      <c r="BZ84" s="109" t="n">
        <f aca="false">-IF(AND(76&gt;=Hipótesis!$D$78,MOD(76,12)=0,BZ96=0,BZ89=0,BZ101=0,BZ81=0),MIN(Hipótesis!$D$79*MAX(0,BZ112),MAX(0,BZ82+BZ83-Hipótesis!$D$80)),0)</f>
        <v>-0</v>
      </c>
      <c r="CA84" s="109" t="n">
        <f aca="false">-IF(AND(77&gt;=Hipótesis!$D$78,MOD(77,12)=0,CA96=0,CA89=0,CA101=0,CA81=0),MIN(Hipótesis!$D$79*MAX(0,CA112),MAX(0,CA82+CA83-Hipótesis!$D$80)),0)</f>
        <v>-0</v>
      </c>
      <c r="CB84" s="109" t="n">
        <f aca="false">-IF(AND(78&gt;=Hipótesis!$D$78,MOD(78,12)=0,CB96=0,CB89=0,CB101=0,CB81=0),MIN(Hipótesis!$D$79*MAX(0,CB112),MAX(0,CB82+CB83-Hipótesis!$D$80)),0)</f>
        <v>-0</v>
      </c>
      <c r="CC84" s="109" t="n">
        <f aca="false">-IF(AND(79&gt;=Hipótesis!$D$78,MOD(79,12)=0,CC96=0,CC89=0,CC101=0,CC81=0),MIN(Hipótesis!$D$79*MAX(0,CC112),MAX(0,CC82+CC83-Hipótesis!$D$80)),0)</f>
        <v>-0</v>
      </c>
      <c r="CD84" s="109" t="n">
        <f aca="false">-IF(AND(80&gt;=Hipótesis!$D$78,MOD(80,12)=0,CD96=0,CD89=0,CD101=0,CD81=0),MIN(Hipótesis!$D$79*MAX(0,CD112),MAX(0,CD82+CD83-Hipótesis!$D$80)),0)</f>
        <v>-0</v>
      </c>
      <c r="CE84" s="109" t="n">
        <f aca="false">-IF(AND(81&gt;=Hipótesis!$D$78,MOD(81,12)=0,CE96=0,CE89=0,CE101=0,CE81=0),MIN(Hipótesis!$D$79*MAX(0,CE112),MAX(0,CE82+CE83-Hipótesis!$D$80)),0)</f>
        <v>-0</v>
      </c>
      <c r="CF84" s="109" t="n">
        <f aca="false">-IF(AND(82&gt;=Hipótesis!$D$78,MOD(82,12)=0,CF96=0,CF89=0,CF101=0,CF81=0),MIN(Hipótesis!$D$79*MAX(0,CF112),MAX(0,CF82+CF83-Hipótesis!$D$80)),0)</f>
        <v>-0</v>
      </c>
      <c r="CG84" s="109" t="n">
        <f aca="false">-IF(AND(83&gt;=Hipótesis!$D$78,MOD(83,12)=0,CG96=0,CG89=0,CG101=0,CG81=0),MIN(Hipótesis!$D$79*MAX(0,CG112),MAX(0,CG82+CG83-Hipótesis!$D$80)),0)</f>
        <v>-0</v>
      </c>
      <c r="CH84" s="109" t="n">
        <f aca="false">-IF(AND(84&gt;=Hipótesis!$D$78,MOD(84,12)=0,CH96=0,CH89=0,CH101=0,CH81=0),MIN(Hipótesis!$D$79*MAX(0,CH112),MAX(0,CH82+CH83-Hipótesis!$D$80)),0)</f>
        <v>-0</v>
      </c>
    </row>
    <row r="85" customFormat="false" ht="13.5" hidden="false" customHeight="true" outlineLevel="0" collapsed="false">
      <c r="A85" s="22" t="s">
        <v>587</v>
      </c>
      <c r="C85" s="109" t="n">
        <f aca="false">C78+C80+C83+C84</f>
        <v>158478.316780131</v>
      </c>
      <c r="D85" s="109" t="n">
        <f aca="false">D78+D80+D83+D84</f>
        <v>-26804.4491807088</v>
      </c>
      <c r="E85" s="109" t="n">
        <f aca="false">E78+E80+E83+E84</f>
        <v>-22093.1302136502</v>
      </c>
      <c r="F85" s="109" t="n">
        <f aca="false">F78+F80+F83+F84</f>
        <v>-20012.2308115865</v>
      </c>
      <c r="G85" s="109" t="n">
        <f aca="false">G78+G80+G83+G84</f>
        <v>-18336.7153352187</v>
      </c>
      <c r="H85" s="109" t="n">
        <f aca="false">H78+H80+H83+H84</f>
        <v>-16424.2313687473</v>
      </c>
      <c r="I85" s="109" t="n">
        <f aca="false">I78+I80+I83+I84</f>
        <v>-13737.2738418441</v>
      </c>
      <c r="J85" s="109" t="n">
        <f aca="false">J78+J80+J83+J84</f>
        <v>-10600.1430634401</v>
      </c>
      <c r="K85" s="109" t="n">
        <f aca="false">K78+K80+K83+K84</f>
        <v>-470.142964935162</v>
      </c>
      <c r="L85" s="109" t="n">
        <f aca="false">L78+L80+L83+L84</f>
        <v>0</v>
      </c>
      <c r="M85" s="109" t="n">
        <f aca="false">M78+M80+M83+M84</f>
        <v>0</v>
      </c>
      <c r="N85" s="109" t="n">
        <f aca="false">N78+N80+N83+N84</f>
        <v>0</v>
      </c>
      <c r="O85" s="109" t="n">
        <f aca="false">O78+O80+O83+O84</f>
        <v>0</v>
      </c>
      <c r="P85" s="109" t="n">
        <f aca="false">P78+P80+P83+P84</f>
        <v>0</v>
      </c>
      <c r="Q85" s="109" t="n">
        <f aca="false">Q78+Q80+Q83+Q84</f>
        <v>0</v>
      </c>
      <c r="R85" s="109" t="n">
        <f aca="false">R78+R80+R83+R84</f>
        <v>0</v>
      </c>
      <c r="S85" s="109" t="n">
        <f aca="false">S78+S80+S83+S84</f>
        <v>0</v>
      </c>
      <c r="T85" s="109" t="n">
        <f aca="false">T78+T80+T83+T84</f>
        <v>0</v>
      </c>
      <c r="U85" s="109" t="n">
        <f aca="false">U78+U80+U83+U84</f>
        <v>0</v>
      </c>
      <c r="V85" s="109" t="n">
        <f aca="false">V78+V80+V83+V84</f>
        <v>0</v>
      </c>
      <c r="W85" s="109" t="n">
        <f aca="false">W78+W80+W83+W84</f>
        <v>0</v>
      </c>
      <c r="X85" s="109" t="n">
        <f aca="false">X78+X80+X83+X84</f>
        <v>0</v>
      </c>
      <c r="Y85" s="109" t="n">
        <f aca="false">Y78+Y80+Y83+Y84</f>
        <v>0</v>
      </c>
      <c r="Z85" s="109" t="n">
        <f aca="false">Z78+Z80+Z83+Z84</f>
        <v>0</v>
      </c>
      <c r="AA85" s="109" t="n">
        <f aca="false">AA78+AA80+AA83+AA84</f>
        <v>0</v>
      </c>
      <c r="AB85" s="109" t="n">
        <f aca="false">AB78+AB80+AB83+AB84</f>
        <v>0</v>
      </c>
      <c r="AC85" s="109" t="n">
        <f aca="false">AC78+AC80+AC83+AC84</f>
        <v>1317.57119049722</v>
      </c>
      <c r="AD85" s="109" t="n">
        <f aca="false">AD78+AD80+AD83+AD84</f>
        <v>4121.5388684606</v>
      </c>
      <c r="AE85" s="109" t="n">
        <f aca="false">AE78+AE80+AE83+AE84</f>
        <v>3028.64856919446</v>
      </c>
      <c r="AF85" s="109" t="n">
        <f aca="false">AF78+AF80+AF83+AF84</f>
        <v>3918.84771672831</v>
      </c>
      <c r="AG85" s="109" t="n">
        <f aca="false">AG78+AG80+AG83+AG84</f>
        <v>4809.04686426218</v>
      </c>
      <c r="AH85" s="109" t="n">
        <f aca="false">AH78+AH80+AH83+AH84</f>
        <v>5699.24601179605</v>
      </c>
      <c r="AI85" s="109" t="n">
        <f aca="false">AI78+AI80+AI83+AI84</f>
        <v>6589.44515932991</v>
      </c>
      <c r="AJ85" s="109" t="n">
        <f aca="false">AJ78+AJ80+AJ83+AJ84</f>
        <v>7479.64430686378</v>
      </c>
      <c r="AK85" s="109" t="n">
        <f aca="false">AK78+AK80+AK83+AK84</f>
        <v>8369.84345439765</v>
      </c>
      <c r="AL85" s="109" t="n">
        <f aca="false">AL78+AL80+AL83+AL84</f>
        <v>9260.04260193151</v>
      </c>
      <c r="AM85" s="109" t="n">
        <f aca="false">AM78+AM80+AM83+AM84</f>
        <v>5032.72090514629</v>
      </c>
      <c r="AN85" s="109" t="n">
        <f aca="false">AN78+AN80+AN83+AN84</f>
        <v>5815.13406951093</v>
      </c>
      <c r="AO85" s="109" t="n">
        <f aca="false">AO78+AO80+AO83+AO84</f>
        <v>6597.54723387559</v>
      </c>
      <c r="AP85" s="109" t="n">
        <f aca="false">AP78+AP80+AP83+AP84</f>
        <v>7379.96039824024</v>
      </c>
      <c r="AQ85" s="109" t="n">
        <f aca="false">AQ78+AQ80+AQ83+AQ84</f>
        <v>8162.37356260488</v>
      </c>
      <c r="AR85" s="109" t="n">
        <f aca="false">AR78+AR80+AR83+AR84</f>
        <v>8944.78672696955</v>
      </c>
      <c r="AS85" s="109" t="n">
        <f aca="false">AS78+AS80+AS83+AS84</f>
        <v>9399.1266451371</v>
      </c>
      <c r="AT85" s="109" t="n">
        <f aca="false">AT78+AT80+AT83+AT84</f>
        <v>9403.29331180377</v>
      </c>
      <c r="AU85" s="109" t="n">
        <f aca="false">AU78+AU80+AU83+AU84</f>
        <v>9407.45997847043</v>
      </c>
      <c r="AV85" s="109" t="n">
        <f aca="false">AV78+AV80+AV83+AV84</f>
        <v>9411.6266451371</v>
      </c>
      <c r="AW85" s="109" t="n">
        <f aca="false">AW78+AW80+AW83+AW84</f>
        <v>9415.79331180376</v>
      </c>
      <c r="AX85" s="109" t="n">
        <f aca="false">AX78+AX80+AX83+AX84</f>
        <v>-40739.6382035166</v>
      </c>
      <c r="AY85" s="109" t="n">
        <f aca="false">AY78+AY80+AY83+AY84</f>
        <v>7517.1968938567</v>
      </c>
      <c r="AZ85" s="109" t="n">
        <f aca="false">AZ78+AZ80+AZ83+AZ84</f>
        <v>7521.36356052336</v>
      </c>
      <c r="BA85" s="109" t="n">
        <f aca="false">BA78+BA80+BA83+BA84</f>
        <v>7525.53022719003</v>
      </c>
      <c r="BB85" s="109" t="n">
        <f aca="false">BB78+BB80+BB83+BB84</f>
        <v>7529.6968938567</v>
      </c>
      <c r="BC85" s="109" t="n">
        <f aca="false">BC78+BC80+BC83+BC84</f>
        <v>7533.86356052336</v>
      </c>
      <c r="BD85" s="109" t="n">
        <f aca="false">BD78+BD80+BD83+BD84</f>
        <v>7538.03022719003</v>
      </c>
      <c r="BE85" s="109" t="n">
        <f aca="false">BE78+BE80+BE83+BE84</f>
        <v>7542.1968938567</v>
      </c>
      <c r="BF85" s="109" t="n">
        <f aca="false">BF78+BF80+BF83+BF84</f>
        <v>7546.36356052336</v>
      </c>
      <c r="BG85" s="109" t="n">
        <f aca="false">BG78+BG80+BG83+BG84</f>
        <v>7550.53022719003</v>
      </c>
      <c r="BH85" s="109" t="n">
        <f aca="false">BH78+BH80+BH83+BH84</f>
        <v>7554.6968938567</v>
      </c>
      <c r="BI85" s="109" t="n">
        <f aca="false">BI78+BI80+BI83+BI84</f>
        <v>7558.86356052336</v>
      </c>
      <c r="BJ85" s="109" t="n">
        <f aca="false">BJ78+BJ80+BJ83+BJ84</f>
        <v>-38508.6743912656</v>
      </c>
      <c r="BK85" s="109" t="n">
        <f aca="false">BK78+BK80+BK83+BK84</f>
        <v>5646.71825003789</v>
      </c>
      <c r="BL85" s="109" t="n">
        <f aca="false">BL78+BL80+BL83+BL84</f>
        <v>5650.88491670455</v>
      </c>
      <c r="BM85" s="109" t="n">
        <f aca="false">BM78+BM80+BM83+BM84</f>
        <v>5655.05158337122</v>
      </c>
      <c r="BN85" s="109" t="n">
        <f aca="false">BN78+BN80+BN83+BN84</f>
        <v>5659.21825003788</v>
      </c>
      <c r="BO85" s="109" t="n">
        <f aca="false">BO78+BO80+BO83+BO84</f>
        <v>5663.38491670455</v>
      </c>
      <c r="BP85" s="109" t="n">
        <f aca="false">BP78+BP80+BP83+BP84</f>
        <v>5667.55158337122</v>
      </c>
      <c r="BQ85" s="109" t="n">
        <f aca="false">BQ78+BQ80+BQ83+BQ84</f>
        <v>5671.71825003789</v>
      </c>
      <c r="BR85" s="109" t="n">
        <f aca="false">BR78+BR80+BR83+BR84</f>
        <v>5675.88491670455</v>
      </c>
      <c r="BS85" s="109" t="n">
        <f aca="false">BS78+BS80+BS83+BS84</f>
        <v>5680.05158337122</v>
      </c>
      <c r="BT85" s="109" t="n">
        <f aca="false">BT78+BT80+BT83+BT84</f>
        <v>5684.21825003789</v>
      </c>
      <c r="BU85" s="109" t="n">
        <f aca="false">BU78+BU80+BU83+BU84</f>
        <v>5688.38491670455</v>
      </c>
      <c r="BV85" s="109" t="n">
        <f aca="false">BV78+BV80+BV83+BV84</f>
        <v>-31400.8555447541</v>
      </c>
      <c r="BW85" s="109" t="n">
        <f aca="false">BW78+BW80+BW83+BW84</f>
        <v>3762.28424690451</v>
      </c>
      <c r="BX85" s="109" t="n">
        <f aca="false">BX78+BX80+BX83+BX84</f>
        <v>3766.45091357117</v>
      </c>
      <c r="BY85" s="109" t="n">
        <f aca="false">BY78+BY80+BY83+BY84</f>
        <v>3770.61758023784</v>
      </c>
      <c r="BZ85" s="109" t="n">
        <f aca="false">BZ78+BZ80+BZ83+BZ84</f>
        <v>3774.78424690451</v>
      </c>
      <c r="CA85" s="109" t="n">
        <f aca="false">CA78+CA80+CA83+CA84</f>
        <v>3778.95091357117</v>
      </c>
      <c r="CB85" s="109" t="n">
        <f aca="false">CB78+CB80+CB83+CB84</f>
        <v>3783.11758023784</v>
      </c>
      <c r="CC85" s="109" t="n">
        <f aca="false">CC78+CC80+CC83+CC84</f>
        <v>3787.28424690451</v>
      </c>
      <c r="CD85" s="109" t="n">
        <f aca="false">CD78+CD80+CD83+CD84</f>
        <v>3791.45091357117</v>
      </c>
      <c r="CE85" s="109" t="n">
        <f aca="false">CE78+CE80+CE83+CE84</f>
        <v>3795.61758023784</v>
      </c>
      <c r="CF85" s="109" t="n">
        <f aca="false">CF78+CF80+CF83+CF84</f>
        <v>3799.78424690451</v>
      </c>
      <c r="CG85" s="109" t="n">
        <f aca="false">CG78+CG80+CG83+CG84</f>
        <v>3803.95091357117</v>
      </c>
      <c r="CH85" s="109" t="n">
        <f aca="false">CH78+CH80+CH83+CH84</f>
        <v>-24240.0063328472</v>
      </c>
    </row>
    <row r="86" customFormat="false" ht="13.5" hidden="false" customHeight="true" outlineLevel="0" collapsed="false">
      <c r="A86" s="47" t="s">
        <v>588</v>
      </c>
      <c r="C86" s="71" t="n">
        <f aca="false">C85</f>
        <v>158478.316780131</v>
      </c>
      <c r="D86" s="71" t="n">
        <f aca="false">C86+D85</f>
        <v>131673.867599422</v>
      </c>
      <c r="E86" s="71" t="n">
        <f aca="false">D86+E85</f>
        <v>109580.737385772</v>
      </c>
      <c r="F86" s="71" t="n">
        <f aca="false">E86+F85</f>
        <v>89568.5065741854</v>
      </c>
      <c r="G86" s="71" t="n">
        <f aca="false">F86+G85</f>
        <v>71231.7912389667</v>
      </c>
      <c r="H86" s="71" t="n">
        <f aca="false">G86+H85</f>
        <v>54807.5598702194</v>
      </c>
      <c r="I86" s="71" t="n">
        <f aca="false">H86+I85</f>
        <v>41070.2860283752</v>
      </c>
      <c r="J86" s="71" t="n">
        <f aca="false">I86+J85</f>
        <v>30470.1429649352</v>
      </c>
      <c r="K86" s="71" t="n">
        <f aca="false">J86+K85</f>
        <v>30000</v>
      </c>
      <c r="L86" s="71" t="n">
        <f aca="false">K86+L85</f>
        <v>30000</v>
      </c>
      <c r="M86" s="71" t="n">
        <f aca="false">L86+M85</f>
        <v>30000</v>
      </c>
      <c r="N86" s="71" t="n">
        <f aca="false">M86+N85</f>
        <v>30000</v>
      </c>
      <c r="O86" s="71" t="n">
        <f aca="false">N86+O85</f>
        <v>30000</v>
      </c>
      <c r="P86" s="71" t="n">
        <f aca="false">O86+P85</f>
        <v>30000</v>
      </c>
      <c r="Q86" s="71" t="n">
        <f aca="false">P86+Q85</f>
        <v>30000</v>
      </c>
      <c r="R86" s="71" t="n">
        <f aca="false">Q86+R85</f>
        <v>30000</v>
      </c>
      <c r="S86" s="71" t="n">
        <f aca="false">R86+S85</f>
        <v>30000</v>
      </c>
      <c r="T86" s="71" t="n">
        <f aca="false">S86+T85</f>
        <v>30000</v>
      </c>
      <c r="U86" s="71" t="n">
        <f aca="false">T86+U85</f>
        <v>30000</v>
      </c>
      <c r="V86" s="71" t="n">
        <f aca="false">U86+V85</f>
        <v>30000</v>
      </c>
      <c r="W86" s="71" t="n">
        <f aca="false">V86+W85</f>
        <v>30000</v>
      </c>
      <c r="X86" s="71" t="n">
        <f aca="false">W86+X85</f>
        <v>30000</v>
      </c>
      <c r="Y86" s="71" t="n">
        <f aca="false">X86+Y85</f>
        <v>30000</v>
      </c>
      <c r="Z86" s="71" t="n">
        <f aca="false">Y86+Z85</f>
        <v>30000</v>
      </c>
      <c r="AA86" s="71" t="n">
        <f aca="false">Z86+AA85</f>
        <v>30000</v>
      </c>
      <c r="AB86" s="71" t="n">
        <f aca="false">AA86+AB85</f>
        <v>30000</v>
      </c>
      <c r="AC86" s="71" t="n">
        <f aca="false">AB86+AC85</f>
        <v>31317.5711904972</v>
      </c>
      <c r="AD86" s="71" t="n">
        <f aca="false">AC86+AD85</f>
        <v>35439.1100589578</v>
      </c>
      <c r="AE86" s="71" t="n">
        <f aca="false">AD86+AE85</f>
        <v>38467.7586281523</v>
      </c>
      <c r="AF86" s="71" t="n">
        <f aca="false">AE86+AF85</f>
        <v>42386.6063448806</v>
      </c>
      <c r="AG86" s="71" t="n">
        <f aca="false">AF86+AG85</f>
        <v>47195.6532091428</v>
      </c>
      <c r="AH86" s="71" t="n">
        <f aca="false">AG86+AH85</f>
        <v>52894.8992209388</v>
      </c>
      <c r="AI86" s="71" t="n">
        <f aca="false">AH86+AI85</f>
        <v>59484.3443802687</v>
      </c>
      <c r="AJ86" s="71" t="n">
        <f aca="false">AI86+AJ85</f>
        <v>66963.9886871325</v>
      </c>
      <c r="AK86" s="71" t="n">
        <f aca="false">AJ86+AK85</f>
        <v>75333.8321415302</v>
      </c>
      <c r="AL86" s="71" t="n">
        <f aca="false">AK86+AL85</f>
        <v>84593.8747434617</v>
      </c>
      <c r="AM86" s="71" t="n">
        <f aca="false">AL86+AM85</f>
        <v>89626.595648608</v>
      </c>
      <c r="AN86" s="71" t="n">
        <f aca="false">AM86+AN85</f>
        <v>95441.7297181189</v>
      </c>
      <c r="AO86" s="71" t="n">
        <f aca="false">AN86+AO85</f>
        <v>102039.276951994</v>
      </c>
      <c r="AP86" s="71" t="n">
        <f aca="false">AO86+AP85</f>
        <v>109419.237350235</v>
      </c>
      <c r="AQ86" s="71" t="n">
        <f aca="false">AP86+AQ85</f>
        <v>117581.61091284</v>
      </c>
      <c r="AR86" s="71" t="n">
        <f aca="false">AQ86+AR85</f>
        <v>126526.397639809</v>
      </c>
      <c r="AS86" s="71" t="n">
        <f aca="false">AR86+AS85</f>
        <v>135925.524284946</v>
      </c>
      <c r="AT86" s="71" t="n">
        <f aca="false">AS86+AT85</f>
        <v>145328.81759675</v>
      </c>
      <c r="AU86" s="71" t="n">
        <f aca="false">AT86+AU85</f>
        <v>154736.27757522</v>
      </c>
      <c r="AV86" s="71" t="n">
        <f aca="false">AU86+AV85</f>
        <v>164147.904220358</v>
      </c>
      <c r="AW86" s="71" t="n">
        <f aca="false">AV86+AW85</f>
        <v>173563.697532161</v>
      </c>
      <c r="AX86" s="71" t="n">
        <f aca="false">AW86+AX85</f>
        <v>132824.059328645</v>
      </c>
      <c r="AY86" s="71" t="n">
        <f aca="false">AX86+AY85</f>
        <v>140341.256222501</v>
      </c>
      <c r="AZ86" s="71" t="n">
        <f aca="false">AY86+AZ85</f>
        <v>147862.619783025</v>
      </c>
      <c r="BA86" s="71" t="n">
        <f aca="false">AZ86+BA85</f>
        <v>155388.150010215</v>
      </c>
      <c r="BB86" s="71" t="n">
        <f aca="false">BA86+BB85</f>
        <v>162917.846904072</v>
      </c>
      <c r="BC86" s="71" t="n">
        <f aca="false">BB86+BC85</f>
        <v>170451.710464595</v>
      </c>
      <c r="BD86" s="71" t="n">
        <f aca="false">BC86+BD85</f>
        <v>177989.740691785</v>
      </c>
      <c r="BE86" s="71" t="n">
        <f aca="false">BD86+BE85</f>
        <v>185531.937585642</v>
      </c>
      <c r="BF86" s="71" t="n">
        <f aca="false">BE86+BF85</f>
        <v>193078.301146165</v>
      </c>
      <c r="BG86" s="71" t="n">
        <f aca="false">BF86+BG85</f>
        <v>200628.831373355</v>
      </c>
      <c r="BH86" s="71" t="n">
        <f aca="false">BG86+BH85</f>
        <v>208183.528267212</v>
      </c>
      <c r="BI86" s="71" t="n">
        <f aca="false">BH86+BI85</f>
        <v>215742.391827735</v>
      </c>
      <c r="BJ86" s="71" t="n">
        <f aca="false">BI86+BJ85</f>
        <v>177233.71743647</v>
      </c>
      <c r="BK86" s="71" t="n">
        <f aca="false">BJ86+BK85</f>
        <v>182880.435686507</v>
      </c>
      <c r="BL86" s="71" t="n">
        <f aca="false">BK86+BL85</f>
        <v>188531.320603212</v>
      </c>
      <c r="BM86" s="71" t="n">
        <f aca="false">BL86+BM85</f>
        <v>194186.372186583</v>
      </c>
      <c r="BN86" s="71" t="n">
        <f aca="false">BM86+BN85</f>
        <v>199845.590436621</v>
      </c>
      <c r="BO86" s="71" t="n">
        <f aca="false">BN86+BO85</f>
        <v>205508.975353326</v>
      </c>
      <c r="BP86" s="71" t="n">
        <f aca="false">BO86+BP85</f>
        <v>211176.526936697</v>
      </c>
      <c r="BQ86" s="71" t="n">
        <f aca="false">BP86+BQ85</f>
        <v>216848.245186735</v>
      </c>
      <c r="BR86" s="71" t="n">
        <f aca="false">BQ86+BR85</f>
        <v>222524.130103439</v>
      </c>
      <c r="BS86" s="71" t="n">
        <f aca="false">BR86+BS85</f>
        <v>228204.181686811</v>
      </c>
      <c r="BT86" s="71" t="n">
        <f aca="false">BS86+BT85</f>
        <v>233888.399936848</v>
      </c>
      <c r="BU86" s="71" t="n">
        <f aca="false">BT86+BU85</f>
        <v>239576.784853553</v>
      </c>
      <c r="BV86" s="71" t="n">
        <f aca="false">BU86+BV85</f>
        <v>208175.929308799</v>
      </c>
      <c r="BW86" s="71" t="n">
        <f aca="false">BV86+BW85</f>
        <v>211938.213555703</v>
      </c>
      <c r="BX86" s="71" t="n">
        <f aca="false">BW86+BX85</f>
        <v>215704.664469275</v>
      </c>
      <c r="BY86" s="71" t="n">
        <f aca="false">BX86+BY85</f>
        <v>219475.282049512</v>
      </c>
      <c r="BZ86" s="71" t="n">
        <f aca="false">BY86+BZ85</f>
        <v>223250.066296417</v>
      </c>
      <c r="CA86" s="71" t="n">
        <f aca="false">BZ86+CA85</f>
        <v>227029.017209988</v>
      </c>
      <c r="CB86" s="71" t="n">
        <f aca="false">CA86+CB85</f>
        <v>230812.134790226</v>
      </c>
      <c r="CC86" s="71" t="n">
        <f aca="false">CB86+CC85</f>
        <v>234599.41903713</v>
      </c>
      <c r="CD86" s="71" t="n">
        <f aca="false">CC86+CD85</f>
        <v>238390.869950702</v>
      </c>
      <c r="CE86" s="71" t="n">
        <f aca="false">CD86+CE85</f>
        <v>242186.487530939</v>
      </c>
      <c r="CF86" s="71" t="n">
        <f aca="false">CE86+CF85</f>
        <v>245986.271777844</v>
      </c>
      <c r="CG86" s="71" t="n">
        <f aca="false">CF86+CG85</f>
        <v>249790.222691415</v>
      </c>
      <c r="CH86" s="71" t="n">
        <f aca="false">CG86+CH85</f>
        <v>225550.216358568</v>
      </c>
    </row>
    <row r="87" customFormat="false" ht="13.5" hidden="false" customHeight="true" outlineLevel="0" collapsed="false"/>
    <row r="88" customFormat="false" ht="12.75" hidden="false" customHeight="true" outlineLevel="0" collapsed="false">
      <c r="A88" s="9" t="s">
        <v>589</v>
      </c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s="9"/>
      <c r="BU88" s="9"/>
      <c r="BV88" s="9"/>
      <c r="BW88" s="9"/>
      <c r="BX88" s="9"/>
      <c r="BY88" s="9"/>
      <c r="BZ88" s="9"/>
      <c r="CA88" s="9"/>
      <c r="CB88" s="9"/>
      <c r="CC88" s="9"/>
      <c r="CD88" s="9"/>
      <c r="CE88" s="9"/>
      <c r="CF88" s="9"/>
      <c r="CG88" s="9"/>
      <c r="CH88" s="9"/>
    </row>
    <row r="89" customFormat="false" ht="13.5" hidden="false" customHeight="true" outlineLevel="0" collapsed="false">
      <c r="A89" s="6" t="s">
        <v>590</v>
      </c>
      <c r="C89" s="109" t="n">
        <f aca="false">IF(Hipótesis!$D$94=5,0,Hipótesis!$D$93)</f>
        <v>0</v>
      </c>
      <c r="D89" s="109" t="n">
        <f aca="false">C89-C90</f>
        <v>0</v>
      </c>
      <c r="E89" s="109" t="n">
        <f aca="false">D89-D90</f>
        <v>0</v>
      </c>
      <c r="F89" s="109" t="n">
        <f aca="false">E89-E90</f>
        <v>0</v>
      </c>
      <c r="G89" s="109" t="n">
        <f aca="false">F89-F90</f>
        <v>0</v>
      </c>
      <c r="H89" s="109" t="n">
        <f aca="false">G89-G90</f>
        <v>0</v>
      </c>
      <c r="I89" s="109" t="n">
        <f aca="false">H89-H90</f>
        <v>0</v>
      </c>
      <c r="J89" s="109" t="n">
        <f aca="false">I89-I90</f>
        <v>0</v>
      </c>
      <c r="K89" s="109" t="n">
        <f aca="false">J89-J90</f>
        <v>0</v>
      </c>
      <c r="L89" s="109" t="n">
        <f aca="false">K89-K90</f>
        <v>0</v>
      </c>
      <c r="M89" s="109" t="n">
        <f aca="false">L89-L90</f>
        <v>0</v>
      </c>
      <c r="N89" s="109" t="n">
        <f aca="false">M89-M90</f>
        <v>0</v>
      </c>
      <c r="O89" s="109" t="n">
        <f aca="false">N89-N90</f>
        <v>0</v>
      </c>
      <c r="P89" s="109" t="n">
        <f aca="false">O89-O90</f>
        <v>0</v>
      </c>
      <c r="Q89" s="109" t="n">
        <f aca="false">P89-P90</f>
        <v>0</v>
      </c>
      <c r="R89" s="109" t="n">
        <f aca="false">Q89-Q90</f>
        <v>0</v>
      </c>
      <c r="S89" s="109" t="n">
        <f aca="false">R89-R90</f>
        <v>0</v>
      </c>
      <c r="T89" s="109" t="n">
        <f aca="false">S89-S90</f>
        <v>0</v>
      </c>
      <c r="U89" s="109" t="n">
        <f aca="false">T89-T90</f>
        <v>0</v>
      </c>
      <c r="V89" s="109" t="n">
        <f aca="false">U89-U90</f>
        <v>0</v>
      </c>
      <c r="W89" s="109" t="n">
        <f aca="false">V89-V90</f>
        <v>0</v>
      </c>
      <c r="X89" s="109" t="n">
        <f aca="false">W89-W90</f>
        <v>0</v>
      </c>
      <c r="Y89" s="109" t="n">
        <f aca="false">X89-X90</f>
        <v>0</v>
      </c>
      <c r="Z89" s="109" t="n">
        <f aca="false">Y89-Y90</f>
        <v>0</v>
      </c>
      <c r="AA89" s="109" t="n">
        <f aca="false">Z89-Z90</f>
        <v>0</v>
      </c>
      <c r="AB89" s="109" t="n">
        <f aca="false">AA89-AA90</f>
        <v>0</v>
      </c>
      <c r="AC89" s="109" t="n">
        <f aca="false">AB89-AB90</f>
        <v>0</v>
      </c>
      <c r="AD89" s="109" t="n">
        <f aca="false">AC89-AC90</f>
        <v>0</v>
      </c>
      <c r="AE89" s="109" t="n">
        <f aca="false">AD89-AD90</f>
        <v>0</v>
      </c>
      <c r="AF89" s="109" t="n">
        <f aca="false">AE89-AE90</f>
        <v>0</v>
      </c>
      <c r="AG89" s="109" t="n">
        <f aca="false">AF89-AF90</f>
        <v>0</v>
      </c>
      <c r="AH89" s="109" t="n">
        <f aca="false">AG89-AG90</f>
        <v>0</v>
      </c>
      <c r="AI89" s="109" t="n">
        <f aca="false">AH89-AH90</f>
        <v>0</v>
      </c>
      <c r="AJ89" s="109" t="n">
        <f aca="false">AI89-AI90</f>
        <v>0</v>
      </c>
      <c r="AK89" s="109" t="n">
        <f aca="false">AJ89-AJ90</f>
        <v>0</v>
      </c>
      <c r="AL89" s="109" t="n">
        <f aca="false">AK89-AK90</f>
        <v>0</v>
      </c>
      <c r="AM89" s="109" t="n">
        <f aca="false">AL89-AL90</f>
        <v>0</v>
      </c>
      <c r="AN89" s="109" t="n">
        <f aca="false">AM89-AM90</f>
        <v>0</v>
      </c>
      <c r="AO89" s="109" t="n">
        <f aca="false">AN89-AN90</f>
        <v>0</v>
      </c>
      <c r="AP89" s="109" t="n">
        <f aca="false">AO89-AO90</f>
        <v>0</v>
      </c>
      <c r="AQ89" s="109" t="n">
        <f aca="false">AP89-AP90</f>
        <v>0</v>
      </c>
      <c r="AR89" s="109" t="n">
        <f aca="false">AQ89-AQ90</f>
        <v>0</v>
      </c>
      <c r="AS89" s="109" t="n">
        <f aca="false">AR89-AR90</f>
        <v>0</v>
      </c>
      <c r="AT89" s="109" t="n">
        <f aca="false">AS89-AS90</f>
        <v>0</v>
      </c>
      <c r="AU89" s="109" t="n">
        <f aca="false">AT89-AT90</f>
        <v>0</v>
      </c>
      <c r="AV89" s="109" t="n">
        <f aca="false">AU89-AU90</f>
        <v>0</v>
      </c>
      <c r="AW89" s="109" t="n">
        <f aca="false">AV89-AV90</f>
        <v>0</v>
      </c>
      <c r="AX89" s="109" t="n">
        <f aca="false">AW89-AW90</f>
        <v>0</v>
      </c>
      <c r="AY89" s="109" t="n">
        <f aca="false">AX89-AX90</f>
        <v>0</v>
      </c>
      <c r="AZ89" s="109" t="n">
        <f aca="false">AY89-AY90</f>
        <v>0</v>
      </c>
      <c r="BA89" s="109" t="n">
        <f aca="false">AZ89-AZ90</f>
        <v>0</v>
      </c>
      <c r="BB89" s="109" t="n">
        <f aca="false">BA89-BA90</f>
        <v>0</v>
      </c>
      <c r="BC89" s="109" t="n">
        <f aca="false">BB89-BB90</f>
        <v>0</v>
      </c>
      <c r="BD89" s="109" t="n">
        <f aca="false">BC89-BC90</f>
        <v>0</v>
      </c>
      <c r="BE89" s="109" t="n">
        <f aca="false">BD89-BD90</f>
        <v>0</v>
      </c>
      <c r="BF89" s="109" t="n">
        <f aca="false">BE89-BE90</f>
        <v>0</v>
      </c>
      <c r="BG89" s="109" t="n">
        <f aca="false">BF89-BF90</f>
        <v>0</v>
      </c>
      <c r="BH89" s="109" t="n">
        <f aca="false">BG89-BG90</f>
        <v>0</v>
      </c>
      <c r="BI89" s="109" t="n">
        <f aca="false">BH89-BH90</f>
        <v>0</v>
      </c>
      <c r="BJ89" s="109" t="n">
        <f aca="false">BI89-BI90</f>
        <v>0</v>
      </c>
      <c r="BK89" s="109" t="n">
        <f aca="false">BJ89-BJ90</f>
        <v>0</v>
      </c>
      <c r="BL89" s="109" t="n">
        <f aca="false">BK89-BK90</f>
        <v>0</v>
      </c>
      <c r="BM89" s="109" t="n">
        <f aca="false">BL89-BL90</f>
        <v>0</v>
      </c>
      <c r="BN89" s="109" t="n">
        <f aca="false">BM89-BM90</f>
        <v>0</v>
      </c>
      <c r="BO89" s="109" t="n">
        <f aca="false">BN89-BN90</f>
        <v>0</v>
      </c>
      <c r="BP89" s="109" t="n">
        <f aca="false">BO89-BO90</f>
        <v>0</v>
      </c>
      <c r="BQ89" s="109" t="n">
        <f aca="false">BP89-BP90</f>
        <v>0</v>
      </c>
      <c r="BR89" s="109" t="n">
        <f aca="false">BQ89-BQ90</f>
        <v>0</v>
      </c>
      <c r="BS89" s="109" t="n">
        <f aca="false">BR89-BR90</f>
        <v>0</v>
      </c>
      <c r="BT89" s="109" t="n">
        <f aca="false">BS89-BS90</f>
        <v>0</v>
      </c>
      <c r="BU89" s="109" t="n">
        <f aca="false">BT89-BT90</f>
        <v>0</v>
      </c>
      <c r="BV89" s="109" t="n">
        <f aca="false">BU89-BU90</f>
        <v>0</v>
      </c>
      <c r="BW89" s="109" t="n">
        <f aca="false">BV89-BV90</f>
        <v>0</v>
      </c>
      <c r="BX89" s="109" t="n">
        <f aca="false">BW89-BW90</f>
        <v>0</v>
      </c>
      <c r="BY89" s="109" t="n">
        <f aca="false">BX89-BX90</f>
        <v>0</v>
      </c>
      <c r="BZ89" s="109" t="n">
        <f aca="false">BY89-BY90</f>
        <v>0</v>
      </c>
      <c r="CA89" s="109" t="n">
        <f aca="false">BZ89-BZ90</f>
        <v>0</v>
      </c>
      <c r="CB89" s="109" t="n">
        <f aca="false">CA89-CA90</f>
        <v>0</v>
      </c>
      <c r="CC89" s="109" t="n">
        <f aca="false">CB89-CB90</f>
        <v>0</v>
      </c>
      <c r="CD89" s="109" t="n">
        <f aca="false">CC89-CC90</f>
        <v>0</v>
      </c>
      <c r="CE89" s="109" t="n">
        <f aca="false">CD89-CD90</f>
        <v>0</v>
      </c>
      <c r="CF89" s="109" t="n">
        <f aca="false">CE89-CE90</f>
        <v>0</v>
      </c>
      <c r="CG89" s="109" t="n">
        <f aca="false">CF89-CF90</f>
        <v>0</v>
      </c>
      <c r="CH89" s="109" t="n">
        <f aca="false">CG89-CG90</f>
        <v>0</v>
      </c>
    </row>
    <row r="90" customFormat="false" ht="13.5" hidden="false" customHeight="true" outlineLevel="0" collapsed="false">
      <c r="A90" s="6" t="s">
        <v>591</v>
      </c>
      <c r="C90" s="109" t="n">
        <f aca="false">IF(1&lt;=Hipótesis!$D$97,0,IF(C89&gt;0,MIN(C89,Hipótesis!$D$93/MAX(Hipótesis!$D$96-Hipótesis!$D$97,1)),0))</f>
        <v>0</v>
      </c>
      <c r="D90" s="109" t="n">
        <f aca="false">IF(2&lt;=Hipótesis!$D$97,0,IF(D89&gt;0,MIN(D89,Hipótesis!$D$93/MAX(Hipótesis!$D$96-Hipótesis!$D$97,1)),0))</f>
        <v>0</v>
      </c>
      <c r="E90" s="109" t="n">
        <f aca="false">IF(3&lt;=Hipótesis!$D$97,0,IF(E89&gt;0,MIN(E89,Hipótesis!$D$93/MAX(Hipótesis!$D$96-Hipótesis!$D$97,1)),0))</f>
        <v>0</v>
      </c>
      <c r="F90" s="109" t="n">
        <f aca="false">IF(4&lt;=Hipótesis!$D$97,0,IF(F89&gt;0,MIN(F89,Hipótesis!$D$93/MAX(Hipótesis!$D$96-Hipótesis!$D$97,1)),0))</f>
        <v>0</v>
      </c>
      <c r="G90" s="109" t="n">
        <f aca="false">IF(5&lt;=Hipótesis!$D$97,0,IF(G89&gt;0,MIN(G89,Hipótesis!$D$93/MAX(Hipótesis!$D$96-Hipótesis!$D$97,1)),0))</f>
        <v>0</v>
      </c>
      <c r="H90" s="109" t="n">
        <f aca="false">IF(6&lt;=Hipótesis!$D$97,0,IF(H89&gt;0,MIN(H89,Hipótesis!$D$93/MAX(Hipótesis!$D$96-Hipótesis!$D$97,1)),0))</f>
        <v>0</v>
      </c>
      <c r="I90" s="109" t="n">
        <f aca="false">IF(7&lt;=Hipótesis!$D$97,0,IF(I89&gt;0,MIN(I89,Hipótesis!$D$93/MAX(Hipótesis!$D$96-Hipótesis!$D$97,1)),0))</f>
        <v>0</v>
      </c>
      <c r="J90" s="109" t="n">
        <f aca="false">IF(8&lt;=Hipótesis!$D$97,0,IF(J89&gt;0,MIN(J89,Hipótesis!$D$93/MAX(Hipótesis!$D$96-Hipótesis!$D$97,1)),0))</f>
        <v>0</v>
      </c>
      <c r="K90" s="109" t="n">
        <f aca="false">IF(9&lt;=Hipótesis!$D$97,0,IF(K89&gt;0,MIN(K89,Hipótesis!$D$93/MAX(Hipótesis!$D$96-Hipótesis!$D$97,1)),0))</f>
        <v>0</v>
      </c>
      <c r="L90" s="109" t="n">
        <f aca="false">IF(10&lt;=Hipótesis!$D$97,0,IF(L89&gt;0,MIN(L89,Hipótesis!$D$93/MAX(Hipótesis!$D$96-Hipótesis!$D$97,1)),0))</f>
        <v>0</v>
      </c>
      <c r="M90" s="109" t="n">
        <f aca="false">IF(11&lt;=Hipótesis!$D$97,0,IF(M89&gt;0,MIN(M89,Hipótesis!$D$93/MAX(Hipótesis!$D$96-Hipótesis!$D$97,1)),0))</f>
        <v>0</v>
      </c>
      <c r="N90" s="109" t="n">
        <f aca="false">IF(12&lt;=Hipótesis!$D$97,0,IF(N89&gt;0,MIN(N89,Hipótesis!$D$93/MAX(Hipótesis!$D$96-Hipótesis!$D$97,1)),0))</f>
        <v>0</v>
      </c>
      <c r="O90" s="109" t="n">
        <f aca="false">IF(13&lt;=Hipótesis!$D$97,0,IF(O89&gt;0,MIN(O89,Hipótesis!$D$93/MAX(Hipótesis!$D$96-Hipótesis!$D$97,1)),0))</f>
        <v>0</v>
      </c>
      <c r="P90" s="109" t="n">
        <f aca="false">IF(14&lt;=Hipótesis!$D$97,0,IF(P89&gt;0,MIN(P89,Hipótesis!$D$93/MAX(Hipótesis!$D$96-Hipótesis!$D$97,1)),0))</f>
        <v>0</v>
      </c>
      <c r="Q90" s="109" t="n">
        <f aca="false">IF(15&lt;=Hipótesis!$D$97,0,IF(Q89&gt;0,MIN(Q89,Hipótesis!$D$93/MAX(Hipótesis!$D$96-Hipótesis!$D$97,1)),0))</f>
        <v>0</v>
      </c>
      <c r="R90" s="109" t="n">
        <f aca="false">IF(16&lt;=Hipótesis!$D$97,0,IF(R89&gt;0,MIN(R89,Hipótesis!$D$93/MAX(Hipótesis!$D$96-Hipótesis!$D$97,1)),0))</f>
        <v>0</v>
      </c>
      <c r="S90" s="109" t="n">
        <f aca="false">IF(17&lt;=Hipótesis!$D$97,0,IF(S89&gt;0,MIN(S89,Hipótesis!$D$93/MAX(Hipótesis!$D$96-Hipótesis!$D$97,1)),0))</f>
        <v>0</v>
      </c>
      <c r="T90" s="109" t="n">
        <f aca="false">IF(18&lt;=Hipótesis!$D$97,0,IF(T89&gt;0,MIN(T89,Hipótesis!$D$93/MAX(Hipótesis!$D$96-Hipótesis!$D$97,1)),0))</f>
        <v>0</v>
      </c>
      <c r="U90" s="109" t="n">
        <f aca="false">IF(19&lt;=Hipótesis!$D$97,0,IF(U89&gt;0,MIN(U89,Hipótesis!$D$93/MAX(Hipótesis!$D$96-Hipótesis!$D$97,1)),0))</f>
        <v>0</v>
      </c>
      <c r="V90" s="109" t="n">
        <f aca="false">IF(20&lt;=Hipótesis!$D$97,0,IF(V89&gt;0,MIN(V89,Hipótesis!$D$93/MAX(Hipótesis!$D$96-Hipótesis!$D$97,1)),0))</f>
        <v>0</v>
      </c>
      <c r="W90" s="109" t="n">
        <f aca="false">IF(21&lt;=Hipótesis!$D$97,0,IF(W89&gt;0,MIN(W89,Hipótesis!$D$93/MAX(Hipótesis!$D$96-Hipótesis!$D$97,1)),0))</f>
        <v>0</v>
      </c>
      <c r="X90" s="109" t="n">
        <f aca="false">IF(22&lt;=Hipótesis!$D$97,0,IF(X89&gt;0,MIN(X89,Hipótesis!$D$93/MAX(Hipótesis!$D$96-Hipótesis!$D$97,1)),0))</f>
        <v>0</v>
      </c>
      <c r="Y90" s="109" t="n">
        <f aca="false">IF(23&lt;=Hipótesis!$D$97,0,IF(Y89&gt;0,MIN(Y89,Hipótesis!$D$93/MAX(Hipótesis!$D$96-Hipótesis!$D$97,1)),0))</f>
        <v>0</v>
      </c>
      <c r="Z90" s="109" t="n">
        <f aca="false">IF(24&lt;=Hipótesis!$D$97,0,IF(Z89&gt;0,MIN(Z89,Hipótesis!$D$93/MAX(Hipótesis!$D$96-Hipótesis!$D$97,1)),0))</f>
        <v>0</v>
      </c>
      <c r="AA90" s="109" t="n">
        <f aca="false">IF(25&lt;=Hipótesis!$D$97,0,IF(AA89&gt;0,MIN(AA89,Hipótesis!$D$93/MAX(Hipótesis!$D$96-Hipótesis!$D$97,1)),0))</f>
        <v>0</v>
      </c>
      <c r="AB90" s="109" t="n">
        <f aca="false">IF(26&lt;=Hipótesis!$D$97,0,IF(AB89&gt;0,MIN(AB89,Hipótesis!$D$93/MAX(Hipótesis!$D$96-Hipótesis!$D$97,1)),0))</f>
        <v>0</v>
      </c>
      <c r="AC90" s="109" t="n">
        <f aca="false">IF(27&lt;=Hipótesis!$D$97,0,IF(AC89&gt;0,MIN(AC89,Hipótesis!$D$93/MAX(Hipótesis!$D$96-Hipótesis!$D$97,1)),0))</f>
        <v>0</v>
      </c>
      <c r="AD90" s="109" t="n">
        <f aca="false">IF(28&lt;=Hipótesis!$D$97,0,IF(AD89&gt;0,MIN(AD89,Hipótesis!$D$93/MAX(Hipótesis!$D$96-Hipótesis!$D$97,1)),0))</f>
        <v>0</v>
      </c>
      <c r="AE90" s="109" t="n">
        <f aca="false">IF(29&lt;=Hipótesis!$D$97,0,IF(AE89&gt;0,MIN(AE89,Hipótesis!$D$93/MAX(Hipótesis!$D$96-Hipótesis!$D$97,1)),0))</f>
        <v>0</v>
      </c>
      <c r="AF90" s="109" t="n">
        <f aca="false">IF(30&lt;=Hipótesis!$D$97,0,IF(AF89&gt;0,MIN(AF89,Hipótesis!$D$93/MAX(Hipótesis!$D$96-Hipótesis!$D$97,1)),0))</f>
        <v>0</v>
      </c>
      <c r="AG90" s="109" t="n">
        <f aca="false">IF(31&lt;=Hipótesis!$D$97,0,IF(AG89&gt;0,MIN(AG89,Hipótesis!$D$93/MAX(Hipótesis!$D$96-Hipótesis!$D$97,1)),0))</f>
        <v>0</v>
      </c>
      <c r="AH90" s="109" t="n">
        <f aca="false">IF(32&lt;=Hipótesis!$D$97,0,IF(AH89&gt;0,MIN(AH89,Hipótesis!$D$93/MAX(Hipótesis!$D$96-Hipótesis!$D$97,1)),0))</f>
        <v>0</v>
      </c>
      <c r="AI90" s="109" t="n">
        <f aca="false">IF(33&lt;=Hipótesis!$D$97,0,IF(AI89&gt;0,MIN(AI89,Hipótesis!$D$93/MAX(Hipótesis!$D$96-Hipótesis!$D$97,1)),0))</f>
        <v>0</v>
      </c>
      <c r="AJ90" s="109" t="n">
        <f aca="false">IF(34&lt;=Hipótesis!$D$97,0,IF(AJ89&gt;0,MIN(AJ89,Hipótesis!$D$93/MAX(Hipótesis!$D$96-Hipótesis!$D$97,1)),0))</f>
        <v>0</v>
      </c>
      <c r="AK90" s="109" t="n">
        <f aca="false">IF(35&lt;=Hipótesis!$D$97,0,IF(AK89&gt;0,MIN(AK89,Hipótesis!$D$93/MAX(Hipótesis!$D$96-Hipótesis!$D$97,1)),0))</f>
        <v>0</v>
      </c>
      <c r="AL90" s="109" t="n">
        <f aca="false">IF(36&lt;=Hipótesis!$D$97,0,IF(AL89&gt;0,MIN(AL89,Hipótesis!$D$93/MAX(Hipótesis!$D$96-Hipótesis!$D$97,1)),0))</f>
        <v>0</v>
      </c>
      <c r="AM90" s="109" t="n">
        <f aca="false">IF(37&lt;=Hipótesis!$D$97,0,IF(AM89&gt;0,MIN(AM89,Hipótesis!$D$93/MAX(Hipótesis!$D$96-Hipótesis!$D$97,1)),0))</f>
        <v>0</v>
      </c>
      <c r="AN90" s="109" t="n">
        <f aca="false">IF(38&lt;=Hipótesis!$D$97,0,IF(AN89&gt;0,MIN(AN89,Hipótesis!$D$93/MAX(Hipótesis!$D$96-Hipótesis!$D$97,1)),0))</f>
        <v>0</v>
      </c>
      <c r="AO90" s="109" t="n">
        <f aca="false">IF(39&lt;=Hipótesis!$D$97,0,IF(AO89&gt;0,MIN(AO89,Hipótesis!$D$93/MAX(Hipótesis!$D$96-Hipótesis!$D$97,1)),0))</f>
        <v>0</v>
      </c>
      <c r="AP90" s="109" t="n">
        <f aca="false">IF(40&lt;=Hipótesis!$D$97,0,IF(AP89&gt;0,MIN(AP89,Hipótesis!$D$93/MAX(Hipótesis!$D$96-Hipótesis!$D$97,1)),0))</f>
        <v>0</v>
      </c>
      <c r="AQ90" s="109" t="n">
        <f aca="false">IF(41&lt;=Hipótesis!$D$97,0,IF(AQ89&gt;0,MIN(AQ89,Hipótesis!$D$93/MAX(Hipótesis!$D$96-Hipótesis!$D$97,1)),0))</f>
        <v>0</v>
      </c>
      <c r="AR90" s="109" t="n">
        <f aca="false">IF(42&lt;=Hipótesis!$D$97,0,IF(AR89&gt;0,MIN(AR89,Hipótesis!$D$93/MAX(Hipótesis!$D$96-Hipótesis!$D$97,1)),0))</f>
        <v>0</v>
      </c>
      <c r="AS90" s="109" t="n">
        <f aca="false">IF(43&lt;=Hipótesis!$D$97,0,IF(AS89&gt;0,MIN(AS89,Hipótesis!$D$93/MAX(Hipótesis!$D$96-Hipótesis!$D$97,1)),0))</f>
        <v>0</v>
      </c>
      <c r="AT90" s="109" t="n">
        <f aca="false">IF(44&lt;=Hipótesis!$D$97,0,IF(AT89&gt;0,MIN(AT89,Hipótesis!$D$93/MAX(Hipótesis!$D$96-Hipótesis!$D$97,1)),0))</f>
        <v>0</v>
      </c>
      <c r="AU90" s="109" t="n">
        <f aca="false">IF(45&lt;=Hipótesis!$D$97,0,IF(AU89&gt;0,MIN(AU89,Hipótesis!$D$93/MAX(Hipótesis!$D$96-Hipótesis!$D$97,1)),0))</f>
        <v>0</v>
      </c>
      <c r="AV90" s="109" t="n">
        <f aca="false">IF(46&lt;=Hipótesis!$D$97,0,IF(AV89&gt;0,MIN(AV89,Hipótesis!$D$93/MAX(Hipótesis!$D$96-Hipótesis!$D$97,1)),0))</f>
        <v>0</v>
      </c>
      <c r="AW90" s="109" t="n">
        <f aca="false">IF(47&lt;=Hipótesis!$D$97,0,IF(AW89&gt;0,MIN(AW89,Hipótesis!$D$93/MAX(Hipótesis!$D$96-Hipótesis!$D$97,1)),0))</f>
        <v>0</v>
      </c>
      <c r="AX90" s="109" t="n">
        <f aca="false">IF(48&lt;=Hipótesis!$D$97,0,IF(AX89&gt;0,MIN(AX89,Hipótesis!$D$93/MAX(Hipótesis!$D$96-Hipótesis!$D$97,1)),0))</f>
        <v>0</v>
      </c>
      <c r="AY90" s="109" t="n">
        <f aca="false">IF(49&lt;=Hipótesis!$D$97,0,IF(AY89&gt;0,MIN(AY89,Hipótesis!$D$93/MAX(Hipótesis!$D$96-Hipótesis!$D$97,1)),0))</f>
        <v>0</v>
      </c>
      <c r="AZ90" s="109" t="n">
        <f aca="false">IF(50&lt;=Hipótesis!$D$97,0,IF(AZ89&gt;0,MIN(AZ89,Hipótesis!$D$93/MAX(Hipótesis!$D$96-Hipótesis!$D$97,1)),0))</f>
        <v>0</v>
      </c>
      <c r="BA90" s="109" t="n">
        <f aca="false">IF(51&lt;=Hipótesis!$D$97,0,IF(BA89&gt;0,MIN(BA89,Hipótesis!$D$93/MAX(Hipótesis!$D$96-Hipótesis!$D$97,1)),0))</f>
        <v>0</v>
      </c>
      <c r="BB90" s="109" t="n">
        <f aca="false">IF(52&lt;=Hipótesis!$D$97,0,IF(BB89&gt;0,MIN(BB89,Hipótesis!$D$93/MAX(Hipótesis!$D$96-Hipótesis!$D$97,1)),0))</f>
        <v>0</v>
      </c>
      <c r="BC90" s="109" t="n">
        <f aca="false">IF(53&lt;=Hipótesis!$D$97,0,IF(BC89&gt;0,MIN(BC89,Hipótesis!$D$93/MAX(Hipótesis!$D$96-Hipótesis!$D$97,1)),0))</f>
        <v>0</v>
      </c>
      <c r="BD90" s="109" t="n">
        <f aca="false">IF(54&lt;=Hipótesis!$D$97,0,IF(BD89&gt;0,MIN(BD89,Hipótesis!$D$93/MAX(Hipótesis!$D$96-Hipótesis!$D$97,1)),0))</f>
        <v>0</v>
      </c>
      <c r="BE90" s="109" t="n">
        <f aca="false">IF(55&lt;=Hipótesis!$D$97,0,IF(BE89&gt;0,MIN(BE89,Hipótesis!$D$93/MAX(Hipótesis!$D$96-Hipótesis!$D$97,1)),0))</f>
        <v>0</v>
      </c>
      <c r="BF90" s="109" t="n">
        <f aca="false">IF(56&lt;=Hipótesis!$D$97,0,IF(BF89&gt;0,MIN(BF89,Hipótesis!$D$93/MAX(Hipótesis!$D$96-Hipótesis!$D$97,1)),0))</f>
        <v>0</v>
      </c>
      <c r="BG90" s="109" t="n">
        <f aca="false">IF(57&lt;=Hipótesis!$D$97,0,IF(BG89&gt;0,MIN(BG89,Hipótesis!$D$93/MAX(Hipótesis!$D$96-Hipótesis!$D$97,1)),0))</f>
        <v>0</v>
      </c>
      <c r="BH90" s="109" t="n">
        <f aca="false">IF(58&lt;=Hipótesis!$D$97,0,IF(BH89&gt;0,MIN(BH89,Hipótesis!$D$93/MAX(Hipótesis!$D$96-Hipótesis!$D$97,1)),0))</f>
        <v>0</v>
      </c>
      <c r="BI90" s="109" t="n">
        <f aca="false">IF(59&lt;=Hipótesis!$D$97,0,IF(BI89&gt;0,MIN(BI89,Hipótesis!$D$93/MAX(Hipótesis!$D$96-Hipótesis!$D$97,1)),0))</f>
        <v>0</v>
      </c>
      <c r="BJ90" s="109" t="n">
        <f aca="false">IF(60&lt;=Hipótesis!$D$97,0,IF(BJ89&gt;0,MIN(BJ89,Hipótesis!$D$93/MAX(Hipótesis!$D$96-Hipótesis!$D$97,1)),0))</f>
        <v>0</v>
      </c>
      <c r="BK90" s="109" t="n">
        <f aca="false">IF(61&lt;=Hipótesis!$D$97,0,IF(BK89&gt;0,MIN(BK89,Hipótesis!$D$93/MAX(Hipótesis!$D$96-Hipótesis!$D$97,1)),0))</f>
        <v>0</v>
      </c>
      <c r="BL90" s="109" t="n">
        <f aca="false">IF(62&lt;=Hipótesis!$D$97,0,IF(BL89&gt;0,MIN(BL89,Hipótesis!$D$93/MAX(Hipótesis!$D$96-Hipótesis!$D$97,1)),0))</f>
        <v>0</v>
      </c>
      <c r="BM90" s="109" t="n">
        <f aca="false">IF(63&lt;=Hipótesis!$D$97,0,IF(BM89&gt;0,MIN(BM89,Hipótesis!$D$93/MAX(Hipótesis!$D$96-Hipótesis!$D$97,1)),0))</f>
        <v>0</v>
      </c>
      <c r="BN90" s="109" t="n">
        <f aca="false">IF(64&lt;=Hipótesis!$D$97,0,IF(BN89&gt;0,MIN(BN89,Hipótesis!$D$93/MAX(Hipótesis!$D$96-Hipótesis!$D$97,1)),0))</f>
        <v>0</v>
      </c>
      <c r="BO90" s="109" t="n">
        <f aca="false">IF(65&lt;=Hipótesis!$D$97,0,IF(BO89&gt;0,MIN(BO89,Hipótesis!$D$93/MAX(Hipótesis!$D$96-Hipótesis!$D$97,1)),0))</f>
        <v>0</v>
      </c>
      <c r="BP90" s="109" t="n">
        <f aca="false">IF(66&lt;=Hipótesis!$D$97,0,IF(BP89&gt;0,MIN(BP89,Hipótesis!$D$93/MAX(Hipótesis!$D$96-Hipótesis!$D$97,1)),0))</f>
        <v>0</v>
      </c>
      <c r="BQ90" s="109" t="n">
        <f aca="false">IF(67&lt;=Hipótesis!$D$97,0,IF(BQ89&gt;0,MIN(BQ89,Hipótesis!$D$93/MAX(Hipótesis!$D$96-Hipótesis!$D$97,1)),0))</f>
        <v>0</v>
      </c>
      <c r="BR90" s="109" t="n">
        <f aca="false">IF(68&lt;=Hipótesis!$D$97,0,IF(BR89&gt;0,MIN(BR89,Hipótesis!$D$93/MAX(Hipótesis!$D$96-Hipótesis!$D$97,1)),0))</f>
        <v>0</v>
      </c>
      <c r="BS90" s="109" t="n">
        <f aca="false">IF(69&lt;=Hipótesis!$D$97,0,IF(BS89&gt;0,MIN(BS89,Hipótesis!$D$93/MAX(Hipótesis!$D$96-Hipótesis!$D$97,1)),0))</f>
        <v>0</v>
      </c>
      <c r="BT90" s="109" t="n">
        <f aca="false">IF(70&lt;=Hipótesis!$D$97,0,IF(BT89&gt;0,MIN(BT89,Hipótesis!$D$93/MAX(Hipótesis!$D$96-Hipótesis!$D$97,1)),0))</f>
        <v>0</v>
      </c>
      <c r="BU90" s="109" t="n">
        <f aca="false">IF(71&lt;=Hipótesis!$D$97,0,IF(BU89&gt;0,MIN(BU89,Hipótesis!$D$93/MAX(Hipótesis!$D$96-Hipótesis!$D$97,1)),0))</f>
        <v>0</v>
      </c>
      <c r="BV90" s="109" t="n">
        <f aca="false">IF(72&lt;=Hipótesis!$D$97,0,IF(BV89&gt;0,MIN(BV89,Hipótesis!$D$93/MAX(Hipótesis!$D$96-Hipótesis!$D$97,1)),0))</f>
        <v>0</v>
      </c>
      <c r="BW90" s="109" t="n">
        <f aca="false">IF(73&lt;=Hipótesis!$D$97,0,IF(BW89&gt;0,MIN(BW89,Hipótesis!$D$93/MAX(Hipótesis!$D$96-Hipótesis!$D$97,1)),0))</f>
        <v>0</v>
      </c>
      <c r="BX90" s="109" t="n">
        <f aca="false">IF(74&lt;=Hipótesis!$D$97,0,IF(BX89&gt;0,MIN(BX89,Hipótesis!$D$93/MAX(Hipótesis!$D$96-Hipótesis!$D$97,1)),0))</f>
        <v>0</v>
      </c>
      <c r="BY90" s="109" t="n">
        <f aca="false">IF(75&lt;=Hipótesis!$D$97,0,IF(BY89&gt;0,MIN(BY89,Hipótesis!$D$93/MAX(Hipótesis!$D$96-Hipótesis!$D$97,1)),0))</f>
        <v>0</v>
      </c>
      <c r="BZ90" s="109" t="n">
        <f aca="false">IF(76&lt;=Hipótesis!$D$97,0,IF(BZ89&gt;0,MIN(BZ89,Hipótesis!$D$93/MAX(Hipótesis!$D$96-Hipótesis!$D$97,1)),0))</f>
        <v>0</v>
      </c>
      <c r="CA90" s="109" t="n">
        <f aca="false">IF(77&lt;=Hipótesis!$D$97,0,IF(CA89&gt;0,MIN(CA89,Hipótesis!$D$93/MAX(Hipótesis!$D$96-Hipótesis!$D$97,1)),0))</f>
        <v>0</v>
      </c>
      <c r="CB90" s="109" t="n">
        <f aca="false">IF(78&lt;=Hipótesis!$D$97,0,IF(CB89&gt;0,MIN(CB89,Hipótesis!$D$93/MAX(Hipótesis!$D$96-Hipótesis!$D$97,1)),0))</f>
        <v>0</v>
      </c>
      <c r="CC90" s="109" t="n">
        <f aca="false">IF(79&lt;=Hipótesis!$D$97,0,IF(CC89&gt;0,MIN(CC89,Hipótesis!$D$93/MAX(Hipótesis!$D$96-Hipótesis!$D$97,1)),0))</f>
        <v>0</v>
      </c>
      <c r="CD90" s="109" t="n">
        <f aca="false">IF(80&lt;=Hipótesis!$D$97,0,IF(CD89&gt;0,MIN(CD89,Hipótesis!$D$93/MAX(Hipótesis!$D$96-Hipótesis!$D$97,1)),0))</f>
        <v>0</v>
      </c>
      <c r="CE90" s="109" t="n">
        <f aca="false">IF(81&lt;=Hipótesis!$D$97,0,IF(CE89&gt;0,MIN(CE89,Hipótesis!$D$93/MAX(Hipótesis!$D$96-Hipótesis!$D$97,1)),0))</f>
        <v>0</v>
      </c>
      <c r="CF90" s="109" t="n">
        <f aca="false">IF(82&lt;=Hipótesis!$D$97,0,IF(CF89&gt;0,MIN(CF89,Hipótesis!$D$93/MAX(Hipótesis!$D$96-Hipótesis!$D$97,1)),0))</f>
        <v>0</v>
      </c>
      <c r="CG90" s="109" t="n">
        <f aca="false">IF(83&lt;=Hipótesis!$D$97,0,IF(CG89&gt;0,MIN(CG89,Hipótesis!$D$93/MAX(Hipótesis!$D$96-Hipótesis!$D$97,1)),0))</f>
        <v>0</v>
      </c>
      <c r="CH90" s="109" t="n">
        <f aca="false">IF(84&lt;=Hipótesis!$D$97,0,IF(CH89&gt;0,MIN(CH89,Hipótesis!$D$93/MAX(Hipótesis!$D$96-Hipótesis!$D$97,1)),0))</f>
        <v>0</v>
      </c>
    </row>
    <row r="91" customFormat="false" ht="13.5" hidden="false" customHeight="true" outlineLevel="0" collapsed="false">
      <c r="A91" s="6" t="s">
        <v>592</v>
      </c>
      <c r="C91" s="109" t="n">
        <f aca="false">C89*Hipótesis!$D$95/12</f>
        <v>0</v>
      </c>
      <c r="D91" s="109" t="n">
        <f aca="false">D89*Hipótesis!$D$95/12</f>
        <v>0</v>
      </c>
      <c r="E91" s="109" t="n">
        <f aca="false">E89*Hipótesis!$D$95/12</f>
        <v>0</v>
      </c>
      <c r="F91" s="109" t="n">
        <f aca="false">F89*Hipótesis!$D$95/12</f>
        <v>0</v>
      </c>
      <c r="G91" s="109" t="n">
        <f aca="false">G89*Hipótesis!$D$95/12</f>
        <v>0</v>
      </c>
      <c r="H91" s="109" t="n">
        <f aca="false">H89*Hipótesis!$D$95/12</f>
        <v>0</v>
      </c>
      <c r="I91" s="109" t="n">
        <f aca="false">I89*Hipótesis!$D$95/12</f>
        <v>0</v>
      </c>
      <c r="J91" s="109" t="n">
        <f aca="false">J89*Hipótesis!$D$95/12</f>
        <v>0</v>
      </c>
      <c r="K91" s="109" t="n">
        <f aca="false">K89*Hipótesis!$D$95/12</f>
        <v>0</v>
      </c>
      <c r="L91" s="109" t="n">
        <f aca="false">L89*Hipótesis!$D$95/12</f>
        <v>0</v>
      </c>
      <c r="M91" s="109" t="n">
        <f aca="false">M89*Hipótesis!$D$95/12</f>
        <v>0</v>
      </c>
      <c r="N91" s="109" t="n">
        <f aca="false">N89*Hipótesis!$D$95/12</f>
        <v>0</v>
      </c>
      <c r="O91" s="109" t="n">
        <f aca="false">O89*Hipótesis!$D$95/12</f>
        <v>0</v>
      </c>
      <c r="P91" s="109" t="n">
        <f aca="false">P89*Hipótesis!$D$95/12</f>
        <v>0</v>
      </c>
      <c r="Q91" s="109" t="n">
        <f aca="false">Q89*Hipótesis!$D$95/12</f>
        <v>0</v>
      </c>
      <c r="R91" s="109" t="n">
        <f aca="false">R89*Hipótesis!$D$95/12</f>
        <v>0</v>
      </c>
      <c r="S91" s="109" t="n">
        <f aca="false">S89*Hipótesis!$D$95/12</f>
        <v>0</v>
      </c>
      <c r="T91" s="109" t="n">
        <f aca="false">T89*Hipótesis!$D$95/12</f>
        <v>0</v>
      </c>
      <c r="U91" s="109" t="n">
        <f aca="false">U89*Hipótesis!$D$95/12</f>
        <v>0</v>
      </c>
      <c r="V91" s="109" t="n">
        <f aca="false">V89*Hipótesis!$D$95/12</f>
        <v>0</v>
      </c>
      <c r="W91" s="109" t="n">
        <f aca="false">W89*Hipótesis!$D$95/12</f>
        <v>0</v>
      </c>
      <c r="X91" s="109" t="n">
        <f aca="false">X89*Hipótesis!$D$95/12</f>
        <v>0</v>
      </c>
      <c r="Y91" s="109" t="n">
        <f aca="false">Y89*Hipótesis!$D$95/12</f>
        <v>0</v>
      </c>
      <c r="Z91" s="109" t="n">
        <f aca="false">Z89*Hipótesis!$D$95/12</f>
        <v>0</v>
      </c>
      <c r="AA91" s="109" t="n">
        <f aca="false">AA89*Hipótesis!$D$95/12</f>
        <v>0</v>
      </c>
      <c r="AB91" s="109" t="n">
        <f aca="false">AB89*Hipótesis!$D$95/12</f>
        <v>0</v>
      </c>
      <c r="AC91" s="109" t="n">
        <f aca="false">AC89*Hipótesis!$D$95/12</f>
        <v>0</v>
      </c>
      <c r="AD91" s="109" t="n">
        <f aca="false">AD89*Hipótesis!$D$95/12</f>
        <v>0</v>
      </c>
      <c r="AE91" s="109" t="n">
        <f aca="false">AE89*Hipótesis!$D$95/12</f>
        <v>0</v>
      </c>
      <c r="AF91" s="109" t="n">
        <f aca="false">AF89*Hipótesis!$D$95/12</f>
        <v>0</v>
      </c>
      <c r="AG91" s="109" t="n">
        <f aca="false">AG89*Hipótesis!$D$95/12</f>
        <v>0</v>
      </c>
      <c r="AH91" s="109" t="n">
        <f aca="false">AH89*Hipótesis!$D$95/12</f>
        <v>0</v>
      </c>
      <c r="AI91" s="109" t="n">
        <f aca="false">AI89*Hipótesis!$D$95/12</f>
        <v>0</v>
      </c>
      <c r="AJ91" s="109" t="n">
        <f aca="false">AJ89*Hipótesis!$D$95/12</f>
        <v>0</v>
      </c>
      <c r="AK91" s="109" t="n">
        <f aca="false">AK89*Hipótesis!$D$95/12</f>
        <v>0</v>
      </c>
      <c r="AL91" s="109" t="n">
        <f aca="false">AL89*Hipótesis!$D$95/12</f>
        <v>0</v>
      </c>
      <c r="AM91" s="109" t="n">
        <f aca="false">AM89*Hipótesis!$D$95/12</f>
        <v>0</v>
      </c>
      <c r="AN91" s="109" t="n">
        <f aca="false">AN89*Hipótesis!$D$95/12</f>
        <v>0</v>
      </c>
      <c r="AO91" s="109" t="n">
        <f aca="false">AO89*Hipótesis!$D$95/12</f>
        <v>0</v>
      </c>
      <c r="AP91" s="109" t="n">
        <f aca="false">AP89*Hipótesis!$D$95/12</f>
        <v>0</v>
      </c>
      <c r="AQ91" s="109" t="n">
        <f aca="false">AQ89*Hipótesis!$D$95/12</f>
        <v>0</v>
      </c>
      <c r="AR91" s="109" t="n">
        <f aca="false">AR89*Hipótesis!$D$95/12</f>
        <v>0</v>
      </c>
      <c r="AS91" s="109" t="n">
        <f aca="false">AS89*Hipótesis!$D$95/12</f>
        <v>0</v>
      </c>
      <c r="AT91" s="109" t="n">
        <f aca="false">AT89*Hipótesis!$D$95/12</f>
        <v>0</v>
      </c>
      <c r="AU91" s="109" t="n">
        <f aca="false">AU89*Hipótesis!$D$95/12</f>
        <v>0</v>
      </c>
      <c r="AV91" s="109" t="n">
        <f aca="false">AV89*Hipótesis!$D$95/12</f>
        <v>0</v>
      </c>
      <c r="AW91" s="109" t="n">
        <f aca="false">AW89*Hipótesis!$D$95/12</f>
        <v>0</v>
      </c>
      <c r="AX91" s="109" t="n">
        <f aca="false">AX89*Hipótesis!$D$95/12</f>
        <v>0</v>
      </c>
      <c r="AY91" s="109" t="n">
        <f aca="false">AY89*Hipótesis!$D$95/12</f>
        <v>0</v>
      </c>
      <c r="AZ91" s="109" t="n">
        <f aca="false">AZ89*Hipótesis!$D$95/12</f>
        <v>0</v>
      </c>
      <c r="BA91" s="109" t="n">
        <f aca="false">BA89*Hipótesis!$D$95/12</f>
        <v>0</v>
      </c>
      <c r="BB91" s="109" t="n">
        <f aca="false">BB89*Hipótesis!$D$95/12</f>
        <v>0</v>
      </c>
      <c r="BC91" s="109" t="n">
        <f aca="false">BC89*Hipótesis!$D$95/12</f>
        <v>0</v>
      </c>
      <c r="BD91" s="109" t="n">
        <f aca="false">BD89*Hipótesis!$D$95/12</f>
        <v>0</v>
      </c>
      <c r="BE91" s="109" t="n">
        <f aca="false">BE89*Hipótesis!$D$95/12</f>
        <v>0</v>
      </c>
      <c r="BF91" s="109" t="n">
        <f aca="false">BF89*Hipótesis!$D$95/12</f>
        <v>0</v>
      </c>
      <c r="BG91" s="109" t="n">
        <f aca="false">BG89*Hipótesis!$D$95/12</f>
        <v>0</v>
      </c>
      <c r="BH91" s="109" t="n">
        <f aca="false">BH89*Hipótesis!$D$95/12</f>
        <v>0</v>
      </c>
      <c r="BI91" s="109" t="n">
        <f aca="false">BI89*Hipótesis!$D$95/12</f>
        <v>0</v>
      </c>
      <c r="BJ91" s="109" t="n">
        <f aca="false">BJ89*Hipótesis!$D$95/12</f>
        <v>0</v>
      </c>
      <c r="BK91" s="109" t="n">
        <f aca="false">BK89*Hipótesis!$D$95/12</f>
        <v>0</v>
      </c>
      <c r="BL91" s="109" t="n">
        <f aca="false">BL89*Hipótesis!$D$95/12</f>
        <v>0</v>
      </c>
      <c r="BM91" s="109" t="n">
        <f aca="false">BM89*Hipótesis!$D$95/12</f>
        <v>0</v>
      </c>
      <c r="BN91" s="109" t="n">
        <f aca="false">BN89*Hipótesis!$D$95/12</f>
        <v>0</v>
      </c>
      <c r="BO91" s="109" t="n">
        <f aca="false">BO89*Hipótesis!$D$95/12</f>
        <v>0</v>
      </c>
      <c r="BP91" s="109" t="n">
        <f aca="false">BP89*Hipótesis!$D$95/12</f>
        <v>0</v>
      </c>
      <c r="BQ91" s="109" t="n">
        <f aca="false">BQ89*Hipótesis!$D$95/12</f>
        <v>0</v>
      </c>
      <c r="BR91" s="109" t="n">
        <f aca="false">BR89*Hipótesis!$D$95/12</f>
        <v>0</v>
      </c>
      <c r="BS91" s="109" t="n">
        <f aca="false">BS89*Hipótesis!$D$95/12</f>
        <v>0</v>
      </c>
      <c r="BT91" s="109" t="n">
        <f aca="false">BT89*Hipótesis!$D$95/12</f>
        <v>0</v>
      </c>
      <c r="BU91" s="109" t="n">
        <f aca="false">BU89*Hipótesis!$D$95/12</f>
        <v>0</v>
      </c>
      <c r="BV91" s="109" t="n">
        <f aca="false">BV89*Hipótesis!$D$95/12</f>
        <v>0</v>
      </c>
      <c r="BW91" s="109" t="n">
        <f aca="false">BW89*Hipótesis!$D$95/12</f>
        <v>0</v>
      </c>
      <c r="BX91" s="109" t="n">
        <f aca="false">BX89*Hipótesis!$D$95/12</f>
        <v>0</v>
      </c>
      <c r="BY91" s="109" t="n">
        <f aca="false">BY89*Hipótesis!$D$95/12</f>
        <v>0</v>
      </c>
      <c r="BZ91" s="109" t="n">
        <f aca="false">BZ89*Hipótesis!$D$95/12</f>
        <v>0</v>
      </c>
      <c r="CA91" s="109" t="n">
        <f aca="false">CA89*Hipótesis!$D$95/12</f>
        <v>0</v>
      </c>
      <c r="CB91" s="109" t="n">
        <f aca="false">CB89*Hipótesis!$D$95/12</f>
        <v>0</v>
      </c>
      <c r="CC91" s="109" t="n">
        <f aca="false">CC89*Hipótesis!$D$95/12</f>
        <v>0</v>
      </c>
      <c r="CD91" s="109" t="n">
        <f aca="false">CD89*Hipótesis!$D$95/12</f>
        <v>0</v>
      </c>
      <c r="CE91" s="109" t="n">
        <f aca="false">CE89*Hipótesis!$D$95/12</f>
        <v>0</v>
      </c>
      <c r="CF91" s="109" t="n">
        <f aca="false">CF89*Hipótesis!$D$95/12</f>
        <v>0</v>
      </c>
      <c r="CG91" s="109" t="n">
        <f aca="false">CG89*Hipótesis!$D$95/12</f>
        <v>0</v>
      </c>
      <c r="CH91" s="109" t="n">
        <f aca="false">CH89*Hipótesis!$D$95/12</f>
        <v>0</v>
      </c>
    </row>
    <row r="92" customFormat="false" ht="13.5" hidden="false" customHeight="true" outlineLevel="0" collapsed="false">
      <c r="A92" s="6" t="s">
        <v>593</v>
      </c>
      <c r="C92" s="109" t="n">
        <f aca="false">IF(Hipótesis!$D$94=5,0,IF(Hipótesis!$D$94=1,C90+C91,IF(Hipótesis!$D$94=2,C90+C91+IF(C89&gt;0,Hipótesis!$D$98*MAX(0,C56),0),IF(Hipótesis!$D$94=3,Hipótesis!$D$99*MAX(0,C56),Hipótesis!$D$100*C36))))</f>
        <v>0</v>
      </c>
      <c r="D92" s="109" t="n">
        <f aca="false">IF(Hipótesis!$D$94=5,0,IF(Hipótesis!$D$94=1,D90+D91,IF(Hipótesis!$D$94=2,D90+D91+IF(D89&gt;0,Hipótesis!$D$98*MAX(0,D56),0),IF(Hipótesis!$D$94=3,Hipótesis!$D$99*MAX(0,D56),Hipótesis!$D$100*D36))))</f>
        <v>0</v>
      </c>
      <c r="E92" s="109" t="n">
        <f aca="false">IF(Hipótesis!$D$94=5,0,IF(Hipótesis!$D$94=1,E90+E91,IF(Hipótesis!$D$94=2,E90+E91+IF(E89&gt;0,Hipótesis!$D$98*MAX(0,E56),0),IF(Hipótesis!$D$94=3,Hipótesis!$D$99*MAX(0,E56),Hipótesis!$D$100*E36))))</f>
        <v>0</v>
      </c>
      <c r="F92" s="109" t="n">
        <f aca="false">IF(Hipótesis!$D$94=5,0,IF(Hipótesis!$D$94=1,F90+F91,IF(Hipótesis!$D$94=2,F90+F91+IF(F89&gt;0,Hipótesis!$D$98*MAX(0,F56),0),IF(Hipótesis!$D$94=3,Hipótesis!$D$99*MAX(0,F56),Hipótesis!$D$100*F36))))</f>
        <v>0</v>
      </c>
      <c r="G92" s="109" t="n">
        <f aca="false">IF(Hipótesis!$D$94=5,0,IF(Hipótesis!$D$94=1,G90+G91,IF(Hipótesis!$D$94=2,G90+G91+IF(G89&gt;0,Hipótesis!$D$98*MAX(0,G56),0),IF(Hipótesis!$D$94=3,Hipótesis!$D$99*MAX(0,G56),Hipótesis!$D$100*G36))))</f>
        <v>0</v>
      </c>
      <c r="H92" s="109" t="n">
        <f aca="false">IF(Hipótesis!$D$94=5,0,IF(Hipótesis!$D$94=1,H90+H91,IF(Hipótesis!$D$94=2,H90+H91+IF(H89&gt;0,Hipótesis!$D$98*MAX(0,H56),0),IF(Hipótesis!$D$94=3,Hipótesis!$D$99*MAX(0,H56),Hipótesis!$D$100*H36))))</f>
        <v>0</v>
      </c>
      <c r="I92" s="109" t="n">
        <f aca="false">IF(Hipótesis!$D$94=5,0,IF(Hipótesis!$D$94=1,I90+I91,IF(Hipótesis!$D$94=2,I90+I91+IF(I89&gt;0,Hipótesis!$D$98*MAX(0,I56),0),IF(Hipótesis!$D$94=3,Hipótesis!$D$99*MAX(0,I56),Hipótesis!$D$100*I36))))</f>
        <v>0</v>
      </c>
      <c r="J92" s="109" t="n">
        <f aca="false">IF(Hipótesis!$D$94=5,0,IF(Hipótesis!$D$94=1,J90+J91,IF(Hipótesis!$D$94=2,J90+J91+IF(J89&gt;0,Hipótesis!$D$98*MAX(0,J56),0),IF(Hipótesis!$D$94=3,Hipótesis!$D$99*MAX(0,J56),Hipótesis!$D$100*J36))))</f>
        <v>0</v>
      </c>
      <c r="K92" s="109" t="n">
        <f aca="false">IF(Hipótesis!$D$94=5,0,IF(Hipótesis!$D$94=1,K90+K91,IF(Hipótesis!$D$94=2,K90+K91+IF(K89&gt;0,Hipótesis!$D$98*MAX(0,K56),0),IF(Hipótesis!$D$94=3,Hipótesis!$D$99*MAX(0,K56),Hipótesis!$D$100*K36))))</f>
        <v>0</v>
      </c>
      <c r="L92" s="109" t="n">
        <f aca="false">IF(Hipótesis!$D$94=5,0,IF(Hipótesis!$D$94=1,L90+L91,IF(Hipótesis!$D$94=2,L90+L91+IF(L89&gt;0,Hipótesis!$D$98*MAX(0,L56),0),IF(Hipótesis!$D$94=3,Hipótesis!$D$99*MAX(0,L56),Hipótesis!$D$100*L36))))</f>
        <v>0</v>
      </c>
      <c r="M92" s="109" t="n">
        <f aca="false">IF(Hipótesis!$D$94=5,0,IF(Hipótesis!$D$94=1,M90+M91,IF(Hipótesis!$D$94=2,M90+M91+IF(M89&gt;0,Hipótesis!$D$98*MAX(0,M56),0),IF(Hipótesis!$D$94=3,Hipótesis!$D$99*MAX(0,M56),Hipótesis!$D$100*M36))))</f>
        <v>0</v>
      </c>
      <c r="N92" s="109" t="n">
        <f aca="false">IF(Hipótesis!$D$94=5,0,IF(Hipótesis!$D$94=1,N90+N91,IF(Hipótesis!$D$94=2,N90+N91+IF(N89&gt;0,Hipótesis!$D$98*MAX(0,N56),0),IF(Hipótesis!$D$94=3,Hipótesis!$D$99*MAX(0,N56),Hipótesis!$D$100*N36))))</f>
        <v>0</v>
      </c>
      <c r="O92" s="109" t="n">
        <f aca="false">IF(Hipótesis!$D$94=5,0,IF(Hipótesis!$D$94=1,O90+O91,IF(Hipótesis!$D$94=2,O90+O91+IF(O89&gt;0,Hipótesis!$D$98*MAX(0,O56),0),IF(Hipótesis!$D$94=3,Hipótesis!$D$99*MAX(0,O56),Hipótesis!$D$100*O36))))</f>
        <v>0</v>
      </c>
      <c r="P92" s="109" t="n">
        <f aca="false">IF(Hipótesis!$D$94=5,0,IF(Hipótesis!$D$94=1,P90+P91,IF(Hipótesis!$D$94=2,P90+P91+IF(P89&gt;0,Hipótesis!$D$98*MAX(0,P56),0),IF(Hipótesis!$D$94=3,Hipótesis!$D$99*MAX(0,P56),Hipótesis!$D$100*P36))))</f>
        <v>0</v>
      </c>
      <c r="Q92" s="109" t="n">
        <f aca="false">IF(Hipótesis!$D$94=5,0,IF(Hipótesis!$D$94=1,Q90+Q91,IF(Hipótesis!$D$94=2,Q90+Q91+IF(Q89&gt;0,Hipótesis!$D$98*MAX(0,Q56),0),IF(Hipótesis!$D$94=3,Hipótesis!$D$99*MAX(0,Q56),Hipótesis!$D$100*Q36))))</f>
        <v>0</v>
      </c>
      <c r="R92" s="109" t="n">
        <f aca="false">IF(Hipótesis!$D$94=5,0,IF(Hipótesis!$D$94=1,R90+R91,IF(Hipótesis!$D$94=2,R90+R91+IF(R89&gt;0,Hipótesis!$D$98*MAX(0,R56),0),IF(Hipótesis!$D$94=3,Hipótesis!$D$99*MAX(0,R56),Hipótesis!$D$100*R36))))</f>
        <v>0</v>
      </c>
      <c r="S92" s="109" t="n">
        <f aca="false">IF(Hipótesis!$D$94=5,0,IF(Hipótesis!$D$94=1,S90+S91,IF(Hipótesis!$D$94=2,S90+S91+IF(S89&gt;0,Hipótesis!$D$98*MAX(0,S56),0),IF(Hipótesis!$D$94=3,Hipótesis!$D$99*MAX(0,S56),Hipótesis!$D$100*S36))))</f>
        <v>0</v>
      </c>
      <c r="T92" s="109" t="n">
        <f aca="false">IF(Hipótesis!$D$94=5,0,IF(Hipótesis!$D$94=1,T90+T91,IF(Hipótesis!$D$94=2,T90+T91+IF(T89&gt;0,Hipótesis!$D$98*MAX(0,T56),0),IF(Hipótesis!$D$94=3,Hipótesis!$D$99*MAX(0,T56),Hipótesis!$D$100*T36))))</f>
        <v>0</v>
      </c>
      <c r="U92" s="109" t="n">
        <f aca="false">IF(Hipótesis!$D$94=5,0,IF(Hipótesis!$D$94=1,U90+U91,IF(Hipótesis!$D$94=2,U90+U91+IF(U89&gt;0,Hipótesis!$D$98*MAX(0,U56),0),IF(Hipótesis!$D$94=3,Hipótesis!$D$99*MAX(0,U56),Hipótesis!$D$100*U36))))</f>
        <v>0</v>
      </c>
      <c r="V92" s="109" t="n">
        <f aca="false">IF(Hipótesis!$D$94=5,0,IF(Hipótesis!$D$94=1,V90+V91,IF(Hipótesis!$D$94=2,V90+V91+IF(V89&gt;0,Hipótesis!$D$98*MAX(0,V56),0),IF(Hipótesis!$D$94=3,Hipótesis!$D$99*MAX(0,V56),Hipótesis!$D$100*V36))))</f>
        <v>0</v>
      </c>
      <c r="W92" s="109" t="n">
        <f aca="false">IF(Hipótesis!$D$94=5,0,IF(Hipótesis!$D$94=1,W90+W91,IF(Hipótesis!$D$94=2,W90+W91+IF(W89&gt;0,Hipótesis!$D$98*MAX(0,W56),0),IF(Hipótesis!$D$94=3,Hipótesis!$D$99*MAX(0,W56),Hipótesis!$D$100*W36))))</f>
        <v>0</v>
      </c>
      <c r="X92" s="109" t="n">
        <f aca="false">IF(Hipótesis!$D$94=5,0,IF(Hipótesis!$D$94=1,X90+X91,IF(Hipótesis!$D$94=2,X90+X91+IF(X89&gt;0,Hipótesis!$D$98*MAX(0,X56),0),IF(Hipótesis!$D$94=3,Hipótesis!$D$99*MAX(0,X56),Hipótesis!$D$100*X36))))</f>
        <v>0</v>
      </c>
      <c r="Y92" s="109" t="n">
        <f aca="false">IF(Hipótesis!$D$94=5,0,IF(Hipótesis!$D$94=1,Y90+Y91,IF(Hipótesis!$D$94=2,Y90+Y91+IF(Y89&gt;0,Hipótesis!$D$98*MAX(0,Y56),0),IF(Hipótesis!$D$94=3,Hipótesis!$D$99*MAX(0,Y56),Hipótesis!$D$100*Y36))))</f>
        <v>0</v>
      </c>
      <c r="Z92" s="109" t="n">
        <f aca="false">IF(Hipótesis!$D$94=5,0,IF(Hipótesis!$D$94=1,Z90+Z91,IF(Hipótesis!$D$94=2,Z90+Z91+IF(Z89&gt;0,Hipótesis!$D$98*MAX(0,Z56),0),IF(Hipótesis!$D$94=3,Hipótesis!$D$99*MAX(0,Z56),Hipótesis!$D$100*Z36))))</f>
        <v>0</v>
      </c>
      <c r="AA92" s="109" t="n">
        <f aca="false">IF(Hipótesis!$D$94=5,0,IF(Hipótesis!$D$94=1,AA90+AA91,IF(Hipótesis!$D$94=2,AA90+AA91+IF(AA89&gt;0,Hipótesis!$D$98*MAX(0,AA56),0),IF(Hipótesis!$D$94=3,Hipótesis!$D$99*MAX(0,AA56),Hipótesis!$D$100*AA36))))</f>
        <v>0</v>
      </c>
      <c r="AB92" s="109" t="n">
        <f aca="false">IF(Hipótesis!$D$94=5,0,IF(Hipótesis!$D$94=1,AB90+AB91,IF(Hipótesis!$D$94=2,AB90+AB91+IF(AB89&gt;0,Hipótesis!$D$98*MAX(0,AB56),0),IF(Hipótesis!$D$94=3,Hipótesis!$D$99*MAX(0,AB56),Hipótesis!$D$100*AB36))))</f>
        <v>0</v>
      </c>
      <c r="AC92" s="109" t="n">
        <f aca="false">IF(Hipótesis!$D$94=5,0,IF(Hipótesis!$D$94=1,AC90+AC91,IF(Hipótesis!$D$94=2,AC90+AC91+IF(AC89&gt;0,Hipótesis!$D$98*MAX(0,AC56),0),IF(Hipótesis!$D$94=3,Hipótesis!$D$99*MAX(0,AC56),Hipótesis!$D$100*AC36))))</f>
        <v>0</v>
      </c>
      <c r="AD92" s="109" t="n">
        <f aca="false">IF(Hipótesis!$D$94=5,0,IF(Hipótesis!$D$94=1,AD90+AD91,IF(Hipótesis!$D$94=2,AD90+AD91+IF(AD89&gt;0,Hipótesis!$D$98*MAX(0,AD56),0),IF(Hipótesis!$D$94=3,Hipótesis!$D$99*MAX(0,AD56),Hipótesis!$D$100*AD36))))</f>
        <v>0</v>
      </c>
      <c r="AE92" s="109" t="n">
        <f aca="false">IF(Hipótesis!$D$94=5,0,IF(Hipótesis!$D$94=1,AE90+AE91,IF(Hipótesis!$D$94=2,AE90+AE91+IF(AE89&gt;0,Hipótesis!$D$98*MAX(0,AE56),0),IF(Hipótesis!$D$94=3,Hipótesis!$D$99*MAX(0,AE56),Hipótesis!$D$100*AE36))))</f>
        <v>0</v>
      </c>
      <c r="AF92" s="109" t="n">
        <f aca="false">IF(Hipótesis!$D$94=5,0,IF(Hipótesis!$D$94=1,AF90+AF91,IF(Hipótesis!$D$94=2,AF90+AF91+IF(AF89&gt;0,Hipótesis!$D$98*MAX(0,AF56),0),IF(Hipótesis!$D$94=3,Hipótesis!$D$99*MAX(0,AF56),Hipótesis!$D$100*AF36))))</f>
        <v>0</v>
      </c>
      <c r="AG92" s="109" t="n">
        <f aca="false">IF(Hipótesis!$D$94=5,0,IF(Hipótesis!$D$94=1,AG90+AG91,IF(Hipótesis!$D$94=2,AG90+AG91+IF(AG89&gt;0,Hipótesis!$D$98*MAX(0,AG56),0),IF(Hipótesis!$D$94=3,Hipótesis!$D$99*MAX(0,AG56),Hipótesis!$D$100*AG36))))</f>
        <v>0</v>
      </c>
      <c r="AH92" s="109" t="n">
        <f aca="false">IF(Hipótesis!$D$94=5,0,IF(Hipótesis!$D$94=1,AH90+AH91,IF(Hipótesis!$D$94=2,AH90+AH91+IF(AH89&gt;0,Hipótesis!$D$98*MAX(0,AH56),0),IF(Hipótesis!$D$94=3,Hipótesis!$D$99*MAX(0,AH56),Hipótesis!$D$100*AH36))))</f>
        <v>0</v>
      </c>
      <c r="AI92" s="109" t="n">
        <f aca="false">IF(Hipótesis!$D$94=5,0,IF(Hipótesis!$D$94=1,AI90+AI91,IF(Hipótesis!$D$94=2,AI90+AI91+IF(AI89&gt;0,Hipótesis!$D$98*MAX(0,AI56),0),IF(Hipótesis!$D$94=3,Hipótesis!$D$99*MAX(0,AI56),Hipótesis!$D$100*AI36))))</f>
        <v>0</v>
      </c>
      <c r="AJ92" s="109" t="n">
        <f aca="false">IF(Hipótesis!$D$94=5,0,IF(Hipótesis!$D$94=1,AJ90+AJ91,IF(Hipótesis!$D$94=2,AJ90+AJ91+IF(AJ89&gt;0,Hipótesis!$D$98*MAX(0,AJ56),0),IF(Hipótesis!$D$94=3,Hipótesis!$D$99*MAX(0,AJ56),Hipótesis!$D$100*AJ36))))</f>
        <v>0</v>
      </c>
      <c r="AK92" s="109" t="n">
        <f aca="false">IF(Hipótesis!$D$94=5,0,IF(Hipótesis!$D$94=1,AK90+AK91,IF(Hipótesis!$D$94=2,AK90+AK91+IF(AK89&gt;0,Hipótesis!$D$98*MAX(0,AK56),0),IF(Hipótesis!$D$94=3,Hipótesis!$D$99*MAX(0,AK56),Hipótesis!$D$100*AK36))))</f>
        <v>0</v>
      </c>
      <c r="AL92" s="109" t="n">
        <f aca="false">IF(Hipótesis!$D$94=5,0,IF(Hipótesis!$D$94=1,AL90+AL91,IF(Hipótesis!$D$94=2,AL90+AL91+IF(AL89&gt;0,Hipótesis!$D$98*MAX(0,AL56),0),IF(Hipótesis!$D$94=3,Hipótesis!$D$99*MAX(0,AL56),Hipótesis!$D$100*AL36))))</f>
        <v>0</v>
      </c>
      <c r="AM92" s="109" t="n">
        <f aca="false">IF(Hipótesis!$D$94=5,0,IF(Hipótesis!$D$94=1,AM90+AM91,IF(Hipótesis!$D$94=2,AM90+AM91+IF(AM89&gt;0,Hipótesis!$D$98*MAX(0,AM56),0),IF(Hipótesis!$D$94=3,Hipótesis!$D$99*MAX(0,AM56),Hipótesis!$D$100*AM36))))</f>
        <v>0</v>
      </c>
      <c r="AN92" s="109" t="n">
        <f aca="false">IF(Hipótesis!$D$94=5,0,IF(Hipótesis!$D$94=1,AN90+AN91,IF(Hipótesis!$D$94=2,AN90+AN91+IF(AN89&gt;0,Hipótesis!$D$98*MAX(0,AN56),0),IF(Hipótesis!$D$94=3,Hipótesis!$D$99*MAX(0,AN56),Hipótesis!$D$100*AN36))))</f>
        <v>0</v>
      </c>
      <c r="AO92" s="109" t="n">
        <f aca="false">IF(Hipótesis!$D$94=5,0,IF(Hipótesis!$D$94=1,AO90+AO91,IF(Hipótesis!$D$94=2,AO90+AO91+IF(AO89&gt;0,Hipótesis!$D$98*MAX(0,AO56),0),IF(Hipótesis!$D$94=3,Hipótesis!$D$99*MAX(0,AO56),Hipótesis!$D$100*AO36))))</f>
        <v>0</v>
      </c>
      <c r="AP92" s="109" t="n">
        <f aca="false">IF(Hipótesis!$D$94=5,0,IF(Hipótesis!$D$94=1,AP90+AP91,IF(Hipótesis!$D$94=2,AP90+AP91+IF(AP89&gt;0,Hipótesis!$D$98*MAX(0,AP56),0),IF(Hipótesis!$D$94=3,Hipótesis!$D$99*MAX(0,AP56),Hipótesis!$D$100*AP36))))</f>
        <v>0</v>
      </c>
      <c r="AQ92" s="109" t="n">
        <f aca="false">IF(Hipótesis!$D$94=5,0,IF(Hipótesis!$D$94=1,AQ90+AQ91,IF(Hipótesis!$D$94=2,AQ90+AQ91+IF(AQ89&gt;0,Hipótesis!$D$98*MAX(0,AQ56),0),IF(Hipótesis!$D$94=3,Hipótesis!$D$99*MAX(0,AQ56),Hipótesis!$D$100*AQ36))))</f>
        <v>0</v>
      </c>
      <c r="AR92" s="109" t="n">
        <f aca="false">IF(Hipótesis!$D$94=5,0,IF(Hipótesis!$D$94=1,AR90+AR91,IF(Hipótesis!$D$94=2,AR90+AR91+IF(AR89&gt;0,Hipótesis!$D$98*MAX(0,AR56),0),IF(Hipótesis!$D$94=3,Hipótesis!$D$99*MAX(0,AR56),Hipótesis!$D$100*AR36))))</f>
        <v>0</v>
      </c>
      <c r="AS92" s="109" t="n">
        <f aca="false">IF(Hipótesis!$D$94=5,0,IF(Hipótesis!$D$94=1,AS90+AS91,IF(Hipótesis!$D$94=2,AS90+AS91+IF(AS89&gt;0,Hipótesis!$D$98*MAX(0,AS56),0),IF(Hipótesis!$D$94=3,Hipótesis!$D$99*MAX(0,AS56),Hipótesis!$D$100*AS36))))</f>
        <v>0</v>
      </c>
      <c r="AT92" s="109" t="n">
        <f aca="false">IF(Hipótesis!$D$94=5,0,IF(Hipótesis!$D$94=1,AT90+AT91,IF(Hipótesis!$D$94=2,AT90+AT91+IF(AT89&gt;0,Hipótesis!$D$98*MAX(0,AT56),0),IF(Hipótesis!$D$94=3,Hipótesis!$D$99*MAX(0,AT56),Hipótesis!$D$100*AT36))))</f>
        <v>0</v>
      </c>
      <c r="AU92" s="109" t="n">
        <f aca="false">IF(Hipótesis!$D$94=5,0,IF(Hipótesis!$D$94=1,AU90+AU91,IF(Hipótesis!$D$94=2,AU90+AU91+IF(AU89&gt;0,Hipótesis!$D$98*MAX(0,AU56),0),IF(Hipótesis!$D$94=3,Hipótesis!$D$99*MAX(0,AU56),Hipótesis!$D$100*AU36))))</f>
        <v>0</v>
      </c>
      <c r="AV92" s="109" t="n">
        <f aca="false">IF(Hipótesis!$D$94=5,0,IF(Hipótesis!$D$94=1,AV90+AV91,IF(Hipótesis!$D$94=2,AV90+AV91+IF(AV89&gt;0,Hipótesis!$D$98*MAX(0,AV56),0),IF(Hipótesis!$D$94=3,Hipótesis!$D$99*MAX(0,AV56),Hipótesis!$D$100*AV36))))</f>
        <v>0</v>
      </c>
      <c r="AW92" s="109" t="n">
        <f aca="false">IF(Hipótesis!$D$94=5,0,IF(Hipótesis!$D$94=1,AW90+AW91,IF(Hipótesis!$D$94=2,AW90+AW91+IF(AW89&gt;0,Hipótesis!$D$98*MAX(0,AW56),0),IF(Hipótesis!$D$94=3,Hipótesis!$D$99*MAX(0,AW56),Hipótesis!$D$100*AW36))))</f>
        <v>0</v>
      </c>
      <c r="AX92" s="109" t="n">
        <f aca="false">IF(Hipótesis!$D$94=5,0,IF(Hipótesis!$D$94=1,AX90+AX91,IF(Hipótesis!$D$94=2,AX90+AX91+IF(AX89&gt;0,Hipótesis!$D$98*MAX(0,AX56),0),IF(Hipótesis!$D$94=3,Hipótesis!$D$99*MAX(0,AX56),Hipótesis!$D$100*AX36))))</f>
        <v>0</v>
      </c>
      <c r="AY92" s="109" t="n">
        <f aca="false">IF(Hipótesis!$D$94=5,0,IF(Hipótesis!$D$94=1,AY90+AY91,IF(Hipótesis!$D$94=2,AY90+AY91+IF(AY89&gt;0,Hipótesis!$D$98*MAX(0,AY56),0),IF(Hipótesis!$D$94=3,Hipótesis!$D$99*MAX(0,AY56),Hipótesis!$D$100*AY36))))</f>
        <v>0</v>
      </c>
      <c r="AZ92" s="109" t="n">
        <f aca="false">IF(Hipótesis!$D$94=5,0,IF(Hipótesis!$D$94=1,AZ90+AZ91,IF(Hipótesis!$D$94=2,AZ90+AZ91+IF(AZ89&gt;0,Hipótesis!$D$98*MAX(0,AZ56),0),IF(Hipótesis!$D$94=3,Hipótesis!$D$99*MAX(0,AZ56),Hipótesis!$D$100*AZ36))))</f>
        <v>0</v>
      </c>
      <c r="BA92" s="109" t="n">
        <f aca="false">IF(Hipótesis!$D$94=5,0,IF(Hipótesis!$D$94=1,BA90+BA91,IF(Hipótesis!$D$94=2,BA90+BA91+IF(BA89&gt;0,Hipótesis!$D$98*MAX(0,BA56),0),IF(Hipótesis!$D$94=3,Hipótesis!$D$99*MAX(0,BA56),Hipótesis!$D$100*BA36))))</f>
        <v>0</v>
      </c>
      <c r="BB92" s="109" t="n">
        <f aca="false">IF(Hipótesis!$D$94=5,0,IF(Hipótesis!$D$94=1,BB90+BB91,IF(Hipótesis!$D$94=2,BB90+BB91+IF(BB89&gt;0,Hipótesis!$D$98*MAX(0,BB56),0),IF(Hipótesis!$D$94=3,Hipótesis!$D$99*MAX(0,BB56),Hipótesis!$D$100*BB36))))</f>
        <v>0</v>
      </c>
      <c r="BC92" s="109" t="n">
        <f aca="false">IF(Hipótesis!$D$94=5,0,IF(Hipótesis!$D$94=1,BC90+BC91,IF(Hipótesis!$D$94=2,BC90+BC91+IF(BC89&gt;0,Hipótesis!$D$98*MAX(0,BC56),0),IF(Hipótesis!$D$94=3,Hipótesis!$D$99*MAX(0,BC56),Hipótesis!$D$100*BC36))))</f>
        <v>0</v>
      </c>
      <c r="BD92" s="109" t="n">
        <f aca="false">IF(Hipótesis!$D$94=5,0,IF(Hipótesis!$D$94=1,BD90+BD91,IF(Hipótesis!$D$94=2,BD90+BD91+IF(BD89&gt;0,Hipótesis!$D$98*MAX(0,BD56),0),IF(Hipótesis!$D$94=3,Hipótesis!$D$99*MAX(0,BD56),Hipótesis!$D$100*BD36))))</f>
        <v>0</v>
      </c>
      <c r="BE92" s="109" t="n">
        <f aca="false">IF(Hipótesis!$D$94=5,0,IF(Hipótesis!$D$94=1,BE90+BE91,IF(Hipótesis!$D$94=2,BE90+BE91+IF(BE89&gt;0,Hipótesis!$D$98*MAX(0,BE56),0),IF(Hipótesis!$D$94=3,Hipótesis!$D$99*MAX(0,BE56),Hipótesis!$D$100*BE36))))</f>
        <v>0</v>
      </c>
      <c r="BF92" s="109" t="n">
        <f aca="false">IF(Hipótesis!$D$94=5,0,IF(Hipótesis!$D$94=1,BF90+BF91,IF(Hipótesis!$D$94=2,BF90+BF91+IF(BF89&gt;0,Hipótesis!$D$98*MAX(0,BF56),0),IF(Hipótesis!$D$94=3,Hipótesis!$D$99*MAX(0,BF56),Hipótesis!$D$100*BF36))))</f>
        <v>0</v>
      </c>
      <c r="BG92" s="109" t="n">
        <f aca="false">IF(Hipótesis!$D$94=5,0,IF(Hipótesis!$D$94=1,BG90+BG91,IF(Hipótesis!$D$94=2,BG90+BG91+IF(BG89&gt;0,Hipótesis!$D$98*MAX(0,BG56),0),IF(Hipótesis!$D$94=3,Hipótesis!$D$99*MAX(0,BG56),Hipótesis!$D$100*BG36))))</f>
        <v>0</v>
      </c>
      <c r="BH92" s="109" t="n">
        <f aca="false">IF(Hipótesis!$D$94=5,0,IF(Hipótesis!$D$94=1,BH90+BH91,IF(Hipótesis!$D$94=2,BH90+BH91+IF(BH89&gt;0,Hipótesis!$D$98*MAX(0,BH56),0),IF(Hipótesis!$D$94=3,Hipótesis!$D$99*MAX(0,BH56),Hipótesis!$D$100*BH36))))</f>
        <v>0</v>
      </c>
      <c r="BI92" s="109" t="n">
        <f aca="false">IF(Hipótesis!$D$94=5,0,IF(Hipótesis!$D$94=1,BI90+BI91,IF(Hipótesis!$D$94=2,BI90+BI91+IF(BI89&gt;0,Hipótesis!$D$98*MAX(0,BI56),0),IF(Hipótesis!$D$94=3,Hipótesis!$D$99*MAX(0,BI56),Hipótesis!$D$100*BI36))))</f>
        <v>0</v>
      </c>
      <c r="BJ92" s="109" t="n">
        <f aca="false">IF(Hipótesis!$D$94=5,0,IF(Hipótesis!$D$94=1,BJ90+BJ91,IF(Hipótesis!$D$94=2,BJ90+BJ91+IF(BJ89&gt;0,Hipótesis!$D$98*MAX(0,BJ56),0),IF(Hipótesis!$D$94=3,Hipótesis!$D$99*MAX(0,BJ56),Hipótesis!$D$100*BJ36))))</f>
        <v>0</v>
      </c>
      <c r="BK92" s="109" t="n">
        <f aca="false">IF(Hipótesis!$D$94=5,0,IF(Hipótesis!$D$94=1,BK90+BK91,IF(Hipótesis!$D$94=2,BK90+BK91+IF(BK89&gt;0,Hipótesis!$D$98*MAX(0,BK56),0),IF(Hipótesis!$D$94=3,Hipótesis!$D$99*MAX(0,BK56),Hipótesis!$D$100*BK36))))</f>
        <v>0</v>
      </c>
      <c r="BL92" s="109" t="n">
        <f aca="false">IF(Hipótesis!$D$94=5,0,IF(Hipótesis!$D$94=1,BL90+BL91,IF(Hipótesis!$D$94=2,BL90+BL91+IF(BL89&gt;0,Hipótesis!$D$98*MAX(0,BL56),0),IF(Hipótesis!$D$94=3,Hipótesis!$D$99*MAX(0,BL56),Hipótesis!$D$100*BL36))))</f>
        <v>0</v>
      </c>
      <c r="BM92" s="109" t="n">
        <f aca="false">IF(Hipótesis!$D$94=5,0,IF(Hipótesis!$D$94=1,BM90+BM91,IF(Hipótesis!$D$94=2,BM90+BM91+IF(BM89&gt;0,Hipótesis!$D$98*MAX(0,BM56),0),IF(Hipótesis!$D$94=3,Hipótesis!$D$99*MAX(0,BM56),Hipótesis!$D$100*BM36))))</f>
        <v>0</v>
      </c>
      <c r="BN92" s="109" t="n">
        <f aca="false">IF(Hipótesis!$D$94=5,0,IF(Hipótesis!$D$94=1,BN90+BN91,IF(Hipótesis!$D$94=2,BN90+BN91+IF(BN89&gt;0,Hipótesis!$D$98*MAX(0,BN56),0),IF(Hipótesis!$D$94=3,Hipótesis!$D$99*MAX(0,BN56),Hipótesis!$D$100*BN36))))</f>
        <v>0</v>
      </c>
      <c r="BO92" s="109" t="n">
        <f aca="false">IF(Hipótesis!$D$94=5,0,IF(Hipótesis!$D$94=1,BO90+BO91,IF(Hipótesis!$D$94=2,BO90+BO91+IF(BO89&gt;0,Hipótesis!$D$98*MAX(0,BO56),0),IF(Hipótesis!$D$94=3,Hipótesis!$D$99*MAX(0,BO56),Hipótesis!$D$100*BO36))))</f>
        <v>0</v>
      </c>
      <c r="BP92" s="109" t="n">
        <f aca="false">IF(Hipótesis!$D$94=5,0,IF(Hipótesis!$D$94=1,BP90+BP91,IF(Hipótesis!$D$94=2,BP90+BP91+IF(BP89&gt;0,Hipótesis!$D$98*MAX(0,BP56),0),IF(Hipótesis!$D$94=3,Hipótesis!$D$99*MAX(0,BP56),Hipótesis!$D$100*BP36))))</f>
        <v>0</v>
      </c>
      <c r="BQ92" s="109" t="n">
        <f aca="false">IF(Hipótesis!$D$94=5,0,IF(Hipótesis!$D$94=1,BQ90+BQ91,IF(Hipótesis!$D$94=2,BQ90+BQ91+IF(BQ89&gt;0,Hipótesis!$D$98*MAX(0,BQ56),0),IF(Hipótesis!$D$94=3,Hipótesis!$D$99*MAX(0,BQ56),Hipótesis!$D$100*BQ36))))</f>
        <v>0</v>
      </c>
      <c r="BR92" s="109" t="n">
        <f aca="false">IF(Hipótesis!$D$94=5,0,IF(Hipótesis!$D$94=1,BR90+BR91,IF(Hipótesis!$D$94=2,BR90+BR91+IF(BR89&gt;0,Hipótesis!$D$98*MAX(0,BR56),0),IF(Hipótesis!$D$94=3,Hipótesis!$D$99*MAX(0,BR56),Hipótesis!$D$100*BR36))))</f>
        <v>0</v>
      </c>
      <c r="BS92" s="109" t="n">
        <f aca="false">IF(Hipótesis!$D$94=5,0,IF(Hipótesis!$D$94=1,BS90+BS91,IF(Hipótesis!$D$94=2,BS90+BS91+IF(BS89&gt;0,Hipótesis!$D$98*MAX(0,BS56),0),IF(Hipótesis!$D$94=3,Hipótesis!$D$99*MAX(0,BS56),Hipótesis!$D$100*BS36))))</f>
        <v>0</v>
      </c>
      <c r="BT92" s="109" t="n">
        <f aca="false">IF(Hipótesis!$D$94=5,0,IF(Hipótesis!$D$94=1,BT90+BT91,IF(Hipótesis!$D$94=2,BT90+BT91+IF(BT89&gt;0,Hipótesis!$D$98*MAX(0,BT56),0),IF(Hipótesis!$D$94=3,Hipótesis!$D$99*MAX(0,BT56),Hipótesis!$D$100*BT36))))</f>
        <v>0</v>
      </c>
      <c r="BU92" s="109" t="n">
        <f aca="false">IF(Hipótesis!$D$94=5,0,IF(Hipótesis!$D$94=1,BU90+BU91,IF(Hipótesis!$D$94=2,BU90+BU91+IF(BU89&gt;0,Hipótesis!$D$98*MAX(0,BU56),0),IF(Hipótesis!$D$94=3,Hipótesis!$D$99*MAX(0,BU56),Hipótesis!$D$100*BU36))))</f>
        <v>0</v>
      </c>
      <c r="BV92" s="109" t="n">
        <f aca="false">IF(Hipótesis!$D$94=5,0,IF(Hipótesis!$D$94=1,BV90+BV91,IF(Hipótesis!$D$94=2,BV90+BV91+IF(BV89&gt;0,Hipótesis!$D$98*MAX(0,BV56),0),IF(Hipótesis!$D$94=3,Hipótesis!$D$99*MAX(0,BV56),Hipótesis!$D$100*BV36))))</f>
        <v>0</v>
      </c>
      <c r="BW92" s="109" t="n">
        <f aca="false">IF(Hipótesis!$D$94=5,0,IF(Hipótesis!$D$94=1,BW90+BW91,IF(Hipótesis!$D$94=2,BW90+BW91+IF(BW89&gt;0,Hipótesis!$D$98*MAX(0,BW56),0),IF(Hipótesis!$D$94=3,Hipótesis!$D$99*MAX(0,BW56),Hipótesis!$D$100*BW36))))</f>
        <v>0</v>
      </c>
      <c r="BX92" s="109" t="n">
        <f aca="false">IF(Hipótesis!$D$94=5,0,IF(Hipótesis!$D$94=1,BX90+BX91,IF(Hipótesis!$D$94=2,BX90+BX91+IF(BX89&gt;0,Hipótesis!$D$98*MAX(0,BX56),0),IF(Hipótesis!$D$94=3,Hipótesis!$D$99*MAX(0,BX56),Hipótesis!$D$100*BX36))))</f>
        <v>0</v>
      </c>
      <c r="BY92" s="109" t="n">
        <f aca="false">IF(Hipótesis!$D$94=5,0,IF(Hipótesis!$D$94=1,BY90+BY91,IF(Hipótesis!$D$94=2,BY90+BY91+IF(BY89&gt;0,Hipótesis!$D$98*MAX(0,BY56),0),IF(Hipótesis!$D$94=3,Hipótesis!$D$99*MAX(0,BY56),Hipótesis!$D$100*BY36))))</f>
        <v>0</v>
      </c>
      <c r="BZ92" s="109" t="n">
        <f aca="false">IF(Hipótesis!$D$94=5,0,IF(Hipótesis!$D$94=1,BZ90+BZ91,IF(Hipótesis!$D$94=2,BZ90+BZ91+IF(BZ89&gt;0,Hipótesis!$D$98*MAX(0,BZ56),0),IF(Hipótesis!$D$94=3,Hipótesis!$D$99*MAX(0,BZ56),Hipótesis!$D$100*BZ36))))</f>
        <v>0</v>
      </c>
      <c r="CA92" s="109" t="n">
        <f aca="false">IF(Hipótesis!$D$94=5,0,IF(Hipótesis!$D$94=1,CA90+CA91,IF(Hipótesis!$D$94=2,CA90+CA91+IF(CA89&gt;0,Hipótesis!$D$98*MAX(0,CA56),0),IF(Hipótesis!$D$94=3,Hipótesis!$D$99*MAX(0,CA56),Hipótesis!$D$100*CA36))))</f>
        <v>0</v>
      </c>
      <c r="CB92" s="109" t="n">
        <f aca="false">IF(Hipótesis!$D$94=5,0,IF(Hipótesis!$D$94=1,CB90+CB91,IF(Hipótesis!$D$94=2,CB90+CB91+IF(CB89&gt;0,Hipótesis!$D$98*MAX(0,CB56),0),IF(Hipótesis!$D$94=3,Hipótesis!$D$99*MAX(0,CB56),Hipótesis!$D$100*CB36))))</f>
        <v>0</v>
      </c>
      <c r="CC92" s="109" t="n">
        <f aca="false">IF(Hipótesis!$D$94=5,0,IF(Hipótesis!$D$94=1,CC90+CC91,IF(Hipótesis!$D$94=2,CC90+CC91+IF(CC89&gt;0,Hipótesis!$D$98*MAX(0,CC56),0),IF(Hipótesis!$D$94=3,Hipótesis!$D$99*MAX(0,CC56),Hipótesis!$D$100*CC36))))</f>
        <v>0</v>
      </c>
      <c r="CD92" s="109" t="n">
        <f aca="false">IF(Hipótesis!$D$94=5,0,IF(Hipótesis!$D$94=1,CD90+CD91,IF(Hipótesis!$D$94=2,CD90+CD91+IF(CD89&gt;0,Hipótesis!$D$98*MAX(0,CD56),0),IF(Hipótesis!$D$94=3,Hipótesis!$D$99*MAX(0,CD56),Hipótesis!$D$100*CD36))))</f>
        <v>0</v>
      </c>
      <c r="CE92" s="109" t="n">
        <f aca="false">IF(Hipótesis!$D$94=5,0,IF(Hipótesis!$D$94=1,CE90+CE91,IF(Hipótesis!$D$94=2,CE90+CE91+IF(CE89&gt;0,Hipótesis!$D$98*MAX(0,CE56),0),IF(Hipótesis!$D$94=3,Hipótesis!$D$99*MAX(0,CE56),Hipótesis!$D$100*CE36))))</f>
        <v>0</v>
      </c>
      <c r="CF92" s="109" t="n">
        <f aca="false">IF(Hipótesis!$D$94=5,0,IF(Hipótesis!$D$94=1,CF90+CF91,IF(Hipótesis!$D$94=2,CF90+CF91+IF(CF89&gt;0,Hipótesis!$D$98*MAX(0,CF56),0),IF(Hipótesis!$D$94=3,Hipótesis!$D$99*MAX(0,CF56),Hipótesis!$D$100*CF36))))</f>
        <v>0</v>
      </c>
      <c r="CG92" s="109" t="n">
        <f aca="false">IF(Hipótesis!$D$94=5,0,IF(Hipótesis!$D$94=1,CG90+CG91,IF(Hipótesis!$D$94=2,CG90+CG91+IF(CG89&gt;0,Hipótesis!$D$98*MAX(0,CG56),0),IF(Hipótesis!$D$94=3,Hipótesis!$D$99*MAX(0,CG56),Hipótesis!$D$100*CG36))))</f>
        <v>0</v>
      </c>
      <c r="CH92" s="109" t="n">
        <f aca="false">IF(Hipótesis!$D$94=5,0,IF(Hipótesis!$D$94=1,CH90+CH91,IF(Hipótesis!$D$94=2,CH90+CH91+IF(CH89&gt;0,Hipótesis!$D$98*MAX(0,CH56),0),IF(Hipótesis!$D$94=3,Hipótesis!$D$99*MAX(0,CH56),Hipótesis!$D$100*CH36))))</f>
        <v>0</v>
      </c>
    </row>
    <row r="93" customFormat="false" ht="13.5" hidden="false" customHeight="true" outlineLevel="0" collapsed="false">
      <c r="A93" s="6" t="s">
        <v>594</v>
      </c>
      <c r="C93" s="109" t="n">
        <f aca="false">IF(Hipótesis!$D$94&lt;=2,C92,MIN(C92,MAX(0,Hipótesis!$D$101*Hipótesis!$D$93-0)))</f>
        <v>0</v>
      </c>
      <c r="D93" s="109" t="n">
        <f aca="false">IF(Hipótesis!$D$94&lt;=2,D92,MIN(D92,MAX(0,Hipótesis!$D$101*Hipótesis!$D$93-C94)))</f>
        <v>0</v>
      </c>
      <c r="E93" s="109" t="n">
        <f aca="false">IF(Hipótesis!$D$94&lt;=2,E92,MIN(E92,MAX(0,Hipótesis!$D$101*Hipótesis!$D$93-D94)))</f>
        <v>0</v>
      </c>
      <c r="F93" s="109" t="n">
        <f aca="false">IF(Hipótesis!$D$94&lt;=2,F92,MIN(F92,MAX(0,Hipótesis!$D$101*Hipótesis!$D$93-E94)))</f>
        <v>0</v>
      </c>
      <c r="G93" s="109" t="n">
        <f aca="false">IF(Hipótesis!$D$94&lt;=2,G92,MIN(G92,MAX(0,Hipótesis!$D$101*Hipótesis!$D$93-F94)))</f>
        <v>0</v>
      </c>
      <c r="H93" s="109" t="n">
        <f aca="false">IF(Hipótesis!$D$94&lt;=2,H92,MIN(H92,MAX(0,Hipótesis!$D$101*Hipótesis!$D$93-G94)))</f>
        <v>0</v>
      </c>
      <c r="I93" s="109" t="n">
        <f aca="false">IF(Hipótesis!$D$94&lt;=2,I92,MIN(I92,MAX(0,Hipótesis!$D$101*Hipótesis!$D$93-H94)))</f>
        <v>0</v>
      </c>
      <c r="J93" s="109" t="n">
        <f aca="false">IF(Hipótesis!$D$94&lt;=2,J92,MIN(J92,MAX(0,Hipótesis!$D$101*Hipótesis!$D$93-I94)))</f>
        <v>0</v>
      </c>
      <c r="K93" s="109" t="n">
        <f aca="false">IF(Hipótesis!$D$94&lt;=2,K92,MIN(K92,MAX(0,Hipótesis!$D$101*Hipótesis!$D$93-J94)))</f>
        <v>0</v>
      </c>
      <c r="L93" s="109" t="n">
        <f aca="false">IF(Hipótesis!$D$94&lt;=2,L92,MIN(L92,MAX(0,Hipótesis!$D$101*Hipótesis!$D$93-K94)))</f>
        <v>0</v>
      </c>
      <c r="M93" s="109" t="n">
        <f aca="false">IF(Hipótesis!$D$94&lt;=2,M92,MIN(M92,MAX(0,Hipótesis!$D$101*Hipótesis!$D$93-L94)))</f>
        <v>0</v>
      </c>
      <c r="N93" s="109" t="n">
        <f aca="false">IF(Hipótesis!$D$94&lt;=2,N92,MIN(N92,MAX(0,Hipótesis!$D$101*Hipótesis!$D$93-M94)))</f>
        <v>0</v>
      </c>
      <c r="O93" s="109" t="n">
        <f aca="false">IF(Hipótesis!$D$94&lt;=2,O92,MIN(O92,MAX(0,Hipótesis!$D$101*Hipótesis!$D$93-N94)))</f>
        <v>0</v>
      </c>
      <c r="P93" s="109" t="n">
        <f aca="false">IF(Hipótesis!$D$94&lt;=2,P92,MIN(P92,MAX(0,Hipótesis!$D$101*Hipótesis!$D$93-O94)))</f>
        <v>0</v>
      </c>
      <c r="Q93" s="109" t="n">
        <f aca="false">IF(Hipótesis!$D$94&lt;=2,Q92,MIN(Q92,MAX(0,Hipótesis!$D$101*Hipótesis!$D$93-P94)))</f>
        <v>0</v>
      </c>
      <c r="R93" s="109" t="n">
        <f aca="false">IF(Hipótesis!$D$94&lt;=2,R92,MIN(R92,MAX(0,Hipótesis!$D$101*Hipótesis!$D$93-Q94)))</f>
        <v>0</v>
      </c>
      <c r="S93" s="109" t="n">
        <f aca="false">IF(Hipótesis!$D$94&lt;=2,S92,MIN(S92,MAX(0,Hipótesis!$D$101*Hipótesis!$D$93-R94)))</f>
        <v>0</v>
      </c>
      <c r="T93" s="109" t="n">
        <f aca="false">IF(Hipótesis!$D$94&lt;=2,T92,MIN(T92,MAX(0,Hipótesis!$D$101*Hipótesis!$D$93-S94)))</f>
        <v>0</v>
      </c>
      <c r="U93" s="109" t="n">
        <f aca="false">IF(Hipótesis!$D$94&lt;=2,U92,MIN(U92,MAX(0,Hipótesis!$D$101*Hipótesis!$D$93-T94)))</f>
        <v>0</v>
      </c>
      <c r="V93" s="109" t="n">
        <f aca="false">IF(Hipótesis!$D$94&lt;=2,V92,MIN(V92,MAX(0,Hipótesis!$D$101*Hipótesis!$D$93-U94)))</f>
        <v>0</v>
      </c>
      <c r="W93" s="109" t="n">
        <f aca="false">IF(Hipótesis!$D$94&lt;=2,W92,MIN(W92,MAX(0,Hipótesis!$D$101*Hipótesis!$D$93-V94)))</f>
        <v>0</v>
      </c>
      <c r="X93" s="109" t="n">
        <f aca="false">IF(Hipótesis!$D$94&lt;=2,X92,MIN(X92,MAX(0,Hipótesis!$D$101*Hipótesis!$D$93-W94)))</f>
        <v>0</v>
      </c>
      <c r="Y93" s="109" t="n">
        <f aca="false">IF(Hipótesis!$D$94&lt;=2,Y92,MIN(Y92,MAX(0,Hipótesis!$D$101*Hipótesis!$D$93-X94)))</f>
        <v>0</v>
      </c>
      <c r="Z93" s="109" t="n">
        <f aca="false">IF(Hipótesis!$D$94&lt;=2,Z92,MIN(Z92,MAX(0,Hipótesis!$D$101*Hipótesis!$D$93-Y94)))</f>
        <v>0</v>
      </c>
      <c r="AA93" s="109" t="n">
        <f aca="false">IF(Hipótesis!$D$94&lt;=2,AA92,MIN(AA92,MAX(0,Hipótesis!$D$101*Hipótesis!$D$93-Z94)))</f>
        <v>0</v>
      </c>
      <c r="AB93" s="109" t="n">
        <f aca="false">IF(Hipótesis!$D$94&lt;=2,AB92,MIN(AB92,MAX(0,Hipótesis!$D$101*Hipótesis!$D$93-AA94)))</f>
        <v>0</v>
      </c>
      <c r="AC93" s="109" t="n">
        <f aca="false">IF(Hipótesis!$D$94&lt;=2,AC92,MIN(AC92,MAX(0,Hipótesis!$D$101*Hipótesis!$D$93-AB94)))</f>
        <v>0</v>
      </c>
      <c r="AD93" s="109" t="n">
        <f aca="false">IF(Hipótesis!$D$94&lt;=2,AD92,MIN(AD92,MAX(0,Hipótesis!$D$101*Hipótesis!$D$93-AC94)))</f>
        <v>0</v>
      </c>
      <c r="AE93" s="109" t="n">
        <f aca="false">IF(Hipótesis!$D$94&lt;=2,AE92,MIN(AE92,MAX(0,Hipótesis!$D$101*Hipótesis!$D$93-AD94)))</f>
        <v>0</v>
      </c>
      <c r="AF93" s="109" t="n">
        <f aca="false">IF(Hipótesis!$D$94&lt;=2,AF92,MIN(AF92,MAX(0,Hipótesis!$D$101*Hipótesis!$D$93-AE94)))</f>
        <v>0</v>
      </c>
      <c r="AG93" s="109" t="n">
        <f aca="false">IF(Hipótesis!$D$94&lt;=2,AG92,MIN(AG92,MAX(0,Hipótesis!$D$101*Hipótesis!$D$93-AF94)))</f>
        <v>0</v>
      </c>
      <c r="AH93" s="109" t="n">
        <f aca="false">IF(Hipótesis!$D$94&lt;=2,AH92,MIN(AH92,MAX(0,Hipótesis!$D$101*Hipótesis!$D$93-AG94)))</f>
        <v>0</v>
      </c>
      <c r="AI93" s="109" t="n">
        <f aca="false">IF(Hipótesis!$D$94&lt;=2,AI92,MIN(AI92,MAX(0,Hipótesis!$D$101*Hipótesis!$D$93-AH94)))</f>
        <v>0</v>
      </c>
      <c r="AJ93" s="109" t="n">
        <f aca="false">IF(Hipótesis!$D$94&lt;=2,AJ92,MIN(AJ92,MAX(0,Hipótesis!$D$101*Hipótesis!$D$93-AI94)))</f>
        <v>0</v>
      </c>
      <c r="AK93" s="109" t="n">
        <f aca="false">IF(Hipótesis!$D$94&lt;=2,AK92,MIN(AK92,MAX(0,Hipótesis!$D$101*Hipótesis!$D$93-AJ94)))</f>
        <v>0</v>
      </c>
      <c r="AL93" s="109" t="n">
        <f aca="false">IF(Hipótesis!$D$94&lt;=2,AL92,MIN(AL92,MAX(0,Hipótesis!$D$101*Hipótesis!$D$93-AK94)))</f>
        <v>0</v>
      </c>
      <c r="AM93" s="109" t="n">
        <f aca="false">IF(Hipótesis!$D$94&lt;=2,AM92,MIN(AM92,MAX(0,Hipótesis!$D$101*Hipótesis!$D$93-AL94)))</f>
        <v>0</v>
      </c>
      <c r="AN93" s="109" t="n">
        <f aca="false">IF(Hipótesis!$D$94&lt;=2,AN92,MIN(AN92,MAX(0,Hipótesis!$D$101*Hipótesis!$D$93-AM94)))</f>
        <v>0</v>
      </c>
      <c r="AO93" s="109" t="n">
        <f aca="false">IF(Hipótesis!$D$94&lt;=2,AO92,MIN(AO92,MAX(0,Hipótesis!$D$101*Hipótesis!$D$93-AN94)))</f>
        <v>0</v>
      </c>
      <c r="AP93" s="109" t="n">
        <f aca="false">IF(Hipótesis!$D$94&lt;=2,AP92,MIN(AP92,MAX(0,Hipótesis!$D$101*Hipótesis!$D$93-AO94)))</f>
        <v>0</v>
      </c>
      <c r="AQ93" s="109" t="n">
        <f aca="false">IF(Hipótesis!$D$94&lt;=2,AQ92,MIN(AQ92,MAX(0,Hipótesis!$D$101*Hipótesis!$D$93-AP94)))</f>
        <v>0</v>
      </c>
      <c r="AR93" s="109" t="n">
        <f aca="false">IF(Hipótesis!$D$94&lt;=2,AR92,MIN(AR92,MAX(0,Hipótesis!$D$101*Hipótesis!$D$93-AQ94)))</f>
        <v>0</v>
      </c>
      <c r="AS93" s="109" t="n">
        <f aca="false">IF(Hipótesis!$D$94&lt;=2,AS92,MIN(AS92,MAX(0,Hipótesis!$D$101*Hipótesis!$D$93-AR94)))</f>
        <v>0</v>
      </c>
      <c r="AT93" s="109" t="n">
        <f aca="false">IF(Hipótesis!$D$94&lt;=2,AT92,MIN(AT92,MAX(0,Hipótesis!$D$101*Hipótesis!$D$93-AS94)))</f>
        <v>0</v>
      </c>
      <c r="AU93" s="109" t="n">
        <f aca="false">IF(Hipótesis!$D$94&lt;=2,AU92,MIN(AU92,MAX(0,Hipótesis!$D$101*Hipótesis!$D$93-AT94)))</f>
        <v>0</v>
      </c>
      <c r="AV93" s="109" t="n">
        <f aca="false">IF(Hipótesis!$D$94&lt;=2,AV92,MIN(AV92,MAX(0,Hipótesis!$D$101*Hipótesis!$D$93-AU94)))</f>
        <v>0</v>
      </c>
      <c r="AW93" s="109" t="n">
        <f aca="false">IF(Hipótesis!$D$94&lt;=2,AW92,MIN(AW92,MAX(0,Hipótesis!$D$101*Hipótesis!$D$93-AV94)))</f>
        <v>0</v>
      </c>
      <c r="AX93" s="109" t="n">
        <f aca="false">IF(Hipótesis!$D$94&lt;=2,AX92,MIN(AX92,MAX(0,Hipótesis!$D$101*Hipótesis!$D$93-AW94)))</f>
        <v>0</v>
      </c>
      <c r="AY93" s="109" t="n">
        <f aca="false">IF(Hipótesis!$D$94&lt;=2,AY92,MIN(AY92,MAX(0,Hipótesis!$D$101*Hipótesis!$D$93-AX94)))</f>
        <v>0</v>
      </c>
      <c r="AZ93" s="109" t="n">
        <f aca="false">IF(Hipótesis!$D$94&lt;=2,AZ92,MIN(AZ92,MAX(0,Hipótesis!$D$101*Hipótesis!$D$93-AY94)))</f>
        <v>0</v>
      </c>
      <c r="BA93" s="109" t="n">
        <f aca="false">IF(Hipótesis!$D$94&lt;=2,BA92,MIN(BA92,MAX(0,Hipótesis!$D$101*Hipótesis!$D$93-AZ94)))</f>
        <v>0</v>
      </c>
      <c r="BB93" s="109" t="n">
        <f aca="false">IF(Hipótesis!$D$94&lt;=2,BB92,MIN(BB92,MAX(0,Hipótesis!$D$101*Hipótesis!$D$93-BA94)))</f>
        <v>0</v>
      </c>
      <c r="BC93" s="109" t="n">
        <f aca="false">IF(Hipótesis!$D$94&lt;=2,BC92,MIN(BC92,MAX(0,Hipótesis!$D$101*Hipótesis!$D$93-BB94)))</f>
        <v>0</v>
      </c>
      <c r="BD93" s="109" t="n">
        <f aca="false">IF(Hipótesis!$D$94&lt;=2,BD92,MIN(BD92,MAX(0,Hipótesis!$D$101*Hipótesis!$D$93-BC94)))</f>
        <v>0</v>
      </c>
      <c r="BE93" s="109" t="n">
        <f aca="false">IF(Hipótesis!$D$94&lt;=2,BE92,MIN(BE92,MAX(0,Hipótesis!$D$101*Hipótesis!$D$93-BD94)))</f>
        <v>0</v>
      </c>
      <c r="BF93" s="109" t="n">
        <f aca="false">IF(Hipótesis!$D$94&lt;=2,BF92,MIN(BF92,MAX(0,Hipótesis!$D$101*Hipótesis!$D$93-BE94)))</f>
        <v>0</v>
      </c>
      <c r="BG93" s="109" t="n">
        <f aca="false">IF(Hipótesis!$D$94&lt;=2,BG92,MIN(BG92,MAX(0,Hipótesis!$D$101*Hipótesis!$D$93-BF94)))</f>
        <v>0</v>
      </c>
      <c r="BH93" s="109" t="n">
        <f aca="false">IF(Hipótesis!$D$94&lt;=2,BH92,MIN(BH92,MAX(0,Hipótesis!$D$101*Hipótesis!$D$93-BG94)))</f>
        <v>0</v>
      </c>
      <c r="BI93" s="109" t="n">
        <f aca="false">IF(Hipótesis!$D$94&lt;=2,BI92,MIN(BI92,MAX(0,Hipótesis!$D$101*Hipótesis!$D$93-BH94)))</f>
        <v>0</v>
      </c>
      <c r="BJ93" s="109" t="n">
        <f aca="false">IF(Hipótesis!$D$94&lt;=2,BJ92,MIN(BJ92,MAX(0,Hipótesis!$D$101*Hipótesis!$D$93-BI94)))</f>
        <v>0</v>
      </c>
      <c r="BK93" s="109" t="n">
        <f aca="false">IF(Hipótesis!$D$94&lt;=2,BK92,MIN(BK92,MAX(0,Hipótesis!$D$101*Hipótesis!$D$93-BJ94)))</f>
        <v>0</v>
      </c>
      <c r="BL93" s="109" t="n">
        <f aca="false">IF(Hipótesis!$D$94&lt;=2,BL92,MIN(BL92,MAX(0,Hipótesis!$D$101*Hipótesis!$D$93-BK94)))</f>
        <v>0</v>
      </c>
      <c r="BM93" s="109" t="n">
        <f aca="false">IF(Hipótesis!$D$94&lt;=2,BM92,MIN(BM92,MAX(0,Hipótesis!$D$101*Hipótesis!$D$93-BL94)))</f>
        <v>0</v>
      </c>
      <c r="BN93" s="109" t="n">
        <f aca="false">IF(Hipótesis!$D$94&lt;=2,BN92,MIN(BN92,MAX(0,Hipótesis!$D$101*Hipótesis!$D$93-BM94)))</f>
        <v>0</v>
      </c>
      <c r="BO93" s="109" t="n">
        <f aca="false">IF(Hipótesis!$D$94&lt;=2,BO92,MIN(BO92,MAX(0,Hipótesis!$D$101*Hipótesis!$D$93-BN94)))</f>
        <v>0</v>
      </c>
      <c r="BP93" s="109" t="n">
        <f aca="false">IF(Hipótesis!$D$94&lt;=2,BP92,MIN(BP92,MAX(0,Hipótesis!$D$101*Hipótesis!$D$93-BO94)))</f>
        <v>0</v>
      </c>
      <c r="BQ93" s="109" t="n">
        <f aca="false">IF(Hipótesis!$D$94&lt;=2,BQ92,MIN(BQ92,MAX(0,Hipótesis!$D$101*Hipótesis!$D$93-BP94)))</f>
        <v>0</v>
      </c>
      <c r="BR93" s="109" t="n">
        <f aca="false">IF(Hipótesis!$D$94&lt;=2,BR92,MIN(BR92,MAX(0,Hipótesis!$D$101*Hipótesis!$D$93-BQ94)))</f>
        <v>0</v>
      </c>
      <c r="BS93" s="109" t="n">
        <f aca="false">IF(Hipótesis!$D$94&lt;=2,BS92,MIN(BS92,MAX(0,Hipótesis!$D$101*Hipótesis!$D$93-BR94)))</f>
        <v>0</v>
      </c>
      <c r="BT93" s="109" t="n">
        <f aca="false">IF(Hipótesis!$D$94&lt;=2,BT92,MIN(BT92,MAX(0,Hipótesis!$D$101*Hipótesis!$D$93-BS94)))</f>
        <v>0</v>
      </c>
      <c r="BU93" s="109" t="n">
        <f aca="false">IF(Hipótesis!$D$94&lt;=2,BU92,MIN(BU92,MAX(0,Hipótesis!$D$101*Hipótesis!$D$93-BT94)))</f>
        <v>0</v>
      </c>
      <c r="BV93" s="109" t="n">
        <f aca="false">IF(Hipótesis!$D$94&lt;=2,BV92,MIN(BV92,MAX(0,Hipótesis!$D$101*Hipótesis!$D$93-BU94)))</f>
        <v>0</v>
      </c>
      <c r="BW93" s="109" t="n">
        <f aca="false">IF(Hipótesis!$D$94&lt;=2,BW92,MIN(BW92,MAX(0,Hipótesis!$D$101*Hipótesis!$D$93-BV94)))</f>
        <v>0</v>
      </c>
      <c r="BX93" s="109" t="n">
        <f aca="false">IF(Hipótesis!$D$94&lt;=2,BX92,MIN(BX92,MAX(0,Hipótesis!$D$101*Hipótesis!$D$93-BW94)))</f>
        <v>0</v>
      </c>
      <c r="BY93" s="109" t="n">
        <f aca="false">IF(Hipótesis!$D$94&lt;=2,BY92,MIN(BY92,MAX(0,Hipótesis!$D$101*Hipótesis!$D$93-BX94)))</f>
        <v>0</v>
      </c>
      <c r="BZ93" s="109" t="n">
        <f aca="false">IF(Hipótesis!$D$94&lt;=2,BZ92,MIN(BZ92,MAX(0,Hipótesis!$D$101*Hipótesis!$D$93-BY94)))</f>
        <v>0</v>
      </c>
      <c r="CA93" s="109" t="n">
        <f aca="false">IF(Hipótesis!$D$94&lt;=2,CA92,MIN(CA92,MAX(0,Hipótesis!$D$101*Hipótesis!$D$93-BZ94)))</f>
        <v>0</v>
      </c>
      <c r="CB93" s="109" t="n">
        <f aca="false">IF(Hipótesis!$D$94&lt;=2,CB92,MIN(CB92,MAX(0,Hipótesis!$D$101*Hipótesis!$D$93-CA94)))</f>
        <v>0</v>
      </c>
      <c r="CC93" s="109" t="n">
        <f aca="false">IF(Hipótesis!$D$94&lt;=2,CC92,MIN(CC92,MAX(0,Hipótesis!$D$101*Hipótesis!$D$93-CB94)))</f>
        <v>0</v>
      </c>
      <c r="CD93" s="109" t="n">
        <f aca="false">IF(Hipótesis!$D$94&lt;=2,CD92,MIN(CD92,MAX(0,Hipótesis!$D$101*Hipótesis!$D$93-CC94)))</f>
        <v>0</v>
      </c>
      <c r="CE93" s="109" t="n">
        <f aca="false">IF(Hipótesis!$D$94&lt;=2,CE92,MIN(CE92,MAX(0,Hipótesis!$D$101*Hipótesis!$D$93-CD94)))</f>
        <v>0</v>
      </c>
      <c r="CF93" s="109" t="n">
        <f aca="false">IF(Hipótesis!$D$94&lt;=2,CF92,MIN(CF92,MAX(0,Hipótesis!$D$101*Hipótesis!$D$93-CE94)))</f>
        <v>0</v>
      </c>
      <c r="CG93" s="109" t="n">
        <f aca="false">IF(Hipótesis!$D$94&lt;=2,CG92,MIN(CG92,MAX(0,Hipótesis!$D$101*Hipótesis!$D$93-CF94)))</f>
        <v>0</v>
      </c>
      <c r="CH93" s="109" t="n">
        <f aca="false">IF(Hipótesis!$D$94&lt;=2,CH92,MIN(CH92,MAX(0,Hipótesis!$D$101*Hipótesis!$D$93-CG94)))</f>
        <v>0</v>
      </c>
    </row>
    <row r="94" customFormat="false" ht="13.5" hidden="false" customHeight="true" outlineLevel="0" collapsed="false">
      <c r="A94" s="6" t="s">
        <v>595</v>
      </c>
      <c r="C94" s="109" t="n">
        <f aca="false">C121</f>
        <v>0</v>
      </c>
      <c r="D94" s="109" t="n">
        <f aca="false">C94+D121</f>
        <v>0</v>
      </c>
      <c r="E94" s="109" t="n">
        <f aca="false">D94+E121</f>
        <v>0</v>
      </c>
      <c r="F94" s="109" t="n">
        <f aca="false">E94+F121</f>
        <v>0</v>
      </c>
      <c r="G94" s="109" t="n">
        <f aca="false">F94+G121</f>
        <v>0</v>
      </c>
      <c r="H94" s="109" t="n">
        <f aca="false">G94+H121</f>
        <v>0</v>
      </c>
      <c r="I94" s="109" t="n">
        <f aca="false">H94+I121</f>
        <v>0</v>
      </c>
      <c r="J94" s="109" t="n">
        <f aca="false">I94+J121</f>
        <v>0</v>
      </c>
      <c r="K94" s="109" t="n">
        <f aca="false">J94+K121</f>
        <v>0</v>
      </c>
      <c r="L94" s="109" t="n">
        <f aca="false">K94+L121</f>
        <v>0</v>
      </c>
      <c r="M94" s="109" t="n">
        <f aca="false">L94+M121</f>
        <v>0</v>
      </c>
      <c r="N94" s="109" t="n">
        <f aca="false">M94+N121</f>
        <v>0</v>
      </c>
      <c r="O94" s="109" t="n">
        <f aca="false">N94+O121</f>
        <v>0</v>
      </c>
      <c r="P94" s="109" t="n">
        <f aca="false">O94+P121</f>
        <v>0</v>
      </c>
      <c r="Q94" s="109" t="n">
        <f aca="false">P94+Q121</f>
        <v>0</v>
      </c>
      <c r="R94" s="109" t="n">
        <f aca="false">Q94+R121</f>
        <v>0</v>
      </c>
      <c r="S94" s="109" t="n">
        <f aca="false">R94+S121</f>
        <v>0</v>
      </c>
      <c r="T94" s="109" t="n">
        <f aca="false">S94+T121</f>
        <v>0</v>
      </c>
      <c r="U94" s="109" t="n">
        <f aca="false">T94+U121</f>
        <v>0</v>
      </c>
      <c r="V94" s="109" t="n">
        <f aca="false">U94+V121</f>
        <v>0</v>
      </c>
      <c r="W94" s="109" t="n">
        <f aca="false">V94+W121</f>
        <v>0</v>
      </c>
      <c r="X94" s="109" t="n">
        <f aca="false">W94+X121</f>
        <v>0</v>
      </c>
      <c r="Y94" s="109" t="n">
        <f aca="false">X94+Y121</f>
        <v>0</v>
      </c>
      <c r="Z94" s="109" t="n">
        <f aca="false">Y94+Z121</f>
        <v>0</v>
      </c>
      <c r="AA94" s="109" t="n">
        <f aca="false">Z94+AA121</f>
        <v>0</v>
      </c>
      <c r="AB94" s="109" t="n">
        <f aca="false">AA94+AB121</f>
        <v>0</v>
      </c>
      <c r="AC94" s="109" t="n">
        <f aca="false">AB94+AC121</f>
        <v>0</v>
      </c>
      <c r="AD94" s="109" t="n">
        <f aca="false">AC94+AD121</f>
        <v>0</v>
      </c>
      <c r="AE94" s="109" t="n">
        <f aca="false">AD94+AE121</f>
        <v>0</v>
      </c>
      <c r="AF94" s="109" t="n">
        <f aca="false">AE94+AF121</f>
        <v>0</v>
      </c>
      <c r="AG94" s="109" t="n">
        <f aca="false">AF94+AG121</f>
        <v>0</v>
      </c>
      <c r="AH94" s="109" t="n">
        <f aca="false">AG94+AH121</f>
        <v>0</v>
      </c>
      <c r="AI94" s="109" t="n">
        <f aca="false">AH94+AI121</f>
        <v>0</v>
      </c>
      <c r="AJ94" s="109" t="n">
        <f aca="false">AI94+AJ121</f>
        <v>0</v>
      </c>
      <c r="AK94" s="109" t="n">
        <f aca="false">AJ94+AK121</f>
        <v>0</v>
      </c>
      <c r="AL94" s="109" t="n">
        <f aca="false">AK94+AL121</f>
        <v>0</v>
      </c>
      <c r="AM94" s="109" t="n">
        <f aca="false">AL94+AM121</f>
        <v>0</v>
      </c>
      <c r="AN94" s="109" t="n">
        <f aca="false">AM94+AN121</f>
        <v>0</v>
      </c>
      <c r="AO94" s="109" t="n">
        <f aca="false">AN94+AO121</f>
        <v>0</v>
      </c>
      <c r="AP94" s="109" t="n">
        <f aca="false">AO94+AP121</f>
        <v>0</v>
      </c>
      <c r="AQ94" s="109" t="n">
        <f aca="false">AP94+AQ121</f>
        <v>0</v>
      </c>
      <c r="AR94" s="109" t="n">
        <f aca="false">AQ94+AR121</f>
        <v>0</v>
      </c>
      <c r="AS94" s="109" t="n">
        <f aca="false">AR94+AS121</f>
        <v>0</v>
      </c>
      <c r="AT94" s="109" t="n">
        <f aca="false">AS94+AT121</f>
        <v>0</v>
      </c>
      <c r="AU94" s="109" t="n">
        <f aca="false">AT94+AU121</f>
        <v>0</v>
      </c>
      <c r="AV94" s="109" t="n">
        <f aca="false">AU94+AV121</f>
        <v>0</v>
      </c>
      <c r="AW94" s="109" t="n">
        <f aca="false">AV94+AW121</f>
        <v>0</v>
      </c>
      <c r="AX94" s="109" t="n">
        <f aca="false">AW94+AX121</f>
        <v>150000</v>
      </c>
      <c r="AY94" s="109" t="n">
        <f aca="false">AX94+AY121</f>
        <v>150000</v>
      </c>
      <c r="AZ94" s="109" t="n">
        <f aca="false">AY94+AZ121</f>
        <v>150000</v>
      </c>
      <c r="BA94" s="109" t="n">
        <f aca="false">AZ94+BA121</f>
        <v>150000</v>
      </c>
      <c r="BB94" s="109" t="n">
        <f aca="false">BA94+BB121</f>
        <v>150000</v>
      </c>
      <c r="BC94" s="109" t="n">
        <f aca="false">BB94+BC121</f>
        <v>150000</v>
      </c>
      <c r="BD94" s="109" t="n">
        <f aca="false">BC94+BD121</f>
        <v>150000</v>
      </c>
      <c r="BE94" s="109" t="n">
        <f aca="false">BD94+BE121</f>
        <v>150000</v>
      </c>
      <c r="BF94" s="109" t="n">
        <f aca="false">BE94+BF121</f>
        <v>150000</v>
      </c>
      <c r="BG94" s="109" t="n">
        <f aca="false">BF94+BG121</f>
        <v>150000</v>
      </c>
      <c r="BH94" s="109" t="n">
        <f aca="false">BG94+BH121</f>
        <v>150000</v>
      </c>
      <c r="BI94" s="109" t="n">
        <f aca="false">BH94+BI121</f>
        <v>150000</v>
      </c>
      <c r="BJ94" s="109" t="n">
        <f aca="false">BI94+BJ121</f>
        <v>150000</v>
      </c>
      <c r="BK94" s="109" t="n">
        <f aca="false">BJ94+BK121</f>
        <v>150000</v>
      </c>
      <c r="BL94" s="109" t="n">
        <f aca="false">BK94+BL121</f>
        <v>150000</v>
      </c>
      <c r="BM94" s="109" t="n">
        <f aca="false">BL94+BM121</f>
        <v>150000</v>
      </c>
      <c r="BN94" s="109" t="n">
        <f aca="false">BM94+BN121</f>
        <v>150000</v>
      </c>
      <c r="BO94" s="109" t="n">
        <f aca="false">BN94+BO121</f>
        <v>150000</v>
      </c>
      <c r="BP94" s="109" t="n">
        <f aca="false">BO94+BP121</f>
        <v>150000</v>
      </c>
      <c r="BQ94" s="109" t="n">
        <f aca="false">BP94+BQ121</f>
        <v>150000</v>
      </c>
      <c r="BR94" s="109" t="n">
        <f aca="false">BQ94+BR121</f>
        <v>150000</v>
      </c>
      <c r="BS94" s="109" t="n">
        <f aca="false">BR94+BS121</f>
        <v>150000</v>
      </c>
      <c r="BT94" s="109" t="n">
        <f aca="false">BS94+BT121</f>
        <v>150000</v>
      </c>
      <c r="BU94" s="109" t="n">
        <f aca="false">BT94+BU121</f>
        <v>150000</v>
      </c>
      <c r="BV94" s="109" t="n">
        <f aca="false">BU94+BV121</f>
        <v>150000</v>
      </c>
      <c r="BW94" s="109" t="n">
        <f aca="false">BV94+BW121</f>
        <v>150000</v>
      </c>
      <c r="BX94" s="109" t="n">
        <f aca="false">BW94+BX121</f>
        <v>150000</v>
      </c>
      <c r="BY94" s="109" t="n">
        <f aca="false">BX94+BY121</f>
        <v>150000</v>
      </c>
      <c r="BZ94" s="109" t="n">
        <f aca="false">BY94+BZ121</f>
        <v>150000</v>
      </c>
      <c r="CA94" s="109" t="n">
        <f aca="false">BZ94+CA121</f>
        <v>150000</v>
      </c>
      <c r="CB94" s="109" t="n">
        <f aca="false">CA94+CB121</f>
        <v>150000</v>
      </c>
      <c r="CC94" s="109" t="n">
        <f aca="false">CB94+CC121</f>
        <v>150000</v>
      </c>
      <c r="CD94" s="109" t="n">
        <f aca="false">CC94+CD121</f>
        <v>150000</v>
      </c>
      <c r="CE94" s="109" t="n">
        <f aca="false">CD94+CE121</f>
        <v>150000</v>
      </c>
      <c r="CF94" s="109" t="n">
        <f aca="false">CE94+CF121</f>
        <v>150000</v>
      </c>
      <c r="CG94" s="109" t="n">
        <f aca="false">CF94+CG121</f>
        <v>150000</v>
      </c>
      <c r="CH94" s="109" t="n">
        <f aca="false">CG94+CH121</f>
        <v>150000</v>
      </c>
    </row>
    <row r="95" customFormat="false" ht="13.5" hidden="false" customHeight="true" outlineLevel="0" collapsed="false"/>
    <row r="96" customFormat="false" ht="13.5" hidden="false" customHeight="true" outlineLevel="0" collapsed="false">
      <c r="A96" s="6" t="s">
        <v>596</v>
      </c>
      <c r="C96" s="109" t="n">
        <f aca="false">Hipótesis!$D$105</f>
        <v>100000</v>
      </c>
      <c r="D96" s="109" t="n">
        <f aca="false">C96-C97</f>
        <v>100000</v>
      </c>
      <c r="E96" s="109" t="n">
        <f aca="false">D96-D97</f>
        <v>100000</v>
      </c>
      <c r="F96" s="109" t="n">
        <f aca="false">E96-E97</f>
        <v>100000</v>
      </c>
      <c r="G96" s="109" t="n">
        <f aca="false">F96-F97</f>
        <v>100000</v>
      </c>
      <c r="H96" s="109" t="n">
        <f aca="false">G96-G97</f>
        <v>100000</v>
      </c>
      <c r="I96" s="109" t="n">
        <f aca="false">H96-H97</f>
        <v>100000</v>
      </c>
      <c r="J96" s="109" t="n">
        <f aca="false">I96-I97</f>
        <v>100000</v>
      </c>
      <c r="K96" s="109" t="n">
        <f aca="false">J96-J97</f>
        <v>100000</v>
      </c>
      <c r="L96" s="109" t="n">
        <f aca="false">K96-K97</f>
        <v>100000</v>
      </c>
      <c r="M96" s="109" t="n">
        <f aca="false">L96-L97</f>
        <v>100000</v>
      </c>
      <c r="N96" s="109" t="n">
        <f aca="false">M96-M97</f>
        <v>100000</v>
      </c>
      <c r="O96" s="109" t="n">
        <f aca="false">N96-N97</f>
        <v>100000</v>
      </c>
      <c r="P96" s="109" t="n">
        <f aca="false">O96-O97</f>
        <v>100000</v>
      </c>
      <c r="Q96" s="109" t="n">
        <f aca="false">P96-P97</f>
        <v>100000</v>
      </c>
      <c r="R96" s="109" t="n">
        <f aca="false">Q96-Q97</f>
        <v>100000</v>
      </c>
      <c r="S96" s="109" t="n">
        <f aca="false">R96-R97</f>
        <v>100000</v>
      </c>
      <c r="T96" s="109" t="n">
        <f aca="false">S96-S97</f>
        <v>100000</v>
      </c>
      <c r="U96" s="109" t="n">
        <f aca="false">T96-T97</f>
        <v>100000</v>
      </c>
      <c r="V96" s="109" t="n">
        <f aca="false">U96-U97</f>
        <v>100000</v>
      </c>
      <c r="W96" s="109" t="n">
        <f aca="false">V96-V97</f>
        <v>100000</v>
      </c>
      <c r="X96" s="109" t="n">
        <f aca="false">W96-W97</f>
        <v>100000</v>
      </c>
      <c r="Y96" s="109" t="n">
        <f aca="false">X96-X97</f>
        <v>100000</v>
      </c>
      <c r="Z96" s="109" t="n">
        <f aca="false">Y96-Y97</f>
        <v>100000</v>
      </c>
      <c r="AA96" s="109" t="n">
        <f aca="false">Z96-Z97</f>
        <v>100000</v>
      </c>
      <c r="AB96" s="109" t="n">
        <f aca="false">AA96-AA97</f>
        <v>98333.3333333333</v>
      </c>
      <c r="AC96" s="109" t="n">
        <f aca="false">AB96-AB97</f>
        <v>96666.6666666667</v>
      </c>
      <c r="AD96" s="109" t="n">
        <f aca="false">AC96-AC97</f>
        <v>95000</v>
      </c>
      <c r="AE96" s="109" t="n">
        <f aca="false">AD96-AD97</f>
        <v>93333.3333333333</v>
      </c>
      <c r="AF96" s="109" t="n">
        <f aca="false">AE96-AE97</f>
        <v>91666.6666666666</v>
      </c>
      <c r="AG96" s="109" t="n">
        <f aca="false">AF96-AF97</f>
        <v>90000</v>
      </c>
      <c r="AH96" s="109" t="n">
        <f aca="false">AG96-AG97</f>
        <v>88333.3333333333</v>
      </c>
      <c r="AI96" s="109" t="n">
        <f aca="false">AH96-AH97</f>
        <v>86666.6666666666</v>
      </c>
      <c r="AJ96" s="109" t="n">
        <f aca="false">AI96-AI97</f>
        <v>85000</v>
      </c>
      <c r="AK96" s="109" t="n">
        <f aca="false">AJ96-AJ97</f>
        <v>83333.3333333333</v>
      </c>
      <c r="AL96" s="109" t="n">
        <f aca="false">AK96-AK97</f>
        <v>81666.6666666666</v>
      </c>
      <c r="AM96" s="109" t="n">
        <f aca="false">AL96-AL97</f>
        <v>79999.9999999999</v>
      </c>
      <c r="AN96" s="109" t="n">
        <f aca="false">AM96-AM97</f>
        <v>78333.3333333333</v>
      </c>
      <c r="AO96" s="109" t="n">
        <f aca="false">AN96-AN97</f>
        <v>76666.6666666666</v>
      </c>
      <c r="AP96" s="109" t="n">
        <f aca="false">AO96-AO97</f>
        <v>74999.9999999999</v>
      </c>
      <c r="AQ96" s="109" t="n">
        <f aca="false">AP96-AP97</f>
        <v>73333.3333333333</v>
      </c>
      <c r="AR96" s="109" t="n">
        <f aca="false">AQ96-AQ97</f>
        <v>71666.6666666666</v>
      </c>
      <c r="AS96" s="109" t="n">
        <f aca="false">AR96-AR97</f>
        <v>69999.9999999999</v>
      </c>
      <c r="AT96" s="109" t="n">
        <f aca="false">AS96-AS97</f>
        <v>68333.3333333332</v>
      </c>
      <c r="AU96" s="109" t="n">
        <f aca="false">AT96-AT97</f>
        <v>66666.6666666666</v>
      </c>
      <c r="AV96" s="109" t="n">
        <f aca="false">AU96-AU97</f>
        <v>64999.9999999999</v>
      </c>
      <c r="AW96" s="109" t="n">
        <f aca="false">AV96-AV97</f>
        <v>63333.3333333332</v>
      </c>
      <c r="AX96" s="109" t="n">
        <f aca="false">AW96-AW97</f>
        <v>61666.6666666666</v>
      </c>
      <c r="AY96" s="109" t="n">
        <f aca="false">AX96-AX97</f>
        <v>59999.9999999999</v>
      </c>
      <c r="AZ96" s="109" t="n">
        <f aca="false">AY96-AY97</f>
        <v>58333.3333333333</v>
      </c>
      <c r="BA96" s="109" t="n">
        <f aca="false">AZ96-AZ97</f>
        <v>56666.6666666666</v>
      </c>
      <c r="BB96" s="109" t="n">
        <f aca="false">BA96-BA97</f>
        <v>54999.9999999999</v>
      </c>
      <c r="BC96" s="109" t="n">
        <f aca="false">BB96-BB97</f>
        <v>53333.3333333333</v>
      </c>
      <c r="BD96" s="109" t="n">
        <f aca="false">BC96-BC97</f>
        <v>51666.6666666666</v>
      </c>
      <c r="BE96" s="109" t="n">
        <f aca="false">BD96-BD97</f>
        <v>49999.9999999999</v>
      </c>
      <c r="BF96" s="109" t="n">
        <f aca="false">BE96-BE97</f>
        <v>48333.3333333333</v>
      </c>
      <c r="BG96" s="109" t="n">
        <f aca="false">BF96-BF97</f>
        <v>46666.6666666666</v>
      </c>
      <c r="BH96" s="109" t="n">
        <f aca="false">BG96-BG97</f>
        <v>44999.9999999999</v>
      </c>
      <c r="BI96" s="109" t="n">
        <f aca="false">BH96-BH97</f>
        <v>43333.3333333333</v>
      </c>
      <c r="BJ96" s="109" t="n">
        <f aca="false">BI96-BI97</f>
        <v>41666.6666666666</v>
      </c>
      <c r="BK96" s="109" t="n">
        <f aca="false">BJ96-BJ97</f>
        <v>39999.9999999999</v>
      </c>
      <c r="BL96" s="109" t="n">
        <f aca="false">BK96-BK97</f>
        <v>38333.3333333333</v>
      </c>
      <c r="BM96" s="109" t="n">
        <f aca="false">BL96-BL97</f>
        <v>36666.6666666666</v>
      </c>
      <c r="BN96" s="109" t="n">
        <f aca="false">BM96-BM97</f>
        <v>35000</v>
      </c>
      <c r="BO96" s="109" t="n">
        <f aca="false">BN96-BN97</f>
        <v>33333.3333333333</v>
      </c>
      <c r="BP96" s="109" t="n">
        <f aca="false">BO96-BO97</f>
        <v>31666.6666666666</v>
      </c>
      <c r="BQ96" s="109" t="n">
        <f aca="false">BP96-BP97</f>
        <v>30000</v>
      </c>
      <c r="BR96" s="109" t="n">
        <f aca="false">BQ96-BQ97</f>
        <v>28333.3333333333</v>
      </c>
      <c r="BS96" s="109" t="n">
        <f aca="false">BR96-BR97</f>
        <v>26666.6666666666</v>
      </c>
      <c r="BT96" s="109" t="n">
        <f aca="false">BS96-BS97</f>
        <v>24999.9999999999</v>
      </c>
      <c r="BU96" s="109" t="n">
        <f aca="false">BT96-BT97</f>
        <v>23333.3333333333</v>
      </c>
      <c r="BV96" s="109" t="n">
        <f aca="false">BU96-BU97</f>
        <v>21666.6666666666</v>
      </c>
      <c r="BW96" s="109" t="n">
        <f aca="false">BV96-BV97</f>
        <v>19999.9999999999</v>
      </c>
      <c r="BX96" s="109" t="n">
        <f aca="false">BW96-BW97</f>
        <v>18333.3333333333</v>
      </c>
      <c r="BY96" s="109" t="n">
        <f aca="false">BX96-BX97</f>
        <v>16666.6666666666</v>
      </c>
      <c r="BZ96" s="109" t="n">
        <f aca="false">BY96-BY97</f>
        <v>14999.9999999999</v>
      </c>
      <c r="CA96" s="109" t="n">
        <f aca="false">BZ96-BZ97</f>
        <v>13333.3333333333</v>
      </c>
      <c r="CB96" s="109" t="n">
        <f aca="false">CA96-CA97</f>
        <v>11666.6666666666</v>
      </c>
      <c r="CC96" s="109" t="n">
        <f aca="false">CB96-CB97</f>
        <v>9999.99999999994</v>
      </c>
      <c r="CD96" s="109" t="n">
        <f aca="false">CC96-CC97</f>
        <v>8333.33333333328</v>
      </c>
      <c r="CE96" s="109" t="n">
        <f aca="false">CD96-CD97</f>
        <v>6666.66666666661</v>
      </c>
      <c r="CF96" s="109" t="n">
        <f aca="false">CE96-CE97</f>
        <v>4999.99999999994</v>
      </c>
      <c r="CG96" s="109" t="n">
        <f aca="false">CF96-CF97</f>
        <v>3333.33333333328</v>
      </c>
      <c r="CH96" s="109" t="n">
        <f aca="false">CG96-CG97</f>
        <v>1666.66666666661</v>
      </c>
    </row>
    <row r="97" customFormat="false" ht="13.5" hidden="false" customHeight="true" outlineLevel="0" collapsed="false">
      <c r="A97" s="6" t="s">
        <v>597</v>
      </c>
      <c r="C97" s="109" t="n">
        <f aca="false">IF(1&lt;=Hipótesis!$D$109,0,IF(C96&gt;0,MIN(C96,Hipótesis!$D$105/MAX(Hipótesis!$D$108-Hipótesis!$D$109,1)),0))</f>
        <v>0</v>
      </c>
      <c r="D97" s="109" t="n">
        <f aca="false">IF(2&lt;=Hipótesis!$D$109,0,IF(D96&gt;0,MIN(D96,Hipótesis!$D$105/MAX(Hipótesis!$D$108-Hipótesis!$D$109,1)),0))</f>
        <v>0</v>
      </c>
      <c r="E97" s="109" t="n">
        <f aca="false">IF(3&lt;=Hipótesis!$D$109,0,IF(E96&gt;0,MIN(E96,Hipótesis!$D$105/MAX(Hipótesis!$D$108-Hipótesis!$D$109,1)),0))</f>
        <v>0</v>
      </c>
      <c r="F97" s="109" t="n">
        <f aca="false">IF(4&lt;=Hipótesis!$D$109,0,IF(F96&gt;0,MIN(F96,Hipótesis!$D$105/MAX(Hipótesis!$D$108-Hipótesis!$D$109,1)),0))</f>
        <v>0</v>
      </c>
      <c r="G97" s="109" t="n">
        <f aca="false">IF(5&lt;=Hipótesis!$D$109,0,IF(G96&gt;0,MIN(G96,Hipótesis!$D$105/MAX(Hipótesis!$D$108-Hipótesis!$D$109,1)),0))</f>
        <v>0</v>
      </c>
      <c r="H97" s="109" t="n">
        <f aca="false">IF(6&lt;=Hipótesis!$D$109,0,IF(H96&gt;0,MIN(H96,Hipótesis!$D$105/MAX(Hipótesis!$D$108-Hipótesis!$D$109,1)),0))</f>
        <v>0</v>
      </c>
      <c r="I97" s="109" t="n">
        <f aca="false">IF(7&lt;=Hipótesis!$D$109,0,IF(I96&gt;0,MIN(I96,Hipótesis!$D$105/MAX(Hipótesis!$D$108-Hipótesis!$D$109,1)),0))</f>
        <v>0</v>
      </c>
      <c r="J97" s="109" t="n">
        <f aca="false">IF(8&lt;=Hipótesis!$D$109,0,IF(J96&gt;0,MIN(J96,Hipótesis!$D$105/MAX(Hipótesis!$D$108-Hipótesis!$D$109,1)),0))</f>
        <v>0</v>
      </c>
      <c r="K97" s="109" t="n">
        <f aca="false">IF(9&lt;=Hipótesis!$D$109,0,IF(K96&gt;0,MIN(K96,Hipótesis!$D$105/MAX(Hipótesis!$D$108-Hipótesis!$D$109,1)),0))</f>
        <v>0</v>
      </c>
      <c r="L97" s="109" t="n">
        <f aca="false">IF(10&lt;=Hipótesis!$D$109,0,IF(L96&gt;0,MIN(L96,Hipótesis!$D$105/MAX(Hipótesis!$D$108-Hipótesis!$D$109,1)),0))</f>
        <v>0</v>
      </c>
      <c r="M97" s="109" t="n">
        <f aca="false">IF(11&lt;=Hipótesis!$D$109,0,IF(M96&gt;0,MIN(M96,Hipótesis!$D$105/MAX(Hipótesis!$D$108-Hipótesis!$D$109,1)),0))</f>
        <v>0</v>
      </c>
      <c r="N97" s="109" t="n">
        <f aca="false">IF(12&lt;=Hipótesis!$D$109,0,IF(N96&gt;0,MIN(N96,Hipótesis!$D$105/MAX(Hipótesis!$D$108-Hipótesis!$D$109,1)),0))</f>
        <v>0</v>
      </c>
      <c r="O97" s="109" t="n">
        <f aca="false">IF(13&lt;=Hipótesis!$D$109,0,IF(O96&gt;0,MIN(O96,Hipótesis!$D$105/MAX(Hipótesis!$D$108-Hipótesis!$D$109,1)),0))</f>
        <v>0</v>
      </c>
      <c r="P97" s="109" t="n">
        <f aca="false">IF(14&lt;=Hipótesis!$D$109,0,IF(P96&gt;0,MIN(P96,Hipótesis!$D$105/MAX(Hipótesis!$D$108-Hipótesis!$D$109,1)),0))</f>
        <v>0</v>
      </c>
      <c r="Q97" s="109" t="n">
        <f aca="false">IF(15&lt;=Hipótesis!$D$109,0,IF(Q96&gt;0,MIN(Q96,Hipótesis!$D$105/MAX(Hipótesis!$D$108-Hipótesis!$D$109,1)),0))</f>
        <v>0</v>
      </c>
      <c r="R97" s="109" t="n">
        <f aca="false">IF(16&lt;=Hipótesis!$D$109,0,IF(R96&gt;0,MIN(R96,Hipótesis!$D$105/MAX(Hipótesis!$D$108-Hipótesis!$D$109,1)),0))</f>
        <v>0</v>
      </c>
      <c r="S97" s="109" t="n">
        <f aca="false">IF(17&lt;=Hipótesis!$D$109,0,IF(S96&gt;0,MIN(S96,Hipótesis!$D$105/MAX(Hipótesis!$D$108-Hipótesis!$D$109,1)),0))</f>
        <v>0</v>
      </c>
      <c r="T97" s="109" t="n">
        <f aca="false">IF(18&lt;=Hipótesis!$D$109,0,IF(T96&gt;0,MIN(T96,Hipótesis!$D$105/MAX(Hipótesis!$D$108-Hipótesis!$D$109,1)),0))</f>
        <v>0</v>
      </c>
      <c r="U97" s="109" t="n">
        <f aca="false">IF(19&lt;=Hipótesis!$D$109,0,IF(U96&gt;0,MIN(U96,Hipótesis!$D$105/MAX(Hipótesis!$D$108-Hipótesis!$D$109,1)),0))</f>
        <v>0</v>
      </c>
      <c r="V97" s="109" t="n">
        <f aca="false">IF(20&lt;=Hipótesis!$D$109,0,IF(V96&gt;0,MIN(V96,Hipótesis!$D$105/MAX(Hipótesis!$D$108-Hipótesis!$D$109,1)),0))</f>
        <v>0</v>
      </c>
      <c r="W97" s="109" t="n">
        <f aca="false">IF(21&lt;=Hipótesis!$D$109,0,IF(W96&gt;0,MIN(W96,Hipótesis!$D$105/MAX(Hipótesis!$D$108-Hipótesis!$D$109,1)),0))</f>
        <v>0</v>
      </c>
      <c r="X97" s="109" t="n">
        <f aca="false">IF(22&lt;=Hipótesis!$D$109,0,IF(X96&gt;0,MIN(X96,Hipótesis!$D$105/MAX(Hipótesis!$D$108-Hipótesis!$D$109,1)),0))</f>
        <v>0</v>
      </c>
      <c r="Y97" s="109" t="n">
        <f aca="false">IF(23&lt;=Hipótesis!$D$109,0,IF(Y96&gt;0,MIN(Y96,Hipótesis!$D$105/MAX(Hipótesis!$D$108-Hipótesis!$D$109,1)),0))</f>
        <v>0</v>
      </c>
      <c r="Z97" s="109" t="n">
        <f aca="false">IF(24&lt;=Hipótesis!$D$109,0,IF(Z96&gt;0,MIN(Z96,Hipótesis!$D$105/MAX(Hipótesis!$D$108-Hipótesis!$D$109,1)),0))</f>
        <v>0</v>
      </c>
      <c r="AA97" s="109" t="n">
        <f aca="false">IF(25&lt;=Hipótesis!$D$109,0,IF(AA96&gt;0,MIN(AA96,Hipótesis!$D$105/MAX(Hipótesis!$D$108-Hipótesis!$D$109,1)),0))</f>
        <v>1666.66666666667</v>
      </c>
      <c r="AB97" s="109" t="n">
        <f aca="false">IF(26&lt;=Hipótesis!$D$109,0,IF(AB96&gt;0,MIN(AB96,Hipótesis!$D$105/MAX(Hipótesis!$D$108-Hipótesis!$D$109,1)),0))</f>
        <v>1666.66666666667</v>
      </c>
      <c r="AC97" s="109" t="n">
        <f aca="false">IF(27&lt;=Hipótesis!$D$109,0,IF(AC96&gt;0,MIN(AC96,Hipótesis!$D$105/MAX(Hipótesis!$D$108-Hipótesis!$D$109,1)),0))</f>
        <v>1666.66666666667</v>
      </c>
      <c r="AD97" s="109" t="n">
        <f aca="false">IF(28&lt;=Hipótesis!$D$109,0,IF(AD96&gt;0,MIN(AD96,Hipótesis!$D$105/MAX(Hipótesis!$D$108-Hipótesis!$D$109,1)),0))</f>
        <v>1666.66666666667</v>
      </c>
      <c r="AE97" s="109" t="n">
        <f aca="false">IF(29&lt;=Hipótesis!$D$109,0,IF(AE96&gt;0,MIN(AE96,Hipótesis!$D$105/MAX(Hipótesis!$D$108-Hipótesis!$D$109,1)),0))</f>
        <v>1666.66666666667</v>
      </c>
      <c r="AF97" s="109" t="n">
        <f aca="false">IF(30&lt;=Hipótesis!$D$109,0,IF(AF96&gt;0,MIN(AF96,Hipótesis!$D$105/MAX(Hipótesis!$D$108-Hipótesis!$D$109,1)),0))</f>
        <v>1666.66666666667</v>
      </c>
      <c r="AG97" s="109" t="n">
        <f aca="false">IF(31&lt;=Hipótesis!$D$109,0,IF(AG96&gt;0,MIN(AG96,Hipótesis!$D$105/MAX(Hipótesis!$D$108-Hipótesis!$D$109,1)),0))</f>
        <v>1666.66666666667</v>
      </c>
      <c r="AH97" s="109" t="n">
        <f aca="false">IF(32&lt;=Hipótesis!$D$109,0,IF(AH96&gt;0,MIN(AH96,Hipótesis!$D$105/MAX(Hipótesis!$D$108-Hipótesis!$D$109,1)),0))</f>
        <v>1666.66666666667</v>
      </c>
      <c r="AI97" s="109" t="n">
        <f aca="false">IF(33&lt;=Hipótesis!$D$109,0,IF(AI96&gt;0,MIN(AI96,Hipótesis!$D$105/MAX(Hipótesis!$D$108-Hipótesis!$D$109,1)),0))</f>
        <v>1666.66666666667</v>
      </c>
      <c r="AJ97" s="109" t="n">
        <f aca="false">IF(34&lt;=Hipótesis!$D$109,0,IF(AJ96&gt;0,MIN(AJ96,Hipótesis!$D$105/MAX(Hipótesis!$D$108-Hipótesis!$D$109,1)),0))</f>
        <v>1666.66666666667</v>
      </c>
      <c r="AK97" s="109" t="n">
        <f aca="false">IF(35&lt;=Hipótesis!$D$109,0,IF(AK96&gt;0,MIN(AK96,Hipótesis!$D$105/MAX(Hipótesis!$D$108-Hipótesis!$D$109,1)),0))</f>
        <v>1666.66666666667</v>
      </c>
      <c r="AL97" s="109" t="n">
        <f aca="false">IF(36&lt;=Hipótesis!$D$109,0,IF(AL96&gt;0,MIN(AL96,Hipótesis!$D$105/MAX(Hipótesis!$D$108-Hipótesis!$D$109,1)),0))</f>
        <v>1666.66666666667</v>
      </c>
      <c r="AM97" s="109" t="n">
        <f aca="false">IF(37&lt;=Hipótesis!$D$109,0,IF(AM96&gt;0,MIN(AM96,Hipótesis!$D$105/MAX(Hipótesis!$D$108-Hipótesis!$D$109,1)),0))</f>
        <v>1666.66666666667</v>
      </c>
      <c r="AN97" s="109" t="n">
        <f aca="false">IF(38&lt;=Hipótesis!$D$109,0,IF(AN96&gt;0,MIN(AN96,Hipótesis!$D$105/MAX(Hipótesis!$D$108-Hipótesis!$D$109,1)),0))</f>
        <v>1666.66666666667</v>
      </c>
      <c r="AO97" s="109" t="n">
        <f aca="false">IF(39&lt;=Hipótesis!$D$109,0,IF(AO96&gt;0,MIN(AO96,Hipótesis!$D$105/MAX(Hipótesis!$D$108-Hipótesis!$D$109,1)),0))</f>
        <v>1666.66666666667</v>
      </c>
      <c r="AP97" s="109" t="n">
        <f aca="false">IF(40&lt;=Hipótesis!$D$109,0,IF(AP96&gt;0,MIN(AP96,Hipótesis!$D$105/MAX(Hipótesis!$D$108-Hipótesis!$D$109,1)),0))</f>
        <v>1666.66666666667</v>
      </c>
      <c r="AQ97" s="109" t="n">
        <f aca="false">IF(41&lt;=Hipótesis!$D$109,0,IF(AQ96&gt;0,MIN(AQ96,Hipótesis!$D$105/MAX(Hipótesis!$D$108-Hipótesis!$D$109,1)),0))</f>
        <v>1666.66666666667</v>
      </c>
      <c r="AR97" s="109" t="n">
        <f aca="false">IF(42&lt;=Hipótesis!$D$109,0,IF(AR96&gt;0,MIN(AR96,Hipótesis!$D$105/MAX(Hipótesis!$D$108-Hipótesis!$D$109,1)),0))</f>
        <v>1666.66666666667</v>
      </c>
      <c r="AS97" s="109" t="n">
        <f aca="false">IF(43&lt;=Hipótesis!$D$109,0,IF(AS96&gt;0,MIN(AS96,Hipótesis!$D$105/MAX(Hipótesis!$D$108-Hipótesis!$D$109,1)),0))</f>
        <v>1666.66666666667</v>
      </c>
      <c r="AT97" s="109" t="n">
        <f aca="false">IF(44&lt;=Hipótesis!$D$109,0,IF(AT96&gt;0,MIN(AT96,Hipótesis!$D$105/MAX(Hipótesis!$D$108-Hipótesis!$D$109,1)),0))</f>
        <v>1666.66666666667</v>
      </c>
      <c r="AU97" s="109" t="n">
        <f aca="false">IF(45&lt;=Hipótesis!$D$109,0,IF(AU96&gt;0,MIN(AU96,Hipótesis!$D$105/MAX(Hipótesis!$D$108-Hipótesis!$D$109,1)),0))</f>
        <v>1666.66666666667</v>
      </c>
      <c r="AV97" s="109" t="n">
        <f aca="false">IF(46&lt;=Hipótesis!$D$109,0,IF(AV96&gt;0,MIN(AV96,Hipótesis!$D$105/MAX(Hipótesis!$D$108-Hipótesis!$D$109,1)),0))</f>
        <v>1666.66666666667</v>
      </c>
      <c r="AW97" s="109" t="n">
        <f aca="false">IF(47&lt;=Hipótesis!$D$109,0,IF(AW96&gt;0,MIN(AW96,Hipótesis!$D$105/MAX(Hipótesis!$D$108-Hipótesis!$D$109,1)),0))</f>
        <v>1666.66666666667</v>
      </c>
      <c r="AX97" s="109" t="n">
        <f aca="false">IF(48&lt;=Hipótesis!$D$109,0,IF(AX96&gt;0,MIN(AX96,Hipótesis!$D$105/MAX(Hipótesis!$D$108-Hipótesis!$D$109,1)),0))</f>
        <v>1666.66666666667</v>
      </c>
      <c r="AY97" s="109" t="n">
        <f aca="false">IF(49&lt;=Hipótesis!$D$109,0,IF(AY96&gt;0,MIN(AY96,Hipótesis!$D$105/MAX(Hipótesis!$D$108-Hipótesis!$D$109,1)),0))</f>
        <v>1666.66666666667</v>
      </c>
      <c r="AZ97" s="109" t="n">
        <f aca="false">IF(50&lt;=Hipótesis!$D$109,0,IF(AZ96&gt;0,MIN(AZ96,Hipótesis!$D$105/MAX(Hipótesis!$D$108-Hipótesis!$D$109,1)),0))</f>
        <v>1666.66666666667</v>
      </c>
      <c r="BA97" s="109" t="n">
        <f aca="false">IF(51&lt;=Hipótesis!$D$109,0,IF(BA96&gt;0,MIN(BA96,Hipótesis!$D$105/MAX(Hipótesis!$D$108-Hipótesis!$D$109,1)),0))</f>
        <v>1666.66666666667</v>
      </c>
      <c r="BB97" s="109" t="n">
        <f aca="false">IF(52&lt;=Hipótesis!$D$109,0,IF(BB96&gt;0,MIN(BB96,Hipótesis!$D$105/MAX(Hipótesis!$D$108-Hipótesis!$D$109,1)),0))</f>
        <v>1666.66666666667</v>
      </c>
      <c r="BC97" s="109" t="n">
        <f aca="false">IF(53&lt;=Hipótesis!$D$109,0,IF(BC96&gt;0,MIN(BC96,Hipótesis!$D$105/MAX(Hipótesis!$D$108-Hipótesis!$D$109,1)),0))</f>
        <v>1666.66666666667</v>
      </c>
      <c r="BD97" s="109" t="n">
        <f aca="false">IF(54&lt;=Hipótesis!$D$109,0,IF(BD96&gt;0,MIN(BD96,Hipótesis!$D$105/MAX(Hipótesis!$D$108-Hipótesis!$D$109,1)),0))</f>
        <v>1666.66666666667</v>
      </c>
      <c r="BE97" s="109" t="n">
        <f aca="false">IF(55&lt;=Hipótesis!$D$109,0,IF(BE96&gt;0,MIN(BE96,Hipótesis!$D$105/MAX(Hipótesis!$D$108-Hipótesis!$D$109,1)),0))</f>
        <v>1666.66666666667</v>
      </c>
      <c r="BF97" s="109" t="n">
        <f aca="false">IF(56&lt;=Hipótesis!$D$109,0,IF(BF96&gt;0,MIN(BF96,Hipótesis!$D$105/MAX(Hipótesis!$D$108-Hipótesis!$D$109,1)),0))</f>
        <v>1666.66666666667</v>
      </c>
      <c r="BG97" s="109" t="n">
        <f aca="false">IF(57&lt;=Hipótesis!$D$109,0,IF(BG96&gt;0,MIN(BG96,Hipótesis!$D$105/MAX(Hipótesis!$D$108-Hipótesis!$D$109,1)),0))</f>
        <v>1666.66666666667</v>
      </c>
      <c r="BH97" s="109" t="n">
        <f aca="false">IF(58&lt;=Hipótesis!$D$109,0,IF(BH96&gt;0,MIN(BH96,Hipótesis!$D$105/MAX(Hipótesis!$D$108-Hipótesis!$D$109,1)),0))</f>
        <v>1666.66666666667</v>
      </c>
      <c r="BI97" s="109" t="n">
        <f aca="false">IF(59&lt;=Hipótesis!$D$109,0,IF(BI96&gt;0,MIN(BI96,Hipótesis!$D$105/MAX(Hipótesis!$D$108-Hipótesis!$D$109,1)),0))</f>
        <v>1666.66666666667</v>
      </c>
      <c r="BJ97" s="109" t="n">
        <f aca="false">IF(60&lt;=Hipótesis!$D$109,0,IF(BJ96&gt;0,MIN(BJ96,Hipótesis!$D$105/MAX(Hipótesis!$D$108-Hipótesis!$D$109,1)),0))</f>
        <v>1666.66666666667</v>
      </c>
      <c r="BK97" s="109" t="n">
        <f aca="false">IF(61&lt;=Hipótesis!$D$109,0,IF(BK96&gt;0,MIN(BK96,Hipótesis!$D$105/MAX(Hipótesis!$D$108-Hipótesis!$D$109,1)),0))</f>
        <v>1666.66666666667</v>
      </c>
      <c r="BL97" s="109" t="n">
        <f aca="false">IF(62&lt;=Hipótesis!$D$109,0,IF(BL96&gt;0,MIN(BL96,Hipótesis!$D$105/MAX(Hipótesis!$D$108-Hipótesis!$D$109,1)),0))</f>
        <v>1666.66666666667</v>
      </c>
      <c r="BM97" s="109" t="n">
        <f aca="false">IF(63&lt;=Hipótesis!$D$109,0,IF(BM96&gt;0,MIN(BM96,Hipótesis!$D$105/MAX(Hipótesis!$D$108-Hipótesis!$D$109,1)),0))</f>
        <v>1666.66666666667</v>
      </c>
      <c r="BN97" s="109" t="n">
        <f aca="false">IF(64&lt;=Hipótesis!$D$109,0,IF(BN96&gt;0,MIN(BN96,Hipótesis!$D$105/MAX(Hipótesis!$D$108-Hipótesis!$D$109,1)),0))</f>
        <v>1666.66666666667</v>
      </c>
      <c r="BO97" s="109" t="n">
        <f aca="false">IF(65&lt;=Hipótesis!$D$109,0,IF(BO96&gt;0,MIN(BO96,Hipótesis!$D$105/MAX(Hipótesis!$D$108-Hipótesis!$D$109,1)),0))</f>
        <v>1666.66666666667</v>
      </c>
      <c r="BP97" s="109" t="n">
        <f aca="false">IF(66&lt;=Hipótesis!$D$109,0,IF(BP96&gt;0,MIN(BP96,Hipótesis!$D$105/MAX(Hipótesis!$D$108-Hipótesis!$D$109,1)),0))</f>
        <v>1666.66666666667</v>
      </c>
      <c r="BQ97" s="109" t="n">
        <f aca="false">IF(67&lt;=Hipótesis!$D$109,0,IF(BQ96&gt;0,MIN(BQ96,Hipótesis!$D$105/MAX(Hipótesis!$D$108-Hipótesis!$D$109,1)),0))</f>
        <v>1666.66666666667</v>
      </c>
      <c r="BR97" s="109" t="n">
        <f aca="false">IF(68&lt;=Hipótesis!$D$109,0,IF(BR96&gt;0,MIN(BR96,Hipótesis!$D$105/MAX(Hipótesis!$D$108-Hipótesis!$D$109,1)),0))</f>
        <v>1666.66666666667</v>
      </c>
      <c r="BS97" s="109" t="n">
        <f aca="false">IF(69&lt;=Hipótesis!$D$109,0,IF(BS96&gt;0,MIN(BS96,Hipótesis!$D$105/MAX(Hipótesis!$D$108-Hipótesis!$D$109,1)),0))</f>
        <v>1666.66666666667</v>
      </c>
      <c r="BT97" s="109" t="n">
        <f aca="false">IF(70&lt;=Hipótesis!$D$109,0,IF(BT96&gt;0,MIN(BT96,Hipótesis!$D$105/MAX(Hipótesis!$D$108-Hipótesis!$D$109,1)),0))</f>
        <v>1666.66666666667</v>
      </c>
      <c r="BU97" s="109" t="n">
        <f aca="false">IF(71&lt;=Hipótesis!$D$109,0,IF(BU96&gt;0,MIN(BU96,Hipótesis!$D$105/MAX(Hipótesis!$D$108-Hipótesis!$D$109,1)),0))</f>
        <v>1666.66666666667</v>
      </c>
      <c r="BV97" s="109" t="n">
        <f aca="false">IF(72&lt;=Hipótesis!$D$109,0,IF(BV96&gt;0,MIN(BV96,Hipótesis!$D$105/MAX(Hipótesis!$D$108-Hipótesis!$D$109,1)),0))</f>
        <v>1666.66666666667</v>
      </c>
      <c r="BW97" s="109" t="n">
        <f aca="false">IF(73&lt;=Hipótesis!$D$109,0,IF(BW96&gt;0,MIN(BW96,Hipótesis!$D$105/MAX(Hipótesis!$D$108-Hipótesis!$D$109,1)),0))</f>
        <v>1666.66666666667</v>
      </c>
      <c r="BX97" s="109" t="n">
        <f aca="false">IF(74&lt;=Hipótesis!$D$109,0,IF(BX96&gt;0,MIN(BX96,Hipótesis!$D$105/MAX(Hipótesis!$D$108-Hipótesis!$D$109,1)),0))</f>
        <v>1666.66666666667</v>
      </c>
      <c r="BY97" s="109" t="n">
        <f aca="false">IF(75&lt;=Hipótesis!$D$109,0,IF(BY96&gt;0,MIN(BY96,Hipótesis!$D$105/MAX(Hipótesis!$D$108-Hipótesis!$D$109,1)),0))</f>
        <v>1666.66666666667</v>
      </c>
      <c r="BZ97" s="109" t="n">
        <f aca="false">IF(76&lt;=Hipótesis!$D$109,0,IF(BZ96&gt;0,MIN(BZ96,Hipótesis!$D$105/MAX(Hipótesis!$D$108-Hipótesis!$D$109,1)),0))</f>
        <v>1666.66666666667</v>
      </c>
      <c r="CA97" s="109" t="n">
        <f aca="false">IF(77&lt;=Hipótesis!$D$109,0,IF(CA96&gt;0,MIN(CA96,Hipótesis!$D$105/MAX(Hipótesis!$D$108-Hipótesis!$D$109,1)),0))</f>
        <v>1666.66666666667</v>
      </c>
      <c r="CB97" s="109" t="n">
        <f aca="false">IF(78&lt;=Hipótesis!$D$109,0,IF(CB96&gt;0,MIN(CB96,Hipótesis!$D$105/MAX(Hipótesis!$D$108-Hipótesis!$D$109,1)),0))</f>
        <v>1666.66666666667</v>
      </c>
      <c r="CC97" s="109" t="n">
        <f aca="false">IF(79&lt;=Hipótesis!$D$109,0,IF(CC96&gt;0,MIN(CC96,Hipótesis!$D$105/MAX(Hipótesis!$D$108-Hipótesis!$D$109,1)),0))</f>
        <v>1666.66666666667</v>
      </c>
      <c r="CD97" s="109" t="n">
        <f aca="false">IF(80&lt;=Hipótesis!$D$109,0,IF(CD96&gt;0,MIN(CD96,Hipótesis!$D$105/MAX(Hipótesis!$D$108-Hipótesis!$D$109,1)),0))</f>
        <v>1666.66666666667</v>
      </c>
      <c r="CE97" s="109" t="n">
        <f aca="false">IF(81&lt;=Hipótesis!$D$109,0,IF(CE96&gt;0,MIN(CE96,Hipótesis!$D$105/MAX(Hipótesis!$D$108-Hipótesis!$D$109,1)),0))</f>
        <v>1666.66666666667</v>
      </c>
      <c r="CF97" s="109" t="n">
        <f aca="false">IF(82&lt;=Hipótesis!$D$109,0,IF(CF96&gt;0,MIN(CF96,Hipótesis!$D$105/MAX(Hipótesis!$D$108-Hipótesis!$D$109,1)),0))</f>
        <v>1666.66666666667</v>
      </c>
      <c r="CG97" s="109" t="n">
        <f aca="false">IF(83&lt;=Hipótesis!$D$109,0,IF(CG96&gt;0,MIN(CG96,Hipótesis!$D$105/MAX(Hipótesis!$D$108-Hipótesis!$D$109,1)),0))</f>
        <v>1666.66666666667</v>
      </c>
      <c r="CH97" s="109" t="n">
        <f aca="false">IF(84&lt;=Hipótesis!$D$109,0,IF(CH96&gt;0,MIN(CH96,Hipótesis!$D$105/MAX(Hipótesis!$D$108-Hipótesis!$D$109,1)),0))</f>
        <v>1666.66666666661</v>
      </c>
    </row>
    <row r="98" customFormat="false" ht="13.5" hidden="false" customHeight="true" outlineLevel="0" collapsed="false">
      <c r="A98" s="6" t="s">
        <v>598</v>
      </c>
      <c r="C98" s="109" t="n">
        <f aca="false">C96*Hipótesis!$D$106/12+IF(C96&gt;0,Hipótesis!$D$107*MAX(0,C56),0)</f>
        <v>333.333333333333</v>
      </c>
      <c r="D98" s="109" t="n">
        <f aca="false">D96*Hipótesis!$D$106/12+IF(D96&gt;0,Hipótesis!$D$107*MAX(0,D56),0)</f>
        <v>333.333333333333</v>
      </c>
      <c r="E98" s="109" t="n">
        <f aca="false">E96*Hipótesis!$D$106/12+IF(E96&gt;0,Hipótesis!$D$107*MAX(0,E56),0)</f>
        <v>333.333333333333</v>
      </c>
      <c r="F98" s="109" t="n">
        <f aca="false">F96*Hipótesis!$D$106/12+IF(F96&gt;0,Hipótesis!$D$107*MAX(0,F56),0)</f>
        <v>333.333333333333</v>
      </c>
      <c r="G98" s="109" t="n">
        <f aca="false">G96*Hipótesis!$D$106/12+IF(G96&gt;0,Hipótesis!$D$107*MAX(0,G56),0)</f>
        <v>333.333333333333</v>
      </c>
      <c r="H98" s="109" t="n">
        <f aca="false">H96*Hipótesis!$D$106/12+IF(H96&gt;0,Hipótesis!$D$107*MAX(0,H56),0)</f>
        <v>333.333333333333</v>
      </c>
      <c r="I98" s="109" t="n">
        <f aca="false">I96*Hipótesis!$D$106/12+IF(I96&gt;0,Hipótesis!$D$107*MAX(0,I56),0)</f>
        <v>333.333333333333</v>
      </c>
      <c r="J98" s="109" t="n">
        <f aca="false">J96*Hipótesis!$D$106/12+IF(J96&gt;0,Hipótesis!$D$107*MAX(0,J56),0)</f>
        <v>333.333333333333</v>
      </c>
      <c r="K98" s="109" t="n">
        <f aca="false">K96*Hipótesis!$D$106/12+IF(K96&gt;0,Hipótesis!$D$107*MAX(0,K56),0)</f>
        <v>333.333333333333</v>
      </c>
      <c r="L98" s="109" t="n">
        <f aca="false">L96*Hipótesis!$D$106/12+IF(L96&gt;0,Hipótesis!$D$107*MAX(0,L56),0)</f>
        <v>334.089759655384</v>
      </c>
      <c r="M98" s="109" t="n">
        <f aca="false">M96*Hipótesis!$D$106/12+IF(M96&gt;0,Hipótesis!$D$107*MAX(0,M56),0)</f>
        <v>364.702788481501</v>
      </c>
      <c r="N98" s="109" t="n">
        <f aca="false">N96*Hipótesis!$D$106/12+IF(N96&gt;0,Hipótesis!$D$107*MAX(0,N56),0)</f>
        <v>361.734521297801</v>
      </c>
      <c r="O98" s="109" t="n">
        <f aca="false">O96*Hipótesis!$D$106/12+IF(O96&gt;0,Hipótesis!$D$107*MAX(0,O56),0)</f>
        <v>333.333333333333</v>
      </c>
      <c r="P98" s="109" t="n">
        <f aca="false">P96*Hipótesis!$D$106/12+IF(P96&gt;0,Hipótesis!$D$107*MAX(0,P56),0)</f>
        <v>335.141940783223</v>
      </c>
      <c r="Q98" s="109" t="n">
        <f aca="false">Q96*Hipótesis!$D$106/12+IF(Q96&gt;0,Hipótesis!$D$107*MAX(0,Q56),0)</f>
        <v>333.333333333333</v>
      </c>
      <c r="R98" s="109" t="n">
        <f aca="false">R96*Hipótesis!$D$106/12+IF(R96&gt;0,Hipótesis!$D$107*MAX(0,R56),0)</f>
        <v>363.687714121468</v>
      </c>
      <c r="S98" s="109" t="n">
        <f aca="false">S96*Hipótesis!$D$106/12+IF(S96&gt;0,Hipótesis!$D$107*MAX(0,S56),0)</f>
        <v>401.07380079059</v>
      </c>
      <c r="T98" s="109" t="n">
        <f aca="false">T96*Hipótesis!$D$106/12+IF(T96&gt;0,Hipótesis!$D$107*MAX(0,T56),0)</f>
        <v>392.233487459713</v>
      </c>
      <c r="U98" s="109" t="n">
        <f aca="false">U96*Hipótesis!$D$106/12+IF(U96&gt;0,Hipótesis!$D$107*MAX(0,U56),0)</f>
        <v>429.619574128835</v>
      </c>
      <c r="V98" s="109" t="n">
        <f aca="false">V96*Hipótesis!$D$106/12+IF(V96&gt;0,Hipótesis!$D$107*MAX(0,V56),0)</f>
        <v>412.621660797957</v>
      </c>
      <c r="W98" s="109" t="n">
        <f aca="false">W96*Hipótesis!$D$106/12+IF(W96&gt;0,Hipótesis!$D$107*MAX(0,W56),0)</f>
        <v>450.00774746708</v>
      </c>
      <c r="X98" s="109" t="n">
        <f aca="false">X96*Hipótesis!$D$106/12+IF(X96&gt;0,Hipótesis!$D$107*MAX(0,X56),0)</f>
        <v>429.868730146019</v>
      </c>
      <c r="Y98" s="109" t="n">
        <f aca="false">Y96*Hipótesis!$D$106/12+IF(Y96&gt;0,Hipótesis!$D$107*MAX(0,Y56),0)</f>
        <v>455.956112824958</v>
      </c>
      <c r="Z98" s="109" t="n">
        <f aca="false">Z96*Hipótesis!$D$106/12+IF(Z96&gt;0,Hipótesis!$D$107*MAX(0,Z56),0)</f>
        <v>477.993813907824</v>
      </c>
      <c r="AA98" s="109" t="n">
        <f aca="false">AA96*Hipótesis!$D$106/12+IF(AA96&gt;0,Hipótesis!$D$107*MAX(0,AA56),0)</f>
        <v>451.62130699069</v>
      </c>
      <c r="AB98" s="109" t="n">
        <f aca="false">AB96*Hipótesis!$D$106/12+IF(AB96&gt;0,Hipótesis!$D$107*MAX(0,AB56),0)</f>
        <v>468.103452518</v>
      </c>
      <c r="AC98" s="109" t="n">
        <f aca="false">AC96*Hipótesis!$D$106/12+IF(AC96&gt;0,Hipótesis!$D$107*MAX(0,AC56),0)</f>
        <v>484.585598045311</v>
      </c>
      <c r="AD98" s="109" t="n">
        <f aca="false">AD96*Hipótesis!$D$106/12+IF(AD96&gt;0,Hipótesis!$D$107*MAX(0,AD56),0)</f>
        <v>501.067743572621</v>
      </c>
      <c r="AE98" s="109" t="n">
        <f aca="false">AE96*Hipótesis!$D$106/12+IF(AE96&gt;0,Hipótesis!$D$107*MAX(0,AE56),0)</f>
        <v>469.936697099931</v>
      </c>
      <c r="AF98" s="109" t="n">
        <f aca="false">AF96*Hipótesis!$D$106/12+IF(AF96&gt;0,Hipótesis!$D$107*MAX(0,AF56),0)</f>
        <v>486.418842627241</v>
      </c>
      <c r="AG98" s="109" t="n">
        <f aca="false">AG96*Hipótesis!$D$106/12+IF(AG96&gt;0,Hipótesis!$D$107*MAX(0,AG56),0)</f>
        <v>502.900988154552</v>
      </c>
      <c r="AH98" s="109" t="n">
        <f aca="false">AH96*Hipótesis!$D$106/12+IF(AH96&gt;0,Hipótesis!$D$107*MAX(0,AH56),0)</f>
        <v>519.383133681862</v>
      </c>
      <c r="AI98" s="109" t="n">
        <f aca="false">AI96*Hipótesis!$D$106/12+IF(AI96&gt;0,Hipótesis!$D$107*MAX(0,AI56),0)</f>
        <v>535.865279209172</v>
      </c>
      <c r="AJ98" s="109" t="n">
        <f aca="false">AJ96*Hipótesis!$D$106/12+IF(AJ96&gt;0,Hipótesis!$D$107*MAX(0,AJ56),0)</f>
        <v>552.347424736483</v>
      </c>
      <c r="AK98" s="109" t="n">
        <f aca="false">AK96*Hipótesis!$D$106/12+IF(AK96&gt;0,Hipótesis!$D$107*MAX(0,AK56),0)</f>
        <v>568.829570263793</v>
      </c>
      <c r="AL98" s="109" t="n">
        <f aca="false">AL96*Hipótesis!$D$106/12+IF(AL96&gt;0,Hipótesis!$D$107*MAX(0,AL56),0)</f>
        <v>585.311715791104</v>
      </c>
      <c r="AM98" s="109" t="n">
        <f aca="false">AM96*Hipótesis!$D$106/12+IF(AM96&gt;0,Hipótesis!$D$107*MAX(0,AM56),0)</f>
        <v>502.649363558414</v>
      </c>
      <c r="AN98" s="109" t="n">
        <f aca="false">AN96*Hipótesis!$D$106/12+IF(AN96&gt;0,Hipótesis!$D$107*MAX(0,AN56),0)</f>
        <v>519.131509085724</v>
      </c>
      <c r="AO98" s="109" t="n">
        <f aca="false">AO96*Hipótesis!$D$106/12+IF(AO96&gt;0,Hipótesis!$D$107*MAX(0,AO56),0)</f>
        <v>535.613654613035</v>
      </c>
      <c r="AP98" s="109" t="n">
        <f aca="false">AP96*Hipótesis!$D$106/12+IF(AP96&gt;0,Hipótesis!$D$107*MAX(0,AP56),0)</f>
        <v>552.095800140345</v>
      </c>
      <c r="AQ98" s="109" t="n">
        <f aca="false">AQ96*Hipótesis!$D$106/12+IF(AQ96&gt;0,Hipótesis!$D$107*MAX(0,AQ56),0)</f>
        <v>568.577945667655</v>
      </c>
      <c r="AR98" s="109" t="n">
        <f aca="false">AR96*Hipótesis!$D$106/12+IF(AR96&gt;0,Hipótesis!$D$107*MAX(0,AR56),0)</f>
        <v>585.060091194966</v>
      </c>
      <c r="AS98" s="109" t="n">
        <f aca="false">AS96*Hipótesis!$D$106/12+IF(AS96&gt;0,Hipótesis!$D$107*MAX(0,AS56),0)</f>
        <v>579.50453563941</v>
      </c>
      <c r="AT98" s="109" t="n">
        <f aca="false">AT96*Hipótesis!$D$106/12+IF(AT96&gt;0,Hipótesis!$D$107*MAX(0,AT56),0)</f>
        <v>573.948980083854</v>
      </c>
      <c r="AU98" s="109" t="n">
        <f aca="false">AU96*Hipótesis!$D$106/12+IF(AU96&gt;0,Hipótesis!$D$107*MAX(0,AU56),0)</f>
        <v>568.393424528299</v>
      </c>
      <c r="AV98" s="109" t="n">
        <f aca="false">AV96*Hipótesis!$D$106/12+IF(AV96&gt;0,Hipótesis!$D$107*MAX(0,AV56),0)</f>
        <v>562.837868972743</v>
      </c>
      <c r="AW98" s="109" t="n">
        <f aca="false">AW96*Hipótesis!$D$106/12+IF(AW96&gt;0,Hipótesis!$D$107*MAX(0,AW56),0)</f>
        <v>557.282313417188</v>
      </c>
      <c r="AX98" s="109" t="n">
        <f aca="false">AX96*Hipótesis!$D$106/12+IF(AX96&gt;0,Hipótesis!$D$107*MAX(0,AX56),0)</f>
        <v>551.726757861632</v>
      </c>
      <c r="AY98" s="109" t="n">
        <f aca="false">AY96*Hipótesis!$D$106/12+IF(AY96&gt;0,Hipótesis!$D$107*MAX(0,AY56),0)</f>
        <v>494.281957373277</v>
      </c>
      <c r="AZ98" s="109" t="n">
        <f aca="false">AZ96*Hipótesis!$D$106/12+IF(AZ96&gt;0,Hipótesis!$D$107*MAX(0,AZ56),0)</f>
        <v>488.726401817721</v>
      </c>
      <c r="BA98" s="109" t="n">
        <f aca="false">BA96*Hipótesis!$D$106/12+IF(BA96&gt;0,Hipótesis!$D$107*MAX(0,BA56),0)</f>
        <v>483.170846262165</v>
      </c>
      <c r="BB98" s="109" t="n">
        <f aca="false">BB96*Hipótesis!$D$106/12+IF(BB96&gt;0,Hipótesis!$D$107*MAX(0,BB56),0)</f>
        <v>477.61529070661</v>
      </c>
      <c r="BC98" s="109" t="n">
        <f aca="false">BC96*Hipótesis!$D$106/12+IF(BC96&gt;0,Hipótesis!$D$107*MAX(0,BC56),0)</f>
        <v>472.059735151054</v>
      </c>
      <c r="BD98" s="109" t="n">
        <f aca="false">BD96*Hipótesis!$D$106/12+IF(BD96&gt;0,Hipótesis!$D$107*MAX(0,BD56),0)</f>
        <v>466.504179595499</v>
      </c>
      <c r="BE98" s="109" t="n">
        <f aca="false">BE96*Hipótesis!$D$106/12+IF(BE96&gt;0,Hipótesis!$D$107*MAX(0,BE56),0)</f>
        <v>460.948624039943</v>
      </c>
      <c r="BF98" s="109" t="n">
        <f aca="false">BF96*Hipótesis!$D$106/12+IF(BF96&gt;0,Hipótesis!$D$107*MAX(0,BF56),0)</f>
        <v>455.393068484388</v>
      </c>
      <c r="BG98" s="109" t="n">
        <f aca="false">BG96*Hipótesis!$D$106/12+IF(BG96&gt;0,Hipótesis!$D$107*MAX(0,BG56),0)</f>
        <v>449.837512928832</v>
      </c>
      <c r="BH98" s="109" t="n">
        <f aca="false">BH96*Hipótesis!$D$106/12+IF(BH96&gt;0,Hipótesis!$D$107*MAX(0,BH56),0)</f>
        <v>444.281957373277</v>
      </c>
      <c r="BI98" s="109" t="n">
        <f aca="false">BI96*Hipótesis!$D$106/12+IF(BI96&gt;0,Hipótesis!$D$107*MAX(0,BI56),0)</f>
        <v>438.726401817721</v>
      </c>
      <c r="BJ98" s="109" t="n">
        <f aca="false">BJ96*Hipótesis!$D$106/12+IF(BJ96&gt;0,Hipótesis!$D$107*MAX(0,BJ56),0)</f>
        <v>433.170846262166</v>
      </c>
      <c r="BK98" s="109" t="n">
        <f aca="false">BK96*Hipótesis!$D$106/12+IF(BK96&gt;0,Hipótesis!$D$107*MAX(0,BK56),0)</f>
        <v>375.357368425826</v>
      </c>
      <c r="BL98" s="109" t="n">
        <f aca="false">BL96*Hipótesis!$D$106/12+IF(BL96&gt;0,Hipótesis!$D$107*MAX(0,BL56),0)</f>
        <v>369.80181287027</v>
      </c>
      <c r="BM98" s="109" t="n">
        <f aca="false">BM96*Hipótesis!$D$106/12+IF(BM96&gt;0,Hipótesis!$D$107*MAX(0,BM56),0)</f>
        <v>364.246257314715</v>
      </c>
      <c r="BN98" s="109" t="n">
        <f aca="false">BN96*Hipótesis!$D$106/12+IF(BN96&gt;0,Hipótesis!$D$107*MAX(0,BN56),0)</f>
        <v>358.690701759159</v>
      </c>
      <c r="BO98" s="109" t="n">
        <f aca="false">BO96*Hipótesis!$D$106/12+IF(BO96&gt;0,Hipótesis!$D$107*MAX(0,BO56),0)</f>
        <v>353.135146203604</v>
      </c>
      <c r="BP98" s="109" t="n">
        <f aca="false">BP96*Hipótesis!$D$106/12+IF(BP96&gt;0,Hipótesis!$D$107*MAX(0,BP56),0)</f>
        <v>347.579590648048</v>
      </c>
      <c r="BQ98" s="109" t="n">
        <f aca="false">BQ96*Hipótesis!$D$106/12+IF(BQ96&gt;0,Hipótesis!$D$107*MAX(0,BQ56),0)</f>
        <v>342.024035092493</v>
      </c>
      <c r="BR98" s="109" t="n">
        <f aca="false">BR96*Hipótesis!$D$106/12+IF(BR96&gt;0,Hipótesis!$D$107*MAX(0,BR56),0)</f>
        <v>336.468479536937</v>
      </c>
      <c r="BS98" s="109" t="n">
        <f aca="false">BS96*Hipótesis!$D$106/12+IF(BS96&gt;0,Hipótesis!$D$107*MAX(0,BS56),0)</f>
        <v>330.912923981382</v>
      </c>
      <c r="BT98" s="109" t="n">
        <f aca="false">BT96*Hipótesis!$D$106/12+IF(BT96&gt;0,Hipótesis!$D$107*MAX(0,BT56),0)</f>
        <v>325.357368425826</v>
      </c>
      <c r="BU98" s="109" t="n">
        <f aca="false">BU96*Hipótesis!$D$106/12+IF(BU96&gt;0,Hipótesis!$D$107*MAX(0,BU56),0)</f>
        <v>319.80181287027</v>
      </c>
      <c r="BV98" s="109" t="n">
        <f aca="false">BV96*Hipótesis!$D$106/12+IF(BV96&gt;0,Hipótesis!$D$107*MAX(0,BV56),0)</f>
        <v>314.246257314715</v>
      </c>
      <c r="BW98" s="109" t="n">
        <f aca="false">BW96*Hipótesis!$D$106/12+IF(BW96&gt;0,Hipótesis!$D$107*MAX(0,BW56),0)</f>
        <v>256.053041809952</v>
      </c>
      <c r="BX98" s="109" t="n">
        <f aca="false">BX96*Hipótesis!$D$106/12+IF(BX96&gt;0,Hipótesis!$D$107*MAX(0,BX56),0)</f>
        <v>250.497486254396</v>
      </c>
      <c r="BY98" s="109" t="n">
        <f aca="false">BY96*Hipótesis!$D$106/12+IF(BY96&gt;0,Hipótesis!$D$107*MAX(0,BY56),0)</f>
        <v>244.941930698841</v>
      </c>
      <c r="BZ98" s="109" t="n">
        <f aca="false">BZ96*Hipótesis!$D$106/12+IF(BZ96&gt;0,Hipótesis!$D$107*MAX(0,BZ56),0)</f>
        <v>239.386375143285</v>
      </c>
      <c r="CA98" s="109" t="n">
        <f aca="false">CA96*Hipótesis!$D$106/12+IF(CA96&gt;0,Hipótesis!$D$107*MAX(0,CA56),0)</f>
        <v>233.83081958773</v>
      </c>
      <c r="CB98" s="109" t="n">
        <f aca="false">CB96*Hipótesis!$D$106/12+IF(CB96&gt;0,Hipótesis!$D$107*MAX(0,CB56),0)</f>
        <v>228.275264032174</v>
      </c>
      <c r="CC98" s="109" t="n">
        <f aca="false">CC96*Hipótesis!$D$106/12+IF(CC96&gt;0,Hipótesis!$D$107*MAX(0,CC56),0)</f>
        <v>222.719708476618</v>
      </c>
      <c r="CD98" s="109" t="n">
        <f aca="false">CD96*Hipótesis!$D$106/12+IF(CD96&gt;0,Hipótesis!$D$107*MAX(0,CD56),0)</f>
        <v>217.164152921063</v>
      </c>
      <c r="CE98" s="109" t="n">
        <f aca="false">CE96*Hipótesis!$D$106/12+IF(CE96&gt;0,Hipótesis!$D$107*MAX(0,CE56),0)</f>
        <v>211.608597365507</v>
      </c>
      <c r="CF98" s="109" t="n">
        <f aca="false">CF96*Hipótesis!$D$106/12+IF(CF96&gt;0,Hipótesis!$D$107*MAX(0,CF56),0)</f>
        <v>206.053041809952</v>
      </c>
      <c r="CG98" s="109" t="n">
        <f aca="false">CG96*Hipótesis!$D$106/12+IF(CG96&gt;0,Hipótesis!$D$107*MAX(0,CG56),0)</f>
        <v>200.497486254396</v>
      </c>
      <c r="CH98" s="109" t="n">
        <f aca="false">CH96*Hipótesis!$D$106/12+IF(CH96&gt;0,Hipótesis!$D$107*MAX(0,CH56),0)</f>
        <v>194.941930698841</v>
      </c>
    </row>
    <row r="99" customFormat="false" ht="13.5" hidden="false" customHeight="true" outlineLevel="0" collapsed="false">
      <c r="A99" s="6" t="s">
        <v>599</v>
      </c>
      <c r="C99" s="109" t="n">
        <f aca="false">C97+C98</f>
        <v>333.333333333333</v>
      </c>
      <c r="D99" s="109" t="n">
        <f aca="false">D97+D98</f>
        <v>333.333333333333</v>
      </c>
      <c r="E99" s="109" t="n">
        <f aca="false">E97+E98</f>
        <v>333.333333333333</v>
      </c>
      <c r="F99" s="109" t="n">
        <f aca="false">F97+F98</f>
        <v>333.333333333333</v>
      </c>
      <c r="G99" s="109" t="n">
        <f aca="false">G97+G98</f>
        <v>333.333333333333</v>
      </c>
      <c r="H99" s="109" t="n">
        <f aca="false">H97+H98</f>
        <v>333.333333333333</v>
      </c>
      <c r="I99" s="109" t="n">
        <f aca="false">I97+I98</f>
        <v>333.333333333333</v>
      </c>
      <c r="J99" s="109" t="n">
        <f aca="false">J97+J98</f>
        <v>333.333333333333</v>
      </c>
      <c r="K99" s="109" t="n">
        <f aca="false">K97+K98</f>
        <v>333.333333333333</v>
      </c>
      <c r="L99" s="109" t="n">
        <f aca="false">L97+L98</f>
        <v>334.089759655384</v>
      </c>
      <c r="M99" s="109" t="n">
        <f aca="false">M97+M98</f>
        <v>364.702788481501</v>
      </c>
      <c r="N99" s="109" t="n">
        <f aca="false">N97+N98</f>
        <v>361.734521297801</v>
      </c>
      <c r="O99" s="109" t="n">
        <f aca="false">O97+O98</f>
        <v>333.333333333333</v>
      </c>
      <c r="P99" s="109" t="n">
        <f aca="false">P97+P98</f>
        <v>335.141940783223</v>
      </c>
      <c r="Q99" s="109" t="n">
        <f aca="false">Q97+Q98</f>
        <v>333.333333333333</v>
      </c>
      <c r="R99" s="109" t="n">
        <f aca="false">R97+R98</f>
        <v>363.687714121468</v>
      </c>
      <c r="S99" s="109" t="n">
        <f aca="false">S97+S98</f>
        <v>401.07380079059</v>
      </c>
      <c r="T99" s="109" t="n">
        <f aca="false">T97+T98</f>
        <v>392.233487459713</v>
      </c>
      <c r="U99" s="109" t="n">
        <f aca="false">U97+U98</f>
        <v>429.619574128835</v>
      </c>
      <c r="V99" s="109" t="n">
        <f aca="false">V97+V98</f>
        <v>412.621660797957</v>
      </c>
      <c r="W99" s="109" t="n">
        <f aca="false">W97+W98</f>
        <v>450.00774746708</v>
      </c>
      <c r="X99" s="109" t="n">
        <f aca="false">X97+X98</f>
        <v>429.868730146019</v>
      </c>
      <c r="Y99" s="109" t="n">
        <f aca="false">Y97+Y98</f>
        <v>455.956112824958</v>
      </c>
      <c r="Z99" s="109" t="n">
        <f aca="false">Z97+Z98</f>
        <v>477.993813907824</v>
      </c>
      <c r="AA99" s="109" t="n">
        <f aca="false">AA97+AA98</f>
        <v>2118.28797365736</v>
      </c>
      <c r="AB99" s="109" t="n">
        <f aca="false">AB97+AB98</f>
        <v>2134.77011918467</v>
      </c>
      <c r="AC99" s="109" t="n">
        <f aca="false">AC97+AC98</f>
        <v>2151.25226471198</v>
      </c>
      <c r="AD99" s="109" t="n">
        <f aca="false">AD97+AD98</f>
        <v>2167.73441023929</v>
      </c>
      <c r="AE99" s="109" t="n">
        <f aca="false">AE97+AE98</f>
        <v>2136.6033637666</v>
      </c>
      <c r="AF99" s="109" t="n">
        <f aca="false">AF97+AF98</f>
        <v>2153.08550929391</v>
      </c>
      <c r="AG99" s="109" t="n">
        <f aca="false">AG97+AG98</f>
        <v>2169.56765482122</v>
      </c>
      <c r="AH99" s="109" t="n">
        <f aca="false">AH97+AH98</f>
        <v>2186.04980034853</v>
      </c>
      <c r="AI99" s="109" t="n">
        <f aca="false">AI97+AI98</f>
        <v>2202.53194587584</v>
      </c>
      <c r="AJ99" s="109" t="n">
        <f aca="false">AJ97+AJ98</f>
        <v>2219.01409140315</v>
      </c>
      <c r="AK99" s="109" t="n">
        <f aca="false">AK97+AK98</f>
        <v>2235.49623693046</v>
      </c>
      <c r="AL99" s="109" t="n">
        <f aca="false">AL97+AL98</f>
        <v>2251.97838245777</v>
      </c>
      <c r="AM99" s="109" t="n">
        <f aca="false">AM97+AM98</f>
        <v>2169.31603022508</v>
      </c>
      <c r="AN99" s="109" t="n">
        <f aca="false">AN97+AN98</f>
        <v>2185.79817575239</v>
      </c>
      <c r="AO99" s="109" t="n">
        <f aca="false">AO97+AO98</f>
        <v>2202.2803212797</v>
      </c>
      <c r="AP99" s="109" t="n">
        <f aca="false">AP97+AP98</f>
        <v>2218.76246680701</v>
      </c>
      <c r="AQ99" s="109" t="n">
        <f aca="false">AQ97+AQ98</f>
        <v>2235.24461233432</v>
      </c>
      <c r="AR99" s="109" t="n">
        <f aca="false">AR97+AR98</f>
        <v>2251.72675786163</v>
      </c>
      <c r="AS99" s="109" t="n">
        <f aca="false">AS97+AS98</f>
        <v>2246.17120230608</v>
      </c>
      <c r="AT99" s="109" t="n">
        <f aca="false">AT97+AT98</f>
        <v>2240.61564675052</v>
      </c>
      <c r="AU99" s="109" t="n">
        <f aca="false">AU97+AU98</f>
        <v>2235.06009119497</v>
      </c>
      <c r="AV99" s="109" t="n">
        <f aca="false">AV97+AV98</f>
        <v>2229.50453563941</v>
      </c>
      <c r="AW99" s="109" t="n">
        <f aca="false">AW97+AW98</f>
        <v>2223.94898008385</v>
      </c>
      <c r="AX99" s="109" t="n">
        <f aca="false">AX97+AX98</f>
        <v>2218.3934245283</v>
      </c>
      <c r="AY99" s="109" t="n">
        <f aca="false">AY97+AY98</f>
        <v>2160.94862403994</v>
      </c>
      <c r="AZ99" s="109" t="n">
        <f aca="false">AZ97+AZ98</f>
        <v>2155.39306848439</v>
      </c>
      <c r="BA99" s="109" t="n">
        <f aca="false">BA97+BA98</f>
        <v>2149.83751292883</v>
      </c>
      <c r="BB99" s="109" t="n">
        <f aca="false">BB97+BB98</f>
        <v>2144.28195737328</v>
      </c>
      <c r="BC99" s="109" t="n">
        <f aca="false">BC97+BC98</f>
        <v>2138.72640181772</v>
      </c>
      <c r="BD99" s="109" t="n">
        <f aca="false">BD97+BD98</f>
        <v>2133.17084626217</v>
      </c>
      <c r="BE99" s="109" t="n">
        <f aca="false">BE97+BE98</f>
        <v>2127.61529070661</v>
      </c>
      <c r="BF99" s="109" t="n">
        <f aca="false">BF97+BF98</f>
        <v>2122.05973515105</v>
      </c>
      <c r="BG99" s="109" t="n">
        <f aca="false">BG97+BG98</f>
        <v>2116.5041795955</v>
      </c>
      <c r="BH99" s="109" t="n">
        <f aca="false">BH97+BH98</f>
        <v>2110.94862403994</v>
      </c>
      <c r="BI99" s="109" t="n">
        <f aca="false">BI97+BI98</f>
        <v>2105.39306848439</v>
      </c>
      <c r="BJ99" s="109" t="n">
        <f aca="false">BJ97+BJ98</f>
        <v>2099.83751292883</v>
      </c>
      <c r="BK99" s="109" t="n">
        <f aca="false">BK97+BK98</f>
        <v>2042.02403509249</v>
      </c>
      <c r="BL99" s="109" t="n">
        <f aca="false">BL97+BL98</f>
        <v>2036.46847953694</v>
      </c>
      <c r="BM99" s="109" t="n">
        <f aca="false">BM97+BM98</f>
        <v>2030.91292398138</v>
      </c>
      <c r="BN99" s="109" t="n">
        <f aca="false">BN97+BN98</f>
        <v>2025.35736842583</v>
      </c>
      <c r="BO99" s="109" t="n">
        <f aca="false">BO97+BO98</f>
        <v>2019.80181287027</v>
      </c>
      <c r="BP99" s="109" t="n">
        <f aca="false">BP97+BP98</f>
        <v>2014.24625731472</v>
      </c>
      <c r="BQ99" s="109" t="n">
        <f aca="false">BQ97+BQ98</f>
        <v>2008.69070175916</v>
      </c>
      <c r="BR99" s="109" t="n">
        <f aca="false">BR97+BR98</f>
        <v>2003.1351462036</v>
      </c>
      <c r="BS99" s="109" t="n">
        <f aca="false">BS97+BS98</f>
        <v>1997.57959064805</v>
      </c>
      <c r="BT99" s="109" t="n">
        <f aca="false">BT97+BT98</f>
        <v>1992.02403509249</v>
      </c>
      <c r="BU99" s="109" t="n">
        <f aca="false">BU97+BU98</f>
        <v>1986.46847953694</v>
      </c>
      <c r="BV99" s="109" t="n">
        <f aca="false">BV97+BV98</f>
        <v>1980.91292398138</v>
      </c>
      <c r="BW99" s="109" t="n">
        <f aca="false">BW97+BW98</f>
        <v>1922.71970847662</v>
      </c>
      <c r="BX99" s="109" t="n">
        <f aca="false">BX97+BX98</f>
        <v>1917.16415292106</v>
      </c>
      <c r="BY99" s="109" t="n">
        <f aca="false">BY97+BY98</f>
        <v>1911.60859736551</v>
      </c>
      <c r="BZ99" s="109" t="n">
        <f aca="false">BZ97+BZ98</f>
        <v>1906.05304180995</v>
      </c>
      <c r="CA99" s="109" t="n">
        <f aca="false">CA97+CA98</f>
        <v>1900.4974862544</v>
      </c>
      <c r="CB99" s="109" t="n">
        <f aca="false">CB97+CB98</f>
        <v>1894.94193069884</v>
      </c>
      <c r="CC99" s="109" t="n">
        <f aca="false">CC97+CC98</f>
        <v>1889.38637514329</v>
      </c>
      <c r="CD99" s="109" t="n">
        <f aca="false">CD97+CD98</f>
        <v>1883.83081958773</v>
      </c>
      <c r="CE99" s="109" t="n">
        <f aca="false">CE97+CE98</f>
        <v>1878.27526403217</v>
      </c>
      <c r="CF99" s="109" t="n">
        <f aca="false">CF97+CF98</f>
        <v>1872.71970847662</v>
      </c>
      <c r="CG99" s="109" t="n">
        <f aca="false">CG97+CG98</f>
        <v>1867.16415292106</v>
      </c>
      <c r="CH99" s="109" t="n">
        <f aca="false">CH97+CH98</f>
        <v>1861.60859736545</v>
      </c>
    </row>
    <row r="100" customFormat="false" ht="13.5" hidden="false" customHeight="true" outlineLevel="0" collapsed="false"/>
    <row r="101" customFormat="false" ht="13.5" hidden="false" customHeight="true" outlineLevel="0" collapsed="false">
      <c r="A101" s="6" t="s">
        <v>600</v>
      </c>
      <c r="C101" s="109" t="n">
        <f aca="false">Hipótesis!$D$113*(1-Hipótesis!$D$117)</f>
        <v>0</v>
      </c>
      <c r="D101" s="109" t="n">
        <f aca="false">C101-C102</f>
        <v>0</v>
      </c>
      <c r="E101" s="109" t="n">
        <f aca="false">D101-D102</f>
        <v>0</v>
      </c>
      <c r="F101" s="109" t="n">
        <f aca="false">E101-E102</f>
        <v>0</v>
      </c>
      <c r="G101" s="109" t="n">
        <f aca="false">F101-F102</f>
        <v>0</v>
      </c>
      <c r="H101" s="109" t="n">
        <f aca="false">G101-G102</f>
        <v>0</v>
      </c>
      <c r="I101" s="109" t="n">
        <f aca="false">H101-H102</f>
        <v>0</v>
      </c>
      <c r="J101" s="109" t="n">
        <f aca="false">I101-I102</f>
        <v>0</v>
      </c>
      <c r="K101" s="109" t="n">
        <f aca="false">J101-J102</f>
        <v>0</v>
      </c>
      <c r="L101" s="109" t="n">
        <f aca="false">K101-K102</f>
        <v>0</v>
      </c>
      <c r="M101" s="109" t="n">
        <f aca="false">L101-L102</f>
        <v>0</v>
      </c>
      <c r="N101" s="109" t="n">
        <f aca="false">M101-M102</f>
        <v>0</v>
      </c>
      <c r="O101" s="109" t="n">
        <f aca="false">N101-N102</f>
        <v>0</v>
      </c>
      <c r="P101" s="109" t="n">
        <f aca="false">O101-O102</f>
        <v>0</v>
      </c>
      <c r="Q101" s="109" t="n">
        <f aca="false">P101-P102</f>
        <v>0</v>
      </c>
      <c r="R101" s="109" t="n">
        <f aca="false">Q101-Q102</f>
        <v>0</v>
      </c>
      <c r="S101" s="109" t="n">
        <f aca="false">R101-R102</f>
        <v>0</v>
      </c>
      <c r="T101" s="109" t="n">
        <f aca="false">S101-S102</f>
        <v>0</v>
      </c>
      <c r="U101" s="109" t="n">
        <f aca="false">T101-T102</f>
        <v>0</v>
      </c>
      <c r="V101" s="109" t="n">
        <f aca="false">U101-U102</f>
        <v>0</v>
      </c>
      <c r="W101" s="109" t="n">
        <f aca="false">V101-V102</f>
        <v>0</v>
      </c>
      <c r="X101" s="109" t="n">
        <f aca="false">W101-W102</f>
        <v>0</v>
      </c>
      <c r="Y101" s="109" t="n">
        <f aca="false">X101-X102</f>
        <v>0</v>
      </c>
      <c r="Z101" s="109" t="n">
        <f aca="false">Y101-Y102</f>
        <v>0</v>
      </c>
      <c r="AA101" s="109" t="n">
        <f aca="false">Z101-Z102</f>
        <v>0</v>
      </c>
      <c r="AB101" s="109" t="n">
        <f aca="false">AA101-AA102</f>
        <v>0</v>
      </c>
      <c r="AC101" s="109" t="n">
        <f aca="false">AB101-AB102</f>
        <v>0</v>
      </c>
      <c r="AD101" s="109" t="n">
        <f aca="false">AC101-AC102</f>
        <v>0</v>
      </c>
      <c r="AE101" s="109" t="n">
        <f aca="false">AD101-AD102</f>
        <v>0</v>
      </c>
      <c r="AF101" s="109" t="n">
        <f aca="false">AE101-AE102</f>
        <v>0</v>
      </c>
      <c r="AG101" s="109" t="n">
        <f aca="false">AF101-AF102</f>
        <v>0</v>
      </c>
      <c r="AH101" s="109" t="n">
        <f aca="false">AG101-AG102</f>
        <v>0</v>
      </c>
      <c r="AI101" s="109" t="n">
        <f aca="false">AH101-AH102</f>
        <v>0</v>
      </c>
      <c r="AJ101" s="109" t="n">
        <f aca="false">AI101-AI102</f>
        <v>0</v>
      </c>
      <c r="AK101" s="109" t="n">
        <f aca="false">AJ101-AJ102</f>
        <v>0</v>
      </c>
      <c r="AL101" s="109" t="n">
        <f aca="false">AK101-AK102</f>
        <v>0</v>
      </c>
      <c r="AM101" s="109" t="n">
        <f aca="false">AL101-AL102</f>
        <v>0</v>
      </c>
      <c r="AN101" s="109" t="n">
        <f aca="false">AM101-AM102</f>
        <v>0</v>
      </c>
      <c r="AO101" s="109" t="n">
        <f aca="false">AN101-AN102</f>
        <v>0</v>
      </c>
      <c r="AP101" s="109" t="n">
        <f aca="false">AO101-AO102</f>
        <v>0</v>
      </c>
      <c r="AQ101" s="109" t="n">
        <f aca="false">AP101-AP102</f>
        <v>0</v>
      </c>
      <c r="AR101" s="109" t="n">
        <f aca="false">AQ101-AQ102</f>
        <v>0</v>
      </c>
      <c r="AS101" s="109" t="n">
        <f aca="false">AR101-AR102</f>
        <v>0</v>
      </c>
      <c r="AT101" s="109" t="n">
        <f aca="false">AS101-AS102</f>
        <v>0</v>
      </c>
      <c r="AU101" s="109" t="n">
        <f aca="false">AT101-AT102</f>
        <v>0</v>
      </c>
      <c r="AV101" s="109" t="n">
        <f aca="false">AU101-AU102</f>
        <v>0</v>
      </c>
      <c r="AW101" s="109" t="n">
        <f aca="false">AV101-AV102</f>
        <v>0</v>
      </c>
      <c r="AX101" s="109" t="n">
        <f aca="false">AW101-AW102</f>
        <v>0</v>
      </c>
      <c r="AY101" s="109" t="n">
        <f aca="false">AX101-AX102</f>
        <v>0</v>
      </c>
      <c r="AZ101" s="109" t="n">
        <f aca="false">AY101-AY102</f>
        <v>0</v>
      </c>
      <c r="BA101" s="109" t="n">
        <f aca="false">AZ101-AZ102</f>
        <v>0</v>
      </c>
      <c r="BB101" s="109" t="n">
        <f aca="false">BA101-BA102</f>
        <v>0</v>
      </c>
      <c r="BC101" s="109" t="n">
        <f aca="false">BB101-BB102</f>
        <v>0</v>
      </c>
      <c r="BD101" s="109" t="n">
        <f aca="false">BC101-BC102</f>
        <v>0</v>
      </c>
      <c r="BE101" s="109" t="n">
        <f aca="false">BD101-BD102</f>
        <v>0</v>
      </c>
      <c r="BF101" s="109" t="n">
        <f aca="false">BE101-BE102</f>
        <v>0</v>
      </c>
      <c r="BG101" s="109" t="n">
        <f aca="false">BF101-BF102</f>
        <v>0</v>
      </c>
      <c r="BH101" s="109" t="n">
        <f aca="false">BG101-BG102</f>
        <v>0</v>
      </c>
      <c r="BI101" s="109" t="n">
        <f aca="false">BH101-BH102</f>
        <v>0</v>
      </c>
      <c r="BJ101" s="109" t="n">
        <f aca="false">BI101-BI102</f>
        <v>0</v>
      </c>
      <c r="BK101" s="109" t="n">
        <f aca="false">BJ101-BJ102</f>
        <v>0</v>
      </c>
      <c r="BL101" s="109" t="n">
        <f aca="false">BK101-BK102</f>
        <v>0</v>
      </c>
      <c r="BM101" s="109" t="n">
        <f aca="false">BL101-BL102</f>
        <v>0</v>
      </c>
      <c r="BN101" s="109" t="n">
        <f aca="false">BM101-BM102</f>
        <v>0</v>
      </c>
      <c r="BO101" s="109" t="n">
        <f aca="false">BN101-BN102</f>
        <v>0</v>
      </c>
      <c r="BP101" s="109" t="n">
        <f aca="false">BO101-BO102</f>
        <v>0</v>
      </c>
      <c r="BQ101" s="109" t="n">
        <f aca="false">BP101-BP102</f>
        <v>0</v>
      </c>
      <c r="BR101" s="109" t="n">
        <f aca="false">BQ101-BQ102</f>
        <v>0</v>
      </c>
      <c r="BS101" s="109" t="n">
        <f aca="false">BR101-BR102</f>
        <v>0</v>
      </c>
      <c r="BT101" s="109" t="n">
        <f aca="false">BS101-BS102</f>
        <v>0</v>
      </c>
      <c r="BU101" s="109" t="n">
        <f aca="false">BT101-BT102</f>
        <v>0</v>
      </c>
      <c r="BV101" s="109" t="n">
        <f aca="false">BU101-BU102</f>
        <v>0</v>
      </c>
      <c r="BW101" s="109" t="n">
        <f aca="false">BV101-BV102</f>
        <v>0</v>
      </c>
      <c r="BX101" s="109" t="n">
        <f aca="false">BW101-BW102</f>
        <v>0</v>
      </c>
      <c r="BY101" s="109" t="n">
        <f aca="false">BX101-BX102</f>
        <v>0</v>
      </c>
      <c r="BZ101" s="109" t="n">
        <f aca="false">BY101-BY102</f>
        <v>0</v>
      </c>
      <c r="CA101" s="109" t="n">
        <f aca="false">BZ101-BZ102</f>
        <v>0</v>
      </c>
      <c r="CB101" s="109" t="n">
        <f aca="false">CA101-CA102</f>
        <v>0</v>
      </c>
      <c r="CC101" s="109" t="n">
        <f aca="false">CB101-CB102</f>
        <v>0</v>
      </c>
      <c r="CD101" s="109" t="n">
        <f aca="false">CC101-CC102</f>
        <v>0</v>
      </c>
      <c r="CE101" s="109" t="n">
        <f aca="false">CD101-CD102</f>
        <v>0</v>
      </c>
      <c r="CF101" s="109" t="n">
        <f aca="false">CE101-CE102</f>
        <v>0</v>
      </c>
      <c r="CG101" s="109" t="n">
        <f aca="false">CF101-CF102</f>
        <v>0</v>
      </c>
      <c r="CH101" s="109" t="n">
        <f aca="false">CG101-CG102</f>
        <v>0</v>
      </c>
    </row>
    <row r="102" customFormat="false" ht="13.5" hidden="false" customHeight="true" outlineLevel="0" collapsed="false">
      <c r="A102" s="6" t="s">
        <v>601</v>
      </c>
      <c r="C102" s="109" t="n">
        <f aca="false">IF(1&lt;=Hipótesis!$D$116,0,IF(C101&gt;0,MIN(C101,Hipótesis!$D$113*(1-Hipótesis!$D$117)/MAX(Hipótesis!$D$115-Hipótesis!$D$116,1)),0))</f>
        <v>0</v>
      </c>
      <c r="D102" s="109" t="n">
        <f aca="false">IF(2&lt;=Hipótesis!$D$116,0,IF(D101&gt;0,MIN(D101,Hipótesis!$D$113*(1-Hipótesis!$D$117)/MAX(Hipótesis!$D$115-Hipótesis!$D$116,1)),0))</f>
        <v>0</v>
      </c>
      <c r="E102" s="109" t="n">
        <f aca="false">IF(3&lt;=Hipótesis!$D$116,0,IF(E101&gt;0,MIN(E101,Hipótesis!$D$113*(1-Hipótesis!$D$117)/MAX(Hipótesis!$D$115-Hipótesis!$D$116,1)),0))</f>
        <v>0</v>
      </c>
      <c r="F102" s="109" t="n">
        <f aca="false">IF(4&lt;=Hipótesis!$D$116,0,IF(F101&gt;0,MIN(F101,Hipótesis!$D$113*(1-Hipótesis!$D$117)/MAX(Hipótesis!$D$115-Hipótesis!$D$116,1)),0))</f>
        <v>0</v>
      </c>
      <c r="G102" s="109" t="n">
        <f aca="false">IF(5&lt;=Hipótesis!$D$116,0,IF(G101&gt;0,MIN(G101,Hipótesis!$D$113*(1-Hipótesis!$D$117)/MAX(Hipótesis!$D$115-Hipótesis!$D$116,1)),0))</f>
        <v>0</v>
      </c>
      <c r="H102" s="109" t="n">
        <f aca="false">IF(6&lt;=Hipótesis!$D$116,0,IF(H101&gt;0,MIN(H101,Hipótesis!$D$113*(1-Hipótesis!$D$117)/MAX(Hipótesis!$D$115-Hipótesis!$D$116,1)),0))</f>
        <v>0</v>
      </c>
      <c r="I102" s="109" t="n">
        <f aca="false">IF(7&lt;=Hipótesis!$D$116,0,IF(I101&gt;0,MIN(I101,Hipótesis!$D$113*(1-Hipótesis!$D$117)/MAX(Hipótesis!$D$115-Hipótesis!$D$116,1)),0))</f>
        <v>0</v>
      </c>
      <c r="J102" s="109" t="n">
        <f aca="false">IF(8&lt;=Hipótesis!$D$116,0,IF(J101&gt;0,MIN(J101,Hipótesis!$D$113*(1-Hipótesis!$D$117)/MAX(Hipótesis!$D$115-Hipótesis!$D$116,1)),0))</f>
        <v>0</v>
      </c>
      <c r="K102" s="109" t="n">
        <f aca="false">IF(9&lt;=Hipótesis!$D$116,0,IF(K101&gt;0,MIN(K101,Hipótesis!$D$113*(1-Hipótesis!$D$117)/MAX(Hipótesis!$D$115-Hipótesis!$D$116,1)),0))</f>
        <v>0</v>
      </c>
      <c r="L102" s="109" t="n">
        <f aca="false">IF(10&lt;=Hipótesis!$D$116,0,IF(L101&gt;0,MIN(L101,Hipótesis!$D$113*(1-Hipótesis!$D$117)/MAX(Hipótesis!$D$115-Hipótesis!$D$116,1)),0))</f>
        <v>0</v>
      </c>
      <c r="M102" s="109" t="n">
        <f aca="false">IF(11&lt;=Hipótesis!$D$116,0,IF(M101&gt;0,MIN(M101,Hipótesis!$D$113*(1-Hipótesis!$D$117)/MAX(Hipótesis!$D$115-Hipótesis!$D$116,1)),0))</f>
        <v>0</v>
      </c>
      <c r="N102" s="109" t="n">
        <f aca="false">IF(12&lt;=Hipótesis!$D$116,0,IF(N101&gt;0,MIN(N101,Hipótesis!$D$113*(1-Hipótesis!$D$117)/MAX(Hipótesis!$D$115-Hipótesis!$D$116,1)),0))</f>
        <v>0</v>
      </c>
      <c r="O102" s="109" t="n">
        <f aca="false">IF(13&lt;=Hipótesis!$D$116,0,IF(O101&gt;0,MIN(O101,Hipótesis!$D$113*(1-Hipótesis!$D$117)/MAX(Hipótesis!$D$115-Hipótesis!$D$116,1)),0))</f>
        <v>0</v>
      </c>
      <c r="P102" s="109" t="n">
        <f aca="false">IF(14&lt;=Hipótesis!$D$116,0,IF(P101&gt;0,MIN(P101,Hipótesis!$D$113*(1-Hipótesis!$D$117)/MAX(Hipótesis!$D$115-Hipótesis!$D$116,1)),0))</f>
        <v>0</v>
      </c>
      <c r="Q102" s="109" t="n">
        <f aca="false">IF(15&lt;=Hipótesis!$D$116,0,IF(Q101&gt;0,MIN(Q101,Hipótesis!$D$113*(1-Hipótesis!$D$117)/MAX(Hipótesis!$D$115-Hipótesis!$D$116,1)),0))</f>
        <v>0</v>
      </c>
      <c r="R102" s="109" t="n">
        <f aca="false">IF(16&lt;=Hipótesis!$D$116,0,IF(R101&gt;0,MIN(R101,Hipótesis!$D$113*(1-Hipótesis!$D$117)/MAX(Hipótesis!$D$115-Hipótesis!$D$116,1)),0))</f>
        <v>0</v>
      </c>
      <c r="S102" s="109" t="n">
        <f aca="false">IF(17&lt;=Hipótesis!$D$116,0,IF(S101&gt;0,MIN(S101,Hipótesis!$D$113*(1-Hipótesis!$D$117)/MAX(Hipótesis!$D$115-Hipótesis!$D$116,1)),0))</f>
        <v>0</v>
      </c>
      <c r="T102" s="109" t="n">
        <f aca="false">IF(18&lt;=Hipótesis!$D$116,0,IF(T101&gt;0,MIN(T101,Hipótesis!$D$113*(1-Hipótesis!$D$117)/MAX(Hipótesis!$D$115-Hipótesis!$D$116,1)),0))</f>
        <v>0</v>
      </c>
      <c r="U102" s="109" t="n">
        <f aca="false">IF(19&lt;=Hipótesis!$D$116,0,IF(U101&gt;0,MIN(U101,Hipótesis!$D$113*(1-Hipótesis!$D$117)/MAX(Hipótesis!$D$115-Hipótesis!$D$116,1)),0))</f>
        <v>0</v>
      </c>
      <c r="V102" s="109" t="n">
        <f aca="false">IF(20&lt;=Hipótesis!$D$116,0,IF(V101&gt;0,MIN(V101,Hipótesis!$D$113*(1-Hipótesis!$D$117)/MAX(Hipótesis!$D$115-Hipótesis!$D$116,1)),0))</f>
        <v>0</v>
      </c>
      <c r="W102" s="109" t="n">
        <f aca="false">IF(21&lt;=Hipótesis!$D$116,0,IF(W101&gt;0,MIN(W101,Hipótesis!$D$113*(1-Hipótesis!$D$117)/MAX(Hipótesis!$D$115-Hipótesis!$D$116,1)),0))</f>
        <v>0</v>
      </c>
      <c r="X102" s="109" t="n">
        <f aca="false">IF(22&lt;=Hipótesis!$D$116,0,IF(X101&gt;0,MIN(X101,Hipótesis!$D$113*(1-Hipótesis!$D$117)/MAX(Hipótesis!$D$115-Hipótesis!$D$116,1)),0))</f>
        <v>0</v>
      </c>
      <c r="Y102" s="109" t="n">
        <f aca="false">IF(23&lt;=Hipótesis!$D$116,0,IF(Y101&gt;0,MIN(Y101,Hipótesis!$D$113*(1-Hipótesis!$D$117)/MAX(Hipótesis!$D$115-Hipótesis!$D$116,1)),0))</f>
        <v>0</v>
      </c>
      <c r="Z102" s="109" t="n">
        <f aca="false">IF(24&lt;=Hipótesis!$D$116,0,IF(Z101&gt;0,MIN(Z101,Hipótesis!$D$113*(1-Hipótesis!$D$117)/MAX(Hipótesis!$D$115-Hipótesis!$D$116,1)),0))</f>
        <v>0</v>
      </c>
      <c r="AA102" s="109" t="n">
        <f aca="false">IF(25&lt;=Hipótesis!$D$116,0,IF(AA101&gt;0,MIN(AA101,Hipótesis!$D$113*(1-Hipótesis!$D$117)/MAX(Hipótesis!$D$115-Hipótesis!$D$116,1)),0))</f>
        <v>0</v>
      </c>
      <c r="AB102" s="109" t="n">
        <f aca="false">IF(26&lt;=Hipótesis!$D$116,0,IF(AB101&gt;0,MIN(AB101,Hipótesis!$D$113*(1-Hipótesis!$D$117)/MAX(Hipótesis!$D$115-Hipótesis!$D$116,1)),0))</f>
        <v>0</v>
      </c>
      <c r="AC102" s="109" t="n">
        <f aca="false">IF(27&lt;=Hipótesis!$D$116,0,IF(AC101&gt;0,MIN(AC101,Hipótesis!$D$113*(1-Hipótesis!$D$117)/MAX(Hipótesis!$D$115-Hipótesis!$D$116,1)),0))</f>
        <v>0</v>
      </c>
      <c r="AD102" s="109" t="n">
        <f aca="false">IF(28&lt;=Hipótesis!$D$116,0,IF(AD101&gt;0,MIN(AD101,Hipótesis!$D$113*(1-Hipótesis!$D$117)/MAX(Hipótesis!$D$115-Hipótesis!$D$116,1)),0))</f>
        <v>0</v>
      </c>
      <c r="AE102" s="109" t="n">
        <f aca="false">IF(29&lt;=Hipótesis!$D$116,0,IF(AE101&gt;0,MIN(AE101,Hipótesis!$D$113*(1-Hipótesis!$D$117)/MAX(Hipótesis!$D$115-Hipótesis!$D$116,1)),0))</f>
        <v>0</v>
      </c>
      <c r="AF102" s="109" t="n">
        <f aca="false">IF(30&lt;=Hipótesis!$D$116,0,IF(AF101&gt;0,MIN(AF101,Hipótesis!$D$113*(1-Hipótesis!$D$117)/MAX(Hipótesis!$D$115-Hipótesis!$D$116,1)),0))</f>
        <v>0</v>
      </c>
      <c r="AG102" s="109" t="n">
        <f aca="false">IF(31&lt;=Hipótesis!$D$116,0,IF(AG101&gt;0,MIN(AG101,Hipótesis!$D$113*(1-Hipótesis!$D$117)/MAX(Hipótesis!$D$115-Hipótesis!$D$116,1)),0))</f>
        <v>0</v>
      </c>
      <c r="AH102" s="109" t="n">
        <f aca="false">IF(32&lt;=Hipótesis!$D$116,0,IF(AH101&gt;0,MIN(AH101,Hipótesis!$D$113*(1-Hipótesis!$D$117)/MAX(Hipótesis!$D$115-Hipótesis!$D$116,1)),0))</f>
        <v>0</v>
      </c>
      <c r="AI102" s="109" t="n">
        <f aca="false">IF(33&lt;=Hipótesis!$D$116,0,IF(AI101&gt;0,MIN(AI101,Hipótesis!$D$113*(1-Hipótesis!$D$117)/MAX(Hipótesis!$D$115-Hipótesis!$D$116,1)),0))</f>
        <v>0</v>
      </c>
      <c r="AJ102" s="109" t="n">
        <f aca="false">IF(34&lt;=Hipótesis!$D$116,0,IF(AJ101&gt;0,MIN(AJ101,Hipótesis!$D$113*(1-Hipótesis!$D$117)/MAX(Hipótesis!$D$115-Hipótesis!$D$116,1)),0))</f>
        <v>0</v>
      </c>
      <c r="AK102" s="109" t="n">
        <f aca="false">IF(35&lt;=Hipótesis!$D$116,0,IF(AK101&gt;0,MIN(AK101,Hipótesis!$D$113*(1-Hipótesis!$D$117)/MAX(Hipótesis!$D$115-Hipótesis!$D$116,1)),0))</f>
        <v>0</v>
      </c>
      <c r="AL102" s="109" t="n">
        <f aca="false">IF(36&lt;=Hipótesis!$D$116,0,IF(AL101&gt;0,MIN(AL101,Hipótesis!$D$113*(1-Hipótesis!$D$117)/MAX(Hipótesis!$D$115-Hipótesis!$D$116,1)),0))</f>
        <v>0</v>
      </c>
      <c r="AM102" s="109" t="n">
        <f aca="false">IF(37&lt;=Hipótesis!$D$116,0,IF(AM101&gt;0,MIN(AM101,Hipótesis!$D$113*(1-Hipótesis!$D$117)/MAX(Hipótesis!$D$115-Hipótesis!$D$116,1)),0))</f>
        <v>0</v>
      </c>
      <c r="AN102" s="109" t="n">
        <f aca="false">IF(38&lt;=Hipótesis!$D$116,0,IF(AN101&gt;0,MIN(AN101,Hipótesis!$D$113*(1-Hipótesis!$D$117)/MAX(Hipótesis!$D$115-Hipótesis!$D$116,1)),0))</f>
        <v>0</v>
      </c>
      <c r="AO102" s="109" t="n">
        <f aca="false">IF(39&lt;=Hipótesis!$D$116,0,IF(AO101&gt;0,MIN(AO101,Hipótesis!$D$113*(1-Hipótesis!$D$117)/MAX(Hipótesis!$D$115-Hipótesis!$D$116,1)),0))</f>
        <v>0</v>
      </c>
      <c r="AP102" s="109" t="n">
        <f aca="false">IF(40&lt;=Hipótesis!$D$116,0,IF(AP101&gt;0,MIN(AP101,Hipótesis!$D$113*(1-Hipótesis!$D$117)/MAX(Hipótesis!$D$115-Hipótesis!$D$116,1)),0))</f>
        <v>0</v>
      </c>
      <c r="AQ102" s="109" t="n">
        <f aca="false">IF(41&lt;=Hipótesis!$D$116,0,IF(AQ101&gt;0,MIN(AQ101,Hipótesis!$D$113*(1-Hipótesis!$D$117)/MAX(Hipótesis!$D$115-Hipótesis!$D$116,1)),0))</f>
        <v>0</v>
      </c>
      <c r="AR102" s="109" t="n">
        <f aca="false">IF(42&lt;=Hipótesis!$D$116,0,IF(AR101&gt;0,MIN(AR101,Hipótesis!$D$113*(1-Hipótesis!$D$117)/MAX(Hipótesis!$D$115-Hipótesis!$D$116,1)),0))</f>
        <v>0</v>
      </c>
      <c r="AS102" s="109" t="n">
        <f aca="false">IF(43&lt;=Hipótesis!$D$116,0,IF(AS101&gt;0,MIN(AS101,Hipótesis!$D$113*(1-Hipótesis!$D$117)/MAX(Hipótesis!$D$115-Hipótesis!$D$116,1)),0))</f>
        <v>0</v>
      </c>
      <c r="AT102" s="109" t="n">
        <f aca="false">IF(44&lt;=Hipótesis!$D$116,0,IF(AT101&gt;0,MIN(AT101,Hipótesis!$D$113*(1-Hipótesis!$D$117)/MAX(Hipótesis!$D$115-Hipótesis!$D$116,1)),0))</f>
        <v>0</v>
      </c>
      <c r="AU102" s="109" t="n">
        <f aca="false">IF(45&lt;=Hipótesis!$D$116,0,IF(AU101&gt;0,MIN(AU101,Hipótesis!$D$113*(1-Hipótesis!$D$117)/MAX(Hipótesis!$D$115-Hipótesis!$D$116,1)),0))</f>
        <v>0</v>
      </c>
      <c r="AV102" s="109" t="n">
        <f aca="false">IF(46&lt;=Hipótesis!$D$116,0,IF(AV101&gt;0,MIN(AV101,Hipótesis!$D$113*(1-Hipótesis!$D$117)/MAX(Hipótesis!$D$115-Hipótesis!$D$116,1)),0))</f>
        <v>0</v>
      </c>
      <c r="AW102" s="109" t="n">
        <f aca="false">IF(47&lt;=Hipótesis!$D$116,0,IF(AW101&gt;0,MIN(AW101,Hipótesis!$D$113*(1-Hipótesis!$D$117)/MAX(Hipótesis!$D$115-Hipótesis!$D$116,1)),0))</f>
        <v>0</v>
      </c>
      <c r="AX102" s="109" t="n">
        <f aca="false">IF(48&lt;=Hipótesis!$D$116,0,IF(AX101&gt;0,MIN(AX101,Hipótesis!$D$113*(1-Hipótesis!$D$117)/MAX(Hipótesis!$D$115-Hipótesis!$D$116,1)),0))</f>
        <v>0</v>
      </c>
      <c r="AY102" s="109" t="n">
        <f aca="false">IF(49&lt;=Hipótesis!$D$116,0,IF(AY101&gt;0,MIN(AY101,Hipótesis!$D$113*(1-Hipótesis!$D$117)/MAX(Hipótesis!$D$115-Hipótesis!$D$116,1)),0))</f>
        <v>0</v>
      </c>
      <c r="AZ102" s="109" t="n">
        <f aca="false">IF(50&lt;=Hipótesis!$D$116,0,IF(AZ101&gt;0,MIN(AZ101,Hipótesis!$D$113*(1-Hipótesis!$D$117)/MAX(Hipótesis!$D$115-Hipótesis!$D$116,1)),0))</f>
        <v>0</v>
      </c>
      <c r="BA102" s="109" t="n">
        <f aca="false">IF(51&lt;=Hipótesis!$D$116,0,IF(BA101&gt;0,MIN(BA101,Hipótesis!$D$113*(1-Hipótesis!$D$117)/MAX(Hipótesis!$D$115-Hipótesis!$D$116,1)),0))</f>
        <v>0</v>
      </c>
      <c r="BB102" s="109" t="n">
        <f aca="false">IF(52&lt;=Hipótesis!$D$116,0,IF(BB101&gt;0,MIN(BB101,Hipótesis!$D$113*(1-Hipótesis!$D$117)/MAX(Hipótesis!$D$115-Hipótesis!$D$116,1)),0))</f>
        <v>0</v>
      </c>
      <c r="BC102" s="109" t="n">
        <f aca="false">IF(53&lt;=Hipótesis!$D$116,0,IF(BC101&gt;0,MIN(BC101,Hipótesis!$D$113*(1-Hipótesis!$D$117)/MAX(Hipótesis!$D$115-Hipótesis!$D$116,1)),0))</f>
        <v>0</v>
      </c>
      <c r="BD102" s="109" t="n">
        <f aca="false">IF(54&lt;=Hipótesis!$D$116,0,IF(BD101&gt;0,MIN(BD101,Hipótesis!$D$113*(1-Hipótesis!$D$117)/MAX(Hipótesis!$D$115-Hipótesis!$D$116,1)),0))</f>
        <v>0</v>
      </c>
      <c r="BE102" s="109" t="n">
        <f aca="false">IF(55&lt;=Hipótesis!$D$116,0,IF(BE101&gt;0,MIN(BE101,Hipótesis!$D$113*(1-Hipótesis!$D$117)/MAX(Hipótesis!$D$115-Hipótesis!$D$116,1)),0))</f>
        <v>0</v>
      </c>
      <c r="BF102" s="109" t="n">
        <f aca="false">IF(56&lt;=Hipótesis!$D$116,0,IF(BF101&gt;0,MIN(BF101,Hipótesis!$D$113*(1-Hipótesis!$D$117)/MAX(Hipótesis!$D$115-Hipótesis!$D$116,1)),0))</f>
        <v>0</v>
      </c>
      <c r="BG102" s="109" t="n">
        <f aca="false">IF(57&lt;=Hipótesis!$D$116,0,IF(BG101&gt;0,MIN(BG101,Hipótesis!$D$113*(1-Hipótesis!$D$117)/MAX(Hipótesis!$D$115-Hipótesis!$D$116,1)),0))</f>
        <v>0</v>
      </c>
      <c r="BH102" s="109" t="n">
        <f aca="false">IF(58&lt;=Hipótesis!$D$116,0,IF(BH101&gt;0,MIN(BH101,Hipótesis!$D$113*(1-Hipótesis!$D$117)/MAX(Hipótesis!$D$115-Hipótesis!$D$116,1)),0))</f>
        <v>0</v>
      </c>
      <c r="BI102" s="109" t="n">
        <f aca="false">IF(59&lt;=Hipótesis!$D$116,0,IF(BI101&gt;0,MIN(BI101,Hipótesis!$D$113*(1-Hipótesis!$D$117)/MAX(Hipótesis!$D$115-Hipótesis!$D$116,1)),0))</f>
        <v>0</v>
      </c>
      <c r="BJ102" s="109" t="n">
        <f aca="false">IF(60&lt;=Hipótesis!$D$116,0,IF(BJ101&gt;0,MIN(BJ101,Hipótesis!$D$113*(1-Hipótesis!$D$117)/MAX(Hipótesis!$D$115-Hipótesis!$D$116,1)),0))</f>
        <v>0</v>
      </c>
      <c r="BK102" s="109" t="n">
        <f aca="false">IF(61&lt;=Hipótesis!$D$116,0,IF(BK101&gt;0,MIN(BK101,Hipótesis!$D$113*(1-Hipótesis!$D$117)/MAX(Hipótesis!$D$115-Hipótesis!$D$116,1)),0))</f>
        <v>0</v>
      </c>
      <c r="BL102" s="109" t="n">
        <f aca="false">IF(62&lt;=Hipótesis!$D$116,0,IF(BL101&gt;0,MIN(BL101,Hipótesis!$D$113*(1-Hipótesis!$D$117)/MAX(Hipótesis!$D$115-Hipótesis!$D$116,1)),0))</f>
        <v>0</v>
      </c>
      <c r="BM102" s="109" t="n">
        <f aca="false">IF(63&lt;=Hipótesis!$D$116,0,IF(BM101&gt;0,MIN(BM101,Hipótesis!$D$113*(1-Hipótesis!$D$117)/MAX(Hipótesis!$D$115-Hipótesis!$D$116,1)),0))</f>
        <v>0</v>
      </c>
      <c r="BN102" s="109" t="n">
        <f aca="false">IF(64&lt;=Hipótesis!$D$116,0,IF(BN101&gt;0,MIN(BN101,Hipótesis!$D$113*(1-Hipótesis!$D$117)/MAX(Hipótesis!$D$115-Hipótesis!$D$116,1)),0))</f>
        <v>0</v>
      </c>
      <c r="BO102" s="109" t="n">
        <f aca="false">IF(65&lt;=Hipótesis!$D$116,0,IF(BO101&gt;0,MIN(BO101,Hipótesis!$D$113*(1-Hipótesis!$D$117)/MAX(Hipótesis!$D$115-Hipótesis!$D$116,1)),0))</f>
        <v>0</v>
      </c>
      <c r="BP102" s="109" t="n">
        <f aca="false">IF(66&lt;=Hipótesis!$D$116,0,IF(BP101&gt;0,MIN(BP101,Hipótesis!$D$113*(1-Hipótesis!$D$117)/MAX(Hipótesis!$D$115-Hipótesis!$D$116,1)),0))</f>
        <v>0</v>
      </c>
      <c r="BQ102" s="109" t="n">
        <f aca="false">IF(67&lt;=Hipótesis!$D$116,0,IF(BQ101&gt;0,MIN(BQ101,Hipótesis!$D$113*(1-Hipótesis!$D$117)/MAX(Hipótesis!$D$115-Hipótesis!$D$116,1)),0))</f>
        <v>0</v>
      </c>
      <c r="BR102" s="109" t="n">
        <f aca="false">IF(68&lt;=Hipótesis!$D$116,0,IF(BR101&gt;0,MIN(BR101,Hipótesis!$D$113*(1-Hipótesis!$D$117)/MAX(Hipótesis!$D$115-Hipótesis!$D$116,1)),0))</f>
        <v>0</v>
      </c>
      <c r="BS102" s="109" t="n">
        <f aca="false">IF(69&lt;=Hipótesis!$D$116,0,IF(BS101&gt;0,MIN(BS101,Hipótesis!$D$113*(1-Hipótesis!$D$117)/MAX(Hipótesis!$D$115-Hipótesis!$D$116,1)),0))</f>
        <v>0</v>
      </c>
      <c r="BT102" s="109" t="n">
        <f aca="false">IF(70&lt;=Hipótesis!$D$116,0,IF(BT101&gt;0,MIN(BT101,Hipótesis!$D$113*(1-Hipótesis!$D$117)/MAX(Hipótesis!$D$115-Hipótesis!$D$116,1)),0))</f>
        <v>0</v>
      </c>
      <c r="BU102" s="109" t="n">
        <f aca="false">IF(71&lt;=Hipótesis!$D$116,0,IF(BU101&gt;0,MIN(BU101,Hipótesis!$D$113*(1-Hipótesis!$D$117)/MAX(Hipótesis!$D$115-Hipótesis!$D$116,1)),0))</f>
        <v>0</v>
      </c>
      <c r="BV102" s="109" t="n">
        <f aca="false">IF(72&lt;=Hipótesis!$D$116,0,IF(BV101&gt;0,MIN(BV101,Hipótesis!$D$113*(1-Hipótesis!$D$117)/MAX(Hipótesis!$D$115-Hipótesis!$D$116,1)),0))</f>
        <v>0</v>
      </c>
      <c r="BW102" s="109" t="n">
        <f aca="false">IF(73&lt;=Hipótesis!$D$116,0,IF(BW101&gt;0,MIN(BW101,Hipótesis!$D$113*(1-Hipótesis!$D$117)/MAX(Hipótesis!$D$115-Hipótesis!$D$116,1)),0))</f>
        <v>0</v>
      </c>
      <c r="BX102" s="109" t="n">
        <f aca="false">IF(74&lt;=Hipótesis!$D$116,0,IF(BX101&gt;0,MIN(BX101,Hipótesis!$D$113*(1-Hipótesis!$D$117)/MAX(Hipótesis!$D$115-Hipótesis!$D$116,1)),0))</f>
        <v>0</v>
      </c>
      <c r="BY102" s="109" t="n">
        <f aca="false">IF(75&lt;=Hipótesis!$D$116,0,IF(BY101&gt;0,MIN(BY101,Hipótesis!$D$113*(1-Hipótesis!$D$117)/MAX(Hipótesis!$D$115-Hipótesis!$D$116,1)),0))</f>
        <v>0</v>
      </c>
      <c r="BZ102" s="109" t="n">
        <f aca="false">IF(76&lt;=Hipótesis!$D$116,0,IF(BZ101&gt;0,MIN(BZ101,Hipótesis!$D$113*(1-Hipótesis!$D$117)/MAX(Hipótesis!$D$115-Hipótesis!$D$116,1)),0))</f>
        <v>0</v>
      </c>
      <c r="CA102" s="109" t="n">
        <f aca="false">IF(77&lt;=Hipótesis!$D$116,0,IF(CA101&gt;0,MIN(CA101,Hipótesis!$D$113*(1-Hipótesis!$D$117)/MAX(Hipótesis!$D$115-Hipótesis!$D$116,1)),0))</f>
        <v>0</v>
      </c>
      <c r="CB102" s="109" t="n">
        <f aca="false">IF(78&lt;=Hipótesis!$D$116,0,IF(CB101&gt;0,MIN(CB101,Hipótesis!$D$113*(1-Hipótesis!$D$117)/MAX(Hipótesis!$D$115-Hipótesis!$D$116,1)),0))</f>
        <v>0</v>
      </c>
      <c r="CC102" s="109" t="n">
        <f aca="false">IF(79&lt;=Hipótesis!$D$116,0,IF(CC101&gt;0,MIN(CC101,Hipótesis!$D$113*(1-Hipótesis!$D$117)/MAX(Hipótesis!$D$115-Hipótesis!$D$116,1)),0))</f>
        <v>0</v>
      </c>
      <c r="CD102" s="109" t="n">
        <f aca="false">IF(80&lt;=Hipótesis!$D$116,0,IF(CD101&gt;0,MIN(CD101,Hipótesis!$D$113*(1-Hipótesis!$D$117)/MAX(Hipótesis!$D$115-Hipótesis!$D$116,1)),0))</f>
        <v>0</v>
      </c>
      <c r="CE102" s="109" t="n">
        <f aca="false">IF(81&lt;=Hipótesis!$D$116,0,IF(CE101&gt;0,MIN(CE101,Hipótesis!$D$113*(1-Hipótesis!$D$117)/MAX(Hipótesis!$D$115-Hipótesis!$D$116,1)),0))</f>
        <v>0</v>
      </c>
      <c r="CF102" s="109" t="n">
        <f aca="false">IF(82&lt;=Hipótesis!$D$116,0,IF(CF101&gt;0,MIN(CF101,Hipótesis!$D$113*(1-Hipótesis!$D$117)/MAX(Hipótesis!$D$115-Hipótesis!$D$116,1)),0))</f>
        <v>0</v>
      </c>
      <c r="CG102" s="109" t="n">
        <f aca="false">IF(83&lt;=Hipótesis!$D$116,0,IF(CG101&gt;0,MIN(CG101,Hipótesis!$D$113*(1-Hipótesis!$D$117)/MAX(Hipótesis!$D$115-Hipótesis!$D$116,1)),0))</f>
        <v>0</v>
      </c>
      <c r="CH102" s="109" t="n">
        <f aca="false">IF(84&lt;=Hipótesis!$D$116,0,IF(CH101&gt;0,MIN(CH101,Hipótesis!$D$113*(1-Hipótesis!$D$117)/MAX(Hipótesis!$D$115-Hipótesis!$D$116,1)),0))</f>
        <v>0</v>
      </c>
    </row>
    <row r="103" customFormat="false" ht="13.5" hidden="false" customHeight="true" outlineLevel="0" collapsed="false">
      <c r="A103" s="6" t="s">
        <v>602</v>
      </c>
      <c r="C103" s="109" t="n">
        <f aca="false">C101*Hipótesis!$D$114/12</f>
        <v>0</v>
      </c>
      <c r="D103" s="109" t="n">
        <f aca="false">D101*Hipótesis!$D$114/12</f>
        <v>0</v>
      </c>
      <c r="E103" s="109" t="n">
        <f aca="false">E101*Hipótesis!$D$114/12</f>
        <v>0</v>
      </c>
      <c r="F103" s="109" t="n">
        <f aca="false">F101*Hipótesis!$D$114/12</f>
        <v>0</v>
      </c>
      <c r="G103" s="109" t="n">
        <f aca="false">G101*Hipótesis!$D$114/12</f>
        <v>0</v>
      </c>
      <c r="H103" s="109" t="n">
        <f aca="false">H101*Hipótesis!$D$114/12</f>
        <v>0</v>
      </c>
      <c r="I103" s="109" t="n">
        <f aca="false">I101*Hipótesis!$D$114/12</f>
        <v>0</v>
      </c>
      <c r="J103" s="109" t="n">
        <f aca="false">J101*Hipótesis!$D$114/12</f>
        <v>0</v>
      </c>
      <c r="K103" s="109" t="n">
        <f aca="false">K101*Hipótesis!$D$114/12</f>
        <v>0</v>
      </c>
      <c r="L103" s="109" t="n">
        <f aca="false">L101*Hipótesis!$D$114/12</f>
        <v>0</v>
      </c>
      <c r="M103" s="109" t="n">
        <f aca="false">M101*Hipótesis!$D$114/12</f>
        <v>0</v>
      </c>
      <c r="N103" s="109" t="n">
        <f aca="false">N101*Hipótesis!$D$114/12</f>
        <v>0</v>
      </c>
      <c r="O103" s="109" t="n">
        <f aca="false">O101*Hipótesis!$D$114/12</f>
        <v>0</v>
      </c>
      <c r="P103" s="109" t="n">
        <f aca="false">P101*Hipótesis!$D$114/12</f>
        <v>0</v>
      </c>
      <c r="Q103" s="109" t="n">
        <f aca="false">Q101*Hipótesis!$D$114/12</f>
        <v>0</v>
      </c>
      <c r="R103" s="109" t="n">
        <f aca="false">R101*Hipótesis!$D$114/12</f>
        <v>0</v>
      </c>
      <c r="S103" s="109" t="n">
        <f aca="false">S101*Hipótesis!$D$114/12</f>
        <v>0</v>
      </c>
      <c r="T103" s="109" t="n">
        <f aca="false">T101*Hipótesis!$D$114/12</f>
        <v>0</v>
      </c>
      <c r="U103" s="109" t="n">
        <f aca="false">U101*Hipótesis!$D$114/12</f>
        <v>0</v>
      </c>
      <c r="V103" s="109" t="n">
        <f aca="false">V101*Hipótesis!$D$114/12</f>
        <v>0</v>
      </c>
      <c r="W103" s="109" t="n">
        <f aca="false">W101*Hipótesis!$D$114/12</f>
        <v>0</v>
      </c>
      <c r="X103" s="109" t="n">
        <f aca="false">X101*Hipótesis!$D$114/12</f>
        <v>0</v>
      </c>
      <c r="Y103" s="109" t="n">
        <f aca="false">Y101*Hipótesis!$D$114/12</f>
        <v>0</v>
      </c>
      <c r="Z103" s="109" t="n">
        <f aca="false">Z101*Hipótesis!$D$114/12</f>
        <v>0</v>
      </c>
      <c r="AA103" s="109" t="n">
        <f aca="false">AA101*Hipótesis!$D$114/12</f>
        <v>0</v>
      </c>
      <c r="AB103" s="109" t="n">
        <f aca="false">AB101*Hipótesis!$D$114/12</f>
        <v>0</v>
      </c>
      <c r="AC103" s="109" t="n">
        <f aca="false">AC101*Hipótesis!$D$114/12</f>
        <v>0</v>
      </c>
      <c r="AD103" s="109" t="n">
        <f aca="false">AD101*Hipótesis!$D$114/12</f>
        <v>0</v>
      </c>
      <c r="AE103" s="109" t="n">
        <f aca="false">AE101*Hipótesis!$D$114/12</f>
        <v>0</v>
      </c>
      <c r="AF103" s="109" t="n">
        <f aca="false">AF101*Hipótesis!$D$114/12</f>
        <v>0</v>
      </c>
      <c r="AG103" s="109" t="n">
        <f aca="false">AG101*Hipótesis!$D$114/12</f>
        <v>0</v>
      </c>
      <c r="AH103" s="109" t="n">
        <f aca="false">AH101*Hipótesis!$D$114/12</f>
        <v>0</v>
      </c>
      <c r="AI103" s="109" t="n">
        <f aca="false">AI101*Hipótesis!$D$114/12</f>
        <v>0</v>
      </c>
      <c r="AJ103" s="109" t="n">
        <f aca="false">AJ101*Hipótesis!$D$114/12</f>
        <v>0</v>
      </c>
      <c r="AK103" s="109" t="n">
        <f aca="false">AK101*Hipótesis!$D$114/12</f>
        <v>0</v>
      </c>
      <c r="AL103" s="109" t="n">
        <f aca="false">AL101*Hipótesis!$D$114/12</f>
        <v>0</v>
      </c>
      <c r="AM103" s="109" t="n">
        <f aca="false">AM101*Hipótesis!$D$114/12</f>
        <v>0</v>
      </c>
      <c r="AN103" s="109" t="n">
        <f aca="false">AN101*Hipótesis!$D$114/12</f>
        <v>0</v>
      </c>
      <c r="AO103" s="109" t="n">
        <f aca="false">AO101*Hipótesis!$D$114/12</f>
        <v>0</v>
      </c>
      <c r="AP103" s="109" t="n">
        <f aca="false">AP101*Hipótesis!$D$114/12</f>
        <v>0</v>
      </c>
      <c r="AQ103" s="109" t="n">
        <f aca="false">AQ101*Hipótesis!$D$114/12</f>
        <v>0</v>
      </c>
      <c r="AR103" s="109" t="n">
        <f aca="false">AR101*Hipótesis!$D$114/12</f>
        <v>0</v>
      </c>
      <c r="AS103" s="109" t="n">
        <f aca="false">AS101*Hipótesis!$D$114/12</f>
        <v>0</v>
      </c>
      <c r="AT103" s="109" t="n">
        <f aca="false">AT101*Hipótesis!$D$114/12</f>
        <v>0</v>
      </c>
      <c r="AU103" s="109" t="n">
        <f aca="false">AU101*Hipótesis!$D$114/12</f>
        <v>0</v>
      </c>
      <c r="AV103" s="109" t="n">
        <f aca="false">AV101*Hipótesis!$D$114/12</f>
        <v>0</v>
      </c>
      <c r="AW103" s="109" t="n">
        <f aca="false">AW101*Hipótesis!$D$114/12</f>
        <v>0</v>
      </c>
      <c r="AX103" s="109" t="n">
        <f aca="false">AX101*Hipótesis!$D$114/12</f>
        <v>0</v>
      </c>
      <c r="AY103" s="109" t="n">
        <f aca="false">AY101*Hipótesis!$D$114/12</f>
        <v>0</v>
      </c>
      <c r="AZ103" s="109" t="n">
        <f aca="false">AZ101*Hipótesis!$D$114/12</f>
        <v>0</v>
      </c>
      <c r="BA103" s="109" t="n">
        <f aca="false">BA101*Hipótesis!$D$114/12</f>
        <v>0</v>
      </c>
      <c r="BB103" s="109" t="n">
        <f aca="false">BB101*Hipótesis!$D$114/12</f>
        <v>0</v>
      </c>
      <c r="BC103" s="109" t="n">
        <f aca="false">BC101*Hipótesis!$D$114/12</f>
        <v>0</v>
      </c>
      <c r="BD103" s="109" t="n">
        <f aca="false">BD101*Hipótesis!$D$114/12</f>
        <v>0</v>
      </c>
      <c r="BE103" s="109" t="n">
        <f aca="false">BE101*Hipótesis!$D$114/12</f>
        <v>0</v>
      </c>
      <c r="BF103" s="109" t="n">
        <f aca="false">BF101*Hipótesis!$D$114/12</f>
        <v>0</v>
      </c>
      <c r="BG103" s="109" t="n">
        <f aca="false">BG101*Hipótesis!$D$114/12</f>
        <v>0</v>
      </c>
      <c r="BH103" s="109" t="n">
        <f aca="false">BH101*Hipótesis!$D$114/12</f>
        <v>0</v>
      </c>
      <c r="BI103" s="109" t="n">
        <f aca="false">BI101*Hipótesis!$D$114/12</f>
        <v>0</v>
      </c>
      <c r="BJ103" s="109" t="n">
        <f aca="false">BJ101*Hipótesis!$D$114/12</f>
        <v>0</v>
      </c>
      <c r="BK103" s="109" t="n">
        <f aca="false">BK101*Hipótesis!$D$114/12</f>
        <v>0</v>
      </c>
      <c r="BL103" s="109" t="n">
        <f aca="false">BL101*Hipótesis!$D$114/12</f>
        <v>0</v>
      </c>
      <c r="BM103" s="109" t="n">
        <f aca="false">BM101*Hipótesis!$D$114/12</f>
        <v>0</v>
      </c>
      <c r="BN103" s="109" t="n">
        <f aca="false">BN101*Hipótesis!$D$114/12</f>
        <v>0</v>
      </c>
      <c r="BO103" s="109" t="n">
        <f aca="false">BO101*Hipótesis!$D$114/12</f>
        <v>0</v>
      </c>
      <c r="BP103" s="109" t="n">
        <f aca="false">BP101*Hipótesis!$D$114/12</f>
        <v>0</v>
      </c>
      <c r="BQ103" s="109" t="n">
        <f aca="false">BQ101*Hipótesis!$D$114/12</f>
        <v>0</v>
      </c>
      <c r="BR103" s="109" t="n">
        <f aca="false">BR101*Hipótesis!$D$114/12</f>
        <v>0</v>
      </c>
      <c r="BS103" s="109" t="n">
        <f aca="false">BS101*Hipótesis!$D$114/12</f>
        <v>0</v>
      </c>
      <c r="BT103" s="109" t="n">
        <f aca="false">BT101*Hipótesis!$D$114/12</f>
        <v>0</v>
      </c>
      <c r="BU103" s="109" t="n">
        <f aca="false">BU101*Hipótesis!$D$114/12</f>
        <v>0</v>
      </c>
      <c r="BV103" s="109" t="n">
        <f aca="false">BV101*Hipótesis!$D$114/12</f>
        <v>0</v>
      </c>
      <c r="BW103" s="109" t="n">
        <f aca="false">BW101*Hipótesis!$D$114/12</f>
        <v>0</v>
      </c>
      <c r="BX103" s="109" t="n">
        <f aca="false">BX101*Hipótesis!$D$114/12</f>
        <v>0</v>
      </c>
      <c r="BY103" s="109" t="n">
        <f aca="false">BY101*Hipótesis!$D$114/12</f>
        <v>0</v>
      </c>
      <c r="BZ103" s="109" t="n">
        <f aca="false">BZ101*Hipótesis!$D$114/12</f>
        <v>0</v>
      </c>
      <c r="CA103" s="109" t="n">
        <f aca="false">CA101*Hipótesis!$D$114/12</f>
        <v>0</v>
      </c>
      <c r="CB103" s="109" t="n">
        <f aca="false">CB101*Hipótesis!$D$114/12</f>
        <v>0</v>
      </c>
      <c r="CC103" s="109" t="n">
        <f aca="false">CC101*Hipótesis!$D$114/12</f>
        <v>0</v>
      </c>
      <c r="CD103" s="109" t="n">
        <f aca="false">CD101*Hipótesis!$D$114/12</f>
        <v>0</v>
      </c>
      <c r="CE103" s="109" t="n">
        <f aca="false">CE101*Hipótesis!$D$114/12</f>
        <v>0</v>
      </c>
      <c r="CF103" s="109" t="n">
        <f aca="false">CF101*Hipótesis!$D$114/12</f>
        <v>0</v>
      </c>
      <c r="CG103" s="109" t="n">
        <f aca="false">CG101*Hipótesis!$D$114/12</f>
        <v>0</v>
      </c>
      <c r="CH103" s="109" t="n">
        <f aca="false">CH101*Hipótesis!$D$114/12</f>
        <v>0</v>
      </c>
    </row>
    <row r="104" customFormat="false" ht="13.5" hidden="false" customHeight="true" outlineLevel="0" collapsed="false">
      <c r="A104" s="6" t="s">
        <v>603</v>
      </c>
      <c r="C104" s="109" t="n">
        <f aca="false">C102+C103</f>
        <v>0</v>
      </c>
      <c r="D104" s="109" t="n">
        <f aca="false">D102+D103</f>
        <v>0</v>
      </c>
      <c r="E104" s="109" t="n">
        <f aca="false">E102+E103</f>
        <v>0</v>
      </c>
      <c r="F104" s="109" t="n">
        <f aca="false">F102+F103</f>
        <v>0</v>
      </c>
      <c r="G104" s="109" t="n">
        <f aca="false">G102+G103</f>
        <v>0</v>
      </c>
      <c r="H104" s="109" t="n">
        <f aca="false">H102+H103</f>
        <v>0</v>
      </c>
      <c r="I104" s="109" t="n">
        <f aca="false">I102+I103</f>
        <v>0</v>
      </c>
      <c r="J104" s="109" t="n">
        <f aca="false">J102+J103</f>
        <v>0</v>
      </c>
      <c r="K104" s="109" t="n">
        <f aca="false">K102+K103</f>
        <v>0</v>
      </c>
      <c r="L104" s="109" t="n">
        <f aca="false">L102+L103</f>
        <v>0</v>
      </c>
      <c r="M104" s="109" t="n">
        <f aca="false">M102+M103</f>
        <v>0</v>
      </c>
      <c r="N104" s="109" t="n">
        <f aca="false">N102+N103</f>
        <v>0</v>
      </c>
      <c r="O104" s="109" t="n">
        <f aca="false">O102+O103</f>
        <v>0</v>
      </c>
      <c r="P104" s="109" t="n">
        <f aca="false">P102+P103</f>
        <v>0</v>
      </c>
      <c r="Q104" s="109" t="n">
        <f aca="false">Q102+Q103</f>
        <v>0</v>
      </c>
      <c r="R104" s="109" t="n">
        <f aca="false">R102+R103</f>
        <v>0</v>
      </c>
      <c r="S104" s="109" t="n">
        <f aca="false">S102+S103</f>
        <v>0</v>
      </c>
      <c r="T104" s="109" t="n">
        <f aca="false">T102+T103</f>
        <v>0</v>
      </c>
      <c r="U104" s="109" t="n">
        <f aca="false">U102+U103</f>
        <v>0</v>
      </c>
      <c r="V104" s="109" t="n">
        <f aca="false">V102+V103</f>
        <v>0</v>
      </c>
      <c r="W104" s="109" t="n">
        <f aca="false">W102+W103</f>
        <v>0</v>
      </c>
      <c r="X104" s="109" t="n">
        <f aca="false">X102+X103</f>
        <v>0</v>
      </c>
      <c r="Y104" s="109" t="n">
        <f aca="false">Y102+Y103</f>
        <v>0</v>
      </c>
      <c r="Z104" s="109" t="n">
        <f aca="false">Z102+Z103</f>
        <v>0</v>
      </c>
      <c r="AA104" s="109" t="n">
        <f aca="false">AA102+AA103</f>
        <v>0</v>
      </c>
      <c r="AB104" s="109" t="n">
        <f aca="false">AB102+AB103</f>
        <v>0</v>
      </c>
      <c r="AC104" s="109" t="n">
        <f aca="false">AC102+AC103</f>
        <v>0</v>
      </c>
      <c r="AD104" s="109" t="n">
        <f aca="false">AD102+AD103</f>
        <v>0</v>
      </c>
      <c r="AE104" s="109" t="n">
        <f aca="false">AE102+AE103</f>
        <v>0</v>
      </c>
      <c r="AF104" s="109" t="n">
        <f aca="false">AF102+AF103</f>
        <v>0</v>
      </c>
      <c r="AG104" s="109" t="n">
        <f aca="false">AG102+AG103</f>
        <v>0</v>
      </c>
      <c r="AH104" s="109" t="n">
        <f aca="false">AH102+AH103</f>
        <v>0</v>
      </c>
      <c r="AI104" s="109" t="n">
        <f aca="false">AI102+AI103</f>
        <v>0</v>
      </c>
      <c r="AJ104" s="109" t="n">
        <f aca="false">AJ102+AJ103</f>
        <v>0</v>
      </c>
      <c r="AK104" s="109" t="n">
        <f aca="false">AK102+AK103</f>
        <v>0</v>
      </c>
      <c r="AL104" s="109" t="n">
        <f aca="false">AL102+AL103</f>
        <v>0</v>
      </c>
      <c r="AM104" s="109" t="n">
        <f aca="false">AM102+AM103</f>
        <v>0</v>
      </c>
      <c r="AN104" s="109" t="n">
        <f aca="false">AN102+AN103</f>
        <v>0</v>
      </c>
      <c r="AO104" s="109" t="n">
        <f aca="false">AO102+AO103</f>
        <v>0</v>
      </c>
      <c r="AP104" s="109" t="n">
        <f aca="false">AP102+AP103</f>
        <v>0</v>
      </c>
      <c r="AQ104" s="109" t="n">
        <f aca="false">AQ102+AQ103</f>
        <v>0</v>
      </c>
      <c r="AR104" s="109" t="n">
        <f aca="false">AR102+AR103</f>
        <v>0</v>
      </c>
      <c r="AS104" s="109" t="n">
        <f aca="false">AS102+AS103</f>
        <v>0</v>
      </c>
      <c r="AT104" s="109" t="n">
        <f aca="false">AT102+AT103</f>
        <v>0</v>
      </c>
      <c r="AU104" s="109" t="n">
        <f aca="false">AU102+AU103</f>
        <v>0</v>
      </c>
      <c r="AV104" s="109" t="n">
        <f aca="false">AV102+AV103</f>
        <v>0</v>
      </c>
      <c r="AW104" s="109" t="n">
        <f aca="false">AW102+AW103</f>
        <v>0</v>
      </c>
      <c r="AX104" s="109" t="n">
        <f aca="false">AX102+AX103</f>
        <v>0</v>
      </c>
      <c r="AY104" s="109" t="n">
        <f aca="false">AY102+AY103</f>
        <v>0</v>
      </c>
      <c r="AZ104" s="109" t="n">
        <f aca="false">AZ102+AZ103</f>
        <v>0</v>
      </c>
      <c r="BA104" s="109" t="n">
        <f aca="false">BA102+BA103</f>
        <v>0</v>
      </c>
      <c r="BB104" s="109" t="n">
        <f aca="false">BB102+BB103</f>
        <v>0</v>
      </c>
      <c r="BC104" s="109" t="n">
        <f aca="false">BC102+BC103</f>
        <v>0</v>
      </c>
      <c r="BD104" s="109" t="n">
        <f aca="false">BD102+BD103</f>
        <v>0</v>
      </c>
      <c r="BE104" s="109" t="n">
        <f aca="false">BE102+BE103</f>
        <v>0</v>
      </c>
      <c r="BF104" s="109" t="n">
        <f aca="false">BF102+BF103</f>
        <v>0</v>
      </c>
      <c r="BG104" s="109" t="n">
        <f aca="false">BG102+BG103</f>
        <v>0</v>
      </c>
      <c r="BH104" s="109" t="n">
        <f aca="false">BH102+BH103</f>
        <v>0</v>
      </c>
      <c r="BI104" s="109" t="n">
        <f aca="false">BI102+BI103</f>
        <v>0</v>
      </c>
      <c r="BJ104" s="109" t="n">
        <f aca="false">BJ102+BJ103</f>
        <v>0</v>
      </c>
      <c r="BK104" s="109" t="n">
        <f aca="false">BK102+BK103</f>
        <v>0</v>
      </c>
      <c r="BL104" s="109" t="n">
        <f aca="false">BL102+BL103</f>
        <v>0</v>
      </c>
      <c r="BM104" s="109" t="n">
        <f aca="false">BM102+BM103</f>
        <v>0</v>
      </c>
      <c r="BN104" s="109" t="n">
        <f aca="false">BN102+BN103</f>
        <v>0</v>
      </c>
      <c r="BO104" s="109" t="n">
        <f aca="false">BO102+BO103</f>
        <v>0</v>
      </c>
      <c r="BP104" s="109" t="n">
        <f aca="false">BP102+BP103</f>
        <v>0</v>
      </c>
      <c r="BQ104" s="109" t="n">
        <f aca="false">BQ102+BQ103</f>
        <v>0</v>
      </c>
      <c r="BR104" s="109" t="n">
        <f aca="false">BR102+BR103</f>
        <v>0</v>
      </c>
      <c r="BS104" s="109" t="n">
        <f aca="false">BS102+BS103</f>
        <v>0</v>
      </c>
      <c r="BT104" s="109" t="n">
        <f aca="false">BT102+BT103</f>
        <v>0</v>
      </c>
      <c r="BU104" s="109" t="n">
        <f aca="false">BU102+BU103</f>
        <v>0</v>
      </c>
      <c r="BV104" s="109" t="n">
        <f aca="false">BV102+BV103</f>
        <v>0</v>
      </c>
      <c r="BW104" s="109" t="n">
        <f aca="false">BW102+BW103</f>
        <v>0</v>
      </c>
      <c r="BX104" s="109" t="n">
        <f aca="false">BX102+BX103</f>
        <v>0</v>
      </c>
      <c r="BY104" s="109" t="n">
        <f aca="false">BY102+BY103</f>
        <v>0</v>
      </c>
      <c r="BZ104" s="109" t="n">
        <f aca="false">BZ102+BZ103</f>
        <v>0</v>
      </c>
      <c r="CA104" s="109" t="n">
        <f aca="false">CA102+CA103</f>
        <v>0</v>
      </c>
      <c r="CB104" s="109" t="n">
        <f aca="false">CB102+CB103</f>
        <v>0</v>
      </c>
      <c r="CC104" s="109" t="n">
        <f aca="false">CC102+CC103</f>
        <v>0</v>
      </c>
      <c r="CD104" s="109" t="n">
        <f aca="false">CD102+CD103</f>
        <v>0</v>
      </c>
      <c r="CE104" s="109" t="n">
        <f aca="false">CE102+CE103</f>
        <v>0</v>
      </c>
      <c r="CF104" s="109" t="n">
        <f aca="false">CF102+CF103</f>
        <v>0</v>
      </c>
      <c r="CG104" s="109" t="n">
        <f aca="false">CG102+CG103</f>
        <v>0</v>
      </c>
      <c r="CH104" s="109" t="n">
        <f aca="false">CH102+CH103</f>
        <v>0</v>
      </c>
    </row>
    <row r="105" customFormat="false" ht="13.5" hidden="false" customHeight="true" outlineLevel="0" collapsed="false"/>
    <row r="106" customFormat="false" ht="13.5" hidden="false" customHeight="true" outlineLevel="0" collapsed="false">
      <c r="A106" s="47" t="s">
        <v>604</v>
      </c>
      <c r="C106" s="71" t="n">
        <f aca="false">C93+C99+C104</f>
        <v>333.333333333333</v>
      </c>
      <c r="D106" s="71" t="n">
        <f aca="false">D93+D99+D104</f>
        <v>333.333333333333</v>
      </c>
      <c r="E106" s="71" t="n">
        <f aca="false">E93+E99+E104</f>
        <v>333.333333333333</v>
      </c>
      <c r="F106" s="71" t="n">
        <f aca="false">F93+F99+F104</f>
        <v>333.333333333333</v>
      </c>
      <c r="G106" s="71" t="n">
        <f aca="false">G93+G99+G104</f>
        <v>333.333333333333</v>
      </c>
      <c r="H106" s="71" t="n">
        <f aca="false">H93+H99+H104</f>
        <v>333.333333333333</v>
      </c>
      <c r="I106" s="71" t="n">
        <f aca="false">I93+I99+I104</f>
        <v>333.333333333333</v>
      </c>
      <c r="J106" s="71" t="n">
        <f aca="false">J93+J99+J104</f>
        <v>333.333333333333</v>
      </c>
      <c r="K106" s="71" t="n">
        <f aca="false">K93+K99+K104</f>
        <v>333.333333333333</v>
      </c>
      <c r="L106" s="71" t="n">
        <f aca="false">L93+L99+L104</f>
        <v>334.089759655384</v>
      </c>
      <c r="M106" s="71" t="n">
        <f aca="false">M93+M99+M104</f>
        <v>364.702788481501</v>
      </c>
      <c r="N106" s="71" t="n">
        <f aca="false">N93+N99+N104</f>
        <v>361.734521297801</v>
      </c>
      <c r="O106" s="71" t="n">
        <f aca="false">O93+O99+O104</f>
        <v>333.333333333333</v>
      </c>
      <c r="P106" s="71" t="n">
        <f aca="false">P93+P99+P104</f>
        <v>335.141940783223</v>
      </c>
      <c r="Q106" s="71" t="n">
        <f aca="false">Q93+Q99+Q104</f>
        <v>333.333333333333</v>
      </c>
      <c r="R106" s="71" t="n">
        <f aca="false">R93+R99+R104</f>
        <v>363.687714121468</v>
      </c>
      <c r="S106" s="71" t="n">
        <f aca="false">S93+S99+S104</f>
        <v>401.07380079059</v>
      </c>
      <c r="T106" s="71" t="n">
        <f aca="false">T93+T99+T104</f>
        <v>392.233487459713</v>
      </c>
      <c r="U106" s="71" t="n">
        <f aca="false">U93+U99+U104</f>
        <v>429.619574128835</v>
      </c>
      <c r="V106" s="71" t="n">
        <f aca="false">V93+V99+V104</f>
        <v>412.621660797957</v>
      </c>
      <c r="W106" s="71" t="n">
        <f aca="false">W93+W99+W104</f>
        <v>450.00774746708</v>
      </c>
      <c r="X106" s="71" t="n">
        <f aca="false">X93+X99+X104</f>
        <v>429.868730146019</v>
      </c>
      <c r="Y106" s="71" t="n">
        <f aca="false">Y93+Y99+Y104</f>
        <v>455.956112824958</v>
      </c>
      <c r="Z106" s="71" t="n">
        <f aca="false">Z93+Z99+Z104</f>
        <v>477.993813907824</v>
      </c>
      <c r="AA106" s="71" t="n">
        <f aca="false">AA93+AA99+AA104</f>
        <v>2118.28797365736</v>
      </c>
      <c r="AB106" s="71" t="n">
        <f aca="false">AB93+AB99+AB104</f>
        <v>2134.77011918467</v>
      </c>
      <c r="AC106" s="71" t="n">
        <f aca="false">AC93+AC99+AC104</f>
        <v>2151.25226471198</v>
      </c>
      <c r="AD106" s="71" t="n">
        <f aca="false">AD93+AD99+AD104</f>
        <v>2167.73441023929</v>
      </c>
      <c r="AE106" s="71" t="n">
        <f aca="false">AE93+AE99+AE104</f>
        <v>2136.6033637666</v>
      </c>
      <c r="AF106" s="71" t="n">
        <f aca="false">AF93+AF99+AF104</f>
        <v>2153.08550929391</v>
      </c>
      <c r="AG106" s="71" t="n">
        <f aca="false">AG93+AG99+AG104</f>
        <v>2169.56765482122</v>
      </c>
      <c r="AH106" s="71" t="n">
        <f aca="false">AH93+AH99+AH104</f>
        <v>2186.04980034853</v>
      </c>
      <c r="AI106" s="71" t="n">
        <f aca="false">AI93+AI99+AI104</f>
        <v>2202.53194587584</v>
      </c>
      <c r="AJ106" s="71" t="n">
        <f aca="false">AJ93+AJ99+AJ104</f>
        <v>2219.01409140315</v>
      </c>
      <c r="AK106" s="71" t="n">
        <f aca="false">AK93+AK99+AK104</f>
        <v>2235.49623693046</v>
      </c>
      <c r="AL106" s="71" t="n">
        <f aca="false">AL93+AL99+AL104</f>
        <v>2251.97838245777</v>
      </c>
      <c r="AM106" s="71" t="n">
        <f aca="false">AM93+AM99+AM104</f>
        <v>2169.31603022508</v>
      </c>
      <c r="AN106" s="71" t="n">
        <f aca="false">AN93+AN99+AN104</f>
        <v>2185.79817575239</v>
      </c>
      <c r="AO106" s="71" t="n">
        <f aca="false">AO93+AO99+AO104</f>
        <v>2202.2803212797</v>
      </c>
      <c r="AP106" s="71" t="n">
        <f aca="false">AP93+AP99+AP104</f>
        <v>2218.76246680701</v>
      </c>
      <c r="AQ106" s="71" t="n">
        <f aca="false">AQ93+AQ99+AQ104</f>
        <v>2235.24461233432</v>
      </c>
      <c r="AR106" s="71" t="n">
        <f aca="false">AR93+AR99+AR104</f>
        <v>2251.72675786163</v>
      </c>
      <c r="AS106" s="71" t="n">
        <f aca="false">AS93+AS99+AS104</f>
        <v>2246.17120230608</v>
      </c>
      <c r="AT106" s="71" t="n">
        <f aca="false">AT93+AT99+AT104</f>
        <v>2240.61564675052</v>
      </c>
      <c r="AU106" s="71" t="n">
        <f aca="false">AU93+AU99+AU104</f>
        <v>2235.06009119497</v>
      </c>
      <c r="AV106" s="71" t="n">
        <f aca="false">AV93+AV99+AV104</f>
        <v>2229.50453563941</v>
      </c>
      <c r="AW106" s="71" t="n">
        <f aca="false">AW93+AW99+AW104</f>
        <v>2223.94898008385</v>
      </c>
      <c r="AX106" s="71" t="n">
        <f aca="false">AX93+AX99+AX104</f>
        <v>2218.3934245283</v>
      </c>
      <c r="AY106" s="71" t="n">
        <f aca="false">AY93+AY99+AY104</f>
        <v>2160.94862403994</v>
      </c>
      <c r="AZ106" s="71" t="n">
        <f aca="false">AZ93+AZ99+AZ104</f>
        <v>2155.39306848439</v>
      </c>
      <c r="BA106" s="71" t="n">
        <f aca="false">BA93+BA99+BA104</f>
        <v>2149.83751292883</v>
      </c>
      <c r="BB106" s="71" t="n">
        <f aca="false">BB93+BB99+BB104</f>
        <v>2144.28195737328</v>
      </c>
      <c r="BC106" s="71" t="n">
        <f aca="false">BC93+BC99+BC104</f>
        <v>2138.72640181772</v>
      </c>
      <c r="BD106" s="71" t="n">
        <f aca="false">BD93+BD99+BD104</f>
        <v>2133.17084626217</v>
      </c>
      <c r="BE106" s="71" t="n">
        <f aca="false">BE93+BE99+BE104</f>
        <v>2127.61529070661</v>
      </c>
      <c r="BF106" s="71" t="n">
        <f aca="false">BF93+BF99+BF104</f>
        <v>2122.05973515105</v>
      </c>
      <c r="BG106" s="71" t="n">
        <f aca="false">BG93+BG99+BG104</f>
        <v>2116.5041795955</v>
      </c>
      <c r="BH106" s="71" t="n">
        <f aca="false">BH93+BH99+BH104</f>
        <v>2110.94862403994</v>
      </c>
      <c r="BI106" s="71" t="n">
        <f aca="false">BI93+BI99+BI104</f>
        <v>2105.39306848439</v>
      </c>
      <c r="BJ106" s="71" t="n">
        <f aca="false">BJ93+BJ99+BJ104</f>
        <v>2099.83751292883</v>
      </c>
      <c r="BK106" s="71" t="n">
        <f aca="false">BK93+BK99+BK104</f>
        <v>2042.02403509249</v>
      </c>
      <c r="BL106" s="71" t="n">
        <f aca="false">BL93+BL99+BL104</f>
        <v>2036.46847953694</v>
      </c>
      <c r="BM106" s="71" t="n">
        <f aca="false">BM93+BM99+BM104</f>
        <v>2030.91292398138</v>
      </c>
      <c r="BN106" s="71" t="n">
        <f aca="false">BN93+BN99+BN104</f>
        <v>2025.35736842583</v>
      </c>
      <c r="BO106" s="71" t="n">
        <f aca="false">BO93+BO99+BO104</f>
        <v>2019.80181287027</v>
      </c>
      <c r="BP106" s="71" t="n">
        <f aca="false">BP93+BP99+BP104</f>
        <v>2014.24625731472</v>
      </c>
      <c r="BQ106" s="71" t="n">
        <f aca="false">BQ93+BQ99+BQ104</f>
        <v>2008.69070175916</v>
      </c>
      <c r="BR106" s="71" t="n">
        <f aca="false">BR93+BR99+BR104</f>
        <v>2003.1351462036</v>
      </c>
      <c r="BS106" s="71" t="n">
        <f aca="false">BS93+BS99+BS104</f>
        <v>1997.57959064805</v>
      </c>
      <c r="BT106" s="71" t="n">
        <f aca="false">BT93+BT99+BT104</f>
        <v>1992.02403509249</v>
      </c>
      <c r="BU106" s="71" t="n">
        <f aca="false">BU93+BU99+BU104</f>
        <v>1986.46847953694</v>
      </c>
      <c r="BV106" s="71" t="n">
        <f aca="false">BV93+BV99+BV104</f>
        <v>1980.91292398138</v>
      </c>
      <c r="BW106" s="71" t="n">
        <f aca="false">BW93+BW99+BW104</f>
        <v>1922.71970847662</v>
      </c>
      <c r="BX106" s="71" t="n">
        <f aca="false">BX93+BX99+BX104</f>
        <v>1917.16415292106</v>
      </c>
      <c r="BY106" s="71" t="n">
        <f aca="false">BY93+BY99+BY104</f>
        <v>1911.60859736551</v>
      </c>
      <c r="BZ106" s="71" t="n">
        <f aca="false">BZ93+BZ99+BZ104</f>
        <v>1906.05304180995</v>
      </c>
      <c r="CA106" s="71" t="n">
        <f aca="false">CA93+CA99+CA104</f>
        <v>1900.4974862544</v>
      </c>
      <c r="CB106" s="71" t="n">
        <f aca="false">CB93+CB99+CB104</f>
        <v>1894.94193069884</v>
      </c>
      <c r="CC106" s="71" t="n">
        <f aca="false">CC93+CC99+CC104</f>
        <v>1889.38637514329</v>
      </c>
      <c r="CD106" s="71" t="n">
        <f aca="false">CD93+CD99+CD104</f>
        <v>1883.83081958773</v>
      </c>
      <c r="CE106" s="71" t="n">
        <f aca="false">CE93+CE99+CE104</f>
        <v>1878.27526403217</v>
      </c>
      <c r="CF106" s="71" t="n">
        <f aca="false">CF93+CF99+CF104</f>
        <v>1872.71970847662</v>
      </c>
      <c r="CG106" s="71" t="n">
        <f aca="false">CG93+CG99+CG104</f>
        <v>1867.16415292106</v>
      </c>
      <c r="CH106" s="71" t="n">
        <f aca="false">CH93+CH99+CH104</f>
        <v>1861.60859736545</v>
      </c>
    </row>
    <row r="107" customFormat="false" ht="13.5" hidden="false" customHeight="true" outlineLevel="0" collapsed="false">
      <c r="A107" s="6" t="s">
        <v>605</v>
      </c>
      <c r="C107" s="109" t="n">
        <f aca="false">C106</f>
        <v>333.333333333333</v>
      </c>
      <c r="D107" s="109" t="n">
        <f aca="false">C107+D106</f>
        <v>666.666666666667</v>
      </c>
      <c r="E107" s="109" t="n">
        <f aca="false">D107+E106</f>
        <v>1000</v>
      </c>
      <c r="F107" s="109" t="n">
        <f aca="false">E107+F106</f>
        <v>1333.33333333333</v>
      </c>
      <c r="G107" s="109" t="n">
        <f aca="false">F107+G106</f>
        <v>1666.66666666667</v>
      </c>
      <c r="H107" s="109" t="n">
        <f aca="false">G107+H106</f>
        <v>2000</v>
      </c>
      <c r="I107" s="109" t="n">
        <f aca="false">H107+I106</f>
        <v>2333.33333333333</v>
      </c>
      <c r="J107" s="109" t="n">
        <f aca="false">I107+J106</f>
        <v>2666.66666666667</v>
      </c>
      <c r="K107" s="109" t="n">
        <f aca="false">J107+K106</f>
        <v>3000</v>
      </c>
      <c r="L107" s="109" t="n">
        <f aca="false">K107+L106</f>
        <v>3334.08975965538</v>
      </c>
      <c r="M107" s="109" t="n">
        <f aca="false">L107+M106</f>
        <v>3698.79254813689</v>
      </c>
      <c r="N107" s="109" t="n">
        <f aca="false">M107+N106</f>
        <v>4060.52706943469</v>
      </c>
      <c r="O107" s="109" t="n">
        <f aca="false">N107+O106</f>
        <v>4393.86040276802</v>
      </c>
      <c r="P107" s="109" t="n">
        <f aca="false">O107+P106</f>
        <v>4729.00234355124</v>
      </c>
      <c r="Q107" s="109" t="n">
        <f aca="false">P107+Q106</f>
        <v>5062.33567688458</v>
      </c>
      <c r="R107" s="109" t="n">
        <f aca="false">Q107+R106</f>
        <v>5426.02339100604</v>
      </c>
      <c r="S107" s="109" t="n">
        <f aca="false">R107+S106</f>
        <v>5827.09719179663</v>
      </c>
      <c r="T107" s="109" t="n">
        <f aca="false">S107+T106</f>
        <v>6219.33067925635</v>
      </c>
      <c r="U107" s="109" t="n">
        <f aca="false">T107+U106</f>
        <v>6648.95025338518</v>
      </c>
      <c r="V107" s="109" t="n">
        <f aca="false">U107+V106</f>
        <v>7061.57191418314</v>
      </c>
      <c r="W107" s="109" t="n">
        <f aca="false">V107+W106</f>
        <v>7511.57966165022</v>
      </c>
      <c r="X107" s="109" t="n">
        <f aca="false">W107+X106</f>
        <v>7941.44839179624</v>
      </c>
      <c r="Y107" s="109" t="n">
        <f aca="false">X107+Y106</f>
        <v>8397.4045046212</v>
      </c>
      <c r="Z107" s="109" t="n">
        <f aca="false">Y107+Z106</f>
        <v>8875.39831852902</v>
      </c>
      <c r="AA107" s="109" t="n">
        <f aca="false">Z107+AA106</f>
        <v>10993.6862921864</v>
      </c>
      <c r="AB107" s="109" t="n">
        <f aca="false">AA107+AB106</f>
        <v>13128.456411371</v>
      </c>
      <c r="AC107" s="109" t="n">
        <f aca="false">AB107+AC106</f>
        <v>15279.708676083</v>
      </c>
      <c r="AD107" s="109" t="n">
        <f aca="false">AC107+AD106</f>
        <v>17447.4430863223</v>
      </c>
      <c r="AE107" s="109" t="n">
        <f aca="false">AD107+AE106</f>
        <v>19584.0464500889</v>
      </c>
      <c r="AF107" s="109" t="n">
        <f aca="false">AE107+AF106</f>
        <v>21737.1319593828</v>
      </c>
      <c r="AG107" s="109" t="n">
        <f aca="false">AF107+AG106</f>
        <v>23906.699614204</v>
      </c>
      <c r="AH107" s="109" t="n">
        <f aca="false">AG107+AH106</f>
        <v>26092.7494145526</v>
      </c>
      <c r="AI107" s="109" t="n">
        <f aca="false">AH107+AI106</f>
        <v>28295.2813604284</v>
      </c>
      <c r="AJ107" s="109" t="n">
        <f aca="false">AI107+AJ106</f>
        <v>30514.2954518316</v>
      </c>
      <c r="AK107" s="109" t="n">
        <f aca="false">AJ107+AK106</f>
        <v>32749.791688762</v>
      </c>
      <c r="AL107" s="109" t="n">
        <f aca="false">AK107+AL106</f>
        <v>35001.7700712198</v>
      </c>
      <c r="AM107" s="109" t="n">
        <f aca="false">AL107+AM106</f>
        <v>37171.0861014449</v>
      </c>
      <c r="AN107" s="109" t="n">
        <f aca="false">AM107+AN106</f>
        <v>39356.8842771973</v>
      </c>
      <c r="AO107" s="109" t="n">
        <f aca="false">AN107+AO106</f>
        <v>41559.164598477</v>
      </c>
      <c r="AP107" s="109" t="n">
        <f aca="false">AO107+AP106</f>
        <v>43777.927065284</v>
      </c>
      <c r="AQ107" s="109" t="n">
        <f aca="false">AP107+AQ106</f>
        <v>46013.1716776183</v>
      </c>
      <c r="AR107" s="109" t="n">
        <f aca="false">AQ107+AR106</f>
        <v>48264.8984354799</v>
      </c>
      <c r="AS107" s="109" t="n">
        <f aca="false">AR107+AS106</f>
        <v>50511.069637786</v>
      </c>
      <c r="AT107" s="109" t="n">
        <f aca="false">AS107+AT106</f>
        <v>52751.6852845365</v>
      </c>
      <c r="AU107" s="109" t="n">
        <f aca="false">AT107+AU106</f>
        <v>54986.7453757315</v>
      </c>
      <c r="AV107" s="109" t="n">
        <f aca="false">AU107+AV106</f>
        <v>57216.2499113709</v>
      </c>
      <c r="AW107" s="109" t="n">
        <f aca="false">AV107+AW106</f>
        <v>59440.1988914548</v>
      </c>
      <c r="AX107" s="109" t="n">
        <f aca="false">AW107+AX106</f>
        <v>61658.5923159831</v>
      </c>
      <c r="AY107" s="109" t="n">
        <f aca="false">AX107+AY106</f>
        <v>63819.540940023</v>
      </c>
      <c r="AZ107" s="109" t="n">
        <f aca="false">AY107+AZ106</f>
        <v>65974.9340085074</v>
      </c>
      <c r="BA107" s="109" t="n">
        <f aca="false">AZ107+BA106</f>
        <v>68124.7715214362</v>
      </c>
      <c r="BB107" s="109" t="n">
        <f aca="false">BA107+BB106</f>
        <v>70269.0534788095</v>
      </c>
      <c r="BC107" s="109" t="n">
        <f aca="false">BB107+BC106</f>
        <v>72407.7798806272</v>
      </c>
      <c r="BD107" s="109" t="n">
        <f aca="false">BC107+BD106</f>
        <v>74540.9507268894</v>
      </c>
      <c r="BE107" s="109" t="n">
        <f aca="false">BD107+BE106</f>
        <v>76668.566017596</v>
      </c>
      <c r="BF107" s="109" t="n">
        <f aca="false">BE107+BF106</f>
        <v>78790.625752747</v>
      </c>
      <c r="BG107" s="109" t="n">
        <f aca="false">BF107+BG106</f>
        <v>80907.1299323425</v>
      </c>
      <c r="BH107" s="109" t="n">
        <f aca="false">BG107+BH106</f>
        <v>83018.0785563825</v>
      </c>
      <c r="BI107" s="109" t="n">
        <f aca="false">BH107+BI106</f>
        <v>85123.4716248669</v>
      </c>
      <c r="BJ107" s="109" t="n">
        <f aca="false">BI107+BJ106</f>
        <v>87223.3091377957</v>
      </c>
      <c r="BK107" s="109" t="n">
        <f aca="false">BJ107+BK106</f>
        <v>89265.3331728882</v>
      </c>
      <c r="BL107" s="109" t="n">
        <f aca="false">BK107+BL106</f>
        <v>91301.8016524251</v>
      </c>
      <c r="BM107" s="109" t="n">
        <f aca="false">BL107+BM106</f>
        <v>93332.7145764065</v>
      </c>
      <c r="BN107" s="109" t="n">
        <f aca="false">BM107+BN106</f>
        <v>95358.0719448323</v>
      </c>
      <c r="BO107" s="109" t="n">
        <f aca="false">BN107+BO106</f>
        <v>97377.8737577026</v>
      </c>
      <c r="BP107" s="109" t="n">
        <f aca="false">BO107+BP106</f>
        <v>99392.1200150173</v>
      </c>
      <c r="BQ107" s="109" t="n">
        <f aca="false">BP107+BQ106</f>
        <v>101400.810716776</v>
      </c>
      <c r="BR107" s="109" t="n">
        <f aca="false">BQ107+BR106</f>
        <v>103403.94586298</v>
      </c>
      <c r="BS107" s="109" t="n">
        <f aca="false">BR107+BS106</f>
        <v>105401.525453628</v>
      </c>
      <c r="BT107" s="109" t="n">
        <f aca="false">BS107+BT106</f>
        <v>107393.549488721</v>
      </c>
      <c r="BU107" s="109" t="n">
        <f aca="false">BT107+BU106</f>
        <v>109380.017968258</v>
      </c>
      <c r="BV107" s="109" t="n">
        <f aca="false">BU107+BV106</f>
        <v>111360.930892239</v>
      </c>
      <c r="BW107" s="109" t="n">
        <f aca="false">BV107+BW106</f>
        <v>113283.650600716</v>
      </c>
      <c r="BX107" s="109" t="n">
        <f aca="false">BW107+BX106</f>
        <v>115200.814753637</v>
      </c>
      <c r="BY107" s="109" t="n">
        <f aca="false">BX107+BY106</f>
        <v>117112.423351002</v>
      </c>
      <c r="BZ107" s="109" t="n">
        <f aca="false">BY107+BZ106</f>
        <v>119018.476392812</v>
      </c>
      <c r="CA107" s="109" t="n">
        <f aca="false">BZ107+CA106</f>
        <v>120918.973879066</v>
      </c>
      <c r="CB107" s="109" t="n">
        <f aca="false">CA107+CB106</f>
        <v>122813.915809765</v>
      </c>
      <c r="CC107" s="109" t="n">
        <f aca="false">CB107+CC106</f>
        <v>124703.302184909</v>
      </c>
      <c r="CD107" s="109" t="n">
        <f aca="false">CC107+CD106</f>
        <v>126587.133004496</v>
      </c>
      <c r="CE107" s="109" t="n">
        <f aca="false">CD107+CE106</f>
        <v>128465.408268529</v>
      </c>
      <c r="CF107" s="109" t="n">
        <f aca="false">CE107+CF106</f>
        <v>130338.127977005</v>
      </c>
      <c r="CG107" s="109" t="n">
        <f aca="false">CF107+CG106</f>
        <v>132205.292129926</v>
      </c>
      <c r="CH107" s="109" t="n">
        <f aca="false">CG107+CH106</f>
        <v>134066.900727292</v>
      </c>
    </row>
    <row r="108" customFormat="false" ht="13.5" hidden="false" customHeight="true" outlineLevel="0" collapsed="false"/>
    <row r="109" customFormat="false" ht="12.75" hidden="false" customHeight="true" outlineLevel="0" collapsed="false">
      <c r="A109" s="9" t="s">
        <v>606</v>
      </c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  <c r="BP109" s="9"/>
      <c r="BQ109" s="9"/>
      <c r="BR109" s="9"/>
      <c r="BS109" s="9"/>
      <c r="BT109" s="9"/>
      <c r="BU109" s="9"/>
      <c r="BV109" s="9"/>
      <c r="BW109" s="9"/>
      <c r="BX109" s="9"/>
      <c r="BY109" s="9"/>
      <c r="BZ109" s="9"/>
      <c r="CA109" s="9"/>
      <c r="CB109" s="9"/>
      <c r="CC109" s="9"/>
      <c r="CD109" s="9"/>
      <c r="CE109" s="9"/>
      <c r="CF109" s="9"/>
      <c r="CG109" s="9"/>
      <c r="CH109" s="9"/>
    </row>
    <row r="110" customFormat="false" ht="13.5" hidden="false" customHeight="true" outlineLevel="0" collapsed="false">
      <c r="A110" s="6" t="s">
        <v>607</v>
      </c>
      <c r="C110" s="109" t="n">
        <f aca="false">C63</f>
        <v>-16016.2422359405</v>
      </c>
      <c r="D110" s="109" t="n">
        <f aca="false">C113+D63</f>
        <v>-31224.4940172796</v>
      </c>
      <c r="E110" s="109" t="n">
        <f aca="false">D113+E63</f>
        <v>-44823.8282596532</v>
      </c>
      <c r="F110" s="109" t="n">
        <f aca="false">E113+F63</f>
        <v>-57571.0741556921</v>
      </c>
      <c r="G110" s="109" t="n">
        <f aca="false">F113+G63</f>
        <v>-69517.3929673671</v>
      </c>
      <c r="H110" s="109" t="n">
        <f aca="false">G113+H63</f>
        <v>-80237.2481825155</v>
      </c>
      <c r="I110" s="109" t="n">
        <f aca="false">H113+I63</f>
        <v>-88636.2978239178</v>
      </c>
      <c r="J110" s="109" t="n">
        <f aca="false">I113+J63</f>
        <v>-94714.5418915742</v>
      </c>
      <c r="K110" s="109" t="n">
        <f aca="false">J113+K63</f>
        <v>-98471.9803854846</v>
      </c>
      <c r="L110" s="109" t="n">
        <f aca="false">K113+L63</f>
        <v>-99941.4203830214</v>
      </c>
      <c r="M110" s="109" t="n">
        <f aca="false">L113+M63</f>
        <v>-99941.5722426791</v>
      </c>
      <c r="N110" s="109" t="n">
        <f aca="false">M113+N63</f>
        <v>-100110.163289617</v>
      </c>
      <c r="O110" s="109" t="n">
        <f aca="false">N113+O63</f>
        <v>-103474.190581313</v>
      </c>
      <c r="P110" s="109" t="n">
        <f aca="false">O113+P63</f>
        <v>-105000.935416684</v>
      </c>
      <c r="Q110" s="109" t="n">
        <f aca="false">P113+Q63</f>
        <v>-106989.479887187</v>
      </c>
      <c r="R110" s="109" t="n">
        <f aca="false">Q113+R63</f>
        <v>-107162.998136212</v>
      </c>
      <c r="S110" s="109" t="n">
        <f aca="false">R113+S63</f>
        <v>-105766.804657439</v>
      </c>
      <c r="T110" s="109" t="n">
        <f aca="false">S113+T63</f>
        <v>-104746.323800415</v>
      </c>
      <c r="U110" s="109" t="n">
        <f aca="false">T113+U63</f>
        <v>-102177.872106365</v>
      </c>
      <c r="V110" s="109" t="n">
        <f aca="false">U113+V63</f>
        <v>-100320.694926368</v>
      </c>
      <c r="W110" s="109" t="n">
        <f aca="false">V113+W63</f>
        <v>-96912.6520548544</v>
      </c>
      <c r="X110" s="109" t="n">
        <f aca="false">W113+X63</f>
        <v>-94340.0608274753</v>
      </c>
      <c r="Y110" s="109" t="n">
        <f aca="false">X113+Y63</f>
        <v>-90680.2061435852</v>
      </c>
      <c r="Z110" s="109" t="n">
        <f aca="false">Y113+Z63</f>
        <v>-86096.2470746854</v>
      </c>
      <c r="AA110" s="109" t="n">
        <f aca="false">Z113+AA63</f>
        <v>-82600.7132122188</v>
      </c>
      <c r="AB110" s="109" t="n">
        <f aca="false">AA113+AB63</f>
        <v>-78183.4317699284</v>
      </c>
      <c r="AC110" s="109" t="n">
        <f aca="false">AB113+AC63</f>
        <v>-72840.9129932773</v>
      </c>
      <c r="AD110" s="109" t="n">
        <f aca="false">AC113+AD63</f>
        <v>-66574.7865699897</v>
      </c>
      <c r="AE110" s="109" t="n">
        <f aca="false">AD113+AE63</f>
        <v>-61375.5687365638</v>
      </c>
      <c r="AF110" s="109" t="n">
        <f aca="false">AE113+AF63</f>
        <v>-55260.1700461996</v>
      </c>
      <c r="AG110" s="109" t="n">
        <f aca="false">AF113+AG63</f>
        <v>-48228.5904988971</v>
      </c>
      <c r="AH110" s="109" t="n">
        <f aca="false">AG113+AH63</f>
        <v>-40280.8300946563</v>
      </c>
      <c r="AI110" s="109" t="n">
        <f aca="false">AH113+AI63</f>
        <v>-31416.8888334772</v>
      </c>
      <c r="AJ110" s="109" t="n">
        <f aca="false">AI113+AJ63</f>
        <v>-21636.7667153598</v>
      </c>
      <c r="AK110" s="109" t="n">
        <f aca="false">AJ113+AK63</f>
        <v>-10940.4637403041</v>
      </c>
      <c r="AL110" s="109" t="n">
        <f aca="false">AK113+AL63</f>
        <v>672.020091689949</v>
      </c>
      <c r="AM110" s="109" t="n">
        <f aca="false">AL113+AM63</f>
        <v>8083.16393630316</v>
      </c>
      <c r="AN110" s="109" t="n">
        <f aca="false">AM113+AN63</f>
        <v>16302.7026546855</v>
      </c>
      <c r="AO110" s="109" t="n">
        <f aca="false">AN113+AO63</f>
        <v>25330.6362468368</v>
      </c>
      <c r="AP110" s="109" t="n">
        <f aca="false">AO113+AP63</f>
        <v>35166.9647127573</v>
      </c>
      <c r="AQ110" s="109" t="n">
        <f aca="false">AP113+AQ63</f>
        <v>45811.6880524469</v>
      </c>
      <c r="AR110" s="109" t="n">
        <f aca="false">AQ113+AR63</f>
        <v>57264.8062659055</v>
      </c>
      <c r="AS110" s="109" t="n">
        <f aca="false">AR113+AS63</f>
        <v>68722.0911460308</v>
      </c>
      <c r="AT110" s="109" t="n">
        <f aca="false">AS113+AT63</f>
        <v>80183.5426928228</v>
      </c>
      <c r="AU110" s="109" t="n">
        <f aca="false">AT113+AU63</f>
        <v>91649.1609062815</v>
      </c>
      <c r="AV110" s="109" t="n">
        <f aca="false">AU113+AV63</f>
        <v>103118.945786407</v>
      </c>
      <c r="AW110" s="109" t="n">
        <f aca="false">AV113+AW63</f>
        <v>114592.897333199</v>
      </c>
      <c r="AX110" s="109" t="n">
        <f aca="false">AW113+AX63</f>
        <v>126071.015546657</v>
      </c>
      <c r="AY110" s="109" t="n">
        <f aca="false">AX113+AY63</f>
        <v>135646.370675502</v>
      </c>
      <c r="AZ110" s="109" t="n">
        <f aca="false">AY113+AZ63</f>
        <v>145225.892471014</v>
      </c>
      <c r="BA110" s="109" t="n">
        <f aca="false">AZ113+BA63</f>
        <v>154809.580933192</v>
      </c>
      <c r="BB110" s="109" t="n">
        <f aca="false">BA113+BB63</f>
        <v>164397.436062037</v>
      </c>
      <c r="BC110" s="109" t="n">
        <f aca="false">BB113+BC63</f>
        <v>173989.457857549</v>
      </c>
      <c r="BD110" s="109" t="n">
        <f aca="false">BC113+BD63</f>
        <v>183585.646319727</v>
      </c>
      <c r="BE110" s="109" t="n">
        <f aca="false">BD113+BE63</f>
        <v>193186.001448572</v>
      </c>
      <c r="BF110" s="109" t="n">
        <f aca="false">BE113+BF63</f>
        <v>202790.523244083</v>
      </c>
      <c r="BG110" s="109" t="n">
        <f aca="false">BF113+BG63</f>
        <v>212399.211706262</v>
      </c>
      <c r="BH110" s="109" t="n">
        <f aca="false">BG113+BH63</f>
        <v>222012.066835107</v>
      </c>
      <c r="BI110" s="109" t="n">
        <f aca="false">BH113+BI63</f>
        <v>231629.088630618</v>
      </c>
      <c r="BJ110" s="109" t="n">
        <f aca="false">BI113+BJ63</f>
        <v>241250.277092796</v>
      </c>
      <c r="BK110" s="109" t="n">
        <f aca="false">BJ113+BK63</f>
        <v>248955.153577822</v>
      </c>
      <c r="BL110" s="109" t="n">
        <f aca="false">BK113+BL63</f>
        <v>256664.196729515</v>
      </c>
      <c r="BM110" s="109" t="n">
        <f aca="false">BL113+BM63</f>
        <v>264377.406547875</v>
      </c>
      <c r="BN110" s="109" t="n">
        <f aca="false">BM113+BN63</f>
        <v>272094.783032901</v>
      </c>
      <c r="BO110" s="109" t="n">
        <f aca="false">BN113+BO63</f>
        <v>279816.326184594</v>
      </c>
      <c r="BP110" s="109" t="n">
        <f aca="false">BO113+BP63</f>
        <v>287542.036002953</v>
      </c>
      <c r="BQ110" s="109" t="n">
        <f aca="false">BP113+BQ63</f>
        <v>295271.912487979</v>
      </c>
      <c r="BR110" s="109" t="n">
        <f aca="false">BQ113+BR63</f>
        <v>303005.955639672</v>
      </c>
      <c r="BS110" s="109" t="n">
        <f aca="false">BR113+BS63</f>
        <v>310744.165458031</v>
      </c>
      <c r="BT110" s="109" t="n">
        <f aca="false">BS113+BT63</f>
        <v>318486.541943057</v>
      </c>
      <c r="BU110" s="109" t="n">
        <f aca="false">BT113+BU63</f>
        <v>326233.08509475</v>
      </c>
      <c r="BV110" s="109" t="n">
        <f aca="false">BU113+BV63</f>
        <v>333983.79491311</v>
      </c>
      <c r="BW110" s="109" t="n">
        <f aca="false">BV113+BW63</f>
        <v>339804.237395002</v>
      </c>
      <c r="BX110" s="109" t="n">
        <f aca="false">BW113+BX63</f>
        <v>345628.846543562</v>
      </c>
      <c r="BY110" s="109" t="n">
        <f aca="false">BX113+BY63</f>
        <v>351457.622358788</v>
      </c>
      <c r="BZ110" s="109" t="n">
        <f aca="false">BY113+BZ63</f>
        <v>357290.56484068</v>
      </c>
      <c r="CA110" s="109" t="n">
        <f aca="false">BZ113+CA63</f>
        <v>363127.67398924</v>
      </c>
      <c r="CB110" s="109" t="n">
        <f aca="false">CA113+CB63</f>
        <v>368968.949804466</v>
      </c>
      <c r="CC110" s="109" t="n">
        <f aca="false">CB113+CC63</f>
        <v>374814.392286359</v>
      </c>
      <c r="CD110" s="109" t="n">
        <f aca="false">CC113+CD63</f>
        <v>380664.001434918</v>
      </c>
      <c r="CE110" s="109" t="n">
        <f aca="false">CD113+CE63</f>
        <v>386517.777250144</v>
      </c>
      <c r="CF110" s="109" t="n">
        <f aca="false">CE113+CF63</f>
        <v>392375.719732037</v>
      </c>
      <c r="CG110" s="109" t="n">
        <f aca="false">CF113+CG63</f>
        <v>398237.828880596</v>
      </c>
      <c r="CH110" s="109" t="n">
        <f aca="false">CG113+CH63</f>
        <v>404104.104695822</v>
      </c>
    </row>
    <row r="111" customFormat="false" ht="13.5" hidden="false" customHeight="true" outlineLevel="0" collapsed="false">
      <c r="A111" s="6" t="s">
        <v>608</v>
      </c>
      <c r="C111" s="109" t="n">
        <f aca="false">MIN(0.2*Hipótesis!$D$81,MAX(0,C110)*0.1)</f>
        <v>0</v>
      </c>
      <c r="D111" s="109" t="n">
        <f aca="false">MIN(0.2*Hipótesis!$D$81,MAX(0,D110)*0.1)</f>
        <v>0</v>
      </c>
      <c r="E111" s="109" t="n">
        <f aca="false">MIN(0.2*Hipótesis!$D$81,MAX(0,E110)*0.1)</f>
        <v>0</v>
      </c>
      <c r="F111" s="109" t="n">
        <f aca="false">MIN(0.2*Hipótesis!$D$81,MAX(0,F110)*0.1)</f>
        <v>0</v>
      </c>
      <c r="G111" s="109" t="n">
        <f aca="false">MIN(0.2*Hipótesis!$D$81,MAX(0,G110)*0.1)</f>
        <v>0</v>
      </c>
      <c r="H111" s="109" t="n">
        <f aca="false">MIN(0.2*Hipótesis!$D$81,MAX(0,H110)*0.1)</f>
        <v>0</v>
      </c>
      <c r="I111" s="109" t="n">
        <f aca="false">MIN(0.2*Hipótesis!$D$81,MAX(0,I110)*0.1)</f>
        <v>0</v>
      </c>
      <c r="J111" s="109" t="n">
        <f aca="false">MIN(0.2*Hipótesis!$D$81,MAX(0,J110)*0.1)</f>
        <v>0</v>
      </c>
      <c r="K111" s="109" t="n">
        <f aca="false">MIN(0.2*Hipótesis!$D$81,MAX(0,K110)*0.1)</f>
        <v>0</v>
      </c>
      <c r="L111" s="109" t="n">
        <f aca="false">MIN(0.2*Hipótesis!$D$81,MAX(0,L110)*0.1)</f>
        <v>0</v>
      </c>
      <c r="M111" s="109" t="n">
        <f aca="false">MIN(0.2*Hipótesis!$D$81,MAX(0,M110)*0.1)</f>
        <v>0</v>
      </c>
      <c r="N111" s="109" t="n">
        <f aca="false">MIN(0.2*Hipótesis!$D$81,MAX(0,N110)*0.1)</f>
        <v>0</v>
      </c>
      <c r="O111" s="109" t="n">
        <f aca="false">MIN(0.2*Hipótesis!$D$81,MAX(0,O110)*0.1)</f>
        <v>0</v>
      </c>
      <c r="P111" s="109" t="n">
        <f aca="false">MIN(0.2*Hipótesis!$D$81,MAX(0,P110)*0.1)</f>
        <v>0</v>
      </c>
      <c r="Q111" s="109" t="n">
        <f aca="false">MIN(0.2*Hipótesis!$D$81,MAX(0,Q110)*0.1)</f>
        <v>0</v>
      </c>
      <c r="R111" s="109" t="n">
        <f aca="false">MIN(0.2*Hipótesis!$D$81,MAX(0,R110)*0.1)</f>
        <v>0</v>
      </c>
      <c r="S111" s="109" t="n">
        <f aca="false">MIN(0.2*Hipótesis!$D$81,MAX(0,S110)*0.1)</f>
        <v>0</v>
      </c>
      <c r="T111" s="109" t="n">
        <f aca="false">MIN(0.2*Hipótesis!$D$81,MAX(0,T110)*0.1)</f>
        <v>0</v>
      </c>
      <c r="U111" s="109" t="n">
        <f aca="false">MIN(0.2*Hipótesis!$D$81,MAX(0,U110)*0.1)</f>
        <v>0</v>
      </c>
      <c r="V111" s="109" t="n">
        <f aca="false">MIN(0.2*Hipótesis!$D$81,MAX(0,V110)*0.1)</f>
        <v>0</v>
      </c>
      <c r="W111" s="109" t="n">
        <f aca="false">MIN(0.2*Hipótesis!$D$81,MAX(0,W110)*0.1)</f>
        <v>0</v>
      </c>
      <c r="X111" s="109" t="n">
        <f aca="false">MIN(0.2*Hipótesis!$D$81,MAX(0,X110)*0.1)</f>
        <v>0</v>
      </c>
      <c r="Y111" s="109" t="n">
        <f aca="false">MIN(0.2*Hipótesis!$D$81,MAX(0,Y110)*0.1)</f>
        <v>0</v>
      </c>
      <c r="Z111" s="109" t="n">
        <f aca="false">MIN(0.2*Hipótesis!$D$81,MAX(0,Z110)*0.1)</f>
        <v>0</v>
      </c>
      <c r="AA111" s="109" t="n">
        <f aca="false">MIN(0.2*Hipótesis!$D$81,MAX(0,AA110)*0.1)</f>
        <v>0</v>
      </c>
      <c r="AB111" s="109" t="n">
        <f aca="false">MIN(0.2*Hipótesis!$D$81,MAX(0,AB110)*0.1)</f>
        <v>0</v>
      </c>
      <c r="AC111" s="109" t="n">
        <f aca="false">MIN(0.2*Hipótesis!$D$81,MAX(0,AC110)*0.1)</f>
        <v>0</v>
      </c>
      <c r="AD111" s="109" t="n">
        <f aca="false">MIN(0.2*Hipótesis!$D$81,MAX(0,AD110)*0.1)</f>
        <v>0</v>
      </c>
      <c r="AE111" s="109" t="n">
        <f aca="false">MIN(0.2*Hipótesis!$D$81,MAX(0,AE110)*0.1)</f>
        <v>0</v>
      </c>
      <c r="AF111" s="109" t="n">
        <f aca="false">MIN(0.2*Hipótesis!$D$81,MAX(0,AF110)*0.1)</f>
        <v>0</v>
      </c>
      <c r="AG111" s="109" t="n">
        <f aca="false">MIN(0.2*Hipótesis!$D$81,MAX(0,AG110)*0.1)</f>
        <v>0</v>
      </c>
      <c r="AH111" s="109" t="n">
        <f aca="false">MIN(0.2*Hipótesis!$D$81,MAX(0,AH110)*0.1)</f>
        <v>0</v>
      </c>
      <c r="AI111" s="109" t="n">
        <f aca="false">MIN(0.2*Hipótesis!$D$81,MAX(0,AI110)*0.1)</f>
        <v>0</v>
      </c>
      <c r="AJ111" s="109" t="n">
        <f aca="false">MIN(0.2*Hipótesis!$D$81,MAX(0,AJ110)*0.1)</f>
        <v>0</v>
      </c>
      <c r="AK111" s="109" t="n">
        <f aca="false">MIN(0.2*Hipótesis!$D$81,MAX(0,AK110)*0.1)</f>
        <v>0</v>
      </c>
      <c r="AL111" s="109" t="n">
        <f aca="false">MIN(0.2*Hipótesis!$D$81,MAX(0,AL110)*0.1)</f>
        <v>67.2020091689949</v>
      </c>
      <c r="AM111" s="109" t="n">
        <f aca="false">MIN(0.2*Hipótesis!$D$81,MAX(0,AM110)*0.1)</f>
        <v>808.316393630316</v>
      </c>
      <c r="AN111" s="109" t="n">
        <f aca="false">MIN(0.2*Hipótesis!$D$81,MAX(0,AN110)*0.1)</f>
        <v>1630.27026546855</v>
      </c>
      <c r="AO111" s="109" t="n">
        <f aca="false">MIN(0.2*Hipótesis!$D$81,MAX(0,AO110)*0.1)</f>
        <v>2533.06362468369</v>
      </c>
      <c r="AP111" s="109" t="n">
        <f aca="false">MIN(0.2*Hipótesis!$D$81,MAX(0,AP110)*0.1)</f>
        <v>3516.69647127573</v>
      </c>
      <c r="AQ111" s="109" t="n">
        <f aca="false">MIN(0.2*Hipótesis!$D$81,MAX(0,AQ110)*0.1)</f>
        <v>4581.16880524469</v>
      </c>
      <c r="AR111" s="109" t="n">
        <f aca="false">MIN(0.2*Hipótesis!$D$81,MAX(0,AR110)*0.1)</f>
        <v>5726.48062659055</v>
      </c>
      <c r="AS111" s="109" t="n">
        <f aca="false">MIN(0.2*Hipótesis!$D$81,MAX(0,AS110)*0.1)</f>
        <v>6872.20911460308</v>
      </c>
      <c r="AT111" s="109" t="n">
        <f aca="false">MIN(0.2*Hipótesis!$D$81,MAX(0,AT110)*0.1)</f>
        <v>8018.35426928228</v>
      </c>
      <c r="AU111" s="109" t="n">
        <f aca="false">MIN(0.2*Hipótesis!$D$81,MAX(0,AU110)*0.1)</f>
        <v>9164.91609062815</v>
      </c>
      <c r="AV111" s="109" t="n">
        <f aca="false">MIN(0.2*Hipótesis!$D$81,MAX(0,AV110)*0.1)</f>
        <v>10311.8945786407</v>
      </c>
      <c r="AW111" s="109" t="n">
        <f aca="false">MIN(0.2*Hipótesis!$D$81,MAX(0,AW110)*0.1)</f>
        <v>11459.2897333199</v>
      </c>
      <c r="AX111" s="109" t="n">
        <f aca="false">MIN(0.2*Hipótesis!$D$81,MAX(0,AX110)*0.1)</f>
        <v>12607.1015546657</v>
      </c>
      <c r="AY111" s="109" t="n">
        <f aca="false">MIN(0.2*Hipótesis!$D$81,MAX(0,AY110)*0.1)</f>
        <v>13564.6370675502</v>
      </c>
      <c r="AZ111" s="109" t="n">
        <f aca="false">MIN(0.2*Hipótesis!$D$81,MAX(0,AZ110)*0.1)</f>
        <v>14522.5892471014</v>
      </c>
      <c r="BA111" s="109" t="n">
        <f aca="false">MIN(0.2*Hipótesis!$D$81,MAX(0,BA110)*0.1)</f>
        <v>15480.9580933192</v>
      </c>
      <c r="BB111" s="109" t="n">
        <f aca="false">MIN(0.2*Hipótesis!$D$81,MAX(0,BB110)*0.1)</f>
        <v>16439.7436062037</v>
      </c>
      <c r="BC111" s="109" t="n">
        <f aca="false">MIN(0.2*Hipótesis!$D$81,MAX(0,BC110)*0.1)</f>
        <v>17398.9457857549</v>
      </c>
      <c r="BD111" s="109" t="n">
        <f aca="false">MIN(0.2*Hipótesis!$D$81,MAX(0,BD110)*0.1)</f>
        <v>18358.5646319727</v>
      </c>
      <c r="BE111" s="109" t="n">
        <f aca="false">MIN(0.2*Hipótesis!$D$81,MAX(0,BE110)*0.1)</f>
        <v>19318.6001448572</v>
      </c>
      <c r="BF111" s="109" t="n">
        <f aca="false">MIN(0.2*Hipótesis!$D$81,MAX(0,BF110)*0.1)</f>
        <v>20006</v>
      </c>
      <c r="BG111" s="109" t="n">
        <f aca="false">MIN(0.2*Hipótesis!$D$81,MAX(0,BG110)*0.1)</f>
        <v>20006</v>
      </c>
      <c r="BH111" s="109" t="n">
        <f aca="false">MIN(0.2*Hipótesis!$D$81,MAX(0,BH110)*0.1)</f>
        <v>20006</v>
      </c>
      <c r="BI111" s="109" t="n">
        <f aca="false">MIN(0.2*Hipótesis!$D$81,MAX(0,BI110)*0.1)</f>
        <v>20006</v>
      </c>
      <c r="BJ111" s="109" t="n">
        <f aca="false">MIN(0.2*Hipótesis!$D$81,MAX(0,BJ110)*0.1)</f>
        <v>20006</v>
      </c>
      <c r="BK111" s="109" t="n">
        <f aca="false">MIN(0.2*Hipótesis!$D$81,MAX(0,BK110)*0.1)</f>
        <v>20006</v>
      </c>
      <c r="BL111" s="109" t="n">
        <f aca="false">MIN(0.2*Hipótesis!$D$81,MAX(0,BL110)*0.1)</f>
        <v>20006</v>
      </c>
      <c r="BM111" s="109" t="n">
        <f aca="false">MIN(0.2*Hipótesis!$D$81,MAX(0,BM110)*0.1)</f>
        <v>20006</v>
      </c>
      <c r="BN111" s="109" t="n">
        <f aca="false">MIN(0.2*Hipótesis!$D$81,MAX(0,BN110)*0.1)</f>
        <v>20006</v>
      </c>
      <c r="BO111" s="109" t="n">
        <f aca="false">MIN(0.2*Hipótesis!$D$81,MAX(0,BO110)*0.1)</f>
        <v>20006</v>
      </c>
      <c r="BP111" s="109" t="n">
        <f aca="false">MIN(0.2*Hipótesis!$D$81,MAX(0,BP110)*0.1)</f>
        <v>20006</v>
      </c>
      <c r="BQ111" s="109" t="n">
        <f aca="false">MIN(0.2*Hipótesis!$D$81,MAX(0,BQ110)*0.1)</f>
        <v>20006</v>
      </c>
      <c r="BR111" s="109" t="n">
        <f aca="false">MIN(0.2*Hipótesis!$D$81,MAX(0,BR110)*0.1)</f>
        <v>20006</v>
      </c>
      <c r="BS111" s="109" t="n">
        <f aca="false">MIN(0.2*Hipótesis!$D$81,MAX(0,BS110)*0.1)</f>
        <v>20006</v>
      </c>
      <c r="BT111" s="109" t="n">
        <f aca="false">MIN(0.2*Hipótesis!$D$81,MAX(0,BT110)*0.1)</f>
        <v>20006</v>
      </c>
      <c r="BU111" s="109" t="n">
        <f aca="false">MIN(0.2*Hipótesis!$D$81,MAX(0,BU110)*0.1)</f>
        <v>20006</v>
      </c>
      <c r="BV111" s="109" t="n">
        <f aca="false">MIN(0.2*Hipótesis!$D$81,MAX(0,BV110)*0.1)</f>
        <v>20006</v>
      </c>
      <c r="BW111" s="109" t="n">
        <f aca="false">MIN(0.2*Hipótesis!$D$81,MAX(0,BW110)*0.1)</f>
        <v>20006</v>
      </c>
      <c r="BX111" s="109" t="n">
        <f aca="false">MIN(0.2*Hipótesis!$D$81,MAX(0,BX110)*0.1)</f>
        <v>20006</v>
      </c>
      <c r="BY111" s="109" t="n">
        <f aca="false">MIN(0.2*Hipótesis!$D$81,MAX(0,BY110)*0.1)</f>
        <v>20006</v>
      </c>
      <c r="BZ111" s="109" t="n">
        <f aca="false">MIN(0.2*Hipótesis!$D$81,MAX(0,BZ110)*0.1)</f>
        <v>20006</v>
      </c>
      <c r="CA111" s="109" t="n">
        <f aca="false">MIN(0.2*Hipótesis!$D$81,MAX(0,CA110)*0.1)</f>
        <v>20006</v>
      </c>
      <c r="CB111" s="109" t="n">
        <f aca="false">MIN(0.2*Hipótesis!$D$81,MAX(0,CB110)*0.1)</f>
        <v>20006</v>
      </c>
      <c r="CC111" s="109" t="n">
        <f aca="false">MIN(0.2*Hipótesis!$D$81,MAX(0,CC110)*0.1)</f>
        <v>20006</v>
      </c>
      <c r="CD111" s="109" t="n">
        <f aca="false">MIN(0.2*Hipótesis!$D$81,MAX(0,CD110)*0.1)</f>
        <v>20006</v>
      </c>
      <c r="CE111" s="109" t="n">
        <f aca="false">MIN(0.2*Hipótesis!$D$81,MAX(0,CE110)*0.1)</f>
        <v>20006</v>
      </c>
      <c r="CF111" s="109" t="n">
        <f aca="false">MIN(0.2*Hipótesis!$D$81,MAX(0,CF110)*0.1)</f>
        <v>20006</v>
      </c>
      <c r="CG111" s="109" t="n">
        <f aca="false">MIN(0.2*Hipótesis!$D$81,MAX(0,CG110)*0.1)</f>
        <v>20006</v>
      </c>
      <c r="CH111" s="109" t="n">
        <f aca="false">MIN(0.2*Hipótesis!$D$81,MAX(0,CH110)*0.1)</f>
        <v>20006</v>
      </c>
    </row>
    <row r="112" customFormat="false" ht="13.5" hidden="false" customHeight="true" outlineLevel="0" collapsed="false">
      <c r="A112" s="22" t="s">
        <v>609</v>
      </c>
      <c r="C112" s="109" t="n">
        <f aca="false">MAX(0,C110-C111)</f>
        <v>0</v>
      </c>
      <c r="D112" s="109" t="n">
        <f aca="false">MAX(0,D110-D111)</f>
        <v>0</v>
      </c>
      <c r="E112" s="109" t="n">
        <f aca="false">MAX(0,E110-E111)</f>
        <v>0</v>
      </c>
      <c r="F112" s="109" t="n">
        <f aca="false">MAX(0,F110-F111)</f>
        <v>0</v>
      </c>
      <c r="G112" s="109" t="n">
        <f aca="false">MAX(0,G110-G111)</f>
        <v>0</v>
      </c>
      <c r="H112" s="109" t="n">
        <f aca="false">MAX(0,H110-H111)</f>
        <v>0</v>
      </c>
      <c r="I112" s="109" t="n">
        <f aca="false">MAX(0,I110-I111)</f>
        <v>0</v>
      </c>
      <c r="J112" s="109" t="n">
        <f aca="false">MAX(0,J110-J111)</f>
        <v>0</v>
      </c>
      <c r="K112" s="109" t="n">
        <f aca="false">MAX(0,K110-K111)</f>
        <v>0</v>
      </c>
      <c r="L112" s="109" t="n">
        <f aca="false">MAX(0,L110-L111)</f>
        <v>0</v>
      </c>
      <c r="M112" s="109" t="n">
        <f aca="false">MAX(0,M110-M111)</f>
        <v>0</v>
      </c>
      <c r="N112" s="109" t="n">
        <f aca="false">MAX(0,N110-N111)</f>
        <v>0</v>
      </c>
      <c r="O112" s="109" t="n">
        <f aca="false">MAX(0,O110-O111)</f>
        <v>0</v>
      </c>
      <c r="P112" s="109" t="n">
        <f aca="false">MAX(0,P110-P111)</f>
        <v>0</v>
      </c>
      <c r="Q112" s="109" t="n">
        <f aca="false">MAX(0,Q110-Q111)</f>
        <v>0</v>
      </c>
      <c r="R112" s="109" t="n">
        <f aca="false">MAX(0,R110-R111)</f>
        <v>0</v>
      </c>
      <c r="S112" s="109" t="n">
        <f aca="false">MAX(0,S110-S111)</f>
        <v>0</v>
      </c>
      <c r="T112" s="109" t="n">
        <f aca="false">MAX(0,T110-T111)</f>
        <v>0</v>
      </c>
      <c r="U112" s="109" t="n">
        <f aca="false">MAX(0,U110-U111)</f>
        <v>0</v>
      </c>
      <c r="V112" s="109" t="n">
        <f aca="false">MAX(0,V110-V111)</f>
        <v>0</v>
      </c>
      <c r="W112" s="109" t="n">
        <f aca="false">MAX(0,W110-W111)</f>
        <v>0</v>
      </c>
      <c r="X112" s="109" t="n">
        <f aca="false">MAX(0,X110-X111)</f>
        <v>0</v>
      </c>
      <c r="Y112" s="109" t="n">
        <f aca="false">MAX(0,Y110-Y111)</f>
        <v>0</v>
      </c>
      <c r="Z112" s="109" t="n">
        <f aca="false">MAX(0,Z110-Z111)</f>
        <v>0</v>
      </c>
      <c r="AA112" s="109" t="n">
        <f aca="false">MAX(0,AA110-AA111)</f>
        <v>0</v>
      </c>
      <c r="AB112" s="109" t="n">
        <f aca="false">MAX(0,AB110-AB111)</f>
        <v>0</v>
      </c>
      <c r="AC112" s="109" t="n">
        <f aca="false">MAX(0,AC110-AC111)</f>
        <v>0</v>
      </c>
      <c r="AD112" s="109" t="n">
        <f aca="false">MAX(0,AD110-AD111)</f>
        <v>0</v>
      </c>
      <c r="AE112" s="109" t="n">
        <f aca="false">MAX(0,AE110-AE111)</f>
        <v>0</v>
      </c>
      <c r="AF112" s="109" t="n">
        <f aca="false">MAX(0,AF110-AF111)</f>
        <v>0</v>
      </c>
      <c r="AG112" s="109" t="n">
        <f aca="false">MAX(0,AG110-AG111)</f>
        <v>0</v>
      </c>
      <c r="AH112" s="109" t="n">
        <f aca="false">MAX(0,AH110-AH111)</f>
        <v>0</v>
      </c>
      <c r="AI112" s="109" t="n">
        <f aca="false">MAX(0,AI110-AI111)</f>
        <v>0</v>
      </c>
      <c r="AJ112" s="109" t="n">
        <f aca="false">MAX(0,AJ110-AJ111)</f>
        <v>0</v>
      </c>
      <c r="AK112" s="109" t="n">
        <f aca="false">MAX(0,AK110-AK111)</f>
        <v>0</v>
      </c>
      <c r="AL112" s="109" t="n">
        <f aca="false">MAX(0,AL110-AL111)</f>
        <v>604.818082520954</v>
      </c>
      <c r="AM112" s="109" t="n">
        <f aca="false">MAX(0,AM110-AM111)</f>
        <v>7274.84754267284</v>
      </c>
      <c r="AN112" s="109" t="n">
        <f aca="false">MAX(0,AN110-AN111)</f>
        <v>14672.4323892169</v>
      </c>
      <c r="AO112" s="109" t="n">
        <f aca="false">MAX(0,AO110-AO111)</f>
        <v>22797.5726221532</v>
      </c>
      <c r="AP112" s="109" t="n">
        <f aca="false">MAX(0,AP110-AP111)</f>
        <v>31650.2682414816</v>
      </c>
      <c r="AQ112" s="109" t="n">
        <f aca="false">MAX(0,AQ110-AQ111)</f>
        <v>41230.5192472022</v>
      </c>
      <c r="AR112" s="109" t="n">
        <f aca="false">MAX(0,AR110-AR111)</f>
        <v>51538.325639315</v>
      </c>
      <c r="AS112" s="109" t="n">
        <f aca="false">MAX(0,AS110-AS111)</f>
        <v>61849.8820314278</v>
      </c>
      <c r="AT112" s="109" t="n">
        <f aca="false">MAX(0,AT110-AT111)</f>
        <v>72165.1884235406</v>
      </c>
      <c r="AU112" s="109" t="n">
        <f aca="false">MAX(0,AU110-AU111)</f>
        <v>82484.2448156533</v>
      </c>
      <c r="AV112" s="109" t="n">
        <f aca="false">MAX(0,AV110-AV111)</f>
        <v>92807.0512077661</v>
      </c>
      <c r="AW112" s="109" t="n">
        <f aca="false">MAX(0,AW110-AW111)</f>
        <v>103133.607599879</v>
      </c>
      <c r="AX112" s="109" t="n">
        <f aca="false">MAX(0,AX110-AX111)</f>
        <v>113463.913991992</v>
      </c>
      <c r="AY112" s="109" t="n">
        <f aca="false">MAX(0,AY110-AY111)</f>
        <v>122081.733607952</v>
      </c>
      <c r="AZ112" s="109" t="n">
        <f aca="false">MAX(0,AZ110-AZ111)</f>
        <v>130703.303223912</v>
      </c>
      <c r="BA112" s="109" t="n">
        <f aca="false">MAX(0,BA110-BA111)</f>
        <v>139328.622839873</v>
      </c>
      <c r="BB112" s="109" t="n">
        <f aca="false">MAX(0,BB110-BB111)</f>
        <v>147957.692455833</v>
      </c>
      <c r="BC112" s="109" t="n">
        <f aca="false">MAX(0,BC110-BC111)</f>
        <v>156590.512071794</v>
      </c>
      <c r="BD112" s="109" t="n">
        <f aca="false">MAX(0,BD110-BD111)</f>
        <v>165227.081687754</v>
      </c>
      <c r="BE112" s="109" t="n">
        <f aca="false">MAX(0,BE110-BE111)</f>
        <v>173867.401303715</v>
      </c>
      <c r="BF112" s="109" t="n">
        <f aca="false">MAX(0,BF110-BF111)</f>
        <v>182784.523244083</v>
      </c>
      <c r="BG112" s="109" t="n">
        <f aca="false">MAX(0,BG110-BG111)</f>
        <v>192393.211706262</v>
      </c>
      <c r="BH112" s="109" t="n">
        <f aca="false">MAX(0,BH110-BH111)</f>
        <v>202006.066835107</v>
      </c>
      <c r="BI112" s="109" t="n">
        <f aca="false">MAX(0,BI110-BI111)</f>
        <v>211623.088630618</v>
      </c>
      <c r="BJ112" s="109" t="n">
        <f aca="false">MAX(0,BJ110-BJ111)</f>
        <v>221244.277092796</v>
      </c>
      <c r="BK112" s="109" t="n">
        <f aca="false">MAX(0,BK110-BK111)</f>
        <v>228949.153577822</v>
      </c>
      <c r="BL112" s="109" t="n">
        <f aca="false">MAX(0,BL110-BL111)</f>
        <v>236658.196729515</v>
      </c>
      <c r="BM112" s="109" t="n">
        <f aca="false">MAX(0,BM110-BM111)</f>
        <v>244371.406547875</v>
      </c>
      <c r="BN112" s="109" t="n">
        <f aca="false">MAX(0,BN110-BN111)</f>
        <v>252088.783032901</v>
      </c>
      <c r="BO112" s="109" t="n">
        <f aca="false">MAX(0,BO110-BO111)</f>
        <v>259810.326184594</v>
      </c>
      <c r="BP112" s="109" t="n">
        <f aca="false">MAX(0,BP110-BP111)</f>
        <v>267536.036002953</v>
      </c>
      <c r="BQ112" s="109" t="n">
        <f aca="false">MAX(0,BQ110-BQ111)</f>
        <v>275265.912487979</v>
      </c>
      <c r="BR112" s="109" t="n">
        <f aca="false">MAX(0,BR110-BR111)</f>
        <v>282999.955639672</v>
      </c>
      <c r="BS112" s="109" t="n">
        <f aca="false">MAX(0,BS110-BS111)</f>
        <v>290738.165458031</v>
      </c>
      <c r="BT112" s="109" t="n">
        <f aca="false">MAX(0,BT110-BT111)</f>
        <v>298480.541943057</v>
      </c>
      <c r="BU112" s="109" t="n">
        <f aca="false">MAX(0,BU110-BU111)</f>
        <v>306227.08509475</v>
      </c>
      <c r="BV112" s="109" t="n">
        <f aca="false">MAX(0,BV110-BV111)</f>
        <v>313977.79491311</v>
      </c>
      <c r="BW112" s="109" t="n">
        <f aca="false">MAX(0,BW110-BW111)</f>
        <v>319798.237395002</v>
      </c>
      <c r="BX112" s="109" t="n">
        <f aca="false">MAX(0,BX110-BX111)</f>
        <v>325622.846543562</v>
      </c>
      <c r="BY112" s="109" t="n">
        <f aca="false">MAX(0,BY110-BY111)</f>
        <v>331451.622358788</v>
      </c>
      <c r="BZ112" s="109" t="n">
        <f aca="false">MAX(0,BZ110-BZ111)</f>
        <v>337284.56484068</v>
      </c>
      <c r="CA112" s="109" t="n">
        <f aca="false">MAX(0,CA110-CA111)</f>
        <v>343121.67398924</v>
      </c>
      <c r="CB112" s="109" t="n">
        <f aca="false">MAX(0,CB110-CB111)</f>
        <v>348962.949804466</v>
      </c>
      <c r="CC112" s="109" t="n">
        <f aca="false">MAX(0,CC110-CC111)</f>
        <v>354808.392286359</v>
      </c>
      <c r="CD112" s="109" t="n">
        <f aca="false">MAX(0,CD110-CD111)</f>
        <v>360658.001434918</v>
      </c>
      <c r="CE112" s="109" t="n">
        <f aca="false">MAX(0,CE110-CE111)</f>
        <v>366511.777250144</v>
      </c>
      <c r="CF112" s="109" t="n">
        <f aca="false">MAX(0,CF110-CF111)</f>
        <v>372369.719732037</v>
      </c>
      <c r="CG112" s="109" t="n">
        <f aca="false">MAX(0,CG110-CG111)</f>
        <v>378231.828880596</v>
      </c>
      <c r="CH112" s="109" t="n">
        <f aca="false">MAX(0,CH110-CH111)</f>
        <v>384098.104695822</v>
      </c>
    </row>
    <row r="113" customFormat="false" ht="13.5" hidden="false" customHeight="true" outlineLevel="0" collapsed="false">
      <c r="A113" s="6" t="s">
        <v>610</v>
      </c>
      <c r="C113" s="109" t="n">
        <f aca="false">C110+C84</f>
        <v>-16016.2422359405</v>
      </c>
      <c r="D113" s="109" t="n">
        <f aca="false">D110+D84</f>
        <v>-31224.4940172796</v>
      </c>
      <c r="E113" s="109" t="n">
        <f aca="false">E110+E84</f>
        <v>-44823.8282596532</v>
      </c>
      <c r="F113" s="109" t="n">
        <f aca="false">F110+F84</f>
        <v>-57571.0741556921</v>
      </c>
      <c r="G113" s="109" t="n">
        <f aca="false">G110+G84</f>
        <v>-69517.3929673671</v>
      </c>
      <c r="H113" s="109" t="n">
        <f aca="false">H110+H84</f>
        <v>-80237.2481825155</v>
      </c>
      <c r="I113" s="109" t="n">
        <f aca="false">I110+I84</f>
        <v>-88636.2978239178</v>
      </c>
      <c r="J113" s="109" t="n">
        <f aca="false">J110+J84</f>
        <v>-94714.5418915742</v>
      </c>
      <c r="K113" s="109" t="n">
        <f aca="false">K110+K84</f>
        <v>-98471.9803854846</v>
      </c>
      <c r="L113" s="109" t="n">
        <f aca="false">L110+L84</f>
        <v>-99941.4203830214</v>
      </c>
      <c r="M113" s="109" t="n">
        <f aca="false">M110+M84</f>
        <v>-99941.5722426791</v>
      </c>
      <c r="N113" s="109" t="n">
        <f aca="false">N110+N84</f>
        <v>-100110.163289617</v>
      </c>
      <c r="O113" s="109" t="n">
        <f aca="false">O110+O84</f>
        <v>-103474.190581313</v>
      </c>
      <c r="P113" s="109" t="n">
        <f aca="false">P110+P84</f>
        <v>-105000.935416684</v>
      </c>
      <c r="Q113" s="109" t="n">
        <f aca="false">Q110+Q84</f>
        <v>-106989.479887187</v>
      </c>
      <c r="R113" s="109" t="n">
        <f aca="false">R110+R84</f>
        <v>-107162.998136212</v>
      </c>
      <c r="S113" s="109" t="n">
        <f aca="false">S110+S84</f>
        <v>-105766.804657439</v>
      </c>
      <c r="T113" s="109" t="n">
        <f aca="false">T110+T84</f>
        <v>-104746.323800415</v>
      </c>
      <c r="U113" s="109" t="n">
        <f aca="false">U110+U84</f>
        <v>-102177.872106365</v>
      </c>
      <c r="V113" s="109" t="n">
        <f aca="false">V110+V84</f>
        <v>-100320.694926368</v>
      </c>
      <c r="W113" s="109" t="n">
        <f aca="false">W110+W84</f>
        <v>-96912.6520548544</v>
      </c>
      <c r="X113" s="109" t="n">
        <f aca="false">X110+X84</f>
        <v>-94340.0608274753</v>
      </c>
      <c r="Y113" s="109" t="n">
        <f aca="false">Y110+Y84</f>
        <v>-90680.2061435852</v>
      </c>
      <c r="Z113" s="109" t="n">
        <f aca="false">Z110+Z84</f>
        <v>-86096.2470746854</v>
      </c>
      <c r="AA113" s="109" t="n">
        <f aca="false">AA110+AA84</f>
        <v>-82600.7132122188</v>
      </c>
      <c r="AB113" s="109" t="n">
        <f aca="false">AB110+AB84</f>
        <v>-78183.4317699284</v>
      </c>
      <c r="AC113" s="109" t="n">
        <f aca="false">AC110+AC84</f>
        <v>-72840.9129932773</v>
      </c>
      <c r="AD113" s="109" t="n">
        <f aca="false">AD110+AD84</f>
        <v>-66574.7865699897</v>
      </c>
      <c r="AE113" s="109" t="n">
        <f aca="false">AE110+AE84</f>
        <v>-61375.5687365638</v>
      </c>
      <c r="AF113" s="109" t="n">
        <f aca="false">AF110+AF84</f>
        <v>-55260.1700461996</v>
      </c>
      <c r="AG113" s="109" t="n">
        <f aca="false">AG110+AG84</f>
        <v>-48228.5904988971</v>
      </c>
      <c r="AH113" s="109" t="n">
        <f aca="false">AH110+AH84</f>
        <v>-40280.8300946563</v>
      </c>
      <c r="AI113" s="109" t="n">
        <f aca="false">AI110+AI84</f>
        <v>-31416.8888334772</v>
      </c>
      <c r="AJ113" s="109" t="n">
        <f aca="false">AJ110+AJ84</f>
        <v>-21636.7667153598</v>
      </c>
      <c r="AK113" s="109" t="n">
        <f aca="false">AK110+AK84</f>
        <v>-10940.4637403041</v>
      </c>
      <c r="AL113" s="109" t="n">
        <f aca="false">AL110+AL84</f>
        <v>672.020091689949</v>
      </c>
      <c r="AM113" s="109" t="n">
        <f aca="false">AM110+AM84</f>
        <v>8083.16393630316</v>
      </c>
      <c r="AN113" s="109" t="n">
        <f aca="false">AN110+AN84</f>
        <v>16302.7026546855</v>
      </c>
      <c r="AO113" s="109" t="n">
        <f aca="false">AO110+AO84</f>
        <v>25330.6362468368</v>
      </c>
      <c r="AP113" s="109" t="n">
        <f aca="false">AP110+AP84</f>
        <v>35166.9647127573</v>
      </c>
      <c r="AQ113" s="109" t="n">
        <f aca="false">AQ110+AQ84</f>
        <v>45811.6880524469</v>
      </c>
      <c r="AR113" s="109" t="n">
        <f aca="false">AR110+AR84</f>
        <v>57264.8062659055</v>
      </c>
      <c r="AS113" s="109" t="n">
        <f aca="false">AS110+AS84</f>
        <v>68722.0911460308</v>
      </c>
      <c r="AT113" s="109" t="n">
        <f aca="false">AT110+AT84</f>
        <v>80183.5426928228</v>
      </c>
      <c r="AU113" s="109" t="n">
        <f aca="false">AU110+AU84</f>
        <v>91649.1609062815</v>
      </c>
      <c r="AV113" s="109" t="n">
        <f aca="false">AV110+AV84</f>
        <v>103118.945786407</v>
      </c>
      <c r="AW113" s="109" t="n">
        <f aca="false">AW110+AW84</f>
        <v>114592.897333199</v>
      </c>
      <c r="AX113" s="109" t="n">
        <f aca="false">AX110+AX84</f>
        <v>126071.015546657</v>
      </c>
      <c r="AY113" s="109" t="n">
        <f aca="false">AY110+AY84</f>
        <v>135646.370675502</v>
      </c>
      <c r="AZ113" s="109" t="n">
        <f aca="false">AZ110+AZ84</f>
        <v>145225.892471014</v>
      </c>
      <c r="BA113" s="109" t="n">
        <f aca="false">BA110+BA84</f>
        <v>154809.580933192</v>
      </c>
      <c r="BB113" s="109" t="n">
        <f aca="false">BB110+BB84</f>
        <v>164397.436062037</v>
      </c>
      <c r="BC113" s="109" t="n">
        <f aca="false">BC110+BC84</f>
        <v>173989.457857549</v>
      </c>
      <c r="BD113" s="109" t="n">
        <f aca="false">BD110+BD84</f>
        <v>183585.646319727</v>
      </c>
      <c r="BE113" s="109" t="n">
        <f aca="false">BE110+BE84</f>
        <v>193186.001448572</v>
      </c>
      <c r="BF113" s="109" t="n">
        <f aca="false">BF110+BF84</f>
        <v>202790.523244083</v>
      </c>
      <c r="BG113" s="109" t="n">
        <f aca="false">BG110+BG84</f>
        <v>212399.211706262</v>
      </c>
      <c r="BH113" s="109" t="n">
        <f aca="false">BH110+BH84</f>
        <v>222012.066835107</v>
      </c>
      <c r="BI113" s="109" t="n">
        <f aca="false">BI110+BI84</f>
        <v>231629.088630618</v>
      </c>
      <c r="BJ113" s="109" t="n">
        <f aca="false">BJ110+BJ84</f>
        <v>241250.277092796</v>
      </c>
      <c r="BK113" s="109" t="n">
        <f aca="false">BK110+BK84</f>
        <v>248955.153577822</v>
      </c>
      <c r="BL113" s="109" t="n">
        <f aca="false">BL110+BL84</f>
        <v>256664.196729515</v>
      </c>
      <c r="BM113" s="109" t="n">
        <f aca="false">BM110+BM84</f>
        <v>264377.406547875</v>
      </c>
      <c r="BN113" s="109" t="n">
        <f aca="false">BN110+BN84</f>
        <v>272094.783032901</v>
      </c>
      <c r="BO113" s="109" t="n">
        <f aca="false">BO110+BO84</f>
        <v>279816.326184594</v>
      </c>
      <c r="BP113" s="109" t="n">
        <f aca="false">BP110+BP84</f>
        <v>287542.036002953</v>
      </c>
      <c r="BQ113" s="109" t="n">
        <f aca="false">BQ110+BQ84</f>
        <v>295271.912487979</v>
      </c>
      <c r="BR113" s="109" t="n">
        <f aca="false">BR110+BR84</f>
        <v>303005.955639672</v>
      </c>
      <c r="BS113" s="109" t="n">
        <f aca="false">BS110+BS84</f>
        <v>310744.165458031</v>
      </c>
      <c r="BT113" s="109" t="n">
        <f aca="false">BT110+BT84</f>
        <v>318486.541943057</v>
      </c>
      <c r="BU113" s="109" t="n">
        <f aca="false">BU110+BU84</f>
        <v>326233.08509475</v>
      </c>
      <c r="BV113" s="109" t="n">
        <f aca="false">BV110+BV84</f>
        <v>333983.79491311</v>
      </c>
      <c r="BW113" s="109" t="n">
        <f aca="false">BW110+BW84</f>
        <v>339804.237395002</v>
      </c>
      <c r="BX113" s="109" t="n">
        <f aca="false">BX110+BX84</f>
        <v>345628.846543562</v>
      </c>
      <c r="BY113" s="109" t="n">
        <f aca="false">BY110+BY84</f>
        <v>351457.622358788</v>
      </c>
      <c r="BZ113" s="109" t="n">
        <f aca="false">BZ110+BZ84</f>
        <v>357290.56484068</v>
      </c>
      <c r="CA113" s="109" t="n">
        <f aca="false">CA110+CA84</f>
        <v>363127.67398924</v>
      </c>
      <c r="CB113" s="109" t="n">
        <f aca="false">CB110+CB84</f>
        <v>368968.949804466</v>
      </c>
      <c r="CC113" s="109" t="n">
        <f aca="false">CC110+CC84</f>
        <v>374814.392286359</v>
      </c>
      <c r="CD113" s="109" t="n">
        <f aca="false">CD110+CD84</f>
        <v>380664.001434918</v>
      </c>
      <c r="CE113" s="109" t="n">
        <f aca="false">CE110+CE84</f>
        <v>386517.777250144</v>
      </c>
      <c r="CF113" s="109" t="n">
        <f aca="false">CF110+CF84</f>
        <v>392375.719732037</v>
      </c>
      <c r="CG113" s="109" t="n">
        <f aca="false">CG110+CG84</f>
        <v>398237.828880596</v>
      </c>
      <c r="CH113" s="109" t="n">
        <f aca="false">CH110+CH84</f>
        <v>404104.104695822</v>
      </c>
    </row>
    <row r="114" customFormat="false" ht="13.5" hidden="false" customHeight="true" outlineLevel="0" collapsed="false">
      <c r="A114" s="6" t="s">
        <v>611</v>
      </c>
      <c r="C114" s="109" t="n">
        <f aca="false">-C84</f>
        <v>0</v>
      </c>
      <c r="D114" s="109" t="n">
        <f aca="false">C114-D84</f>
        <v>0</v>
      </c>
      <c r="E114" s="109" t="n">
        <f aca="false">D114-E84</f>
        <v>0</v>
      </c>
      <c r="F114" s="109" t="n">
        <f aca="false">E114-F84</f>
        <v>0</v>
      </c>
      <c r="G114" s="109" t="n">
        <f aca="false">F114-G84</f>
        <v>0</v>
      </c>
      <c r="H114" s="109" t="n">
        <f aca="false">G114-H84</f>
        <v>0</v>
      </c>
      <c r="I114" s="109" t="n">
        <f aca="false">H114-I84</f>
        <v>0</v>
      </c>
      <c r="J114" s="109" t="n">
        <f aca="false">I114-J84</f>
        <v>0</v>
      </c>
      <c r="K114" s="109" t="n">
        <f aca="false">J114-K84</f>
        <v>0</v>
      </c>
      <c r="L114" s="109" t="n">
        <f aca="false">K114-L84</f>
        <v>0</v>
      </c>
      <c r="M114" s="109" t="n">
        <f aca="false">L114-M84</f>
        <v>0</v>
      </c>
      <c r="N114" s="109" t="n">
        <f aca="false">M114-N84</f>
        <v>0</v>
      </c>
      <c r="O114" s="109" t="n">
        <f aca="false">N114-O84</f>
        <v>0</v>
      </c>
      <c r="P114" s="109" t="n">
        <f aca="false">O114-P84</f>
        <v>0</v>
      </c>
      <c r="Q114" s="109" t="n">
        <f aca="false">P114-Q84</f>
        <v>0</v>
      </c>
      <c r="R114" s="109" t="n">
        <f aca="false">Q114-R84</f>
        <v>0</v>
      </c>
      <c r="S114" s="109" t="n">
        <f aca="false">R114-S84</f>
        <v>0</v>
      </c>
      <c r="T114" s="109" t="n">
        <f aca="false">S114-T84</f>
        <v>0</v>
      </c>
      <c r="U114" s="109" t="n">
        <f aca="false">T114-U84</f>
        <v>0</v>
      </c>
      <c r="V114" s="109" t="n">
        <f aca="false">U114-V84</f>
        <v>0</v>
      </c>
      <c r="W114" s="109" t="n">
        <f aca="false">V114-W84</f>
        <v>0</v>
      </c>
      <c r="X114" s="109" t="n">
        <f aca="false">W114-X84</f>
        <v>0</v>
      </c>
      <c r="Y114" s="109" t="n">
        <f aca="false">X114-Y84</f>
        <v>0</v>
      </c>
      <c r="Z114" s="109" t="n">
        <f aca="false">Y114-Z84</f>
        <v>0</v>
      </c>
      <c r="AA114" s="109" t="n">
        <f aca="false">Z114-AA84</f>
        <v>0</v>
      </c>
      <c r="AB114" s="109" t="n">
        <f aca="false">AA114-AB84</f>
        <v>0</v>
      </c>
      <c r="AC114" s="109" t="n">
        <f aca="false">AB114-AC84</f>
        <v>0</v>
      </c>
      <c r="AD114" s="109" t="n">
        <f aca="false">AC114-AD84</f>
        <v>0</v>
      </c>
      <c r="AE114" s="109" t="n">
        <f aca="false">AD114-AE84</f>
        <v>0</v>
      </c>
      <c r="AF114" s="109" t="n">
        <f aca="false">AE114-AF84</f>
        <v>0</v>
      </c>
      <c r="AG114" s="109" t="n">
        <f aca="false">AF114-AG84</f>
        <v>0</v>
      </c>
      <c r="AH114" s="109" t="n">
        <f aca="false">AG114-AH84</f>
        <v>0</v>
      </c>
      <c r="AI114" s="109" t="n">
        <f aca="false">AH114-AI84</f>
        <v>0</v>
      </c>
      <c r="AJ114" s="109" t="n">
        <f aca="false">AI114-AJ84</f>
        <v>0</v>
      </c>
      <c r="AK114" s="109" t="n">
        <f aca="false">AJ114-AK84</f>
        <v>0</v>
      </c>
      <c r="AL114" s="109" t="n">
        <f aca="false">AK114-AL84</f>
        <v>0</v>
      </c>
      <c r="AM114" s="109" t="n">
        <f aca="false">AL114-AM84</f>
        <v>0</v>
      </c>
      <c r="AN114" s="109" t="n">
        <f aca="false">AM114-AN84</f>
        <v>0</v>
      </c>
      <c r="AO114" s="109" t="n">
        <f aca="false">AN114-AO84</f>
        <v>0</v>
      </c>
      <c r="AP114" s="109" t="n">
        <f aca="false">AO114-AP84</f>
        <v>0</v>
      </c>
      <c r="AQ114" s="109" t="n">
        <f aca="false">AP114-AQ84</f>
        <v>0</v>
      </c>
      <c r="AR114" s="109" t="n">
        <f aca="false">AQ114-AR84</f>
        <v>0</v>
      </c>
      <c r="AS114" s="109" t="n">
        <f aca="false">AR114-AS84</f>
        <v>0</v>
      </c>
      <c r="AT114" s="109" t="n">
        <f aca="false">AS114-AT84</f>
        <v>0</v>
      </c>
      <c r="AU114" s="109" t="n">
        <f aca="false">AT114-AU84</f>
        <v>0</v>
      </c>
      <c r="AV114" s="109" t="n">
        <f aca="false">AU114-AV84</f>
        <v>0</v>
      </c>
      <c r="AW114" s="109" t="n">
        <f aca="false">AV114-AW84</f>
        <v>0</v>
      </c>
      <c r="AX114" s="109" t="n">
        <f aca="false">AW114-AX84</f>
        <v>0</v>
      </c>
      <c r="AY114" s="109" t="n">
        <f aca="false">AX114-AY84</f>
        <v>0</v>
      </c>
      <c r="AZ114" s="109" t="n">
        <f aca="false">AY114-AZ84</f>
        <v>0</v>
      </c>
      <c r="BA114" s="109" t="n">
        <f aca="false">AZ114-BA84</f>
        <v>0</v>
      </c>
      <c r="BB114" s="109" t="n">
        <f aca="false">BA114-BB84</f>
        <v>0</v>
      </c>
      <c r="BC114" s="109" t="n">
        <f aca="false">BB114-BC84</f>
        <v>0</v>
      </c>
      <c r="BD114" s="109" t="n">
        <f aca="false">BC114-BD84</f>
        <v>0</v>
      </c>
      <c r="BE114" s="109" t="n">
        <f aca="false">BD114-BE84</f>
        <v>0</v>
      </c>
      <c r="BF114" s="109" t="n">
        <f aca="false">BE114-BF84</f>
        <v>0</v>
      </c>
      <c r="BG114" s="109" t="n">
        <f aca="false">BF114-BG84</f>
        <v>0</v>
      </c>
      <c r="BH114" s="109" t="n">
        <f aca="false">BG114-BH84</f>
        <v>0</v>
      </c>
      <c r="BI114" s="109" t="n">
        <f aca="false">BH114-BI84</f>
        <v>0</v>
      </c>
      <c r="BJ114" s="109" t="n">
        <f aca="false">BI114-BJ84</f>
        <v>0</v>
      </c>
      <c r="BK114" s="109" t="n">
        <f aca="false">BJ114-BK84</f>
        <v>0</v>
      </c>
      <c r="BL114" s="109" t="n">
        <f aca="false">BK114-BL84</f>
        <v>0</v>
      </c>
      <c r="BM114" s="109" t="n">
        <f aca="false">BL114-BM84</f>
        <v>0</v>
      </c>
      <c r="BN114" s="109" t="n">
        <f aca="false">BM114-BN84</f>
        <v>0</v>
      </c>
      <c r="BO114" s="109" t="n">
        <f aca="false">BN114-BO84</f>
        <v>0</v>
      </c>
      <c r="BP114" s="109" t="n">
        <f aca="false">BO114-BP84</f>
        <v>0</v>
      </c>
      <c r="BQ114" s="109" t="n">
        <f aca="false">BP114-BQ84</f>
        <v>0</v>
      </c>
      <c r="BR114" s="109" t="n">
        <f aca="false">BQ114-BR84</f>
        <v>0</v>
      </c>
      <c r="BS114" s="109" t="n">
        <f aca="false">BR114-BS84</f>
        <v>0</v>
      </c>
      <c r="BT114" s="109" t="n">
        <f aca="false">BS114-BT84</f>
        <v>0</v>
      </c>
      <c r="BU114" s="109" t="n">
        <f aca="false">BT114-BU84</f>
        <v>0</v>
      </c>
      <c r="BV114" s="109" t="n">
        <f aca="false">BU114-BV84</f>
        <v>0</v>
      </c>
      <c r="BW114" s="109" t="n">
        <f aca="false">BV114-BW84</f>
        <v>0</v>
      </c>
      <c r="BX114" s="109" t="n">
        <f aca="false">BW114-BX84</f>
        <v>0</v>
      </c>
      <c r="BY114" s="109" t="n">
        <f aca="false">BX114-BY84</f>
        <v>0</v>
      </c>
      <c r="BZ114" s="109" t="n">
        <f aca="false">BY114-BZ84</f>
        <v>0</v>
      </c>
      <c r="CA114" s="109" t="n">
        <f aca="false">BZ114-CA84</f>
        <v>0</v>
      </c>
      <c r="CB114" s="109" t="n">
        <f aca="false">CA114-CB84</f>
        <v>0</v>
      </c>
      <c r="CC114" s="109" t="n">
        <f aca="false">CB114-CC84</f>
        <v>0</v>
      </c>
      <c r="CD114" s="109" t="n">
        <f aca="false">CC114-CD84</f>
        <v>0</v>
      </c>
      <c r="CE114" s="109" t="n">
        <f aca="false">CD114-CE84</f>
        <v>0</v>
      </c>
      <c r="CF114" s="109" t="n">
        <f aca="false">CE114-CF84</f>
        <v>0</v>
      </c>
      <c r="CG114" s="109" t="n">
        <f aca="false">CF114-CG84</f>
        <v>0</v>
      </c>
      <c r="CH114" s="109" t="n">
        <f aca="false">CG114-CH84</f>
        <v>0</v>
      </c>
    </row>
    <row r="115" customFormat="false" ht="13.5" hidden="false" customHeight="true" outlineLevel="0" collapsed="false">
      <c r="A115" s="6" t="s">
        <v>612</v>
      </c>
      <c r="C115" s="109" t="n">
        <f aca="false">-C83</f>
        <v>0</v>
      </c>
      <c r="D115" s="109" t="n">
        <f aca="false">C115-D83</f>
        <v>0</v>
      </c>
      <c r="E115" s="109" t="n">
        <f aca="false">D115-E83</f>
        <v>0</v>
      </c>
      <c r="F115" s="109" t="n">
        <f aca="false">E115-F83</f>
        <v>0</v>
      </c>
      <c r="G115" s="109" t="n">
        <f aca="false">F115-G83</f>
        <v>0</v>
      </c>
      <c r="H115" s="109" t="n">
        <f aca="false">G115-H83</f>
        <v>0</v>
      </c>
      <c r="I115" s="109" t="n">
        <f aca="false">H115-I83</f>
        <v>0</v>
      </c>
      <c r="J115" s="109" t="n">
        <f aca="false">I115-J83</f>
        <v>0</v>
      </c>
      <c r="K115" s="109" t="n">
        <f aca="false">J115-K83</f>
        <v>0</v>
      </c>
      <c r="L115" s="109" t="n">
        <f aca="false">K115-L83</f>
        <v>0</v>
      </c>
      <c r="M115" s="109" t="n">
        <f aca="false">L115-M83</f>
        <v>0</v>
      </c>
      <c r="N115" s="109" t="n">
        <f aca="false">M115-N83</f>
        <v>0</v>
      </c>
      <c r="O115" s="109" t="n">
        <f aca="false">N115-O83</f>
        <v>0</v>
      </c>
      <c r="P115" s="109" t="n">
        <f aca="false">O115-P83</f>
        <v>0</v>
      </c>
      <c r="Q115" s="109" t="n">
        <f aca="false">P115-Q83</f>
        <v>0</v>
      </c>
      <c r="R115" s="109" t="n">
        <f aca="false">Q115-R83</f>
        <v>0</v>
      </c>
      <c r="S115" s="109" t="n">
        <f aca="false">R115-S83</f>
        <v>0</v>
      </c>
      <c r="T115" s="109" t="n">
        <f aca="false">S115-T83</f>
        <v>0</v>
      </c>
      <c r="U115" s="109" t="n">
        <f aca="false">T115-U83</f>
        <v>0</v>
      </c>
      <c r="V115" s="109" t="n">
        <f aca="false">U115-V83</f>
        <v>0</v>
      </c>
      <c r="W115" s="109" t="n">
        <f aca="false">V115-W83</f>
        <v>0</v>
      </c>
      <c r="X115" s="109" t="n">
        <f aca="false">W115-X83</f>
        <v>0</v>
      </c>
      <c r="Y115" s="109" t="n">
        <f aca="false">X115-Y83</f>
        <v>0</v>
      </c>
      <c r="Z115" s="109" t="n">
        <f aca="false">Y115-Z83</f>
        <v>0</v>
      </c>
      <c r="AA115" s="109" t="n">
        <f aca="false">Z115-AA83</f>
        <v>0</v>
      </c>
      <c r="AB115" s="109" t="n">
        <f aca="false">AA115-AB83</f>
        <v>0</v>
      </c>
      <c r="AC115" s="109" t="n">
        <f aca="false">AB115-AC83</f>
        <v>0</v>
      </c>
      <c r="AD115" s="109" t="n">
        <f aca="false">AC115-AD83</f>
        <v>0</v>
      </c>
      <c r="AE115" s="109" t="n">
        <f aca="false">AD115-AE83</f>
        <v>0</v>
      </c>
      <c r="AF115" s="109" t="n">
        <f aca="false">AE115-AF83</f>
        <v>0</v>
      </c>
      <c r="AG115" s="109" t="n">
        <f aca="false">AF115-AG83</f>
        <v>0</v>
      </c>
      <c r="AH115" s="109" t="n">
        <f aca="false">AG115-AH83</f>
        <v>0</v>
      </c>
      <c r="AI115" s="109" t="n">
        <f aca="false">AH115-AI83</f>
        <v>0</v>
      </c>
      <c r="AJ115" s="109" t="n">
        <f aca="false">AI115-AJ83</f>
        <v>0</v>
      </c>
      <c r="AK115" s="109" t="n">
        <f aca="false">AJ115-AK83</f>
        <v>0</v>
      </c>
      <c r="AL115" s="109" t="n">
        <f aca="false">AK115-AL83</f>
        <v>0</v>
      </c>
      <c r="AM115" s="109" t="n">
        <f aca="false">AL115-AM83</f>
        <v>0</v>
      </c>
      <c r="AN115" s="109" t="n">
        <f aca="false">AM115-AN83</f>
        <v>0</v>
      </c>
      <c r="AO115" s="109" t="n">
        <f aca="false">AN115-AO83</f>
        <v>0</v>
      </c>
      <c r="AP115" s="109" t="n">
        <f aca="false">AO115-AP83</f>
        <v>0</v>
      </c>
      <c r="AQ115" s="109" t="n">
        <f aca="false">AP115-AQ83</f>
        <v>0</v>
      </c>
      <c r="AR115" s="109" t="n">
        <f aca="false">AQ115-AR83</f>
        <v>0</v>
      </c>
      <c r="AS115" s="109" t="n">
        <f aca="false">AR115-AS83</f>
        <v>0</v>
      </c>
      <c r="AT115" s="109" t="n">
        <f aca="false">AS115-AT83</f>
        <v>0</v>
      </c>
      <c r="AU115" s="109" t="n">
        <f aca="false">AT115-AU83</f>
        <v>0</v>
      </c>
      <c r="AV115" s="109" t="n">
        <f aca="false">AU115-AV83</f>
        <v>0</v>
      </c>
      <c r="AW115" s="109" t="n">
        <f aca="false">AV115-AW83</f>
        <v>0</v>
      </c>
      <c r="AX115" s="109" t="n">
        <f aca="false">AW115-AX83</f>
        <v>50159.598181987</v>
      </c>
      <c r="AY115" s="109" t="n">
        <f aca="false">AX115-AY83</f>
        <v>50159.598181987</v>
      </c>
      <c r="AZ115" s="109" t="n">
        <f aca="false">AY115-AZ83</f>
        <v>50159.598181987</v>
      </c>
      <c r="BA115" s="109" t="n">
        <f aca="false">AZ115-BA83</f>
        <v>50159.598181987</v>
      </c>
      <c r="BB115" s="109" t="n">
        <f aca="false">BA115-BB83</f>
        <v>50159.598181987</v>
      </c>
      <c r="BC115" s="109" t="n">
        <f aca="false">BB115-BC83</f>
        <v>50159.598181987</v>
      </c>
      <c r="BD115" s="109" t="n">
        <f aca="false">BC115-BD83</f>
        <v>50159.598181987</v>
      </c>
      <c r="BE115" s="109" t="n">
        <f aca="false">BD115-BE83</f>
        <v>50159.598181987</v>
      </c>
      <c r="BF115" s="109" t="n">
        <f aca="false">BE115-BF83</f>
        <v>50159.598181987</v>
      </c>
      <c r="BG115" s="109" t="n">
        <f aca="false">BF115-BG83</f>
        <v>50159.598181987</v>
      </c>
      <c r="BH115" s="109" t="n">
        <f aca="false">BG115-BH83</f>
        <v>50159.598181987</v>
      </c>
      <c r="BI115" s="109" t="n">
        <f aca="false">BH115-BI83</f>
        <v>50159.598181987</v>
      </c>
      <c r="BJ115" s="109" t="n">
        <f aca="false">BI115-BJ83</f>
        <v>96231.3028004426</v>
      </c>
      <c r="BK115" s="109" t="n">
        <f aca="false">BJ115-BK83</f>
        <v>96231.3028004426</v>
      </c>
      <c r="BL115" s="109" t="n">
        <f aca="false">BK115-BL83</f>
        <v>96231.3028004426</v>
      </c>
      <c r="BM115" s="109" t="n">
        <f aca="false">BL115-BM83</f>
        <v>96231.3028004426</v>
      </c>
      <c r="BN115" s="109" t="n">
        <f aca="false">BM115-BN83</f>
        <v>96231.3028004426</v>
      </c>
      <c r="BO115" s="109" t="n">
        <f aca="false">BN115-BO83</f>
        <v>96231.3028004426</v>
      </c>
      <c r="BP115" s="109" t="n">
        <f aca="false">BO115-BP83</f>
        <v>96231.3028004426</v>
      </c>
      <c r="BQ115" s="109" t="n">
        <f aca="false">BP115-BQ83</f>
        <v>96231.3028004426</v>
      </c>
      <c r="BR115" s="109" t="n">
        <f aca="false">BQ115-BR83</f>
        <v>96231.3028004426</v>
      </c>
      <c r="BS115" s="109" t="n">
        <f aca="false">BR115-BS83</f>
        <v>96231.3028004426</v>
      </c>
      <c r="BT115" s="109" t="n">
        <f aca="false">BS115-BT83</f>
        <v>96231.3028004426</v>
      </c>
      <c r="BU115" s="109" t="n">
        <f aca="false">BT115-BU83</f>
        <v>96231.3028004426</v>
      </c>
      <c r="BV115" s="109" t="n">
        <f aca="false">BU115-BV83</f>
        <v>133324.709928568</v>
      </c>
      <c r="BW115" s="109" t="n">
        <f aca="false">BV115-BW83</f>
        <v>133324.709928568</v>
      </c>
      <c r="BX115" s="109" t="n">
        <f aca="false">BW115-BX83</f>
        <v>133324.709928568</v>
      </c>
      <c r="BY115" s="109" t="n">
        <f aca="false">BX115-BY83</f>
        <v>133324.709928568</v>
      </c>
      <c r="BZ115" s="109" t="n">
        <f aca="false">BY115-BZ83</f>
        <v>133324.709928568</v>
      </c>
      <c r="CA115" s="109" t="n">
        <f aca="false">BZ115-CA83</f>
        <v>133324.709928568</v>
      </c>
      <c r="CB115" s="109" t="n">
        <f aca="false">CA115-CB83</f>
        <v>133324.709928568</v>
      </c>
      <c r="CC115" s="109" t="n">
        <f aca="false">CB115-CC83</f>
        <v>133324.709928568</v>
      </c>
      <c r="CD115" s="109" t="n">
        <f aca="false">CC115-CD83</f>
        <v>133324.709928568</v>
      </c>
      <c r="CE115" s="109" t="n">
        <f aca="false">CD115-CE83</f>
        <v>133324.709928568</v>
      </c>
      <c r="CF115" s="109" t="n">
        <f aca="false">CE115-CF83</f>
        <v>133324.709928568</v>
      </c>
      <c r="CG115" s="109" t="n">
        <f aca="false">CF115-CG83</f>
        <v>133324.709928568</v>
      </c>
      <c r="CH115" s="109" t="n">
        <f aca="false">CG115-CH83</f>
        <v>161372.833841653</v>
      </c>
    </row>
    <row r="116" customFormat="false" ht="13.5" hidden="false" customHeight="true" outlineLevel="0" collapsed="false">
      <c r="A116" s="6" t="s">
        <v>613</v>
      </c>
      <c r="C116" s="109" t="n">
        <f aca="false">Hipótesis!$C$44*(1-Hipótesis!$D$83)</f>
        <v>1540</v>
      </c>
      <c r="D116" s="109" t="n">
        <f aca="false">Hipótesis!$C$44*(1-Hipótesis!$D$83)</f>
        <v>1540</v>
      </c>
      <c r="E116" s="109" t="n">
        <f aca="false">Hipótesis!$C$44*(1-Hipótesis!$D$83)</f>
        <v>1540</v>
      </c>
      <c r="F116" s="109" t="n">
        <f aca="false">Hipótesis!$C$44*(1-Hipótesis!$D$83)</f>
        <v>1540</v>
      </c>
      <c r="G116" s="109" t="n">
        <f aca="false">Hipótesis!$C$44*(1-Hipótesis!$D$83)</f>
        <v>1540</v>
      </c>
      <c r="H116" s="109" t="n">
        <f aca="false">Hipótesis!$C$44*(1-Hipótesis!$D$83)</f>
        <v>1540</v>
      </c>
      <c r="I116" s="109" t="n">
        <f aca="false">Hipótesis!$C$44*(1-Hipótesis!$D$83)</f>
        <v>1540</v>
      </c>
      <c r="J116" s="109" t="n">
        <f aca="false">Hipótesis!$C$44*(1-Hipótesis!$D$83)</f>
        <v>1540</v>
      </c>
      <c r="K116" s="109" t="n">
        <f aca="false">Hipótesis!$C$44*(1-Hipótesis!$D$83)</f>
        <v>1540</v>
      </c>
      <c r="L116" s="109" t="n">
        <f aca="false">Hipótesis!$C$44*(1-Hipótesis!$D$83)</f>
        <v>1540</v>
      </c>
      <c r="M116" s="109" t="n">
        <f aca="false">Hipótesis!$C$44*(1-Hipótesis!$D$83)</f>
        <v>1540</v>
      </c>
      <c r="N116" s="109" t="n">
        <f aca="false">Hipótesis!$C$44*(1-Hipótesis!$D$83)</f>
        <v>1540</v>
      </c>
      <c r="O116" s="109" t="n">
        <f aca="false">Hipótesis!$D$44*(1-Hipótesis!$D$83)</f>
        <v>2450</v>
      </c>
      <c r="P116" s="109" t="n">
        <f aca="false">Hipótesis!$D$44*(1-Hipótesis!$D$83)</f>
        <v>2450</v>
      </c>
      <c r="Q116" s="109" t="n">
        <f aca="false">Hipótesis!$D$44*(1-Hipótesis!$D$83)</f>
        <v>2450</v>
      </c>
      <c r="R116" s="109" t="n">
        <f aca="false">Hipótesis!$D$44*(1-Hipótesis!$D$83)</f>
        <v>2450</v>
      </c>
      <c r="S116" s="109" t="n">
        <f aca="false">Hipótesis!$D$44*(1-Hipótesis!$D$83)</f>
        <v>2450</v>
      </c>
      <c r="T116" s="109" t="n">
        <f aca="false">Hipótesis!$D$44*(1-Hipótesis!$D$83)</f>
        <v>2450</v>
      </c>
      <c r="U116" s="109" t="n">
        <f aca="false">Hipótesis!$D$44*(1-Hipótesis!$D$83)</f>
        <v>2450</v>
      </c>
      <c r="V116" s="109" t="n">
        <f aca="false">Hipótesis!$D$44*(1-Hipótesis!$D$83)</f>
        <v>2450</v>
      </c>
      <c r="W116" s="109" t="n">
        <f aca="false">Hipótesis!$D$44*(1-Hipótesis!$D$83)</f>
        <v>2450</v>
      </c>
      <c r="X116" s="109" t="n">
        <f aca="false">Hipótesis!$D$44*(1-Hipótesis!$D$83)</f>
        <v>2450</v>
      </c>
      <c r="Y116" s="109" t="n">
        <f aca="false">Hipótesis!$D$44*(1-Hipótesis!$D$83)</f>
        <v>2450</v>
      </c>
      <c r="Z116" s="109" t="n">
        <f aca="false">Hipótesis!$D$44*(1-Hipótesis!$D$83)</f>
        <v>2450</v>
      </c>
      <c r="AA116" s="109" t="n">
        <f aca="false">Hipótesis!$E$44*(1-Hipótesis!$D$83)</f>
        <v>2800</v>
      </c>
      <c r="AB116" s="109" t="n">
        <f aca="false">Hipótesis!$E$44*(1-Hipótesis!$D$83)</f>
        <v>2800</v>
      </c>
      <c r="AC116" s="109" t="n">
        <f aca="false">Hipótesis!$E$44*(1-Hipótesis!$D$83)</f>
        <v>2800</v>
      </c>
      <c r="AD116" s="109" t="n">
        <f aca="false">Hipótesis!$E$44*(1-Hipótesis!$D$83)</f>
        <v>2800</v>
      </c>
      <c r="AE116" s="109" t="n">
        <f aca="false">Hipótesis!$E$44*(1-Hipótesis!$D$83)</f>
        <v>2800</v>
      </c>
      <c r="AF116" s="109" t="n">
        <f aca="false">Hipótesis!$E$44*(1-Hipótesis!$D$83)</f>
        <v>2800</v>
      </c>
      <c r="AG116" s="109" t="n">
        <f aca="false">Hipótesis!$E$44*(1-Hipótesis!$D$83)</f>
        <v>2800</v>
      </c>
      <c r="AH116" s="109" t="n">
        <f aca="false">Hipótesis!$E$44*(1-Hipótesis!$D$83)</f>
        <v>2800</v>
      </c>
      <c r="AI116" s="109" t="n">
        <f aca="false">Hipótesis!$E$44*(1-Hipótesis!$D$83)</f>
        <v>2800</v>
      </c>
      <c r="AJ116" s="109" t="n">
        <f aca="false">Hipótesis!$E$44*(1-Hipótesis!$D$83)</f>
        <v>2800</v>
      </c>
      <c r="AK116" s="109" t="n">
        <f aca="false">Hipótesis!$E$44*(1-Hipótesis!$D$83)</f>
        <v>2800</v>
      </c>
      <c r="AL116" s="109" t="n">
        <f aca="false">Hipótesis!$E$44*(1-Hipótesis!$D$83)</f>
        <v>2800</v>
      </c>
      <c r="AM116" s="109" t="n">
        <f aca="false">Hipótesis!$F$44*(1-Hipótesis!$D$83)</f>
        <v>3150</v>
      </c>
      <c r="AN116" s="109" t="n">
        <f aca="false">Hipótesis!$F$44*(1-Hipótesis!$D$83)</f>
        <v>3150</v>
      </c>
      <c r="AO116" s="109" t="n">
        <f aca="false">Hipótesis!$F$44*(1-Hipótesis!$D$83)</f>
        <v>3150</v>
      </c>
      <c r="AP116" s="109" t="n">
        <f aca="false">Hipótesis!$F$44*(1-Hipótesis!$D$83)</f>
        <v>3150</v>
      </c>
      <c r="AQ116" s="109" t="n">
        <f aca="false">Hipótesis!$F$44*(1-Hipótesis!$D$83)</f>
        <v>3150</v>
      </c>
      <c r="AR116" s="109" t="n">
        <f aca="false">Hipótesis!$F$44*(1-Hipótesis!$D$83)</f>
        <v>3150</v>
      </c>
      <c r="AS116" s="109" t="n">
        <f aca="false">Hipótesis!$F$44*(1-Hipótesis!$D$83)</f>
        <v>3150</v>
      </c>
      <c r="AT116" s="109" t="n">
        <f aca="false">Hipótesis!$F$44*(1-Hipótesis!$D$83)</f>
        <v>3150</v>
      </c>
      <c r="AU116" s="109" t="n">
        <f aca="false">Hipótesis!$F$44*(1-Hipótesis!$D$83)</f>
        <v>3150</v>
      </c>
      <c r="AV116" s="109" t="n">
        <f aca="false">Hipótesis!$F$44*(1-Hipótesis!$D$83)</f>
        <v>3150</v>
      </c>
      <c r="AW116" s="109" t="n">
        <f aca="false">Hipótesis!$F$44*(1-Hipótesis!$D$83)</f>
        <v>3150</v>
      </c>
      <c r="AX116" s="109" t="n">
        <f aca="false">Hipótesis!$F$44*(1-Hipótesis!$D$83)</f>
        <v>3150</v>
      </c>
      <c r="AY116" s="109" t="n">
        <f aca="false">Hipótesis!$G$44*(1-Hipótesis!$D$83)</f>
        <v>3500</v>
      </c>
      <c r="AZ116" s="109" t="n">
        <f aca="false">Hipótesis!$G$44*(1-Hipótesis!$D$83)</f>
        <v>3500</v>
      </c>
      <c r="BA116" s="109" t="n">
        <f aca="false">Hipótesis!$G$44*(1-Hipótesis!$D$83)</f>
        <v>3500</v>
      </c>
      <c r="BB116" s="109" t="n">
        <f aca="false">Hipótesis!$G$44*(1-Hipótesis!$D$83)</f>
        <v>3500</v>
      </c>
      <c r="BC116" s="109" t="n">
        <f aca="false">Hipótesis!$G$44*(1-Hipótesis!$D$83)</f>
        <v>3500</v>
      </c>
      <c r="BD116" s="109" t="n">
        <f aca="false">Hipótesis!$G$44*(1-Hipótesis!$D$83)</f>
        <v>3500</v>
      </c>
      <c r="BE116" s="109" t="n">
        <f aca="false">Hipótesis!$G$44*(1-Hipótesis!$D$83)</f>
        <v>3500</v>
      </c>
      <c r="BF116" s="109" t="n">
        <f aca="false">Hipótesis!$G$44*(1-Hipótesis!$D$83)</f>
        <v>3500</v>
      </c>
      <c r="BG116" s="109" t="n">
        <f aca="false">Hipótesis!$G$44*(1-Hipótesis!$D$83)</f>
        <v>3500</v>
      </c>
      <c r="BH116" s="109" t="n">
        <f aca="false">Hipótesis!$G$44*(1-Hipótesis!$D$83)</f>
        <v>3500</v>
      </c>
      <c r="BI116" s="109" t="n">
        <f aca="false">Hipótesis!$G$44*(1-Hipótesis!$D$83)</f>
        <v>3500</v>
      </c>
      <c r="BJ116" s="109" t="n">
        <f aca="false">Hipótesis!$G$44*(1-Hipótesis!$D$83)</f>
        <v>3500</v>
      </c>
      <c r="BK116" s="109" t="n">
        <f aca="false">Hipótesis!$H$44*(1-Hipótesis!$D$83)</f>
        <v>3850</v>
      </c>
      <c r="BL116" s="109" t="n">
        <f aca="false">Hipótesis!$H$44*(1-Hipótesis!$D$83)</f>
        <v>3850</v>
      </c>
      <c r="BM116" s="109" t="n">
        <f aca="false">Hipótesis!$H$44*(1-Hipótesis!$D$83)</f>
        <v>3850</v>
      </c>
      <c r="BN116" s="109" t="n">
        <f aca="false">Hipótesis!$H$44*(1-Hipótesis!$D$83)</f>
        <v>3850</v>
      </c>
      <c r="BO116" s="109" t="n">
        <f aca="false">Hipótesis!$H$44*(1-Hipótesis!$D$83)</f>
        <v>3850</v>
      </c>
      <c r="BP116" s="109" t="n">
        <f aca="false">Hipótesis!$H$44*(1-Hipótesis!$D$83)</f>
        <v>3850</v>
      </c>
      <c r="BQ116" s="109" t="n">
        <f aca="false">Hipótesis!$H$44*(1-Hipótesis!$D$83)</f>
        <v>3850</v>
      </c>
      <c r="BR116" s="109" t="n">
        <f aca="false">Hipótesis!$H$44*(1-Hipótesis!$D$83)</f>
        <v>3850</v>
      </c>
      <c r="BS116" s="109" t="n">
        <f aca="false">Hipótesis!$H$44*(1-Hipótesis!$D$83)</f>
        <v>3850</v>
      </c>
      <c r="BT116" s="109" t="n">
        <f aca="false">Hipótesis!$H$44*(1-Hipótesis!$D$83)</f>
        <v>3850</v>
      </c>
      <c r="BU116" s="109" t="n">
        <f aca="false">Hipótesis!$H$44*(1-Hipótesis!$D$83)</f>
        <v>3850</v>
      </c>
      <c r="BV116" s="109" t="n">
        <f aca="false">Hipótesis!$H$44*(1-Hipótesis!$D$83)</f>
        <v>3850</v>
      </c>
      <c r="BW116" s="109" t="n">
        <f aca="false">Hipótesis!$I$44*(1-Hipótesis!$D$83)</f>
        <v>4200</v>
      </c>
      <c r="BX116" s="109" t="n">
        <f aca="false">Hipótesis!$I$44*(1-Hipótesis!$D$83)</f>
        <v>4200</v>
      </c>
      <c r="BY116" s="109" t="n">
        <f aca="false">Hipótesis!$I$44*(1-Hipótesis!$D$83)</f>
        <v>4200</v>
      </c>
      <c r="BZ116" s="109" t="n">
        <f aca="false">Hipótesis!$I$44*(1-Hipótesis!$D$83)</f>
        <v>4200</v>
      </c>
      <c r="CA116" s="109" t="n">
        <f aca="false">Hipótesis!$I$44*(1-Hipótesis!$D$83)</f>
        <v>4200</v>
      </c>
      <c r="CB116" s="109" t="n">
        <f aca="false">Hipótesis!$I$44*(1-Hipótesis!$D$83)</f>
        <v>4200</v>
      </c>
      <c r="CC116" s="109" t="n">
        <f aca="false">Hipótesis!$I$44*(1-Hipótesis!$D$83)</f>
        <v>4200</v>
      </c>
      <c r="CD116" s="109" t="n">
        <f aca="false">Hipótesis!$I$44*(1-Hipótesis!$D$83)</f>
        <v>4200</v>
      </c>
      <c r="CE116" s="109" t="n">
        <f aca="false">Hipótesis!$I$44*(1-Hipótesis!$D$83)</f>
        <v>4200</v>
      </c>
      <c r="CF116" s="109" t="n">
        <f aca="false">Hipótesis!$I$44*(1-Hipótesis!$D$83)</f>
        <v>4200</v>
      </c>
      <c r="CG116" s="109" t="n">
        <f aca="false">Hipótesis!$I$44*(1-Hipótesis!$D$83)</f>
        <v>4200</v>
      </c>
      <c r="CH116" s="109" t="n">
        <f aca="false">Hipótesis!$I$44*(1-Hipótesis!$D$83)</f>
        <v>4200</v>
      </c>
    </row>
    <row r="117" customFormat="false" ht="13.5" hidden="false" customHeight="true" outlineLevel="0" collapsed="false">
      <c r="A117" s="6" t="s">
        <v>614</v>
      </c>
      <c r="C117" s="109" t="n">
        <f aca="false">-C84*Hipótesis!$D$82*(1-Hipótesis!$D$84)</f>
        <v>0</v>
      </c>
      <c r="D117" s="109" t="n">
        <f aca="false">-D84*Hipótesis!$D$82*(1-Hipótesis!$D$84)</f>
        <v>0</v>
      </c>
      <c r="E117" s="109" t="n">
        <f aca="false">-E84*Hipótesis!$D$82*(1-Hipótesis!$D$84)</f>
        <v>0</v>
      </c>
      <c r="F117" s="109" t="n">
        <f aca="false">-F84*Hipótesis!$D$82*(1-Hipótesis!$D$84)</f>
        <v>0</v>
      </c>
      <c r="G117" s="109" t="n">
        <f aca="false">-G84*Hipótesis!$D$82*(1-Hipótesis!$D$84)</f>
        <v>0</v>
      </c>
      <c r="H117" s="109" t="n">
        <f aca="false">-H84*Hipótesis!$D$82*(1-Hipótesis!$D$84)</f>
        <v>0</v>
      </c>
      <c r="I117" s="109" t="n">
        <f aca="false">-I84*Hipótesis!$D$82*(1-Hipótesis!$D$84)</f>
        <v>0</v>
      </c>
      <c r="J117" s="109" t="n">
        <f aca="false">-J84*Hipótesis!$D$82*(1-Hipótesis!$D$84)</f>
        <v>0</v>
      </c>
      <c r="K117" s="109" t="n">
        <f aca="false">-K84*Hipótesis!$D$82*(1-Hipótesis!$D$84)</f>
        <v>0</v>
      </c>
      <c r="L117" s="109" t="n">
        <f aca="false">-L84*Hipótesis!$D$82*(1-Hipótesis!$D$84)</f>
        <v>0</v>
      </c>
      <c r="M117" s="109" t="n">
        <f aca="false">-M84*Hipótesis!$D$82*(1-Hipótesis!$D$84)</f>
        <v>0</v>
      </c>
      <c r="N117" s="109" t="n">
        <f aca="false">-N84*Hipótesis!$D$82*(1-Hipótesis!$D$84)</f>
        <v>0</v>
      </c>
      <c r="O117" s="109" t="n">
        <f aca="false">-O84*Hipótesis!$D$82*(1-Hipótesis!$D$84)</f>
        <v>0</v>
      </c>
      <c r="P117" s="109" t="n">
        <f aca="false">-P84*Hipótesis!$D$82*(1-Hipótesis!$D$84)</f>
        <v>0</v>
      </c>
      <c r="Q117" s="109" t="n">
        <f aca="false">-Q84*Hipótesis!$D$82*(1-Hipótesis!$D$84)</f>
        <v>0</v>
      </c>
      <c r="R117" s="109" t="n">
        <f aca="false">-R84*Hipótesis!$D$82*(1-Hipótesis!$D$84)</f>
        <v>0</v>
      </c>
      <c r="S117" s="109" t="n">
        <f aca="false">-S84*Hipótesis!$D$82*(1-Hipótesis!$D$84)</f>
        <v>0</v>
      </c>
      <c r="T117" s="109" t="n">
        <f aca="false">-T84*Hipótesis!$D$82*(1-Hipótesis!$D$84)</f>
        <v>0</v>
      </c>
      <c r="U117" s="109" t="n">
        <f aca="false">-U84*Hipótesis!$D$82*(1-Hipótesis!$D$84)</f>
        <v>0</v>
      </c>
      <c r="V117" s="109" t="n">
        <f aca="false">-V84*Hipótesis!$D$82*(1-Hipótesis!$D$84)</f>
        <v>0</v>
      </c>
      <c r="W117" s="109" t="n">
        <f aca="false">-W84*Hipótesis!$D$82*(1-Hipótesis!$D$84)</f>
        <v>0</v>
      </c>
      <c r="X117" s="109" t="n">
        <f aca="false">-X84*Hipótesis!$D$82*(1-Hipótesis!$D$84)</f>
        <v>0</v>
      </c>
      <c r="Y117" s="109" t="n">
        <f aca="false">-Y84*Hipótesis!$D$82*(1-Hipótesis!$D$84)</f>
        <v>0</v>
      </c>
      <c r="Z117" s="109" t="n">
        <f aca="false">-Z84*Hipótesis!$D$82*(1-Hipótesis!$D$84)</f>
        <v>0</v>
      </c>
      <c r="AA117" s="109" t="n">
        <f aca="false">-AA84*Hipótesis!$D$82*(1-Hipótesis!$D$84)</f>
        <v>0</v>
      </c>
      <c r="AB117" s="109" t="n">
        <f aca="false">-AB84*Hipótesis!$D$82*(1-Hipótesis!$D$84)</f>
        <v>0</v>
      </c>
      <c r="AC117" s="109" t="n">
        <f aca="false">-AC84*Hipótesis!$D$82*(1-Hipótesis!$D$84)</f>
        <v>0</v>
      </c>
      <c r="AD117" s="109" t="n">
        <f aca="false">-AD84*Hipótesis!$D$82*(1-Hipótesis!$D$84)</f>
        <v>0</v>
      </c>
      <c r="AE117" s="109" t="n">
        <f aca="false">-AE84*Hipótesis!$D$82*(1-Hipótesis!$D$84)</f>
        <v>0</v>
      </c>
      <c r="AF117" s="109" t="n">
        <f aca="false">-AF84*Hipótesis!$D$82*(1-Hipótesis!$D$84)</f>
        <v>0</v>
      </c>
      <c r="AG117" s="109" t="n">
        <f aca="false">-AG84*Hipótesis!$D$82*(1-Hipótesis!$D$84)</f>
        <v>0</v>
      </c>
      <c r="AH117" s="109" t="n">
        <f aca="false">-AH84*Hipótesis!$D$82*(1-Hipótesis!$D$84)</f>
        <v>0</v>
      </c>
      <c r="AI117" s="109" t="n">
        <f aca="false">-AI84*Hipótesis!$D$82*(1-Hipótesis!$D$84)</f>
        <v>0</v>
      </c>
      <c r="AJ117" s="109" t="n">
        <f aca="false">-AJ84*Hipótesis!$D$82*(1-Hipótesis!$D$84)</f>
        <v>0</v>
      </c>
      <c r="AK117" s="109" t="n">
        <f aca="false">-AK84*Hipótesis!$D$82*(1-Hipótesis!$D$84)</f>
        <v>0</v>
      </c>
      <c r="AL117" s="109" t="n">
        <f aca="false">-AL84*Hipótesis!$D$82*(1-Hipótesis!$D$84)</f>
        <v>0</v>
      </c>
      <c r="AM117" s="109" t="n">
        <f aca="false">-AM84*Hipótesis!$D$82*(1-Hipótesis!$D$84)</f>
        <v>0</v>
      </c>
      <c r="AN117" s="109" t="n">
        <f aca="false">-AN84*Hipótesis!$D$82*(1-Hipótesis!$D$84)</f>
        <v>0</v>
      </c>
      <c r="AO117" s="109" t="n">
        <f aca="false">-AO84*Hipótesis!$D$82*(1-Hipótesis!$D$84)</f>
        <v>0</v>
      </c>
      <c r="AP117" s="109" t="n">
        <f aca="false">-AP84*Hipótesis!$D$82*(1-Hipótesis!$D$84)</f>
        <v>0</v>
      </c>
      <c r="AQ117" s="109" t="n">
        <f aca="false">-AQ84*Hipótesis!$D$82*(1-Hipótesis!$D$84)</f>
        <v>0</v>
      </c>
      <c r="AR117" s="109" t="n">
        <f aca="false">-AR84*Hipótesis!$D$82*(1-Hipótesis!$D$84)</f>
        <v>0</v>
      </c>
      <c r="AS117" s="109" t="n">
        <f aca="false">-AS84*Hipótesis!$D$82*(1-Hipótesis!$D$84)</f>
        <v>0</v>
      </c>
      <c r="AT117" s="109" t="n">
        <f aca="false">-AT84*Hipótesis!$D$82*(1-Hipótesis!$D$84)</f>
        <v>0</v>
      </c>
      <c r="AU117" s="109" t="n">
        <f aca="false">-AU84*Hipótesis!$D$82*(1-Hipótesis!$D$84)</f>
        <v>0</v>
      </c>
      <c r="AV117" s="109" t="n">
        <f aca="false">-AV84*Hipótesis!$D$82*(1-Hipótesis!$D$84)</f>
        <v>0</v>
      </c>
      <c r="AW117" s="109" t="n">
        <f aca="false">-AW84*Hipótesis!$D$82*(1-Hipótesis!$D$84)</f>
        <v>0</v>
      </c>
      <c r="AX117" s="109" t="n">
        <f aca="false">-AX84*Hipótesis!$D$82*(1-Hipótesis!$D$84)</f>
        <v>0</v>
      </c>
      <c r="AY117" s="109" t="n">
        <f aca="false">-AY84*Hipótesis!$D$82*(1-Hipótesis!$D$84)</f>
        <v>0</v>
      </c>
      <c r="AZ117" s="109" t="n">
        <f aca="false">-AZ84*Hipótesis!$D$82*(1-Hipótesis!$D$84)</f>
        <v>0</v>
      </c>
      <c r="BA117" s="109" t="n">
        <f aca="false">-BA84*Hipótesis!$D$82*(1-Hipótesis!$D$84)</f>
        <v>0</v>
      </c>
      <c r="BB117" s="109" t="n">
        <f aca="false">-BB84*Hipótesis!$D$82*(1-Hipótesis!$D$84)</f>
        <v>0</v>
      </c>
      <c r="BC117" s="109" t="n">
        <f aca="false">-BC84*Hipótesis!$D$82*(1-Hipótesis!$D$84)</f>
        <v>0</v>
      </c>
      <c r="BD117" s="109" t="n">
        <f aca="false">-BD84*Hipótesis!$D$82*(1-Hipótesis!$D$84)</f>
        <v>0</v>
      </c>
      <c r="BE117" s="109" t="n">
        <f aca="false">-BE84*Hipótesis!$D$82*(1-Hipótesis!$D$84)</f>
        <v>0</v>
      </c>
      <c r="BF117" s="109" t="n">
        <f aca="false">-BF84*Hipótesis!$D$82*(1-Hipótesis!$D$84)</f>
        <v>0</v>
      </c>
      <c r="BG117" s="109" t="n">
        <f aca="false">-BG84*Hipótesis!$D$82*(1-Hipótesis!$D$84)</f>
        <v>0</v>
      </c>
      <c r="BH117" s="109" t="n">
        <f aca="false">-BH84*Hipótesis!$D$82*(1-Hipótesis!$D$84)</f>
        <v>0</v>
      </c>
      <c r="BI117" s="109" t="n">
        <f aca="false">-BI84*Hipótesis!$D$82*(1-Hipótesis!$D$84)</f>
        <v>0</v>
      </c>
      <c r="BJ117" s="109" t="n">
        <f aca="false">-BJ84*Hipótesis!$D$82*(1-Hipótesis!$D$84)</f>
        <v>0</v>
      </c>
      <c r="BK117" s="109" t="n">
        <f aca="false">-BK84*Hipótesis!$D$82*(1-Hipótesis!$D$84)</f>
        <v>0</v>
      </c>
      <c r="BL117" s="109" t="n">
        <f aca="false">-BL84*Hipótesis!$D$82*(1-Hipótesis!$D$84)</f>
        <v>0</v>
      </c>
      <c r="BM117" s="109" t="n">
        <f aca="false">-BM84*Hipótesis!$D$82*(1-Hipótesis!$D$84)</f>
        <v>0</v>
      </c>
      <c r="BN117" s="109" t="n">
        <f aca="false">-BN84*Hipótesis!$D$82*(1-Hipótesis!$D$84)</f>
        <v>0</v>
      </c>
      <c r="BO117" s="109" t="n">
        <f aca="false">-BO84*Hipótesis!$D$82*(1-Hipótesis!$D$84)</f>
        <v>0</v>
      </c>
      <c r="BP117" s="109" t="n">
        <f aca="false">-BP84*Hipótesis!$D$82*(1-Hipótesis!$D$84)</f>
        <v>0</v>
      </c>
      <c r="BQ117" s="109" t="n">
        <f aca="false">-BQ84*Hipótesis!$D$82*(1-Hipótesis!$D$84)</f>
        <v>0</v>
      </c>
      <c r="BR117" s="109" t="n">
        <f aca="false">-BR84*Hipótesis!$D$82*(1-Hipótesis!$D$84)</f>
        <v>0</v>
      </c>
      <c r="BS117" s="109" t="n">
        <f aca="false">-BS84*Hipótesis!$D$82*(1-Hipótesis!$D$84)</f>
        <v>0</v>
      </c>
      <c r="BT117" s="109" t="n">
        <f aca="false">-BT84*Hipótesis!$D$82*(1-Hipótesis!$D$84)</f>
        <v>0</v>
      </c>
      <c r="BU117" s="109" t="n">
        <f aca="false">-BU84*Hipótesis!$D$82*(1-Hipótesis!$D$84)</f>
        <v>0</v>
      </c>
      <c r="BV117" s="109" t="n">
        <f aca="false">-BV84*Hipótesis!$D$82*(1-Hipótesis!$D$84)</f>
        <v>0</v>
      </c>
      <c r="BW117" s="109" t="n">
        <f aca="false">-BW84*Hipótesis!$D$82*(1-Hipótesis!$D$84)</f>
        <v>0</v>
      </c>
      <c r="BX117" s="109" t="n">
        <f aca="false">-BX84*Hipótesis!$D$82*(1-Hipótesis!$D$84)</f>
        <v>0</v>
      </c>
      <c r="BY117" s="109" t="n">
        <f aca="false">-BY84*Hipótesis!$D$82*(1-Hipótesis!$D$84)</f>
        <v>0</v>
      </c>
      <c r="BZ117" s="109" t="n">
        <f aca="false">-BZ84*Hipótesis!$D$82*(1-Hipótesis!$D$84)</f>
        <v>0</v>
      </c>
      <c r="CA117" s="109" t="n">
        <f aca="false">-CA84*Hipótesis!$D$82*(1-Hipótesis!$D$84)</f>
        <v>0</v>
      </c>
      <c r="CB117" s="109" t="n">
        <f aca="false">-CB84*Hipótesis!$D$82*(1-Hipótesis!$D$84)</f>
        <v>0</v>
      </c>
      <c r="CC117" s="109" t="n">
        <f aca="false">-CC84*Hipótesis!$D$82*(1-Hipótesis!$D$84)</f>
        <v>0</v>
      </c>
      <c r="CD117" s="109" t="n">
        <f aca="false">-CD84*Hipótesis!$D$82*(1-Hipótesis!$D$84)</f>
        <v>0</v>
      </c>
      <c r="CE117" s="109" t="n">
        <f aca="false">-CE84*Hipótesis!$D$82*(1-Hipótesis!$D$84)</f>
        <v>0</v>
      </c>
      <c r="CF117" s="109" t="n">
        <f aca="false">-CF84*Hipótesis!$D$82*(1-Hipótesis!$D$84)</f>
        <v>0</v>
      </c>
      <c r="CG117" s="109" t="n">
        <f aca="false">-CG84*Hipótesis!$D$82*(1-Hipótesis!$D$84)</f>
        <v>0</v>
      </c>
      <c r="CH117" s="109" t="n">
        <f aca="false">-CH84*Hipótesis!$D$82*(1-Hipótesis!$D$84)</f>
        <v>0</v>
      </c>
    </row>
    <row r="118" customFormat="false" ht="13.5" hidden="false" customHeight="true" outlineLevel="0" collapsed="false">
      <c r="A118" s="22" t="s">
        <v>615</v>
      </c>
      <c r="C118" s="109" t="n">
        <f aca="false">C116+C117</f>
        <v>1540</v>
      </c>
      <c r="D118" s="109" t="n">
        <f aca="false">D116+D117</f>
        <v>1540</v>
      </c>
      <c r="E118" s="109" t="n">
        <f aca="false">E116+E117</f>
        <v>1540</v>
      </c>
      <c r="F118" s="109" t="n">
        <f aca="false">F116+F117</f>
        <v>1540</v>
      </c>
      <c r="G118" s="109" t="n">
        <f aca="false">G116+G117</f>
        <v>1540</v>
      </c>
      <c r="H118" s="109" t="n">
        <f aca="false">H116+H117</f>
        <v>1540</v>
      </c>
      <c r="I118" s="109" t="n">
        <f aca="false">I116+I117</f>
        <v>1540</v>
      </c>
      <c r="J118" s="109" t="n">
        <f aca="false">J116+J117</f>
        <v>1540</v>
      </c>
      <c r="K118" s="109" t="n">
        <f aca="false">K116+K117</f>
        <v>1540</v>
      </c>
      <c r="L118" s="109" t="n">
        <f aca="false">L116+L117</f>
        <v>1540</v>
      </c>
      <c r="M118" s="109" t="n">
        <f aca="false">M116+M117</f>
        <v>1540</v>
      </c>
      <c r="N118" s="109" t="n">
        <f aca="false">N116+N117</f>
        <v>1540</v>
      </c>
      <c r="O118" s="109" t="n">
        <f aca="false">O116+O117</f>
        <v>2450</v>
      </c>
      <c r="P118" s="109" t="n">
        <f aca="false">P116+P117</f>
        <v>2450</v>
      </c>
      <c r="Q118" s="109" t="n">
        <f aca="false">Q116+Q117</f>
        <v>2450</v>
      </c>
      <c r="R118" s="109" t="n">
        <f aca="false">R116+R117</f>
        <v>2450</v>
      </c>
      <c r="S118" s="109" t="n">
        <f aca="false">S116+S117</f>
        <v>2450</v>
      </c>
      <c r="T118" s="109" t="n">
        <f aca="false">T116+T117</f>
        <v>2450</v>
      </c>
      <c r="U118" s="109" t="n">
        <f aca="false">U116+U117</f>
        <v>2450</v>
      </c>
      <c r="V118" s="109" t="n">
        <f aca="false">V116+V117</f>
        <v>2450</v>
      </c>
      <c r="W118" s="109" t="n">
        <f aca="false">W116+W117</f>
        <v>2450</v>
      </c>
      <c r="X118" s="109" t="n">
        <f aca="false">X116+X117</f>
        <v>2450</v>
      </c>
      <c r="Y118" s="109" t="n">
        <f aca="false">Y116+Y117</f>
        <v>2450</v>
      </c>
      <c r="Z118" s="109" t="n">
        <f aca="false">Z116+Z117</f>
        <v>2450</v>
      </c>
      <c r="AA118" s="109" t="n">
        <f aca="false">AA116+AA117</f>
        <v>2800</v>
      </c>
      <c r="AB118" s="109" t="n">
        <f aca="false">AB116+AB117</f>
        <v>2800</v>
      </c>
      <c r="AC118" s="109" t="n">
        <f aca="false">AC116+AC117</f>
        <v>2800</v>
      </c>
      <c r="AD118" s="109" t="n">
        <f aca="false">AD116+AD117</f>
        <v>2800</v>
      </c>
      <c r="AE118" s="109" t="n">
        <f aca="false">AE116+AE117</f>
        <v>2800</v>
      </c>
      <c r="AF118" s="109" t="n">
        <f aca="false">AF116+AF117</f>
        <v>2800</v>
      </c>
      <c r="AG118" s="109" t="n">
        <f aca="false">AG116+AG117</f>
        <v>2800</v>
      </c>
      <c r="AH118" s="109" t="n">
        <f aca="false">AH116+AH117</f>
        <v>2800</v>
      </c>
      <c r="AI118" s="109" t="n">
        <f aca="false">AI116+AI117</f>
        <v>2800</v>
      </c>
      <c r="AJ118" s="109" t="n">
        <f aca="false">AJ116+AJ117</f>
        <v>2800</v>
      </c>
      <c r="AK118" s="109" t="n">
        <f aca="false">AK116+AK117</f>
        <v>2800</v>
      </c>
      <c r="AL118" s="109" t="n">
        <f aca="false">AL116+AL117</f>
        <v>2800</v>
      </c>
      <c r="AM118" s="109" t="n">
        <f aca="false">AM116+AM117</f>
        <v>3150</v>
      </c>
      <c r="AN118" s="109" t="n">
        <f aca="false">AN116+AN117</f>
        <v>3150</v>
      </c>
      <c r="AO118" s="109" t="n">
        <f aca="false">AO116+AO117</f>
        <v>3150</v>
      </c>
      <c r="AP118" s="109" t="n">
        <f aca="false">AP116+AP117</f>
        <v>3150</v>
      </c>
      <c r="AQ118" s="109" t="n">
        <f aca="false">AQ116+AQ117</f>
        <v>3150</v>
      </c>
      <c r="AR118" s="109" t="n">
        <f aca="false">AR116+AR117</f>
        <v>3150</v>
      </c>
      <c r="AS118" s="109" t="n">
        <f aca="false">AS116+AS117</f>
        <v>3150</v>
      </c>
      <c r="AT118" s="109" t="n">
        <f aca="false">AT116+AT117</f>
        <v>3150</v>
      </c>
      <c r="AU118" s="109" t="n">
        <f aca="false">AU116+AU117</f>
        <v>3150</v>
      </c>
      <c r="AV118" s="109" t="n">
        <f aca="false">AV116+AV117</f>
        <v>3150</v>
      </c>
      <c r="AW118" s="109" t="n">
        <f aca="false">AW116+AW117</f>
        <v>3150</v>
      </c>
      <c r="AX118" s="109" t="n">
        <f aca="false">AX116+AX117</f>
        <v>3150</v>
      </c>
      <c r="AY118" s="109" t="n">
        <f aca="false">AY116+AY117</f>
        <v>3500</v>
      </c>
      <c r="AZ118" s="109" t="n">
        <f aca="false">AZ116+AZ117</f>
        <v>3500</v>
      </c>
      <c r="BA118" s="109" t="n">
        <f aca="false">BA116+BA117</f>
        <v>3500</v>
      </c>
      <c r="BB118" s="109" t="n">
        <f aca="false">BB116+BB117</f>
        <v>3500</v>
      </c>
      <c r="BC118" s="109" t="n">
        <f aca="false">BC116+BC117</f>
        <v>3500</v>
      </c>
      <c r="BD118" s="109" t="n">
        <f aca="false">BD116+BD117</f>
        <v>3500</v>
      </c>
      <c r="BE118" s="109" t="n">
        <f aca="false">BE116+BE117</f>
        <v>3500</v>
      </c>
      <c r="BF118" s="109" t="n">
        <f aca="false">BF116+BF117</f>
        <v>3500</v>
      </c>
      <c r="BG118" s="109" t="n">
        <f aca="false">BG116+BG117</f>
        <v>3500</v>
      </c>
      <c r="BH118" s="109" t="n">
        <f aca="false">BH116+BH117</f>
        <v>3500</v>
      </c>
      <c r="BI118" s="109" t="n">
        <f aca="false">BI116+BI117</f>
        <v>3500</v>
      </c>
      <c r="BJ118" s="109" t="n">
        <f aca="false">BJ116+BJ117</f>
        <v>3500</v>
      </c>
      <c r="BK118" s="109" t="n">
        <f aca="false">BK116+BK117</f>
        <v>3850</v>
      </c>
      <c r="BL118" s="109" t="n">
        <f aca="false">BL116+BL117</f>
        <v>3850</v>
      </c>
      <c r="BM118" s="109" t="n">
        <f aca="false">BM116+BM117</f>
        <v>3850</v>
      </c>
      <c r="BN118" s="109" t="n">
        <f aca="false">BN116+BN117</f>
        <v>3850</v>
      </c>
      <c r="BO118" s="109" t="n">
        <f aca="false">BO116+BO117</f>
        <v>3850</v>
      </c>
      <c r="BP118" s="109" t="n">
        <f aca="false">BP116+BP117</f>
        <v>3850</v>
      </c>
      <c r="BQ118" s="109" t="n">
        <f aca="false">BQ116+BQ117</f>
        <v>3850</v>
      </c>
      <c r="BR118" s="109" t="n">
        <f aca="false">BR116+BR117</f>
        <v>3850</v>
      </c>
      <c r="BS118" s="109" t="n">
        <f aca="false">BS116+BS117</f>
        <v>3850</v>
      </c>
      <c r="BT118" s="109" t="n">
        <f aca="false">BT116+BT117</f>
        <v>3850</v>
      </c>
      <c r="BU118" s="109" t="n">
        <f aca="false">BU116+BU117</f>
        <v>3850</v>
      </c>
      <c r="BV118" s="109" t="n">
        <f aca="false">BV116+BV117</f>
        <v>3850</v>
      </c>
      <c r="BW118" s="109" t="n">
        <f aca="false">BW116+BW117</f>
        <v>4200</v>
      </c>
      <c r="BX118" s="109" t="n">
        <f aca="false">BX116+BX117</f>
        <v>4200</v>
      </c>
      <c r="BY118" s="109" t="n">
        <f aca="false">BY116+BY117</f>
        <v>4200</v>
      </c>
      <c r="BZ118" s="109" t="n">
        <f aca="false">BZ116+BZ117</f>
        <v>4200</v>
      </c>
      <c r="CA118" s="109" t="n">
        <f aca="false">CA116+CA117</f>
        <v>4200</v>
      </c>
      <c r="CB118" s="109" t="n">
        <f aca="false">CB116+CB117</f>
        <v>4200</v>
      </c>
      <c r="CC118" s="109" t="n">
        <f aca="false">CC116+CC117</f>
        <v>4200</v>
      </c>
      <c r="CD118" s="109" t="n">
        <f aca="false">CD116+CD117</f>
        <v>4200</v>
      </c>
      <c r="CE118" s="109" t="n">
        <f aca="false">CE116+CE117</f>
        <v>4200</v>
      </c>
      <c r="CF118" s="109" t="n">
        <f aca="false">CF116+CF117</f>
        <v>4200</v>
      </c>
      <c r="CG118" s="109" t="n">
        <f aca="false">CG116+CG117</f>
        <v>4200</v>
      </c>
      <c r="CH118" s="109" t="n">
        <f aca="false">CH116+CH117</f>
        <v>4200</v>
      </c>
    </row>
    <row r="119" customFormat="false" ht="13.5" hidden="false" customHeight="true" outlineLevel="0" collapsed="false"/>
    <row r="120" customFormat="false" ht="12.75" hidden="false" customHeight="true" outlineLevel="0" collapsed="false">
      <c r="A120" s="9" t="s">
        <v>616</v>
      </c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  <c r="BP120" s="9"/>
      <c r="BQ120" s="9"/>
      <c r="BR120" s="9"/>
      <c r="BS120" s="9"/>
      <c r="BT120" s="9"/>
      <c r="BU120" s="9"/>
      <c r="BV120" s="9"/>
      <c r="BW120" s="9"/>
      <c r="BX120" s="9"/>
      <c r="BY120" s="9"/>
      <c r="BZ120" s="9"/>
      <c r="CA120" s="9"/>
      <c r="CB120" s="9"/>
      <c r="CC120" s="9"/>
      <c r="CD120" s="9"/>
      <c r="CE120" s="9"/>
      <c r="CF120" s="9"/>
      <c r="CG120" s="9"/>
      <c r="CH120" s="9"/>
    </row>
    <row r="121" customFormat="false" ht="12.75" hidden="false" customHeight="true" outlineLevel="0" collapsed="false">
      <c r="A121" s="22" t="s">
        <v>617</v>
      </c>
      <c r="B121" s="121" t="n">
        <f aca="false">-Hipótesis!$D$93</f>
        <v>-100000</v>
      </c>
      <c r="C121" s="121" t="n">
        <f aca="false">C93+IF(Hipótesis!$D$94=5,IF(C$3=Hipótesis!$D$124,$C$158,0),IF(C$3=84,$C$134,0))</f>
        <v>0</v>
      </c>
      <c r="D121" s="121" t="n">
        <f aca="false">D93+IF(Hipótesis!$D$94=5,IF(D$3=Hipótesis!$D$124,$C$158,0),IF(D$3=84,$C$134,0))</f>
        <v>0</v>
      </c>
      <c r="E121" s="121" t="n">
        <f aca="false">E93+IF(Hipótesis!$D$94=5,IF(E$3=Hipótesis!$D$124,$C$158,0),IF(E$3=84,$C$134,0))</f>
        <v>0</v>
      </c>
      <c r="F121" s="121" t="n">
        <f aca="false">F93+IF(Hipótesis!$D$94=5,IF(F$3=Hipótesis!$D$124,$C$158,0),IF(F$3=84,$C$134,0))</f>
        <v>0</v>
      </c>
      <c r="G121" s="121" t="n">
        <f aca="false">G93+IF(Hipótesis!$D$94=5,IF(G$3=Hipótesis!$D$124,$C$158,0),IF(G$3=84,$C$134,0))</f>
        <v>0</v>
      </c>
      <c r="H121" s="121" t="n">
        <f aca="false">H93+IF(Hipótesis!$D$94=5,IF(H$3=Hipótesis!$D$124,$C$158,0),IF(H$3=84,$C$134,0))</f>
        <v>0</v>
      </c>
      <c r="I121" s="121" t="n">
        <f aca="false">I93+IF(Hipótesis!$D$94=5,IF(I$3=Hipótesis!$D$124,$C$158,0),IF(I$3=84,$C$134,0))</f>
        <v>0</v>
      </c>
      <c r="J121" s="121" t="n">
        <f aca="false">J93+IF(Hipótesis!$D$94=5,IF(J$3=Hipótesis!$D$124,$C$158,0),IF(J$3=84,$C$134,0))</f>
        <v>0</v>
      </c>
      <c r="K121" s="121" t="n">
        <f aca="false">K93+IF(Hipótesis!$D$94=5,IF(K$3=Hipótesis!$D$124,$C$158,0),IF(K$3=84,$C$134,0))</f>
        <v>0</v>
      </c>
      <c r="L121" s="121" t="n">
        <f aca="false">L93+IF(Hipótesis!$D$94=5,IF(L$3=Hipótesis!$D$124,$C$158,0),IF(L$3=84,$C$134,0))</f>
        <v>0</v>
      </c>
      <c r="M121" s="121" t="n">
        <f aca="false">M93+IF(Hipótesis!$D$94=5,IF(M$3=Hipótesis!$D$124,$C$158,0),IF(M$3=84,$C$134,0))</f>
        <v>0</v>
      </c>
      <c r="N121" s="121" t="n">
        <f aca="false">N93+IF(Hipótesis!$D$94=5,IF(N$3=Hipótesis!$D$124,$C$158,0),IF(N$3=84,$C$134,0))</f>
        <v>0</v>
      </c>
      <c r="O121" s="121" t="n">
        <f aca="false">O93+IF(Hipótesis!$D$94=5,IF(O$3=Hipótesis!$D$124,$C$158,0),IF(O$3=84,$C$134,0))</f>
        <v>0</v>
      </c>
      <c r="P121" s="121" t="n">
        <f aca="false">P93+IF(Hipótesis!$D$94=5,IF(P$3=Hipótesis!$D$124,$C$158,0),IF(P$3=84,$C$134,0))</f>
        <v>0</v>
      </c>
      <c r="Q121" s="121" t="n">
        <f aca="false">Q93+IF(Hipótesis!$D$94=5,IF(Q$3=Hipótesis!$D$124,$C$158,0),IF(Q$3=84,$C$134,0))</f>
        <v>0</v>
      </c>
      <c r="R121" s="121" t="n">
        <f aca="false">R93+IF(Hipótesis!$D$94=5,IF(R$3=Hipótesis!$D$124,$C$158,0),IF(R$3=84,$C$134,0))</f>
        <v>0</v>
      </c>
      <c r="S121" s="121" t="n">
        <f aca="false">S93+IF(Hipótesis!$D$94=5,IF(S$3=Hipótesis!$D$124,$C$158,0),IF(S$3=84,$C$134,0))</f>
        <v>0</v>
      </c>
      <c r="T121" s="121" t="n">
        <f aca="false">T93+IF(Hipótesis!$D$94=5,IF(T$3=Hipótesis!$D$124,$C$158,0),IF(T$3=84,$C$134,0))</f>
        <v>0</v>
      </c>
      <c r="U121" s="121" t="n">
        <f aca="false">U93+IF(Hipótesis!$D$94=5,IF(U$3=Hipótesis!$D$124,$C$158,0),IF(U$3=84,$C$134,0))</f>
        <v>0</v>
      </c>
      <c r="V121" s="121" t="n">
        <f aca="false">V93+IF(Hipótesis!$D$94=5,IF(V$3=Hipótesis!$D$124,$C$158,0),IF(V$3=84,$C$134,0))</f>
        <v>0</v>
      </c>
      <c r="W121" s="121" t="n">
        <f aca="false">W93+IF(Hipótesis!$D$94=5,IF(W$3=Hipótesis!$D$124,$C$158,0),IF(W$3=84,$C$134,0))</f>
        <v>0</v>
      </c>
      <c r="X121" s="121" t="n">
        <f aca="false">X93+IF(Hipótesis!$D$94=5,IF(X$3=Hipótesis!$D$124,$C$158,0),IF(X$3=84,$C$134,0))</f>
        <v>0</v>
      </c>
      <c r="Y121" s="121" t="n">
        <f aca="false">Y93+IF(Hipótesis!$D$94=5,IF(Y$3=Hipótesis!$D$124,$C$158,0),IF(Y$3=84,$C$134,0))</f>
        <v>0</v>
      </c>
      <c r="Z121" s="121" t="n">
        <f aca="false">Z93+IF(Hipótesis!$D$94=5,IF(Z$3=Hipótesis!$D$124,$C$158,0),IF(Z$3=84,$C$134,0))</f>
        <v>0</v>
      </c>
      <c r="AA121" s="121" t="n">
        <f aca="false">AA93+IF(Hipótesis!$D$94=5,IF(AA$3=Hipótesis!$D$124,$C$158,0),IF(AA$3=84,$C$134,0))</f>
        <v>0</v>
      </c>
      <c r="AB121" s="121" t="n">
        <f aca="false">AB93+IF(Hipótesis!$D$94=5,IF(AB$3=Hipótesis!$D$124,$C$158,0),IF(AB$3=84,$C$134,0))</f>
        <v>0</v>
      </c>
      <c r="AC121" s="121" t="n">
        <f aca="false">AC93+IF(Hipótesis!$D$94=5,IF(AC$3=Hipótesis!$D$124,$C$158,0),IF(AC$3=84,$C$134,0))</f>
        <v>0</v>
      </c>
      <c r="AD121" s="121" t="n">
        <f aca="false">AD93+IF(Hipótesis!$D$94=5,IF(AD$3=Hipótesis!$D$124,$C$158,0),IF(AD$3=84,$C$134,0))</f>
        <v>0</v>
      </c>
      <c r="AE121" s="121" t="n">
        <f aca="false">AE93+IF(Hipótesis!$D$94=5,IF(AE$3=Hipótesis!$D$124,$C$158,0),IF(AE$3=84,$C$134,0))</f>
        <v>0</v>
      </c>
      <c r="AF121" s="121" t="n">
        <f aca="false">AF93+IF(Hipótesis!$D$94=5,IF(AF$3=Hipótesis!$D$124,$C$158,0),IF(AF$3=84,$C$134,0))</f>
        <v>0</v>
      </c>
      <c r="AG121" s="121" t="n">
        <f aca="false">AG93+IF(Hipótesis!$D$94=5,IF(AG$3=Hipótesis!$D$124,$C$158,0),IF(AG$3=84,$C$134,0))</f>
        <v>0</v>
      </c>
      <c r="AH121" s="121" t="n">
        <f aca="false">AH93+IF(Hipótesis!$D$94=5,IF(AH$3=Hipótesis!$D$124,$C$158,0),IF(AH$3=84,$C$134,0))</f>
        <v>0</v>
      </c>
      <c r="AI121" s="121" t="n">
        <f aca="false">AI93+IF(Hipótesis!$D$94=5,IF(AI$3=Hipótesis!$D$124,$C$158,0),IF(AI$3=84,$C$134,0))</f>
        <v>0</v>
      </c>
      <c r="AJ121" s="121" t="n">
        <f aca="false">AJ93+IF(Hipótesis!$D$94=5,IF(AJ$3=Hipótesis!$D$124,$C$158,0),IF(AJ$3=84,$C$134,0))</f>
        <v>0</v>
      </c>
      <c r="AK121" s="121" t="n">
        <f aca="false">AK93+IF(Hipótesis!$D$94=5,IF(AK$3=Hipótesis!$D$124,$C$158,0),IF(AK$3=84,$C$134,0))</f>
        <v>0</v>
      </c>
      <c r="AL121" s="121" t="n">
        <f aca="false">AL93+IF(Hipótesis!$D$94=5,IF(AL$3=Hipótesis!$D$124,$C$158,0),IF(AL$3=84,$C$134,0))</f>
        <v>0</v>
      </c>
      <c r="AM121" s="121" t="n">
        <f aca="false">AM93+IF(Hipótesis!$D$94=5,IF(AM$3=Hipótesis!$D$124,$C$158,0),IF(AM$3=84,$C$134,0))</f>
        <v>0</v>
      </c>
      <c r="AN121" s="121" t="n">
        <f aca="false">AN93+IF(Hipótesis!$D$94=5,IF(AN$3=Hipótesis!$D$124,$C$158,0),IF(AN$3=84,$C$134,0))</f>
        <v>0</v>
      </c>
      <c r="AO121" s="121" t="n">
        <f aca="false">AO93+IF(Hipótesis!$D$94=5,IF(AO$3=Hipótesis!$D$124,$C$158,0),IF(AO$3=84,$C$134,0))</f>
        <v>0</v>
      </c>
      <c r="AP121" s="121" t="n">
        <f aca="false">AP93+IF(Hipótesis!$D$94=5,IF(AP$3=Hipótesis!$D$124,$C$158,0),IF(AP$3=84,$C$134,0))</f>
        <v>0</v>
      </c>
      <c r="AQ121" s="121" t="n">
        <f aca="false">AQ93+IF(Hipótesis!$D$94=5,IF(AQ$3=Hipótesis!$D$124,$C$158,0),IF(AQ$3=84,$C$134,0))</f>
        <v>0</v>
      </c>
      <c r="AR121" s="121" t="n">
        <f aca="false">AR93+IF(Hipótesis!$D$94=5,IF(AR$3=Hipótesis!$D$124,$C$158,0),IF(AR$3=84,$C$134,0))</f>
        <v>0</v>
      </c>
      <c r="AS121" s="121" t="n">
        <f aca="false">AS93+IF(Hipótesis!$D$94=5,IF(AS$3=Hipótesis!$D$124,$C$158,0),IF(AS$3=84,$C$134,0))</f>
        <v>0</v>
      </c>
      <c r="AT121" s="121" t="n">
        <f aca="false">AT93+IF(Hipótesis!$D$94=5,IF(AT$3=Hipótesis!$D$124,$C$158,0),IF(AT$3=84,$C$134,0))</f>
        <v>0</v>
      </c>
      <c r="AU121" s="121" t="n">
        <f aca="false">AU93+IF(Hipótesis!$D$94=5,IF(AU$3=Hipótesis!$D$124,$C$158,0),IF(AU$3=84,$C$134,0))</f>
        <v>0</v>
      </c>
      <c r="AV121" s="121" t="n">
        <f aca="false">AV93+IF(Hipótesis!$D$94=5,IF(AV$3=Hipótesis!$D$124,$C$158,0),IF(AV$3=84,$C$134,0))</f>
        <v>0</v>
      </c>
      <c r="AW121" s="121" t="n">
        <f aca="false">AW93+IF(Hipótesis!$D$94=5,IF(AW$3=Hipótesis!$D$124,$C$158,0),IF(AW$3=84,$C$134,0))</f>
        <v>0</v>
      </c>
      <c r="AX121" s="121" t="n">
        <f aca="false">AX93+IF(Hipótesis!$D$94=5,IF(AX$3=Hipótesis!$D$124,$C$158,0),IF(AX$3=84,$C$134,0))</f>
        <v>150000</v>
      </c>
      <c r="AY121" s="121" t="n">
        <f aca="false">AY93+IF(Hipótesis!$D$94=5,IF(AY$3=Hipótesis!$D$124,$C$158,0),IF(AY$3=84,$C$134,0))</f>
        <v>0</v>
      </c>
      <c r="AZ121" s="121" t="n">
        <f aca="false">AZ93+IF(Hipótesis!$D$94=5,IF(AZ$3=Hipótesis!$D$124,$C$158,0),IF(AZ$3=84,$C$134,0))</f>
        <v>0</v>
      </c>
      <c r="BA121" s="121" t="n">
        <f aca="false">BA93+IF(Hipótesis!$D$94=5,IF(BA$3=Hipótesis!$D$124,$C$158,0),IF(BA$3=84,$C$134,0))</f>
        <v>0</v>
      </c>
      <c r="BB121" s="121" t="n">
        <f aca="false">BB93+IF(Hipótesis!$D$94=5,IF(BB$3=Hipótesis!$D$124,$C$158,0),IF(BB$3=84,$C$134,0))</f>
        <v>0</v>
      </c>
      <c r="BC121" s="121" t="n">
        <f aca="false">BC93+IF(Hipótesis!$D$94=5,IF(BC$3=Hipótesis!$D$124,$C$158,0),IF(BC$3=84,$C$134,0))</f>
        <v>0</v>
      </c>
      <c r="BD121" s="121" t="n">
        <f aca="false">BD93+IF(Hipótesis!$D$94=5,IF(BD$3=Hipótesis!$D$124,$C$158,0),IF(BD$3=84,$C$134,0))</f>
        <v>0</v>
      </c>
      <c r="BE121" s="121" t="n">
        <f aca="false">BE93+IF(Hipótesis!$D$94=5,IF(BE$3=Hipótesis!$D$124,$C$158,0),IF(BE$3=84,$C$134,0))</f>
        <v>0</v>
      </c>
      <c r="BF121" s="121" t="n">
        <f aca="false">BF93+IF(Hipótesis!$D$94=5,IF(BF$3=Hipótesis!$D$124,$C$158,0),IF(BF$3=84,$C$134,0))</f>
        <v>0</v>
      </c>
      <c r="BG121" s="121" t="n">
        <f aca="false">BG93+IF(Hipótesis!$D$94=5,IF(BG$3=Hipótesis!$D$124,$C$158,0),IF(BG$3=84,$C$134,0))</f>
        <v>0</v>
      </c>
      <c r="BH121" s="121" t="n">
        <f aca="false">BH93+IF(Hipótesis!$D$94=5,IF(BH$3=Hipótesis!$D$124,$C$158,0),IF(BH$3=84,$C$134,0))</f>
        <v>0</v>
      </c>
      <c r="BI121" s="121" t="n">
        <f aca="false">BI93+IF(Hipótesis!$D$94=5,IF(BI$3=Hipótesis!$D$124,$C$158,0),IF(BI$3=84,$C$134,0))</f>
        <v>0</v>
      </c>
      <c r="BJ121" s="121" t="n">
        <f aca="false">BJ93+IF(Hipótesis!$D$94=5,IF(BJ$3=Hipótesis!$D$124,$C$158,0),IF(BJ$3=84,$C$134,0))</f>
        <v>0</v>
      </c>
      <c r="BK121" s="121" t="n">
        <f aca="false">BK93+IF(Hipótesis!$D$94=5,IF(BK$3=Hipótesis!$D$124,$C$158,0),IF(BK$3=84,$C$134,0))</f>
        <v>0</v>
      </c>
      <c r="BL121" s="121" t="n">
        <f aca="false">BL93+IF(Hipótesis!$D$94=5,IF(BL$3=Hipótesis!$D$124,$C$158,0),IF(BL$3=84,$C$134,0))</f>
        <v>0</v>
      </c>
      <c r="BM121" s="121" t="n">
        <f aca="false">BM93+IF(Hipótesis!$D$94=5,IF(BM$3=Hipótesis!$D$124,$C$158,0),IF(BM$3=84,$C$134,0))</f>
        <v>0</v>
      </c>
      <c r="BN121" s="121" t="n">
        <f aca="false">BN93+IF(Hipótesis!$D$94=5,IF(BN$3=Hipótesis!$D$124,$C$158,0),IF(BN$3=84,$C$134,0))</f>
        <v>0</v>
      </c>
      <c r="BO121" s="121" t="n">
        <f aca="false">BO93+IF(Hipótesis!$D$94=5,IF(BO$3=Hipótesis!$D$124,$C$158,0),IF(BO$3=84,$C$134,0))</f>
        <v>0</v>
      </c>
      <c r="BP121" s="121" t="n">
        <f aca="false">BP93+IF(Hipótesis!$D$94=5,IF(BP$3=Hipótesis!$D$124,$C$158,0),IF(BP$3=84,$C$134,0))</f>
        <v>0</v>
      </c>
      <c r="BQ121" s="121" t="n">
        <f aca="false">BQ93+IF(Hipótesis!$D$94=5,IF(BQ$3=Hipótesis!$D$124,$C$158,0),IF(BQ$3=84,$C$134,0))</f>
        <v>0</v>
      </c>
      <c r="BR121" s="121" t="n">
        <f aca="false">BR93+IF(Hipótesis!$D$94=5,IF(BR$3=Hipótesis!$D$124,$C$158,0),IF(BR$3=84,$C$134,0))</f>
        <v>0</v>
      </c>
      <c r="BS121" s="121" t="n">
        <f aca="false">BS93+IF(Hipótesis!$D$94=5,IF(BS$3=Hipótesis!$D$124,$C$158,0),IF(BS$3=84,$C$134,0))</f>
        <v>0</v>
      </c>
      <c r="BT121" s="121" t="n">
        <f aca="false">BT93+IF(Hipótesis!$D$94=5,IF(BT$3=Hipótesis!$D$124,$C$158,0),IF(BT$3=84,$C$134,0))</f>
        <v>0</v>
      </c>
      <c r="BU121" s="121" t="n">
        <f aca="false">BU93+IF(Hipótesis!$D$94=5,IF(BU$3=Hipótesis!$D$124,$C$158,0),IF(BU$3=84,$C$134,0))</f>
        <v>0</v>
      </c>
      <c r="BV121" s="121" t="n">
        <f aca="false">BV93+IF(Hipótesis!$D$94=5,IF(BV$3=Hipótesis!$D$124,$C$158,0),IF(BV$3=84,$C$134,0))</f>
        <v>0</v>
      </c>
      <c r="BW121" s="121" t="n">
        <f aca="false">BW93+IF(Hipótesis!$D$94=5,IF(BW$3=Hipótesis!$D$124,$C$158,0),IF(BW$3=84,$C$134,0))</f>
        <v>0</v>
      </c>
      <c r="BX121" s="121" t="n">
        <f aca="false">BX93+IF(Hipótesis!$D$94=5,IF(BX$3=Hipótesis!$D$124,$C$158,0),IF(BX$3=84,$C$134,0))</f>
        <v>0</v>
      </c>
      <c r="BY121" s="121" t="n">
        <f aca="false">BY93+IF(Hipótesis!$D$94=5,IF(BY$3=Hipótesis!$D$124,$C$158,0),IF(BY$3=84,$C$134,0))</f>
        <v>0</v>
      </c>
      <c r="BZ121" s="121" t="n">
        <f aca="false">BZ93+IF(Hipótesis!$D$94=5,IF(BZ$3=Hipótesis!$D$124,$C$158,0),IF(BZ$3=84,$C$134,0))</f>
        <v>0</v>
      </c>
      <c r="CA121" s="121" t="n">
        <f aca="false">CA93+IF(Hipótesis!$D$94=5,IF(CA$3=Hipótesis!$D$124,$C$158,0),IF(CA$3=84,$C$134,0))</f>
        <v>0</v>
      </c>
      <c r="CB121" s="121" t="n">
        <f aca="false">CB93+IF(Hipótesis!$D$94=5,IF(CB$3=Hipótesis!$D$124,$C$158,0),IF(CB$3=84,$C$134,0))</f>
        <v>0</v>
      </c>
      <c r="CC121" s="121" t="n">
        <f aca="false">CC93+IF(Hipótesis!$D$94=5,IF(CC$3=Hipótesis!$D$124,$C$158,0),IF(CC$3=84,$C$134,0))</f>
        <v>0</v>
      </c>
      <c r="CD121" s="121" t="n">
        <f aca="false">CD93+IF(Hipótesis!$D$94=5,IF(CD$3=Hipótesis!$D$124,$C$158,0),IF(CD$3=84,$C$134,0))</f>
        <v>0</v>
      </c>
      <c r="CE121" s="121" t="n">
        <f aca="false">CE93+IF(Hipótesis!$D$94=5,IF(CE$3=Hipótesis!$D$124,$C$158,0),IF(CE$3=84,$C$134,0))</f>
        <v>0</v>
      </c>
      <c r="CF121" s="121" t="n">
        <f aca="false">CF93+IF(Hipótesis!$D$94=5,IF(CF$3=Hipótesis!$D$124,$C$158,0),IF(CF$3=84,$C$134,0))</f>
        <v>0</v>
      </c>
      <c r="CG121" s="121" t="n">
        <f aca="false">CG93+IF(Hipótesis!$D$94=5,IF(CG$3=Hipótesis!$D$124,$C$158,0),IF(CG$3=84,$C$134,0))</f>
        <v>0</v>
      </c>
      <c r="CH121" s="121" t="n">
        <f aca="false">CH93+IF(Hipótesis!$D$94=5,IF(CH$3=Hipótesis!$D$124,$C$158,0),IF(CH$3=84,$C$134,0))</f>
        <v>0</v>
      </c>
    </row>
    <row r="122" customFormat="false" ht="12.75" hidden="false" customHeight="true" outlineLevel="0" collapsed="false">
      <c r="A122" s="6" t="s">
        <v>618</v>
      </c>
      <c r="B122" s="109" t="n">
        <f aca="false">Hipótesis!$D$122</f>
        <v>200000</v>
      </c>
      <c r="C122" s="109" t="n">
        <f aca="false">-C106-IF(Hipótesis!$D$94=5,IF(C$3=Hipótesis!$D$124,$C$158,0),IF(C$3=84,$C$134,0))</f>
        <v>-333.333333333333</v>
      </c>
      <c r="D122" s="109" t="n">
        <f aca="false">-D106-IF(Hipótesis!$D$94=5,IF(D$3=Hipótesis!$D$124,$C$158,0),IF(D$3=84,$C$134,0))</f>
        <v>-333.333333333333</v>
      </c>
      <c r="E122" s="109" t="n">
        <f aca="false">-E106-IF(Hipótesis!$D$94=5,IF(E$3=Hipótesis!$D$124,$C$158,0),IF(E$3=84,$C$134,0))</f>
        <v>-333.333333333333</v>
      </c>
      <c r="F122" s="109" t="n">
        <f aca="false">-F106-IF(Hipótesis!$D$94=5,IF(F$3=Hipótesis!$D$124,$C$158,0),IF(F$3=84,$C$134,0))</f>
        <v>-333.333333333333</v>
      </c>
      <c r="G122" s="109" t="n">
        <f aca="false">-G106-IF(Hipótesis!$D$94=5,IF(G$3=Hipótesis!$D$124,$C$158,0),IF(G$3=84,$C$134,0))</f>
        <v>-333.333333333333</v>
      </c>
      <c r="H122" s="109" t="n">
        <f aca="false">-H106-IF(Hipótesis!$D$94=5,IF(H$3=Hipótesis!$D$124,$C$158,0),IF(H$3=84,$C$134,0))</f>
        <v>-333.333333333333</v>
      </c>
      <c r="I122" s="109" t="n">
        <f aca="false">-I106-IF(Hipótesis!$D$94=5,IF(I$3=Hipótesis!$D$124,$C$158,0),IF(I$3=84,$C$134,0))</f>
        <v>-333.333333333333</v>
      </c>
      <c r="J122" s="109" t="n">
        <f aca="false">-J106-IF(Hipótesis!$D$94=5,IF(J$3=Hipótesis!$D$124,$C$158,0),IF(J$3=84,$C$134,0))</f>
        <v>-333.333333333333</v>
      </c>
      <c r="K122" s="109" t="n">
        <f aca="false">-K106-IF(Hipótesis!$D$94=5,IF(K$3=Hipótesis!$D$124,$C$158,0),IF(K$3=84,$C$134,0))</f>
        <v>-333.333333333333</v>
      </c>
      <c r="L122" s="109" t="n">
        <f aca="false">-L106-IF(Hipótesis!$D$94=5,IF(L$3=Hipótesis!$D$124,$C$158,0),IF(L$3=84,$C$134,0))</f>
        <v>-334.089759655384</v>
      </c>
      <c r="M122" s="109" t="n">
        <f aca="false">-M106-IF(Hipótesis!$D$94=5,IF(M$3=Hipótesis!$D$124,$C$158,0),IF(M$3=84,$C$134,0))</f>
        <v>-364.702788481501</v>
      </c>
      <c r="N122" s="109" t="n">
        <f aca="false">-N106-IF(Hipótesis!$D$94=5,IF(N$3=Hipótesis!$D$124,$C$158,0),IF(N$3=84,$C$134,0))</f>
        <v>-361.734521297801</v>
      </c>
      <c r="O122" s="109" t="n">
        <f aca="false">-O106-IF(Hipótesis!$D$94=5,IF(O$3=Hipótesis!$D$124,$C$158,0),IF(O$3=84,$C$134,0))</f>
        <v>-333.333333333333</v>
      </c>
      <c r="P122" s="109" t="n">
        <f aca="false">-P106-IF(Hipótesis!$D$94=5,IF(P$3=Hipótesis!$D$124,$C$158,0),IF(P$3=84,$C$134,0))</f>
        <v>-335.141940783223</v>
      </c>
      <c r="Q122" s="109" t="n">
        <f aca="false">-Q106-IF(Hipótesis!$D$94=5,IF(Q$3=Hipótesis!$D$124,$C$158,0),IF(Q$3=84,$C$134,0))</f>
        <v>-333.333333333333</v>
      </c>
      <c r="R122" s="109" t="n">
        <f aca="false">-R106-IF(Hipótesis!$D$94=5,IF(R$3=Hipótesis!$D$124,$C$158,0),IF(R$3=84,$C$134,0))</f>
        <v>-363.687714121468</v>
      </c>
      <c r="S122" s="109" t="n">
        <f aca="false">-S106-IF(Hipótesis!$D$94=5,IF(S$3=Hipótesis!$D$124,$C$158,0),IF(S$3=84,$C$134,0))</f>
        <v>-401.07380079059</v>
      </c>
      <c r="T122" s="109" t="n">
        <f aca="false">-T106-IF(Hipótesis!$D$94=5,IF(T$3=Hipótesis!$D$124,$C$158,0),IF(T$3=84,$C$134,0))</f>
        <v>-392.233487459713</v>
      </c>
      <c r="U122" s="109" t="n">
        <f aca="false">-U106-IF(Hipótesis!$D$94=5,IF(U$3=Hipótesis!$D$124,$C$158,0),IF(U$3=84,$C$134,0))</f>
        <v>-429.619574128835</v>
      </c>
      <c r="V122" s="109" t="n">
        <f aca="false">-V106-IF(Hipótesis!$D$94=5,IF(V$3=Hipótesis!$D$124,$C$158,0),IF(V$3=84,$C$134,0))</f>
        <v>-412.621660797957</v>
      </c>
      <c r="W122" s="109" t="n">
        <f aca="false">-W106-IF(Hipótesis!$D$94=5,IF(W$3=Hipótesis!$D$124,$C$158,0),IF(W$3=84,$C$134,0))</f>
        <v>-450.00774746708</v>
      </c>
      <c r="X122" s="109" t="n">
        <f aca="false">-X106-IF(Hipótesis!$D$94=5,IF(X$3=Hipótesis!$D$124,$C$158,0),IF(X$3=84,$C$134,0))</f>
        <v>-429.868730146019</v>
      </c>
      <c r="Y122" s="109" t="n">
        <f aca="false">-Y106-IF(Hipótesis!$D$94=5,IF(Y$3=Hipótesis!$D$124,$C$158,0),IF(Y$3=84,$C$134,0))</f>
        <v>-455.956112824958</v>
      </c>
      <c r="Z122" s="109" t="n">
        <f aca="false">-Z106-IF(Hipótesis!$D$94=5,IF(Z$3=Hipótesis!$D$124,$C$158,0),IF(Z$3=84,$C$134,0))</f>
        <v>-477.993813907824</v>
      </c>
      <c r="AA122" s="109" t="n">
        <f aca="false">-AA106-IF(Hipótesis!$D$94=5,IF(AA$3=Hipótesis!$D$124,$C$158,0),IF(AA$3=84,$C$134,0))</f>
        <v>-2118.28797365736</v>
      </c>
      <c r="AB122" s="109" t="n">
        <f aca="false">-AB106-IF(Hipótesis!$D$94=5,IF(AB$3=Hipótesis!$D$124,$C$158,0),IF(AB$3=84,$C$134,0))</f>
        <v>-2134.77011918467</v>
      </c>
      <c r="AC122" s="109" t="n">
        <f aca="false">-AC106-IF(Hipótesis!$D$94=5,IF(AC$3=Hipótesis!$D$124,$C$158,0),IF(AC$3=84,$C$134,0))</f>
        <v>-2151.25226471198</v>
      </c>
      <c r="AD122" s="109" t="n">
        <f aca="false">-AD106-IF(Hipótesis!$D$94=5,IF(AD$3=Hipótesis!$D$124,$C$158,0),IF(AD$3=84,$C$134,0))</f>
        <v>-2167.73441023929</v>
      </c>
      <c r="AE122" s="109" t="n">
        <f aca="false">-AE106-IF(Hipótesis!$D$94=5,IF(AE$3=Hipótesis!$D$124,$C$158,0),IF(AE$3=84,$C$134,0))</f>
        <v>-2136.6033637666</v>
      </c>
      <c r="AF122" s="109" t="n">
        <f aca="false">-AF106-IF(Hipótesis!$D$94=5,IF(AF$3=Hipótesis!$D$124,$C$158,0),IF(AF$3=84,$C$134,0))</f>
        <v>-2153.08550929391</v>
      </c>
      <c r="AG122" s="109" t="n">
        <f aca="false">-AG106-IF(Hipótesis!$D$94=5,IF(AG$3=Hipótesis!$D$124,$C$158,0),IF(AG$3=84,$C$134,0))</f>
        <v>-2169.56765482122</v>
      </c>
      <c r="AH122" s="109" t="n">
        <f aca="false">-AH106-IF(Hipótesis!$D$94=5,IF(AH$3=Hipótesis!$D$124,$C$158,0),IF(AH$3=84,$C$134,0))</f>
        <v>-2186.04980034853</v>
      </c>
      <c r="AI122" s="109" t="n">
        <f aca="false">-AI106-IF(Hipótesis!$D$94=5,IF(AI$3=Hipótesis!$D$124,$C$158,0),IF(AI$3=84,$C$134,0))</f>
        <v>-2202.53194587584</v>
      </c>
      <c r="AJ122" s="109" t="n">
        <f aca="false">-AJ106-IF(Hipótesis!$D$94=5,IF(AJ$3=Hipótesis!$D$124,$C$158,0),IF(AJ$3=84,$C$134,0))</f>
        <v>-2219.01409140315</v>
      </c>
      <c r="AK122" s="109" t="n">
        <f aca="false">-AK106-IF(Hipótesis!$D$94=5,IF(AK$3=Hipótesis!$D$124,$C$158,0),IF(AK$3=84,$C$134,0))</f>
        <v>-2235.49623693046</v>
      </c>
      <c r="AL122" s="109" t="n">
        <f aca="false">-AL106-IF(Hipótesis!$D$94=5,IF(AL$3=Hipótesis!$D$124,$C$158,0),IF(AL$3=84,$C$134,0))</f>
        <v>-2251.97838245777</v>
      </c>
      <c r="AM122" s="109" t="n">
        <f aca="false">-AM106-IF(Hipótesis!$D$94=5,IF(AM$3=Hipótesis!$D$124,$C$158,0),IF(AM$3=84,$C$134,0))</f>
        <v>-2169.31603022508</v>
      </c>
      <c r="AN122" s="109" t="n">
        <f aca="false">-AN106-IF(Hipótesis!$D$94=5,IF(AN$3=Hipótesis!$D$124,$C$158,0),IF(AN$3=84,$C$134,0))</f>
        <v>-2185.79817575239</v>
      </c>
      <c r="AO122" s="109" t="n">
        <f aca="false">-AO106-IF(Hipótesis!$D$94=5,IF(AO$3=Hipótesis!$D$124,$C$158,0),IF(AO$3=84,$C$134,0))</f>
        <v>-2202.2803212797</v>
      </c>
      <c r="AP122" s="109" t="n">
        <f aca="false">-AP106-IF(Hipótesis!$D$94=5,IF(AP$3=Hipótesis!$D$124,$C$158,0),IF(AP$3=84,$C$134,0))</f>
        <v>-2218.76246680701</v>
      </c>
      <c r="AQ122" s="109" t="n">
        <f aca="false">-AQ106-IF(Hipótesis!$D$94=5,IF(AQ$3=Hipótesis!$D$124,$C$158,0),IF(AQ$3=84,$C$134,0))</f>
        <v>-2235.24461233432</v>
      </c>
      <c r="AR122" s="109" t="n">
        <f aca="false">-AR106-IF(Hipótesis!$D$94=5,IF(AR$3=Hipótesis!$D$124,$C$158,0),IF(AR$3=84,$C$134,0))</f>
        <v>-2251.72675786163</v>
      </c>
      <c r="AS122" s="109" t="n">
        <f aca="false">-AS106-IF(Hipótesis!$D$94=5,IF(AS$3=Hipótesis!$D$124,$C$158,0),IF(AS$3=84,$C$134,0))</f>
        <v>-2246.17120230608</v>
      </c>
      <c r="AT122" s="109" t="n">
        <f aca="false">-AT106-IF(Hipótesis!$D$94=5,IF(AT$3=Hipótesis!$D$124,$C$158,0),IF(AT$3=84,$C$134,0))</f>
        <v>-2240.61564675052</v>
      </c>
      <c r="AU122" s="109" t="n">
        <f aca="false">-AU106-IF(Hipótesis!$D$94=5,IF(AU$3=Hipótesis!$D$124,$C$158,0),IF(AU$3=84,$C$134,0))</f>
        <v>-2235.06009119497</v>
      </c>
      <c r="AV122" s="109" t="n">
        <f aca="false">-AV106-IF(Hipótesis!$D$94=5,IF(AV$3=Hipótesis!$D$124,$C$158,0),IF(AV$3=84,$C$134,0))</f>
        <v>-2229.50453563941</v>
      </c>
      <c r="AW122" s="109" t="n">
        <f aca="false">-AW106-IF(Hipótesis!$D$94=5,IF(AW$3=Hipótesis!$D$124,$C$158,0),IF(AW$3=84,$C$134,0))</f>
        <v>-2223.94898008385</v>
      </c>
      <c r="AX122" s="109" t="n">
        <f aca="false">-AX106-IF(Hipótesis!$D$94=5,IF(AX$3=Hipótesis!$D$124,$C$158,0),IF(AX$3=84,$C$134,0))</f>
        <v>-152218.393424528</v>
      </c>
      <c r="AY122" s="109" t="n">
        <f aca="false">-AY106-IF(Hipótesis!$D$94=5,IF(AY$3=Hipótesis!$D$124,$C$158,0),IF(AY$3=84,$C$134,0))</f>
        <v>-2160.94862403994</v>
      </c>
      <c r="AZ122" s="109" t="n">
        <f aca="false">-AZ106-IF(Hipótesis!$D$94=5,IF(AZ$3=Hipótesis!$D$124,$C$158,0),IF(AZ$3=84,$C$134,0))</f>
        <v>-2155.39306848439</v>
      </c>
      <c r="BA122" s="109" t="n">
        <f aca="false">-BA106-IF(Hipótesis!$D$94=5,IF(BA$3=Hipótesis!$D$124,$C$158,0),IF(BA$3=84,$C$134,0))</f>
        <v>-2149.83751292883</v>
      </c>
      <c r="BB122" s="109" t="n">
        <f aca="false">-BB106-IF(Hipótesis!$D$94=5,IF(BB$3=Hipótesis!$D$124,$C$158,0),IF(BB$3=84,$C$134,0))</f>
        <v>-2144.28195737328</v>
      </c>
      <c r="BC122" s="109" t="n">
        <f aca="false">-BC106-IF(Hipótesis!$D$94=5,IF(BC$3=Hipótesis!$D$124,$C$158,0),IF(BC$3=84,$C$134,0))</f>
        <v>-2138.72640181772</v>
      </c>
      <c r="BD122" s="109" t="n">
        <f aca="false">-BD106-IF(Hipótesis!$D$94=5,IF(BD$3=Hipótesis!$D$124,$C$158,0),IF(BD$3=84,$C$134,0))</f>
        <v>-2133.17084626217</v>
      </c>
      <c r="BE122" s="109" t="n">
        <f aca="false">-BE106-IF(Hipótesis!$D$94=5,IF(BE$3=Hipótesis!$D$124,$C$158,0),IF(BE$3=84,$C$134,0))</f>
        <v>-2127.61529070661</v>
      </c>
      <c r="BF122" s="109" t="n">
        <f aca="false">-BF106-IF(Hipótesis!$D$94=5,IF(BF$3=Hipótesis!$D$124,$C$158,0),IF(BF$3=84,$C$134,0))</f>
        <v>-2122.05973515105</v>
      </c>
      <c r="BG122" s="109" t="n">
        <f aca="false">-BG106-IF(Hipótesis!$D$94=5,IF(BG$3=Hipótesis!$D$124,$C$158,0),IF(BG$3=84,$C$134,0))</f>
        <v>-2116.5041795955</v>
      </c>
      <c r="BH122" s="109" t="n">
        <f aca="false">-BH106-IF(Hipótesis!$D$94=5,IF(BH$3=Hipótesis!$D$124,$C$158,0),IF(BH$3=84,$C$134,0))</f>
        <v>-2110.94862403994</v>
      </c>
      <c r="BI122" s="109" t="n">
        <f aca="false">-BI106-IF(Hipótesis!$D$94=5,IF(BI$3=Hipótesis!$D$124,$C$158,0),IF(BI$3=84,$C$134,0))</f>
        <v>-2105.39306848439</v>
      </c>
      <c r="BJ122" s="109" t="n">
        <f aca="false">-BJ106-IF(Hipótesis!$D$94=5,IF(BJ$3=Hipótesis!$D$124,$C$158,0),IF(BJ$3=84,$C$134,0))</f>
        <v>-2099.83751292883</v>
      </c>
      <c r="BK122" s="109" t="n">
        <f aca="false">-BK106-IF(Hipótesis!$D$94=5,IF(BK$3=Hipótesis!$D$124,$C$158,0),IF(BK$3=84,$C$134,0))</f>
        <v>-2042.02403509249</v>
      </c>
      <c r="BL122" s="109" t="n">
        <f aca="false">-BL106-IF(Hipótesis!$D$94=5,IF(BL$3=Hipótesis!$D$124,$C$158,0),IF(BL$3=84,$C$134,0))</f>
        <v>-2036.46847953694</v>
      </c>
      <c r="BM122" s="109" t="n">
        <f aca="false">-BM106-IF(Hipótesis!$D$94=5,IF(BM$3=Hipótesis!$D$124,$C$158,0),IF(BM$3=84,$C$134,0))</f>
        <v>-2030.91292398138</v>
      </c>
      <c r="BN122" s="109" t="n">
        <f aca="false">-BN106-IF(Hipótesis!$D$94=5,IF(BN$3=Hipótesis!$D$124,$C$158,0),IF(BN$3=84,$C$134,0))</f>
        <v>-2025.35736842583</v>
      </c>
      <c r="BO122" s="109" t="n">
        <f aca="false">-BO106-IF(Hipótesis!$D$94=5,IF(BO$3=Hipótesis!$D$124,$C$158,0),IF(BO$3=84,$C$134,0))</f>
        <v>-2019.80181287027</v>
      </c>
      <c r="BP122" s="109" t="n">
        <f aca="false">-BP106-IF(Hipótesis!$D$94=5,IF(BP$3=Hipótesis!$D$124,$C$158,0),IF(BP$3=84,$C$134,0))</f>
        <v>-2014.24625731472</v>
      </c>
      <c r="BQ122" s="109" t="n">
        <f aca="false">-BQ106-IF(Hipótesis!$D$94=5,IF(BQ$3=Hipótesis!$D$124,$C$158,0),IF(BQ$3=84,$C$134,0))</f>
        <v>-2008.69070175916</v>
      </c>
      <c r="BR122" s="109" t="n">
        <f aca="false">-BR106-IF(Hipótesis!$D$94=5,IF(BR$3=Hipótesis!$D$124,$C$158,0),IF(BR$3=84,$C$134,0))</f>
        <v>-2003.1351462036</v>
      </c>
      <c r="BS122" s="109" t="n">
        <f aca="false">-BS106-IF(Hipótesis!$D$94=5,IF(BS$3=Hipótesis!$D$124,$C$158,0),IF(BS$3=84,$C$134,0))</f>
        <v>-1997.57959064805</v>
      </c>
      <c r="BT122" s="109" t="n">
        <f aca="false">-BT106-IF(Hipótesis!$D$94=5,IF(BT$3=Hipótesis!$D$124,$C$158,0),IF(BT$3=84,$C$134,0))</f>
        <v>-1992.02403509249</v>
      </c>
      <c r="BU122" s="109" t="n">
        <f aca="false">-BU106-IF(Hipótesis!$D$94=5,IF(BU$3=Hipótesis!$D$124,$C$158,0),IF(BU$3=84,$C$134,0))</f>
        <v>-1986.46847953694</v>
      </c>
      <c r="BV122" s="109" t="n">
        <f aca="false">-BV106-IF(Hipótesis!$D$94=5,IF(BV$3=Hipótesis!$D$124,$C$158,0),IF(BV$3=84,$C$134,0))</f>
        <v>-1980.91292398138</v>
      </c>
      <c r="BW122" s="109" t="n">
        <f aca="false">-BW106-IF(Hipótesis!$D$94=5,IF(BW$3=Hipótesis!$D$124,$C$158,0),IF(BW$3=84,$C$134,0))</f>
        <v>-1922.71970847662</v>
      </c>
      <c r="BX122" s="109" t="n">
        <f aca="false">-BX106-IF(Hipótesis!$D$94=5,IF(BX$3=Hipótesis!$D$124,$C$158,0),IF(BX$3=84,$C$134,0))</f>
        <v>-1917.16415292106</v>
      </c>
      <c r="BY122" s="109" t="n">
        <f aca="false">-BY106-IF(Hipótesis!$D$94=5,IF(BY$3=Hipótesis!$D$124,$C$158,0),IF(BY$3=84,$C$134,0))</f>
        <v>-1911.60859736551</v>
      </c>
      <c r="BZ122" s="109" t="n">
        <f aca="false">-BZ106-IF(Hipótesis!$D$94=5,IF(BZ$3=Hipótesis!$D$124,$C$158,0),IF(BZ$3=84,$C$134,0))</f>
        <v>-1906.05304180995</v>
      </c>
      <c r="CA122" s="109" t="n">
        <f aca="false">-CA106-IF(Hipótesis!$D$94=5,IF(CA$3=Hipótesis!$D$124,$C$158,0),IF(CA$3=84,$C$134,0))</f>
        <v>-1900.4974862544</v>
      </c>
      <c r="CB122" s="109" t="n">
        <f aca="false">-CB106-IF(Hipótesis!$D$94=5,IF(CB$3=Hipótesis!$D$124,$C$158,0),IF(CB$3=84,$C$134,0))</f>
        <v>-1894.94193069884</v>
      </c>
      <c r="CC122" s="109" t="n">
        <f aca="false">-CC106-IF(Hipótesis!$D$94=5,IF(CC$3=Hipótesis!$D$124,$C$158,0),IF(CC$3=84,$C$134,0))</f>
        <v>-1889.38637514329</v>
      </c>
      <c r="CD122" s="109" t="n">
        <f aca="false">-CD106-IF(Hipótesis!$D$94=5,IF(CD$3=Hipótesis!$D$124,$C$158,0),IF(CD$3=84,$C$134,0))</f>
        <v>-1883.83081958773</v>
      </c>
      <c r="CE122" s="109" t="n">
        <f aca="false">-CE106-IF(Hipótesis!$D$94=5,IF(CE$3=Hipótesis!$D$124,$C$158,0),IF(CE$3=84,$C$134,0))</f>
        <v>-1878.27526403217</v>
      </c>
      <c r="CF122" s="109" t="n">
        <f aca="false">-CF106-IF(Hipótesis!$D$94=5,IF(CF$3=Hipótesis!$D$124,$C$158,0),IF(CF$3=84,$C$134,0))</f>
        <v>-1872.71970847662</v>
      </c>
      <c r="CG122" s="109" t="n">
        <f aca="false">-CG106-IF(Hipótesis!$D$94=5,IF(CG$3=Hipótesis!$D$124,$C$158,0),IF(CG$3=84,$C$134,0))</f>
        <v>-1867.16415292106</v>
      </c>
      <c r="CH122" s="109" t="n">
        <f aca="false">-CH106-IF(Hipótesis!$D$94=5,IF(CH$3=Hipótesis!$D$124,$C$158,0),IF(CH$3=84,$C$134,0))</f>
        <v>-1861.60859736545</v>
      </c>
    </row>
    <row r="123" customFormat="false" ht="12.75" hidden="false" customHeight="true" outlineLevel="0" collapsed="false">
      <c r="A123" s="6" t="s">
        <v>619</v>
      </c>
      <c r="B123" s="109" t="n">
        <f aca="false">-Hipótesis!$D$105</f>
        <v>-100000</v>
      </c>
      <c r="C123" s="109" t="n">
        <f aca="false">C99</f>
        <v>333.333333333333</v>
      </c>
      <c r="D123" s="109" t="n">
        <f aca="false">D99</f>
        <v>333.333333333333</v>
      </c>
      <c r="E123" s="109" t="n">
        <f aca="false">E99</f>
        <v>333.333333333333</v>
      </c>
      <c r="F123" s="109" t="n">
        <f aca="false">F99</f>
        <v>333.333333333333</v>
      </c>
      <c r="G123" s="109" t="n">
        <f aca="false">G99</f>
        <v>333.333333333333</v>
      </c>
      <c r="H123" s="109" t="n">
        <f aca="false">H99</f>
        <v>333.333333333333</v>
      </c>
      <c r="I123" s="109" t="n">
        <f aca="false">I99</f>
        <v>333.333333333333</v>
      </c>
      <c r="J123" s="109" t="n">
        <f aca="false">J99</f>
        <v>333.333333333333</v>
      </c>
      <c r="K123" s="109" t="n">
        <f aca="false">K99</f>
        <v>333.333333333333</v>
      </c>
      <c r="L123" s="109" t="n">
        <f aca="false">L99</f>
        <v>334.089759655384</v>
      </c>
      <c r="M123" s="109" t="n">
        <f aca="false">M99</f>
        <v>364.702788481501</v>
      </c>
      <c r="N123" s="109" t="n">
        <f aca="false">N99</f>
        <v>361.734521297801</v>
      </c>
      <c r="O123" s="109" t="n">
        <f aca="false">O99</f>
        <v>333.333333333333</v>
      </c>
      <c r="P123" s="109" t="n">
        <f aca="false">P99</f>
        <v>335.141940783223</v>
      </c>
      <c r="Q123" s="109" t="n">
        <f aca="false">Q99</f>
        <v>333.333333333333</v>
      </c>
      <c r="R123" s="109" t="n">
        <f aca="false">R99</f>
        <v>363.687714121468</v>
      </c>
      <c r="S123" s="109" t="n">
        <f aca="false">S99</f>
        <v>401.07380079059</v>
      </c>
      <c r="T123" s="109" t="n">
        <f aca="false">T99</f>
        <v>392.233487459713</v>
      </c>
      <c r="U123" s="109" t="n">
        <f aca="false">U99</f>
        <v>429.619574128835</v>
      </c>
      <c r="V123" s="109" t="n">
        <f aca="false">V99</f>
        <v>412.621660797957</v>
      </c>
      <c r="W123" s="109" t="n">
        <f aca="false">W99</f>
        <v>450.00774746708</v>
      </c>
      <c r="X123" s="109" t="n">
        <f aca="false">X99</f>
        <v>429.868730146019</v>
      </c>
      <c r="Y123" s="109" t="n">
        <f aca="false">Y99</f>
        <v>455.956112824958</v>
      </c>
      <c r="Z123" s="109" t="n">
        <f aca="false">Z99</f>
        <v>477.993813907824</v>
      </c>
      <c r="AA123" s="109" t="n">
        <f aca="false">AA99</f>
        <v>2118.28797365736</v>
      </c>
      <c r="AB123" s="109" t="n">
        <f aca="false">AB99</f>
        <v>2134.77011918467</v>
      </c>
      <c r="AC123" s="109" t="n">
        <f aca="false">AC99</f>
        <v>2151.25226471198</v>
      </c>
      <c r="AD123" s="109" t="n">
        <f aca="false">AD99</f>
        <v>2167.73441023929</v>
      </c>
      <c r="AE123" s="109" t="n">
        <f aca="false">AE99</f>
        <v>2136.6033637666</v>
      </c>
      <c r="AF123" s="109" t="n">
        <f aca="false">AF99</f>
        <v>2153.08550929391</v>
      </c>
      <c r="AG123" s="109" t="n">
        <f aca="false">AG99</f>
        <v>2169.56765482122</v>
      </c>
      <c r="AH123" s="109" t="n">
        <f aca="false">AH99</f>
        <v>2186.04980034853</v>
      </c>
      <c r="AI123" s="109" t="n">
        <f aca="false">AI99</f>
        <v>2202.53194587584</v>
      </c>
      <c r="AJ123" s="109" t="n">
        <f aca="false">AJ99</f>
        <v>2219.01409140315</v>
      </c>
      <c r="AK123" s="109" t="n">
        <f aca="false">AK99</f>
        <v>2235.49623693046</v>
      </c>
      <c r="AL123" s="109" t="n">
        <f aca="false">AL99</f>
        <v>2251.97838245777</v>
      </c>
      <c r="AM123" s="109" t="n">
        <f aca="false">AM99</f>
        <v>2169.31603022508</v>
      </c>
      <c r="AN123" s="109" t="n">
        <f aca="false">AN99</f>
        <v>2185.79817575239</v>
      </c>
      <c r="AO123" s="109" t="n">
        <f aca="false">AO99</f>
        <v>2202.2803212797</v>
      </c>
      <c r="AP123" s="109" t="n">
        <f aca="false">AP99</f>
        <v>2218.76246680701</v>
      </c>
      <c r="AQ123" s="109" t="n">
        <f aca="false">AQ99</f>
        <v>2235.24461233432</v>
      </c>
      <c r="AR123" s="109" t="n">
        <f aca="false">AR99</f>
        <v>2251.72675786163</v>
      </c>
      <c r="AS123" s="109" t="n">
        <f aca="false">AS99</f>
        <v>2246.17120230608</v>
      </c>
      <c r="AT123" s="109" t="n">
        <f aca="false">AT99</f>
        <v>2240.61564675052</v>
      </c>
      <c r="AU123" s="109" t="n">
        <f aca="false">AU99</f>
        <v>2235.06009119497</v>
      </c>
      <c r="AV123" s="109" t="n">
        <f aca="false">AV99</f>
        <v>2229.50453563941</v>
      </c>
      <c r="AW123" s="109" t="n">
        <f aca="false">AW99</f>
        <v>2223.94898008385</v>
      </c>
      <c r="AX123" s="109" t="n">
        <f aca="false">AX99</f>
        <v>2218.3934245283</v>
      </c>
      <c r="AY123" s="109" t="n">
        <f aca="false">AY99</f>
        <v>2160.94862403994</v>
      </c>
      <c r="AZ123" s="109" t="n">
        <f aca="false">AZ99</f>
        <v>2155.39306848439</v>
      </c>
      <c r="BA123" s="109" t="n">
        <f aca="false">BA99</f>
        <v>2149.83751292883</v>
      </c>
      <c r="BB123" s="109" t="n">
        <f aca="false">BB99</f>
        <v>2144.28195737328</v>
      </c>
      <c r="BC123" s="109" t="n">
        <f aca="false">BC99</f>
        <v>2138.72640181772</v>
      </c>
      <c r="BD123" s="109" t="n">
        <f aca="false">BD99</f>
        <v>2133.17084626217</v>
      </c>
      <c r="BE123" s="109" t="n">
        <f aca="false">BE99</f>
        <v>2127.61529070661</v>
      </c>
      <c r="BF123" s="109" t="n">
        <f aca="false">BF99</f>
        <v>2122.05973515105</v>
      </c>
      <c r="BG123" s="109" t="n">
        <f aca="false">BG99</f>
        <v>2116.5041795955</v>
      </c>
      <c r="BH123" s="109" t="n">
        <f aca="false">BH99</f>
        <v>2110.94862403994</v>
      </c>
      <c r="BI123" s="109" t="n">
        <f aca="false">BI99</f>
        <v>2105.39306848439</v>
      </c>
      <c r="BJ123" s="109" t="n">
        <f aca="false">BJ99</f>
        <v>2099.83751292883</v>
      </c>
      <c r="BK123" s="109" t="n">
        <f aca="false">BK99</f>
        <v>2042.02403509249</v>
      </c>
      <c r="BL123" s="109" t="n">
        <f aca="false">BL99</f>
        <v>2036.46847953694</v>
      </c>
      <c r="BM123" s="109" t="n">
        <f aca="false">BM99</f>
        <v>2030.91292398138</v>
      </c>
      <c r="BN123" s="109" t="n">
        <f aca="false">BN99</f>
        <v>2025.35736842583</v>
      </c>
      <c r="BO123" s="109" t="n">
        <f aca="false">BO99</f>
        <v>2019.80181287027</v>
      </c>
      <c r="BP123" s="109" t="n">
        <f aca="false">BP99</f>
        <v>2014.24625731472</v>
      </c>
      <c r="BQ123" s="109" t="n">
        <f aca="false">BQ99</f>
        <v>2008.69070175916</v>
      </c>
      <c r="BR123" s="109" t="n">
        <f aca="false">BR99</f>
        <v>2003.1351462036</v>
      </c>
      <c r="BS123" s="109" t="n">
        <f aca="false">BS99</f>
        <v>1997.57959064805</v>
      </c>
      <c r="BT123" s="109" t="n">
        <f aca="false">BT99</f>
        <v>1992.02403509249</v>
      </c>
      <c r="BU123" s="109" t="n">
        <f aca="false">BU99</f>
        <v>1986.46847953694</v>
      </c>
      <c r="BV123" s="109" t="n">
        <f aca="false">BV99</f>
        <v>1980.91292398138</v>
      </c>
      <c r="BW123" s="109" t="n">
        <f aca="false">BW99</f>
        <v>1922.71970847662</v>
      </c>
      <c r="BX123" s="109" t="n">
        <f aca="false">BX99</f>
        <v>1917.16415292106</v>
      </c>
      <c r="BY123" s="109" t="n">
        <f aca="false">BY99</f>
        <v>1911.60859736551</v>
      </c>
      <c r="BZ123" s="109" t="n">
        <f aca="false">BZ99</f>
        <v>1906.05304180995</v>
      </c>
      <c r="CA123" s="109" t="n">
        <f aca="false">CA99</f>
        <v>1900.4974862544</v>
      </c>
      <c r="CB123" s="109" t="n">
        <f aca="false">CB99</f>
        <v>1894.94193069884</v>
      </c>
      <c r="CC123" s="109" t="n">
        <f aca="false">CC99</f>
        <v>1889.38637514329</v>
      </c>
      <c r="CD123" s="109" t="n">
        <f aca="false">CD99</f>
        <v>1883.83081958773</v>
      </c>
      <c r="CE123" s="109" t="n">
        <f aca="false">CE99</f>
        <v>1878.27526403217</v>
      </c>
      <c r="CF123" s="109" t="n">
        <f aca="false">CF99</f>
        <v>1872.71970847662</v>
      </c>
      <c r="CG123" s="109" t="n">
        <f aca="false">CG99</f>
        <v>1867.16415292106</v>
      </c>
      <c r="CH123" s="109" t="n">
        <f aca="false">CH99</f>
        <v>1861.60859736545</v>
      </c>
    </row>
    <row r="124" customFormat="false" ht="13.5" hidden="false" customHeight="true" outlineLevel="0" collapsed="false"/>
    <row r="125" customFormat="false" ht="13.5" hidden="false" customHeight="true" outlineLevel="0" collapsed="false">
      <c r="A125" s="9" t="s">
        <v>620</v>
      </c>
      <c r="B125" s="9"/>
    </row>
    <row r="126" customFormat="false" ht="13.5" hidden="false" customHeight="true" outlineLevel="0" collapsed="false">
      <c r="A126" s="6" t="s">
        <v>621</v>
      </c>
      <c r="C126" s="14" t="n">
        <f aca="false">Hipótesis!$D$93</f>
        <v>100000</v>
      </c>
    </row>
    <row r="127" customFormat="false" ht="13.5" hidden="false" customHeight="true" outlineLevel="0" collapsed="false">
      <c r="A127" s="6" t="s">
        <v>622</v>
      </c>
      <c r="C127" s="17" t="n">
        <f aca="false">IFERROR(IRR($B$121:$CH$121,0.02),"n.d.")</f>
        <v>0.00848296793033992</v>
      </c>
    </row>
    <row r="128" customFormat="false" ht="13.5" hidden="false" customHeight="true" outlineLevel="0" collapsed="false">
      <c r="A128" s="6" t="s">
        <v>85</v>
      </c>
      <c r="C128" s="17" t="n">
        <f aca="false">IFERROR((1+IRR($B$121:$CH$121,0.02))^12-1,"n.d.")</f>
        <v>0.106681919700323</v>
      </c>
    </row>
    <row r="129" customFormat="false" ht="13.5" hidden="false" customHeight="true" outlineLevel="0" collapsed="false">
      <c r="A129" s="6" t="s">
        <v>623</v>
      </c>
      <c r="C129" s="21" t="n">
        <f aca="false">IFERROR(SUM($C$121:$CH$121)/$C$126,0)</f>
        <v>1.5</v>
      </c>
    </row>
    <row r="130" customFormat="false" ht="13.5" hidden="false" customHeight="true" outlineLevel="0" collapsed="false">
      <c r="A130" s="6" t="s">
        <v>57</v>
      </c>
      <c r="C130" s="15" t="n">
        <f aca="false">IFERROR(COUNTIF($C$94:$CH$94,"&lt;"&amp;$C$126)+1,"n.d.")</f>
        <v>48</v>
      </c>
    </row>
    <row r="131" customFormat="false" ht="13.5" hidden="false" customHeight="true" outlineLevel="0" collapsed="false">
      <c r="A131" s="6" t="s">
        <v>624</v>
      </c>
      <c r="C131" s="14" t="n">
        <f aca="false">IFERROR($B$121+NPV((1+Hipótesis!$D$121)^(1/12)-1,$C$121:$CH$121),0)</f>
        <v>-4672.28823927562</v>
      </c>
    </row>
    <row r="132" customFormat="false" ht="13.5" hidden="false" customHeight="true" outlineLevel="0" collapsed="false">
      <c r="A132" s="6" t="s">
        <v>625</v>
      </c>
      <c r="C132" s="109" t="n">
        <f aca="false">SUM($AY$56:$BJ$56)</f>
        <v>176569.174423966</v>
      </c>
    </row>
    <row r="133" customFormat="false" ht="13.5" hidden="false" customHeight="true" outlineLevel="0" collapsed="false">
      <c r="A133" s="6" t="s">
        <v>626</v>
      </c>
      <c r="C133" s="109" t="n">
        <f aca="false">IF(Hipótesis!$D$94=5,$C$157,$C$132*Hipótesis!$D$120)</f>
        <v>1218204.06609096</v>
      </c>
    </row>
    <row r="134" customFormat="false" ht="13.5" hidden="false" customHeight="true" outlineLevel="0" collapsed="false">
      <c r="A134" s="6" t="s">
        <v>627</v>
      </c>
      <c r="C134" s="109" t="n">
        <f aca="false">MAX(0,$C$133)*Hipótesis!$D$119</f>
        <v>121820.406609096</v>
      </c>
    </row>
    <row r="135" customFormat="false" ht="13.5" hidden="false" customHeight="true" outlineLevel="0" collapsed="false">
      <c r="A135" s="6" t="s">
        <v>628</v>
      </c>
      <c r="C135" s="17" t="n">
        <f aca="false">IF(ISNUMBER($C$128),$C$128,"n.d.")</f>
        <v>0.106681919700323</v>
      </c>
    </row>
    <row r="136" customFormat="false" ht="13.5" hidden="false" customHeight="true" outlineLevel="0" collapsed="false">
      <c r="A136" s="6" t="s">
        <v>82</v>
      </c>
      <c r="C136" s="17" t="n">
        <f aca="false">IFERROR((1+IRR($B$123:$CH$123,0.01))^12-1,"n.d.")</f>
        <v>0.0731787618197344</v>
      </c>
    </row>
    <row r="137" customFormat="false" ht="13.5" hidden="false" customHeight="true" outlineLevel="0" collapsed="false">
      <c r="A137" s="6" t="s">
        <v>629</v>
      </c>
      <c r="C137" s="17" t="n">
        <f aca="false">IFERROR((1+IRR($B$122:$CH$122,0.01))^12-1,"n.d.")</f>
        <v>0.0902429988249154</v>
      </c>
    </row>
    <row r="138" customFormat="false" ht="13.5" hidden="false" customHeight="true" outlineLevel="0" collapsed="false">
      <c r="A138" s="6" t="s">
        <v>88</v>
      </c>
      <c r="C138" s="14" t="n">
        <f aca="false">Hipótesis!$D$122</f>
        <v>200000</v>
      </c>
    </row>
    <row r="139" customFormat="false" ht="13.5" hidden="false" customHeight="true" outlineLevel="0" collapsed="false">
      <c r="A139" s="6" t="s">
        <v>630</v>
      </c>
      <c r="C139" s="14" t="n">
        <f aca="false">Hipótesis!$D$113*Hipótesis!$D$117</f>
        <v>0</v>
      </c>
    </row>
    <row r="140" customFormat="false" ht="13.5" hidden="false" customHeight="true" outlineLevel="0" collapsed="false"/>
    <row r="141" customFormat="false" ht="13.5" hidden="false" customHeight="true" outlineLevel="0" collapsed="false">
      <c r="A141" s="115" t="s">
        <v>513</v>
      </c>
      <c r="C141" s="116" t="n">
        <v>1</v>
      </c>
      <c r="D141" s="116" t="n">
        <v>2</v>
      </c>
      <c r="E141" s="116" t="n">
        <v>3</v>
      </c>
      <c r="F141" s="116" t="n">
        <v>4</v>
      </c>
      <c r="G141" s="116" t="n">
        <v>5</v>
      </c>
      <c r="H141" s="116" t="n">
        <v>6</v>
      </c>
      <c r="I141" s="116" t="n">
        <v>7</v>
      </c>
    </row>
    <row r="142" customFormat="false" ht="13.5" hidden="false" customHeight="true" outlineLevel="0" collapsed="false">
      <c r="A142" s="6" t="s">
        <v>631</v>
      </c>
      <c r="C142" s="109" t="n">
        <f aca="false">SUM($C$56:$N$56)</f>
        <v>-82763.9245513142</v>
      </c>
      <c r="D142" s="109" t="n">
        <f aca="false">SUM($O$56:$Z$56)</f>
        <v>38613.1031997057</v>
      </c>
      <c r="E142" s="109" t="n">
        <f aca="false">SUM($AA$56:$AL$56)</f>
        <v>124651.920967871</v>
      </c>
      <c r="F142" s="109" t="n">
        <f aca="false">SUM($AM$56:$AX$56)</f>
        <v>191174.445571497</v>
      </c>
      <c r="G142" s="109" t="n">
        <f aca="false">SUM($AY$56:$BJ$56)</f>
        <v>176569.174423966</v>
      </c>
      <c r="H142" s="109" t="n">
        <f aca="false">SUM($BK$56:$BV$56)</f>
        <v>145214.421055496</v>
      </c>
      <c r="I142" s="109" t="n">
        <f aca="false">SUM($BW$56:$CH$56)</f>
        <v>113631.825085971</v>
      </c>
    </row>
    <row r="143" customFormat="false" ht="13.5" hidden="false" customHeight="true" outlineLevel="0" collapsed="false">
      <c r="A143" s="6" t="s">
        <v>632</v>
      </c>
      <c r="C143" s="109" t="n">
        <f aca="false">SUM($C$106:$N$106)</f>
        <v>4060.52706943469</v>
      </c>
      <c r="D143" s="109" t="n">
        <f aca="false">SUM($O$106:$Z$106)</f>
        <v>4814.87124909433</v>
      </c>
      <c r="E143" s="109" t="n">
        <f aca="false">SUM($AA$106:$AL$106)</f>
        <v>26126.3717526908</v>
      </c>
      <c r="F143" s="109" t="n">
        <f aca="false">SUM($AM$106:$AX$106)</f>
        <v>26656.8222447633</v>
      </c>
      <c r="G143" s="109" t="n">
        <f aca="false">SUM($AY$106:$BJ$106)</f>
        <v>25564.7168218127</v>
      </c>
      <c r="H143" s="109" t="n">
        <f aca="false">SUM($BK$106:$BV$106)</f>
        <v>24137.6217544432</v>
      </c>
      <c r="I143" s="109" t="n">
        <f aca="false">SUM($BW$106:$CH$106)</f>
        <v>22705.9698350527</v>
      </c>
    </row>
    <row r="144" customFormat="false" ht="13.5" hidden="false" customHeight="true" outlineLevel="0" collapsed="false">
      <c r="A144" s="22" t="s">
        <v>633</v>
      </c>
      <c r="C144" s="122" t="n">
        <f aca="false">IFERROR(C142/C143,0)</f>
        <v>-20.3825570267253</v>
      </c>
      <c r="D144" s="122" t="n">
        <f aca="false">IFERROR(D142/D143,0)</f>
        <v>8.01955051383123</v>
      </c>
      <c r="E144" s="122" t="n">
        <f aca="false">IFERROR(E142/E143,0)</f>
        <v>4.77111487763445</v>
      </c>
      <c r="F144" s="122" t="n">
        <f aca="false">IFERROR(F142/F143,0)</f>
        <v>7.17168925148432</v>
      </c>
      <c r="G144" s="122" t="n">
        <f aca="false">IFERROR(G142/G143,0)</f>
        <v>6.9067526018247</v>
      </c>
      <c r="H144" s="122" t="n">
        <f aca="false">IFERROR(H142/H143,0)</f>
        <v>6.016103099667</v>
      </c>
      <c r="I144" s="122" t="n">
        <f aca="false">IFERROR(I142/I143,0)</f>
        <v>5.00449114974822</v>
      </c>
    </row>
    <row r="145" customFormat="false" ht="13.5" hidden="false" customHeight="true" outlineLevel="0" collapsed="false">
      <c r="A145" s="22" t="s">
        <v>634</v>
      </c>
      <c r="C145" s="16" t="n">
        <f aca="false">MIN(D144:I144)</f>
        <v>4.77111487763445</v>
      </c>
    </row>
    <row r="146" customFormat="false" ht="13.5" hidden="false" customHeight="true" outlineLevel="0" collapsed="false">
      <c r="A146" s="22" t="s">
        <v>635</v>
      </c>
      <c r="C146" s="14" t="n">
        <f aca="false">MIN($C$86:$CH$86)</f>
        <v>30000</v>
      </c>
    </row>
    <row r="147" customFormat="false" ht="13.5" hidden="false" customHeight="true" outlineLevel="0" collapsed="false">
      <c r="A147" s="22" t="s">
        <v>636</v>
      </c>
      <c r="C147" s="14" t="n">
        <f aca="false">SUM($C$36:$N$36)</f>
        <v>153095.813144718</v>
      </c>
    </row>
    <row r="148" customFormat="false" ht="13.5" hidden="false" customHeight="true" outlineLevel="0" collapsed="false">
      <c r="A148" s="22" t="s">
        <v>637</v>
      </c>
      <c r="C148" s="109" t="n">
        <f aca="false">-SUM($C$84:$N$84)</f>
        <v>-0</v>
      </c>
      <c r="D148" s="109" t="n">
        <f aca="false">-SUM($O$84:$Z$84)</f>
        <v>-0</v>
      </c>
      <c r="E148" s="109" t="n">
        <f aca="false">-SUM($AA$84:$AL$84)</f>
        <v>-0</v>
      </c>
      <c r="F148" s="109" t="n">
        <f aca="false">-SUM($AM$84:$AX$84)</f>
        <v>-0</v>
      </c>
      <c r="G148" s="109" t="n">
        <f aca="false">-SUM($AY$84:$BJ$84)</f>
        <v>-0</v>
      </c>
      <c r="H148" s="109" t="n">
        <f aca="false">-SUM($BK$84:$BV$84)</f>
        <v>-0</v>
      </c>
      <c r="I148" s="109" t="n">
        <f aca="false">-SUM($BW$84:$CH$84)</f>
        <v>-0</v>
      </c>
    </row>
    <row r="149" customFormat="false" ht="13.5" hidden="false" customHeight="true" outlineLevel="0" collapsed="false">
      <c r="A149" s="22" t="s">
        <v>638</v>
      </c>
      <c r="C149" s="14" t="n">
        <f aca="false">SUM($C$118:$N$118)/12</f>
        <v>1540</v>
      </c>
      <c r="D149" s="14" t="n">
        <f aca="false">SUM($O$118:$Z$118)/12</f>
        <v>2450</v>
      </c>
      <c r="E149" s="14" t="n">
        <f aca="false">SUM($AA$118:$AL$118)/12</f>
        <v>2800</v>
      </c>
      <c r="F149" s="14" t="n">
        <f aca="false">SUM($AM$118:$AX$118)/12</f>
        <v>3150</v>
      </c>
      <c r="G149" s="14" t="n">
        <f aca="false">SUM($AY$118:$BJ$118)/12</f>
        <v>3500</v>
      </c>
      <c r="H149" s="14" t="n">
        <f aca="false">SUM($BK$118:$BV$118)/12</f>
        <v>3850</v>
      </c>
      <c r="I149" s="14" t="n">
        <f aca="false">SUM($BW$118:$CH$118)/12</f>
        <v>4200</v>
      </c>
    </row>
    <row r="150" customFormat="false" ht="13.5" hidden="false" customHeight="true" outlineLevel="0" collapsed="false">
      <c r="A150" s="22" t="s">
        <v>639</v>
      </c>
      <c r="C150" s="14" t="n">
        <f aca="false">MAX($C$81:$CH$81)</f>
        <v>23291.6710710134</v>
      </c>
    </row>
    <row r="152" customFormat="false" ht="15" hidden="false" customHeight="true" outlineLevel="0" collapsed="false">
      <c r="A152" s="103" t="s">
        <v>640</v>
      </c>
    </row>
    <row r="153" customFormat="false" ht="15" hidden="false" customHeight="true" outlineLevel="0" collapsed="false">
      <c r="A153" s="1" t="s">
        <v>641</v>
      </c>
      <c r="C153" s="1" t="n">
        <f aca="false">SUMIFS($C$56:$CH$56,$C$3:$CH$3,"&gt;="&amp;Hipótesis!$D$124-11,$C$3:$CH$3,"&lt;="&amp;Hipótesis!$D$124)</f>
        <v>191174.445571497</v>
      </c>
    </row>
    <row r="154" customFormat="false" ht="15" hidden="false" customHeight="true" outlineLevel="0" collapsed="false">
      <c r="A154" s="1" t="s">
        <v>642</v>
      </c>
      <c r="C154" s="1" t="n">
        <f aca="false">$C$153*Hipótesis!$D$120</f>
        <v>1147046.67342898</v>
      </c>
    </row>
    <row r="155" customFormat="false" ht="15" hidden="false" customHeight="true" outlineLevel="0" collapsed="false">
      <c r="A155" s="1" t="s">
        <v>643</v>
      </c>
      <c r="C155" s="1" t="n">
        <f aca="false">SUMIFS($C$86:$CH$86,$C$3:$CH$3,"="&amp;Hipótesis!$D$124)</f>
        <v>132824.059328645</v>
      </c>
    </row>
    <row r="156" customFormat="false" ht="15" hidden="false" customHeight="true" outlineLevel="0" collapsed="false">
      <c r="A156" s="1" t="s">
        <v>644</v>
      </c>
      <c r="C156" s="1" t="n">
        <f aca="false">SUMIFS($C$96:$CH$96,$C$3:$CH$3,"="&amp;Hipótesis!$D$124)+SUMIFS($C$101:$CH$101,$C$3:$CH$3,"="&amp;Hipótesis!$D$124)+SUMIFS($C$89:$CH$89,$C$3:$CH$3,"="&amp;Hipótesis!$D$124)</f>
        <v>61666.6666666666</v>
      </c>
    </row>
    <row r="157" customFormat="false" ht="15" hidden="false" customHeight="true" outlineLevel="0" collapsed="false">
      <c r="A157" s="103" t="s">
        <v>645</v>
      </c>
      <c r="C157" s="1" t="n">
        <f aca="false">MAX(0,$C$154+Hipótesis!$D$125*($C$155-$C$156))</f>
        <v>1218204.06609096</v>
      </c>
    </row>
    <row r="158" customFormat="false" ht="15" hidden="false" customHeight="true" outlineLevel="0" collapsed="false">
      <c r="A158" s="1" t="s">
        <v>646</v>
      </c>
      <c r="C158" s="1" t="n">
        <f aca="false">MIN($C$157,MAX($C$157*Hipótesis!$D$119,Hipótesis!$D$127*Hipótesis!$D$93))</f>
        <v>150000</v>
      </c>
    </row>
    <row r="159" customFormat="false" ht="15" hidden="false" customHeight="true" outlineLevel="0" collapsed="false">
      <c r="A159" s="1" t="s">
        <v>647</v>
      </c>
      <c r="C159" s="1" t="n">
        <f aca="false">MAX(0,$C$158-$C$157*Hipótesis!$D$119)</f>
        <v>28179.5933909042</v>
      </c>
    </row>
    <row r="160" customFormat="false" ht="15" hidden="false" customHeight="true" outlineLevel="0" collapsed="false">
      <c r="A160" s="103" t="s">
        <v>648</v>
      </c>
    </row>
    <row r="161" customFormat="false" ht="15" hidden="false" customHeight="true" outlineLevel="0" collapsed="false">
      <c r="A161" s="1" t="s">
        <v>649</v>
      </c>
      <c r="C161" s="123" t="n">
        <f aca="false">IF(Hipótesis!$D$94=5,Hipótesis!$D$93,0)</f>
        <v>100000</v>
      </c>
    </row>
    <row r="162" customFormat="false" ht="15" hidden="false" customHeight="true" outlineLevel="0" collapsed="false">
      <c r="A162" s="1" t="s">
        <v>650</v>
      </c>
      <c r="C162" s="1" t="n">
        <f aca="false">SUMIFS($C$63:$CH$63,$C$3:$CH$3,"&lt;="&amp;Hipótesis!$D$126)</f>
        <v>0</v>
      </c>
    </row>
    <row r="163" customFormat="false" ht="15" hidden="false" customHeight="true" outlineLevel="0" collapsed="false">
      <c r="A163" s="103" t="s">
        <v>651</v>
      </c>
      <c r="C163" s="1" t="n">
        <f aca="false">$C$161+$C$162</f>
        <v>100000</v>
      </c>
    </row>
    <row r="164" customFormat="false" ht="15" hidden="false" customHeight="true" outlineLevel="0" collapsed="false">
      <c r="A164" s="1" t="s">
        <v>652</v>
      </c>
      <c r="C164" s="123" t="n">
        <f aca="false">Hipótesis!$D$105</f>
        <v>100000</v>
      </c>
    </row>
    <row r="165" customFormat="false" ht="15" hidden="false" customHeight="true" outlineLevel="0" collapsed="false">
      <c r="A165" s="103" t="s">
        <v>653</v>
      </c>
      <c r="C165" s="1" t="str">
        <f aca="false">IF($C$163&gt;=$C$164,"SI CUMPLE","NO CUMPLE - faltan "&amp;TEXT($C$164-$C$163,"#,##0")&amp;" EUR")</f>
        <v>SI CUMPLE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H1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K39" activePane="bottomRight" state="frozen"/>
      <selection pane="topLeft" activeCell="A1" activeCellId="0" sqref="A1"/>
      <selection pane="topRight" activeCell="K1" activeCellId="0" sqref="K1"/>
      <selection pane="bottomLeft" activeCell="A39" activeCellId="0" sqref="A39"/>
      <selection pane="bottomRight" activeCell="N44" activeCellId="0" sqref="N44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8"/>
    <col collapsed="false" customWidth="true" hidden="false" outlineLevel="0" max="2" min="2" style="1" width="13"/>
    <col collapsed="false" customWidth="true" hidden="false" outlineLevel="0" max="86" min="3" style="1" width="11"/>
  </cols>
  <sheetData>
    <row r="1" customFormat="false" ht="18" hidden="false" customHeight="true" outlineLevel="0" collapsed="false">
      <c r="A1" s="8" t="s">
        <v>708</v>
      </c>
    </row>
    <row r="2" customFormat="false" ht="13.5" hidden="false" customHeight="true" outlineLevel="0" collapsed="false">
      <c r="A2" s="4" t="s">
        <v>707</v>
      </c>
    </row>
    <row r="3" customFormat="false" ht="13.5" hidden="false" customHeight="true" outlineLevel="0" collapsed="false">
      <c r="A3" s="115" t="s">
        <v>512</v>
      </c>
      <c r="C3" s="116" t="n">
        <v>1</v>
      </c>
      <c r="D3" s="116" t="n">
        <v>2</v>
      </c>
      <c r="E3" s="116" t="n">
        <v>3</v>
      </c>
      <c r="F3" s="116" t="n">
        <v>4</v>
      </c>
      <c r="G3" s="116" t="n">
        <v>5</v>
      </c>
      <c r="H3" s="116" t="n">
        <v>6</v>
      </c>
      <c r="I3" s="116" t="n">
        <v>7</v>
      </c>
      <c r="J3" s="116" t="n">
        <v>8</v>
      </c>
      <c r="K3" s="116" t="n">
        <v>9</v>
      </c>
      <c r="L3" s="116" t="n">
        <v>10</v>
      </c>
      <c r="M3" s="116" t="n">
        <v>11</v>
      </c>
      <c r="N3" s="116" t="n">
        <v>12</v>
      </c>
      <c r="O3" s="116" t="n">
        <v>13</v>
      </c>
      <c r="P3" s="116" t="n">
        <v>14</v>
      </c>
      <c r="Q3" s="116" t="n">
        <v>15</v>
      </c>
      <c r="R3" s="116" t="n">
        <v>16</v>
      </c>
      <c r="S3" s="116" t="n">
        <v>17</v>
      </c>
      <c r="T3" s="116" t="n">
        <v>18</v>
      </c>
      <c r="U3" s="116" t="n">
        <v>19</v>
      </c>
      <c r="V3" s="116" t="n">
        <v>20</v>
      </c>
      <c r="W3" s="116" t="n">
        <v>21</v>
      </c>
      <c r="X3" s="116" t="n">
        <v>22</v>
      </c>
      <c r="Y3" s="116" t="n">
        <v>23</v>
      </c>
      <c r="Z3" s="116" t="n">
        <v>24</v>
      </c>
      <c r="AA3" s="116" t="n">
        <v>25</v>
      </c>
      <c r="AB3" s="116" t="n">
        <v>26</v>
      </c>
      <c r="AC3" s="116" t="n">
        <v>27</v>
      </c>
      <c r="AD3" s="116" t="n">
        <v>28</v>
      </c>
      <c r="AE3" s="116" t="n">
        <v>29</v>
      </c>
      <c r="AF3" s="116" t="n">
        <v>30</v>
      </c>
      <c r="AG3" s="116" t="n">
        <v>31</v>
      </c>
      <c r="AH3" s="116" t="n">
        <v>32</v>
      </c>
      <c r="AI3" s="116" t="n">
        <v>33</v>
      </c>
      <c r="AJ3" s="116" t="n">
        <v>34</v>
      </c>
      <c r="AK3" s="116" t="n">
        <v>35</v>
      </c>
      <c r="AL3" s="116" t="n">
        <v>36</v>
      </c>
      <c r="AM3" s="116" t="n">
        <v>37</v>
      </c>
      <c r="AN3" s="116" t="n">
        <v>38</v>
      </c>
      <c r="AO3" s="116" t="n">
        <v>39</v>
      </c>
      <c r="AP3" s="116" t="n">
        <v>40</v>
      </c>
      <c r="AQ3" s="116" t="n">
        <v>41</v>
      </c>
      <c r="AR3" s="116" t="n">
        <v>42</v>
      </c>
      <c r="AS3" s="116" t="n">
        <v>43</v>
      </c>
      <c r="AT3" s="116" t="n">
        <v>44</v>
      </c>
      <c r="AU3" s="116" t="n">
        <v>45</v>
      </c>
      <c r="AV3" s="116" t="n">
        <v>46</v>
      </c>
      <c r="AW3" s="116" t="n">
        <v>47</v>
      </c>
      <c r="AX3" s="116" t="n">
        <v>48</v>
      </c>
      <c r="AY3" s="116" t="n">
        <v>49</v>
      </c>
      <c r="AZ3" s="116" t="n">
        <v>50</v>
      </c>
      <c r="BA3" s="116" t="n">
        <v>51</v>
      </c>
      <c r="BB3" s="116" t="n">
        <v>52</v>
      </c>
      <c r="BC3" s="116" t="n">
        <v>53</v>
      </c>
      <c r="BD3" s="116" t="n">
        <v>54</v>
      </c>
      <c r="BE3" s="116" t="n">
        <v>55</v>
      </c>
      <c r="BF3" s="116" t="n">
        <v>56</v>
      </c>
      <c r="BG3" s="116" t="n">
        <v>57</v>
      </c>
      <c r="BH3" s="116" t="n">
        <v>58</v>
      </c>
      <c r="BI3" s="116" t="n">
        <v>59</v>
      </c>
      <c r="BJ3" s="116" t="n">
        <v>60</v>
      </c>
      <c r="BK3" s="116" t="n">
        <v>61</v>
      </c>
      <c r="BL3" s="116" t="n">
        <v>62</v>
      </c>
      <c r="BM3" s="116" t="n">
        <v>63</v>
      </c>
      <c r="BN3" s="116" t="n">
        <v>64</v>
      </c>
      <c r="BO3" s="116" t="n">
        <v>65</v>
      </c>
      <c r="BP3" s="116" t="n">
        <v>66</v>
      </c>
      <c r="BQ3" s="116" t="n">
        <v>67</v>
      </c>
      <c r="BR3" s="116" t="n">
        <v>68</v>
      </c>
      <c r="BS3" s="116" t="n">
        <v>69</v>
      </c>
      <c r="BT3" s="116" t="n">
        <v>70</v>
      </c>
      <c r="BU3" s="116" t="n">
        <v>71</v>
      </c>
      <c r="BV3" s="116" t="n">
        <v>72</v>
      </c>
      <c r="BW3" s="116" t="n">
        <v>73</v>
      </c>
      <c r="BX3" s="116" t="n">
        <v>74</v>
      </c>
      <c r="BY3" s="116" t="n">
        <v>75</v>
      </c>
      <c r="BZ3" s="116" t="n">
        <v>76</v>
      </c>
      <c r="CA3" s="116" t="n">
        <v>77</v>
      </c>
      <c r="CB3" s="116" t="n">
        <v>78</v>
      </c>
      <c r="CC3" s="116" t="n">
        <v>79</v>
      </c>
      <c r="CD3" s="116" t="n">
        <v>80</v>
      </c>
      <c r="CE3" s="116" t="n">
        <v>81</v>
      </c>
      <c r="CF3" s="116" t="n">
        <v>82</v>
      </c>
      <c r="CG3" s="116" t="n">
        <v>83</v>
      </c>
      <c r="CH3" s="116" t="n">
        <v>84</v>
      </c>
    </row>
    <row r="4" customFormat="false" ht="13.5" hidden="false" customHeight="true" outlineLevel="0" collapsed="false">
      <c r="A4" s="115" t="s">
        <v>513</v>
      </c>
      <c r="C4" s="117" t="n">
        <f aca="false">INT((1-1)/12)+1</f>
        <v>1</v>
      </c>
      <c r="D4" s="117" t="n">
        <f aca="false">INT((2-1)/12)+1</f>
        <v>1</v>
      </c>
      <c r="E4" s="117" t="n">
        <f aca="false">INT((3-1)/12)+1</f>
        <v>1</v>
      </c>
      <c r="F4" s="117" t="n">
        <f aca="false">INT((4-1)/12)+1</f>
        <v>1</v>
      </c>
      <c r="G4" s="117" t="n">
        <f aca="false">INT((5-1)/12)+1</f>
        <v>1</v>
      </c>
      <c r="H4" s="117" t="n">
        <f aca="false">INT((6-1)/12)+1</f>
        <v>1</v>
      </c>
      <c r="I4" s="117" t="n">
        <f aca="false">INT((7-1)/12)+1</f>
        <v>1</v>
      </c>
      <c r="J4" s="117" t="n">
        <f aca="false">INT((8-1)/12)+1</f>
        <v>1</v>
      </c>
      <c r="K4" s="117" t="n">
        <f aca="false">INT((9-1)/12)+1</f>
        <v>1</v>
      </c>
      <c r="L4" s="117" t="n">
        <f aca="false">INT((10-1)/12)+1</f>
        <v>1</v>
      </c>
      <c r="M4" s="117" t="n">
        <f aca="false">INT((11-1)/12)+1</f>
        <v>1</v>
      </c>
      <c r="N4" s="117" t="n">
        <f aca="false">INT((12-1)/12)+1</f>
        <v>1</v>
      </c>
      <c r="O4" s="117" t="n">
        <f aca="false">INT((13-1)/12)+1</f>
        <v>2</v>
      </c>
      <c r="P4" s="117" t="n">
        <f aca="false">INT((14-1)/12)+1</f>
        <v>2</v>
      </c>
      <c r="Q4" s="117" t="n">
        <f aca="false">INT((15-1)/12)+1</f>
        <v>2</v>
      </c>
      <c r="R4" s="117" t="n">
        <f aca="false">INT((16-1)/12)+1</f>
        <v>2</v>
      </c>
      <c r="S4" s="117" t="n">
        <f aca="false">INT((17-1)/12)+1</f>
        <v>2</v>
      </c>
      <c r="T4" s="117" t="n">
        <f aca="false">INT((18-1)/12)+1</f>
        <v>2</v>
      </c>
      <c r="U4" s="117" t="n">
        <f aca="false">INT((19-1)/12)+1</f>
        <v>2</v>
      </c>
      <c r="V4" s="117" t="n">
        <f aca="false">INT((20-1)/12)+1</f>
        <v>2</v>
      </c>
      <c r="W4" s="117" t="n">
        <f aca="false">INT((21-1)/12)+1</f>
        <v>2</v>
      </c>
      <c r="X4" s="117" t="n">
        <f aca="false">INT((22-1)/12)+1</f>
        <v>2</v>
      </c>
      <c r="Y4" s="117" t="n">
        <f aca="false">INT((23-1)/12)+1</f>
        <v>2</v>
      </c>
      <c r="Z4" s="117" t="n">
        <f aca="false">INT((24-1)/12)+1</f>
        <v>2</v>
      </c>
      <c r="AA4" s="117" t="n">
        <f aca="false">INT((25-1)/12)+1</f>
        <v>3</v>
      </c>
      <c r="AB4" s="117" t="n">
        <f aca="false">INT((26-1)/12)+1</f>
        <v>3</v>
      </c>
      <c r="AC4" s="117" t="n">
        <f aca="false">INT((27-1)/12)+1</f>
        <v>3</v>
      </c>
      <c r="AD4" s="117" t="n">
        <f aca="false">INT((28-1)/12)+1</f>
        <v>3</v>
      </c>
      <c r="AE4" s="117" t="n">
        <f aca="false">INT((29-1)/12)+1</f>
        <v>3</v>
      </c>
      <c r="AF4" s="117" t="n">
        <f aca="false">INT((30-1)/12)+1</f>
        <v>3</v>
      </c>
      <c r="AG4" s="117" t="n">
        <f aca="false">INT((31-1)/12)+1</f>
        <v>3</v>
      </c>
      <c r="AH4" s="117" t="n">
        <f aca="false">INT((32-1)/12)+1</f>
        <v>3</v>
      </c>
      <c r="AI4" s="117" t="n">
        <f aca="false">INT((33-1)/12)+1</f>
        <v>3</v>
      </c>
      <c r="AJ4" s="117" t="n">
        <f aca="false">INT((34-1)/12)+1</f>
        <v>3</v>
      </c>
      <c r="AK4" s="117" t="n">
        <f aca="false">INT((35-1)/12)+1</f>
        <v>3</v>
      </c>
      <c r="AL4" s="117" t="n">
        <f aca="false">INT((36-1)/12)+1</f>
        <v>3</v>
      </c>
      <c r="AM4" s="117" t="n">
        <f aca="false">INT((37-1)/12)+1</f>
        <v>4</v>
      </c>
      <c r="AN4" s="117" t="n">
        <f aca="false">INT((38-1)/12)+1</f>
        <v>4</v>
      </c>
      <c r="AO4" s="117" t="n">
        <f aca="false">INT((39-1)/12)+1</f>
        <v>4</v>
      </c>
      <c r="AP4" s="117" t="n">
        <f aca="false">INT((40-1)/12)+1</f>
        <v>4</v>
      </c>
      <c r="AQ4" s="117" t="n">
        <f aca="false">INT((41-1)/12)+1</f>
        <v>4</v>
      </c>
      <c r="AR4" s="117" t="n">
        <f aca="false">INT((42-1)/12)+1</f>
        <v>4</v>
      </c>
      <c r="AS4" s="117" t="n">
        <f aca="false">INT((43-1)/12)+1</f>
        <v>4</v>
      </c>
      <c r="AT4" s="117" t="n">
        <f aca="false">INT((44-1)/12)+1</f>
        <v>4</v>
      </c>
      <c r="AU4" s="117" t="n">
        <f aca="false">INT((45-1)/12)+1</f>
        <v>4</v>
      </c>
      <c r="AV4" s="117" t="n">
        <f aca="false">INT((46-1)/12)+1</f>
        <v>4</v>
      </c>
      <c r="AW4" s="117" t="n">
        <f aca="false">INT((47-1)/12)+1</f>
        <v>4</v>
      </c>
      <c r="AX4" s="117" t="n">
        <f aca="false">INT((48-1)/12)+1</f>
        <v>4</v>
      </c>
      <c r="AY4" s="117" t="n">
        <f aca="false">INT((49-1)/12)+1</f>
        <v>5</v>
      </c>
      <c r="AZ4" s="117" t="n">
        <f aca="false">INT((50-1)/12)+1</f>
        <v>5</v>
      </c>
      <c r="BA4" s="117" t="n">
        <f aca="false">INT((51-1)/12)+1</f>
        <v>5</v>
      </c>
      <c r="BB4" s="117" t="n">
        <f aca="false">INT((52-1)/12)+1</f>
        <v>5</v>
      </c>
      <c r="BC4" s="117" t="n">
        <f aca="false">INT((53-1)/12)+1</f>
        <v>5</v>
      </c>
      <c r="BD4" s="117" t="n">
        <f aca="false">INT((54-1)/12)+1</f>
        <v>5</v>
      </c>
      <c r="BE4" s="117" t="n">
        <f aca="false">INT((55-1)/12)+1</f>
        <v>5</v>
      </c>
      <c r="BF4" s="117" t="n">
        <f aca="false">INT((56-1)/12)+1</f>
        <v>5</v>
      </c>
      <c r="BG4" s="117" t="n">
        <f aca="false">INT((57-1)/12)+1</f>
        <v>5</v>
      </c>
      <c r="BH4" s="117" t="n">
        <f aca="false">INT((58-1)/12)+1</f>
        <v>5</v>
      </c>
      <c r="BI4" s="117" t="n">
        <f aca="false">INT((59-1)/12)+1</f>
        <v>5</v>
      </c>
      <c r="BJ4" s="117" t="n">
        <f aca="false">INT((60-1)/12)+1</f>
        <v>5</v>
      </c>
      <c r="BK4" s="117" t="n">
        <f aca="false">INT((61-1)/12)+1</f>
        <v>6</v>
      </c>
      <c r="BL4" s="117" t="n">
        <f aca="false">INT((62-1)/12)+1</f>
        <v>6</v>
      </c>
      <c r="BM4" s="117" t="n">
        <f aca="false">INT((63-1)/12)+1</f>
        <v>6</v>
      </c>
      <c r="BN4" s="117" t="n">
        <f aca="false">INT((64-1)/12)+1</f>
        <v>6</v>
      </c>
      <c r="BO4" s="117" t="n">
        <f aca="false">INT((65-1)/12)+1</f>
        <v>6</v>
      </c>
      <c r="BP4" s="117" t="n">
        <f aca="false">INT((66-1)/12)+1</f>
        <v>6</v>
      </c>
      <c r="BQ4" s="117" t="n">
        <f aca="false">INT((67-1)/12)+1</f>
        <v>6</v>
      </c>
      <c r="BR4" s="117" t="n">
        <f aca="false">INT((68-1)/12)+1</f>
        <v>6</v>
      </c>
      <c r="BS4" s="117" t="n">
        <f aca="false">INT((69-1)/12)+1</f>
        <v>6</v>
      </c>
      <c r="BT4" s="117" t="n">
        <f aca="false">INT((70-1)/12)+1</f>
        <v>6</v>
      </c>
      <c r="BU4" s="117" t="n">
        <f aca="false">INT((71-1)/12)+1</f>
        <v>6</v>
      </c>
      <c r="BV4" s="117" t="n">
        <f aca="false">INT((72-1)/12)+1</f>
        <v>6</v>
      </c>
      <c r="BW4" s="117" t="n">
        <f aca="false">INT((73-1)/12)+1</f>
        <v>7</v>
      </c>
      <c r="BX4" s="117" t="n">
        <f aca="false">INT((74-1)/12)+1</f>
        <v>7</v>
      </c>
      <c r="BY4" s="117" t="n">
        <f aca="false">INT((75-1)/12)+1</f>
        <v>7</v>
      </c>
      <c r="BZ4" s="117" t="n">
        <f aca="false">INT((76-1)/12)+1</f>
        <v>7</v>
      </c>
      <c r="CA4" s="117" t="n">
        <f aca="false">INT((77-1)/12)+1</f>
        <v>7</v>
      </c>
      <c r="CB4" s="117" t="n">
        <f aca="false">INT((78-1)/12)+1</f>
        <v>7</v>
      </c>
      <c r="CC4" s="117" t="n">
        <f aca="false">INT((79-1)/12)+1</f>
        <v>7</v>
      </c>
      <c r="CD4" s="117" t="n">
        <f aca="false">INT((80-1)/12)+1</f>
        <v>7</v>
      </c>
      <c r="CE4" s="117" t="n">
        <f aca="false">INT((81-1)/12)+1</f>
        <v>7</v>
      </c>
      <c r="CF4" s="117" t="n">
        <f aca="false">INT((82-1)/12)+1</f>
        <v>7</v>
      </c>
      <c r="CG4" s="117" t="n">
        <f aca="false">INT((83-1)/12)+1</f>
        <v>7</v>
      </c>
      <c r="CH4" s="117" t="n">
        <f aca="false">INT((84-1)/12)+1</f>
        <v>7</v>
      </c>
    </row>
    <row r="5" customFormat="false" ht="13.5" hidden="false" customHeight="true" outlineLevel="0" collapsed="false"/>
    <row r="6" customFormat="false" ht="12.75" hidden="false" customHeight="true" outlineLevel="0" collapsed="false">
      <c r="A6" s="9" t="s">
        <v>514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</row>
    <row r="7" customFormat="false" ht="13.5" hidden="false" customHeight="true" outlineLevel="0" collapsed="false">
      <c r="A7" s="6" t="s">
        <v>515</v>
      </c>
      <c r="C7" s="118" t="n">
        <f aca="false">MIN(Hipótesis!$D$26,Hipótesis!$D$27+Hipótesis!$D$28*(1-1))</f>
        <v>1</v>
      </c>
      <c r="D7" s="118" t="n">
        <f aca="false">MIN(Hipótesis!$D$26,Hipótesis!$D$27+Hipótesis!$D$28*(2-1))</f>
        <v>1.5</v>
      </c>
      <c r="E7" s="118" t="n">
        <f aca="false">MIN(Hipótesis!$D$26,Hipótesis!$D$27+Hipótesis!$D$28*(3-1))</f>
        <v>2</v>
      </c>
      <c r="F7" s="118" t="n">
        <f aca="false">MIN(Hipótesis!$D$26,Hipótesis!$D$27+Hipótesis!$D$28*(4-1))</f>
        <v>2.5</v>
      </c>
      <c r="G7" s="118" t="n">
        <f aca="false">MIN(Hipótesis!$D$26,Hipótesis!$D$27+Hipótesis!$D$28*(5-1))</f>
        <v>3</v>
      </c>
      <c r="H7" s="118" t="n">
        <f aca="false">MIN(Hipótesis!$D$26,Hipótesis!$D$27+Hipótesis!$D$28*(6-1))</f>
        <v>3</v>
      </c>
      <c r="I7" s="118" t="n">
        <f aca="false">MIN(Hipótesis!$D$26,Hipótesis!$D$27+Hipótesis!$D$28*(7-1))</f>
        <v>3</v>
      </c>
      <c r="J7" s="118" t="n">
        <f aca="false">MIN(Hipótesis!$D$26,Hipótesis!$D$27+Hipótesis!$D$28*(8-1))</f>
        <v>3</v>
      </c>
      <c r="K7" s="118" t="n">
        <f aca="false">MIN(Hipótesis!$D$26,Hipótesis!$D$27+Hipótesis!$D$28*(9-1))</f>
        <v>3</v>
      </c>
      <c r="L7" s="118" t="n">
        <f aca="false">MIN(Hipótesis!$D$26,Hipótesis!$D$27+Hipótesis!$D$28*(10-1))</f>
        <v>3</v>
      </c>
      <c r="M7" s="118" t="n">
        <f aca="false">MIN(Hipótesis!$D$26,Hipótesis!$D$27+Hipótesis!$D$28*(11-1))</f>
        <v>3</v>
      </c>
      <c r="N7" s="118" t="n">
        <f aca="false">MIN(Hipótesis!$D$26,Hipótesis!$D$27+Hipótesis!$D$28*(12-1))</f>
        <v>3</v>
      </c>
      <c r="O7" s="118" t="n">
        <f aca="false">MIN(Hipótesis!$D$26,Hipótesis!$D$27+Hipótesis!$D$28*(13-1))</f>
        <v>3</v>
      </c>
      <c r="P7" s="118" t="n">
        <f aca="false">MIN(Hipótesis!$D$26,Hipótesis!$D$27+Hipótesis!$D$28*(14-1))</f>
        <v>3</v>
      </c>
      <c r="Q7" s="118" t="n">
        <f aca="false">MIN(Hipótesis!$D$26,Hipótesis!$D$27+Hipótesis!$D$28*(15-1))</f>
        <v>3</v>
      </c>
      <c r="R7" s="118" t="n">
        <f aca="false">MIN(Hipótesis!$D$26,Hipótesis!$D$27+Hipótesis!$D$28*(16-1))</f>
        <v>3</v>
      </c>
      <c r="S7" s="118" t="n">
        <f aca="false">MIN(Hipótesis!$D$26,Hipótesis!$D$27+Hipótesis!$D$28*(17-1))</f>
        <v>3</v>
      </c>
      <c r="T7" s="118" t="n">
        <f aca="false">MIN(Hipótesis!$D$26,Hipótesis!$D$27+Hipótesis!$D$28*(18-1))</f>
        <v>3</v>
      </c>
      <c r="U7" s="118" t="n">
        <f aca="false">MIN(Hipótesis!$D$26,Hipótesis!$D$27+Hipótesis!$D$28*(19-1))</f>
        <v>3</v>
      </c>
      <c r="V7" s="118" t="n">
        <f aca="false">MIN(Hipótesis!$D$26,Hipótesis!$D$27+Hipótesis!$D$28*(20-1))</f>
        <v>3</v>
      </c>
      <c r="W7" s="118" t="n">
        <f aca="false">MIN(Hipótesis!$D$26,Hipótesis!$D$27+Hipótesis!$D$28*(21-1))</f>
        <v>3</v>
      </c>
      <c r="X7" s="118" t="n">
        <f aca="false">MIN(Hipótesis!$D$26,Hipótesis!$D$27+Hipótesis!$D$28*(22-1))</f>
        <v>3</v>
      </c>
      <c r="Y7" s="118" t="n">
        <f aca="false">MIN(Hipótesis!$D$26,Hipótesis!$D$27+Hipótesis!$D$28*(23-1))</f>
        <v>3</v>
      </c>
      <c r="Z7" s="118" t="n">
        <f aca="false">MIN(Hipótesis!$D$26,Hipótesis!$D$27+Hipótesis!$D$28*(24-1))</f>
        <v>3</v>
      </c>
      <c r="AA7" s="118" t="n">
        <f aca="false">MIN(Hipótesis!$D$26,Hipótesis!$D$27+Hipótesis!$D$28*(25-1))</f>
        <v>3</v>
      </c>
      <c r="AB7" s="118" t="n">
        <f aca="false">MIN(Hipótesis!$D$26,Hipótesis!$D$27+Hipótesis!$D$28*(26-1))</f>
        <v>3</v>
      </c>
      <c r="AC7" s="118" t="n">
        <f aca="false">MIN(Hipótesis!$D$26,Hipótesis!$D$27+Hipótesis!$D$28*(27-1))</f>
        <v>3</v>
      </c>
      <c r="AD7" s="118" t="n">
        <f aca="false">MIN(Hipótesis!$D$26,Hipótesis!$D$27+Hipótesis!$D$28*(28-1))</f>
        <v>3</v>
      </c>
      <c r="AE7" s="118" t="n">
        <f aca="false">MIN(Hipótesis!$D$26,Hipótesis!$D$27+Hipótesis!$D$28*(29-1))</f>
        <v>3</v>
      </c>
      <c r="AF7" s="118" t="n">
        <f aca="false">MIN(Hipótesis!$D$26,Hipótesis!$D$27+Hipótesis!$D$28*(30-1))</f>
        <v>3</v>
      </c>
      <c r="AG7" s="118" t="n">
        <f aca="false">MIN(Hipótesis!$D$26,Hipótesis!$D$27+Hipótesis!$D$28*(31-1))</f>
        <v>3</v>
      </c>
      <c r="AH7" s="118" t="n">
        <f aca="false">MIN(Hipótesis!$D$26,Hipótesis!$D$27+Hipótesis!$D$28*(32-1))</f>
        <v>3</v>
      </c>
      <c r="AI7" s="118" t="n">
        <f aca="false">MIN(Hipótesis!$D$26,Hipótesis!$D$27+Hipótesis!$D$28*(33-1))</f>
        <v>3</v>
      </c>
      <c r="AJ7" s="118" t="n">
        <f aca="false">MIN(Hipótesis!$D$26,Hipótesis!$D$27+Hipótesis!$D$28*(34-1))</f>
        <v>3</v>
      </c>
      <c r="AK7" s="118" t="n">
        <f aca="false">MIN(Hipótesis!$D$26,Hipótesis!$D$27+Hipótesis!$D$28*(35-1))</f>
        <v>3</v>
      </c>
      <c r="AL7" s="118" t="n">
        <f aca="false">MIN(Hipótesis!$D$26,Hipótesis!$D$27+Hipótesis!$D$28*(36-1))</f>
        <v>3</v>
      </c>
      <c r="AM7" s="118" t="n">
        <f aca="false">MIN(Hipótesis!$D$26,Hipótesis!$D$27+Hipótesis!$D$28*(37-1))</f>
        <v>3</v>
      </c>
      <c r="AN7" s="118" t="n">
        <f aca="false">MIN(Hipótesis!$D$26,Hipótesis!$D$27+Hipótesis!$D$28*(38-1))</f>
        <v>3</v>
      </c>
      <c r="AO7" s="118" t="n">
        <f aca="false">MIN(Hipótesis!$D$26,Hipótesis!$D$27+Hipótesis!$D$28*(39-1))</f>
        <v>3</v>
      </c>
      <c r="AP7" s="118" t="n">
        <f aca="false">MIN(Hipótesis!$D$26,Hipótesis!$D$27+Hipótesis!$D$28*(40-1))</f>
        <v>3</v>
      </c>
      <c r="AQ7" s="118" t="n">
        <f aca="false">MIN(Hipótesis!$D$26,Hipótesis!$D$27+Hipótesis!$D$28*(41-1))</f>
        <v>3</v>
      </c>
      <c r="AR7" s="118" t="n">
        <f aca="false">MIN(Hipótesis!$D$26,Hipótesis!$D$27+Hipótesis!$D$28*(42-1))</f>
        <v>3</v>
      </c>
      <c r="AS7" s="118" t="n">
        <f aca="false">MIN(Hipótesis!$D$26,Hipótesis!$D$27+Hipótesis!$D$28*(43-1))</f>
        <v>3</v>
      </c>
      <c r="AT7" s="118" t="n">
        <f aca="false">MIN(Hipótesis!$D$26,Hipótesis!$D$27+Hipótesis!$D$28*(44-1))</f>
        <v>3</v>
      </c>
      <c r="AU7" s="118" t="n">
        <f aca="false">MIN(Hipótesis!$D$26,Hipótesis!$D$27+Hipótesis!$D$28*(45-1))</f>
        <v>3</v>
      </c>
      <c r="AV7" s="118" t="n">
        <f aca="false">MIN(Hipótesis!$D$26,Hipótesis!$D$27+Hipótesis!$D$28*(46-1))</f>
        <v>3</v>
      </c>
      <c r="AW7" s="118" t="n">
        <f aca="false">MIN(Hipótesis!$D$26,Hipótesis!$D$27+Hipótesis!$D$28*(47-1))</f>
        <v>3</v>
      </c>
      <c r="AX7" s="118" t="n">
        <f aca="false">MIN(Hipótesis!$D$26,Hipótesis!$D$27+Hipótesis!$D$28*(48-1))</f>
        <v>3</v>
      </c>
      <c r="AY7" s="118" t="n">
        <f aca="false">MIN(Hipótesis!$D$26,Hipótesis!$D$27+Hipótesis!$D$28*(49-1))</f>
        <v>3</v>
      </c>
      <c r="AZ7" s="118" t="n">
        <f aca="false">MIN(Hipótesis!$D$26,Hipótesis!$D$27+Hipótesis!$D$28*(50-1))</f>
        <v>3</v>
      </c>
      <c r="BA7" s="118" t="n">
        <f aca="false">MIN(Hipótesis!$D$26,Hipótesis!$D$27+Hipótesis!$D$28*(51-1))</f>
        <v>3</v>
      </c>
      <c r="BB7" s="118" t="n">
        <f aca="false">MIN(Hipótesis!$D$26,Hipótesis!$D$27+Hipótesis!$D$28*(52-1))</f>
        <v>3</v>
      </c>
      <c r="BC7" s="118" t="n">
        <f aca="false">MIN(Hipótesis!$D$26,Hipótesis!$D$27+Hipótesis!$D$28*(53-1))</f>
        <v>3</v>
      </c>
      <c r="BD7" s="118" t="n">
        <f aca="false">MIN(Hipótesis!$D$26,Hipótesis!$D$27+Hipótesis!$D$28*(54-1))</f>
        <v>3</v>
      </c>
      <c r="BE7" s="118" t="n">
        <f aca="false">MIN(Hipótesis!$D$26,Hipótesis!$D$27+Hipótesis!$D$28*(55-1))</f>
        <v>3</v>
      </c>
      <c r="BF7" s="118" t="n">
        <f aca="false">MIN(Hipótesis!$D$26,Hipótesis!$D$27+Hipótesis!$D$28*(56-1))</f>
        <v>3</v>
      </c>
      <c r="BG7" s="118" t="n">
        <f aca="false">MIN(Hipótesis!$D$26,Hipótesis!$D$27+Hipótesis!$D$28*(57-1))</f>
        <v>3</v>
      </c>
      <c r="BH7" s="118" t="n">
        <f aca="false">MIN(Hipótesis!$D$26,Hipótesis!$D$27+Hipótesis!$D$28*(58-1))</f>
        <v>3</v>
      </c>
      <c r="BI7" s="118" t="n">
        <f aca="false">MIN(Hipótesis!$D$26,Hipótesis!$D$27+Hipótesis!$D$28*(59-1))</f>
        <v>3</v>
      </c>
      <c r="BJ7" s="118" t="n">
        <f aca="false">MIN(Hipótesis!$D$26,Hipótesis!$D$27+Hipótesis!$D$28*(60-1))</f>
        <v>3</v>
      </c>
      <c r="BK7" s="118" t="n">
        <f aca="false">MIN(Hipótesis!$D$26,Hipótesis!$D$27+Hipótesis!$D$28*(61-1))</f>
        <v>3</v>
      </c>
      <c r="BL7" s="118" t="n">
        <f aca="false">MIN(Hipótesis!$D$26,Hipótesis!$D$27+Hipótesis!$D$28*(62-1))</f>
        <v>3</v>
      </c>
      <c r="BM7" s="118" t="n">
        <f aca="false">MIN(Hipótesis!$D$26,Hipótesis!$D$27+Hipótesis!$D$28*(63-1))</f>
        <v>3</v>
      </c>
      <c r="BN7" s="118" t="n">
        <f aca="false">MIN(Hipótesis!$D$26,Hipótesis!$D$27+Hipótesis!$D$28*(64-1))</f>
        <v>3</v>
      </c>
      <c r="BO7" s="118" t="n">
        <f aca="false">MIN(Hipótesis!$D$26,Hipótesis!$D$27+Hipótesis!$D$28*(65-1))</f>
        <v>3</v>
      </c>
      <c r="BP7" s="118" t="n">
        <f aca="false">MIN(Hipótesis!$D$26,Hipótesis!$D$27+Hipótesis!$D$28*(66-1))</f>
        <v>3</v>
      </c>
      <c r="BQ7" s="118" t="n">
        <f aca="false">MIN(Hipótesis!$D$26,Hipótesis!$D$27+Hipótesis!$D$28*(67-1))</f>
        <v>3</v>
      </c>
      <c r="BR7" s="118" t="n">
        <f aca="false">MIN(Hipótesis!$D$26,Hipótesis!$D$27+Hipótesis!$D$28*(68-1))</f>
        <v>3</v>
      </c>
      <c r="BS7" s="118" t="n">
        <f aca="false">MIN(Hipótesis!$D$26,Hipótesis!$D$27+Hipótesis!$D$28*(69-1))</f>
        <v>3</v>
      </c>
      <c r="BT7" s="118" t="n">
        <f aca="false">MIN(Hipótesis!$D$26,Hipótesis!$D$27+Hipótesis!$D$28*(70-1))</f>
        <v>3</v>
      </c>
      <c r="BU7" s="118" t="n">
        <f aca="false">MIN(Hipótesis!$D$26,Hipótesis!$D$27+Hipótesis!$D$28*(71-1))</f>
        <v>3</v>
      </c>
      <c r="BV7" s="118" t="n">
        <f aca="false">MIN(Hipótesis!$D$26,Hipótesis!$D$27+Hipótesis!$D$28*(72-1))</f>
        <v>3</v>
      </c>
      <c r="BW7" s="118" t="n">
        <f aca="false">MIN(Hipótesis!$D$26,Hipótesis!$D$27+Hipótesis!$D$28*(73-1))</f>
        <v>3</v>
      </c>
      <c r="BX7" s="118" t="n">
        <f aca="false">MIN(Hipótesis!$D$26,Hipótesis!$D$27+Hipótesis!$D$28*(74-1))</f>
        <v>3</v>
      </c>
      <c r="BY7" s="118" t="n">
        <f aca="false">MIN(Hipótesis!$D$26,Hipótesis!$D$27+Hipótesis!$D$28*(75-1))</f>
        <v>3</v>
      </c>
      <c r="BZ7" s="118" t="n">
        <f aca="false">MIN(Hipótesis!$D$26,Hipótesis!$D$27+Hipótesis!$D$28*(76-1))</f>
        <v>3</v>
      </c>
      <c r="CA7" s="118" t="n">
        <f aca="false">MIN(Hipótesis!$D$26,Hipótesis!$D$27+Hipótesis!$D$28*(77-1))</f>
        <v>3</v>
      </c>
      <c r="CB7" s="118" t="n">
        <f aca="false">MIN(Hipótesis!$D$26,Hipótesis!$D$27+Hipótesis!$D$28*(78-1))</f>
        <v>3</v>
      </c>
      <c r="CC7" s="118" t="n">
        <f aca="false">MIN(Hipótesis!$D$26,Hipótesis!$D$27+Hipótesis!$D$28*(79-1))</f>
        <v>3</v>
      </c>
      <c r="CD7" s="118" t="n">
        <f aca="false">MIN(Hipótesis!$D$26,Hipótesis!$D$27+Hipótesis!$D$28*(80-1))</f>
        <v>3</v>
      </c>
      <c r="CE7" s="118" t="n">
        <f aca="false">MIN(Hipótesis!$D$26,Hipótesis!$D$27+Hipótesis!$D$28*(81-1))</f>
        <v>3</v>
      </c>
      <c r="CF7" s="118" t="n">
        <f aca="false">MIN(Hipótesis!$D$26,Hipótesis!$D$27+Hipótesis!$D$28*(82-1))</f>
        <v>3</v>
      </c>
      <c r="CG7" s="118" t="n">
        <f aca="false">MIN(Hipótesis!$D$26,Hipótesis!$D$27+Hipótesis!$D$28*(83-1))</f>
        <v>3</v>
      </c>
      <c r="CH7" s="118" t="n">
        <f aca="false">MIN(Hipótesis!$D$26,Hipótesis!$D$27+Hipótesis!$D$28*(84-1))</f>
        <v>3</v>
      </c>
    </row>
    <row r="8" customFormat="false" ht="13.5" hidden="false" customHeight="true" outlineLevel="0" collapsed="false">
      <c r="A8" s="6" t="s">
        <v>516</v>
      </c>
      <c r="C8" s="110" t="n">
        <f aca="false">C7*Hipótesis!$D$13</f>
        <v>960</v>
      </c>
      <c r="D8" s="110" t="n">
        <f aca="false">D7*Hipótesis!$D$13</f>
        <v>1440</v>
      </c>
      <c r="E8" s="110" t="n">
        <f aca="false">E7*Hipótesis!$D$13</f>
        <v>1920</v>
      </c>
      <c r="F8" s="110" t="n">
        <f aca="false">F7*Hipótesis!$D$13</f>
        <v>2400</v>
      </c>
      <c r="G8" s="110" t="n">
        <f aca="false">G7*Hipótesis!$D$13</f>
        <v>2880</v>
      </c>
      <c r="H8" s="110" t="n">
        <f aca="false">H7*Hipótesis!$D$13</f>
        <v>2880</v>
      </c>
      <c r="I8" s="110" t="n">
        <f aca="false">I7*Hipótesis!$D$13</f>
        <v>2880</v>
      </c>
      <c r="J8" s="110" t="n">
        <f aca="false">J7*Hipótesis!$D$13</f>
        <v>2880</v>
      </c>
      <c r="K8" s="110" t="n">
        <f aca="false">K7*Hipótesis!$D$13</f>
        <v>2880</v>
      </c>
      <c r="L8" s="110" t="n">
        <f aca="false">L7*Hipótesis!$D$13</f>
        <v>2880</v>
      </c>
      <c r="M8" s="110" t="n">
        <f aca="false">M7*Hipótesis!$D$13</f>
        <v>2880</v>
      </c>
      <c r="N8" s="110" t="n">
        <f aca="false">N7*Hipótesis!$D$13</f>
        <v>2880</v>
      </c>
      <c r="O8" s="110" t="n">
        <f aca="false">O7*Hipótesis!$D$13</f>
        <v>2880</v>
      </c>
      <c r="P8" s="110" t="n">
        <f aca="false">P7*Hipótesis!$D$13</f>
        <v>2880</v>
      </c>
      <c r="Q8" s="110" t="n">
        <f aca="false">Q7*Hipótesis!$D$13</f>
        <v>2880</v>
      </c>
      <c r="R8" s="110" t="n">
        <f aca="false">R7*Hipótesis!$D$13</f>
        <v>2880</v>
      </c>
      <c r="S8" s="110" t="n">
        <f aca="false">S7*Hipótesis!$D$13</f>
        <v>2880</v>
      </c>
      <c r="T8" s="110" t="n">
        <f aca="false">T7*Hipótesis!$D$13</f>
        <v>2880</v>
      </c>
      <c r="U8" s="110" t="n">
        <f aca="false">U7*Hipótesis!$D$13</f>
        <v>2880</v>
      </c>
      <c r="V8" s="110" t="n">
        <f aca="false">V7*Hipótesis!$D$13</f>
        <v>2880</v>
      </c>
      <c r="W8" s="110" t="n">
        <f aca="false">W7*Hipótesis!$D$13</f>
        <v>2880</v>
      </c>
      <c r="X8" s="110" t="n">
        <f aca="false">X7*Hipótesis!$D$13</f>
        <v>2880</v>
      </c>
      <c r="Y8" s="110" t="n">
        <f aca="false">Y7*Hipótesis!$D$13</f>
        <v>2880</v>
      </c>
      <c r="Z8" s="110" t="n">
        <f aca="false">Z7*Hipótesis!$D$13</f>
        <v>2880</v>
      </c>
      <c r="AA8" s="110" t="n">
        <f aca="false">AA7*Hipótesis!$D$13</f>
        <v>2880</v>
      </c>
      <c r="AB8" s="110" t="n">
        <f aca="false">AB7*Hipótesis!$D$13</f>
        <v>2880</v>
      </c>
      <c r="AC8" s="110" t="n">
        <f aca="false">AC7*Hipótesis!$D$13</f>
        <v>2880</v>
      </c>
      <c r="AD8" s="110" t="n">
        <f aca="false">AD7*Hipótesis!$D$13</f>
        <v>2880</v>
      </c>
      <c r="AE8" s="110" t="n">
        <f aca="false">AE7*Hipótesis!$D$13</f>
        <v>2880</v>
      </c>
      <c r="AF8" s="110" t="n">
        <f aca="false">AF7*Hipótesis!$D$13</f>
        <v>2880</v>
      </c>
      <c r="AG8" s="110" t="n">
        <f aca="false">AG7*Hipótesis!$D$13</f>
        <v>2880</v>
      </c>
      <c r="AH8" s="110" t="n">
        <f aca="false">AH7*Hipótesis!$D$13</f>
        <v>2880</v>
      </c>
      <c r="AI8" s="110" t="n">
        <f aca="false">AI7*Hipótesis!$D$13</f>
        <v>2880</v>
      </c>
      <c r="AJ8" s="110" t="n">
        <f aca="false">AJ7*Hipótesis!$D$13</f>
        <v>2880</v>
      </c>
      <c r="AK8" s="110" t="n">
        <f aca="false">AK7*Hipótesis!$D$13</f>
        <v>2880</v>
      </c>
      <c r="AL8" s="110" t="n">
        <f aca="false">AL7*Hipótesis!$D$13</f>
        <v>2880</v>
      </c>
      <c r="AM8" s="110" t="n">
        <f aca="false">AM7*Hipótesis!$D$13</f>
        <v>2880</v>
      </c>
      <c r="AN8" s="110" t="n">
        <f aca="false">AN7*Hipótesis!$D$13</f>
        <v>2880</v>
      </c>
      <c r="AO8" s="110" t="n">
        <f aca="false">AO7*Hipótesis!$D$13</f>
        <v>2880</v>
      </c>
      <c r="AP8" s="110" t="n">
        <f aca="false">AP7*Hipótesis!$D$13</f>
        <v>2880</v>
      </c>
      <c r="AQ8" s="110" t="n">
        <f aca="false">AQ7*Hipótesis!$D$13</f>
        <v>2880</v>
      </c>
      <c r="AR8" s="110" t="n">
        <f aca="false">AR7*Hipótesis!$D$13</f>
        <v>2880</v>
      </c>
      <c r="AS8" s="110" t="n">
        <f aca="false">AS7*Hipótesis!$D$13</f>
        <v>2880</v>
      </c>
      <c r="AT8" s="110" t="n">
        <f aca="false">AT7*Hipótesis!$D$13</f>
        <v>2880</v>
      </c>
      <c r="AU8" s="110" t="n">
        <f aca="false">AU7*Hipótesis!$D$13</f>
        <v>2880</v>
      </c>
      <c r="AV8" s="110" t="n">
        <f aca="false">AV7*Hipótesis!$D$13</f>
        <v>2880</v>
      </c>
      <c r="AW8" s="110" t="n">
        <f aca="false">AW7*Hipótesis!$D$13</f>
        <v>2880</v>
      </c>
      <c r="AX8" s="110" t="n">
        <f aca="false">AX7*Hipótesis!$D$13</f>
        <v>2880</v>
      </c>
      <c r="AY8" s="110" t="n">
        <f aca="false">AY7*Hipótesis!$D$13</f>
        <v>2880</v>
      </c>
      <c r="AZ8" s="110" t="n">
        <f aca="false">AZ7*Hipótesis!$D$13</f>
        <v>2880</v>
      </c>
      <c r="BA8" s="110" t="n">
        <f aca="false">BA7*Hipótesis!$D$13</f>
        <v>2880</v>
      </c>
      <c r="BB8" s="110" t="n">
        <f aca="false">BB7*Hipótesis!$D$13</f>
        <v>2880</v>
      </c>
      <c r="BC8" s="110" t="n">
        <f aca="false">BC7*Hipótesis!$D$13</f>
        <v>2880</v>
      </c>
      <c r="BD8" s="110" t="n">
        <f aca="false">BD7*Hipótesis!$D$13</f>
        <v>2880</v>
      </c>
      <c r="BE8" s="110" t="n">
        <f aca="false">BE7*Hipótesis!$D$13</f>
        <v>2880</v>
      </c>
      <c r="BF8" s="110" t="n">
        <f aca="false">BF7*Hipótesis!$D$13</f>
        <v>2880</v>
      </c>
      <c r="BG8" s="110" t="n">
        <f aca="false">BG7*Hipótesis!$D$13</f>
        <v>2880</v>
      </c>
      <c r="BH8" s="110" t="n">
        <f aca="false">BH7*Hipótesis!$D$13</f>
        <v>2880</v>
      </c>
      <c r="BI8" s="110" t="n">
        <f aca="false">BI7*Hipótesis!$D$13</f>
        <v>2880</v>
      </c>
      <c r="BJ8" s="110" t="n">
        <f aca="false">BJ7*Hipótesis!$D$13</f>
        <v>2880</v>
      </c>
      <c r="BK8" s="110" t="n">
        <f aca="false">BK7*Hipótesis!$D$13</f>
        <v>2880</v>
      </c>
      <c r="BL8" s="110" t="n">
        <f aca="false">BL7*Hipótesis!$D$13</f>
        <v>2880</v>
      </c>
      <c r="BM8" s="110" t="n">
        <f aca="false">BM7*Hipótesis!$D$13</f>
        <v>2880</v>
      </c>
      <c r="BN8" s="110" t="n">
        <f aca="false">BN7*Hipótesis!$D$13</f>
        <v>2880</v>
      </c>
      <c r="BO8" s="110" t="n">
        <f aca="false">BO7*Hipótesis!$D$13</f>
        <v>2880</v>
      </c>
      <c r="BP8" s="110" t="n">
        <f aca="false">BP7*Hipótesis!$D$13</f>
        <v>2880</v>
      </c>
      <c r="BQ8" s="110" t="n">
        <f aca="false">BQ7*Hipótesis!$D$13</f>
        <v>2880</v>
      </c>
      <c r="BR8" s="110" t="n">
        <f aca="false">BR7*Hipótesis!$D$13</f>
        <v>2880</v>
      </c>
      <c r="BS8" s="110" t="n">
        <f aca="false">BS7*Hipótesis!$D$13</f>
        <v>2880</v>
      </c>
      <c r="BT8" s="110" t="n">
        <f aca="false">BT7*Hipótesis!$D$13</f>
        <v>2880</v>
      </c>
      <c r="BU8" s="110" t="n">
        <f aca="false">BU7*Hipótesis!$D$13</f>
        <v>2880</v>
      </c>
      <c r="BV8" s="110" t="n">
        <f aca="false">BV7*Hipótesis!$D$13</f>
        <v>2880</v>
      </c>
      <c r="BW8" s="110" t="n">
        <f aca="false">BW7*Hipótesis!$D$13</f>
        <v>2880</v>
      </c>
      <c r="BX8" s="110" t="n">
        <f aca="false">BX7*Hipótesis!$D$13</f>
        <v>2880</v>
      </c>
      <c r="BY8" s="110" t="n">
        <f aca="false">BY7*Hipótesis!$D$13</f>
        <v>2880</v>
      </c>
      <c r="BZ8" s="110" t="n">
        <f aca="false">BZ7*Hipótesis!$D$13</f>
        <v>2880</v>
      </c>
      <c r="CA8" s="110" t="n">
        <f aca="false">CA7*Hipótesis!$D$13</f>
        <v>2880</v>
      </c>
      <c r="CB8" s="110" t="n">
        <f aca="false">CB7*Hipótesis!$D$13</f>
        <v>2880</v>
      </c>
      <c r="CC8" s="110" t="n">
        <f aca="false">CC7*Hipótesis!$D$13</f>
        <v>2880</v>
      </c>
      <c r="CD8" s="110" t="n">
        <f aca="false">CD7*Hipótesis!$D$13</f>
        <v>2880</v>
      </c>
      <c r="CE8" s="110" t="n">
        <f aca="false">CE7*Hipótesis!$D$13</f>
        <v>2880</v>
      </c>
      <c r="CF8" s="110" t="n">
        <f aca="false">CF7*Hipótesis!$D$13</f>
        <v>2880</v>
      </c>
      <c r="CG8" s="110" t="n">
        <f aca="false">CG7*Hipótesis!$D$13</f>
        <v>2880</v>
      </c>
      <c r="CH8" s="110" t="n">
        <f aca="false">CH7*Hipótesis!$D$13</f>
        <v>2880</v>
      </c>
    </row>
    <row r="9" customFormat="false" ht="13.5" hidden="false" customHeight="true" outlineLevel="0" collapsed="false">
      <c r="A9" s="6" t="s">
        <v>517</v>
      </c>
      <c r="C9" s="109" t="n">
        <f aca="false">Pipeline!$Q$16*Pipeline!$D$16*MIN(1,MAX(0,(1-Pipeline!$E$16+1)/MAX(Pipeline!$F$16,1)))</f>
        <v>1005.575</v>
      </c>
      <c r="D9" s="109" t="n">
        <f aca="false">Pipeline!$Q$16*Pipeline!$D$16*MIN(1,MAX(0,(2-Pipeline!$E$16+1)/MAX(Pipeline!$F$16,1)))</f>
        <v>2011.15</v>
      </c>
      <c r="E9" s="109" t="n">
        <f aca="false">Pipeline!$Q$16*Pipeline!$D$16*MIN(1,MAX(0,(3-Pipeline!$E$16+1)/MAX(Pipeline!$F$16,1)))</f>
        <v>3016.725</v>
      </c>
      <c r="F9" s="109" t="n">
        <f aca="false">Pipeline!$Q$16*Pipeline!$D$16*MIN(1,MAX(0,(4-Pipeline!$E$16+1)/MAX(Pipeline!$F$16,1)))</f>
        <v>3016.725</v>
      </c>
      <c r="G9" s="109" t="n">
        <f aca="false">Pipeline!$Q$16*Pipeline!$D$16*MIN(1,MAX(0,(5-Pipeline!$E$16+1)/MAX(Pipeline!$F$16,1)))</f>
        <v>3016.725</v>
      </c>
      <c r="H9" s="109" t="n">
        <f aca="false">Pipeline!$Q$16*Pipeline!$D$16*MIN(1,MAX(0,(6-Pipeline!$E$16+1)/MAX(Pipeline!$F$16,1)))</f>
        <v>3016.725</v>
      </c>
      <c r="I9" s="109" t="n">
        <f aca="false">Pipeline!$Q$16*Pipeline!$D$16*MIN(1,MAX(0,(7-Pipeline!$E$16+1)/MAX(Pipeline!$F$16,1)))</f>
        <v>3016.725</v>
      </c>
      <c r="J9" s="109" t="n">
        <f aca="false">Pipeline!$Q$16*Pipeline!$D$16*MIN(1,MAX(0,(8-Pipeline!$E$16+1)/MAX(Pipeline!$F$16,1)))</f>
        <v>3016.725</v>
      </c>
      <c r="K9" s="109" t="n">
        <f aca="false">Pipeline!$Q$16*Pipeline!$D$16*MIN(1,MAX(0,(9-Pipeline!$E$16+1)/MAX(Pipeline!$F$16,1)))</f>
        <v>3016.725</v>
      </c>
      <c r="L9" s="109" t="n">
        <f aca="false">Pipeline!$Q$16*Pipeline!$D$16*MIN(1,MAX(0,(10-Pipeline!$E$16+1)/MAX(Pipeline!$F$16,1)))</f>
        <v>3016.725</v>
      </c>
      <c r="M9" s="109" t="n">
        <f aca="false">Pipeline!$Q$16*Pipeline!$D$16*MIN(1,MAX(0,(11-Pipeline!$E$16+1)/MAX(Pipeline!$F$16,1)))</f>
        <v>3016.725</v>
      </c>
      <c r="N9" s="109" t="n">
        <f aca="false">Pipeline!$Q$16*Pipeline!$D$16*MIN(1,MAX(0,(12-Pipeline!$E$16+1)/MAX(Pipeline!$F$16,1)))</f>
        <v>3016.725</v>
      </c>
      <c r="O9" s="109" t="n">
        <f aca="false">Pipeline!$Q$16*Pipeline!$D$16*MIN(1,MAX(0,(13-Pipeline!$E$16+1)/MAX(Pipeline!$F$16,1)))</f>
        <v>3016.725</v>
      </c>
      <c r="P9" s="109" t="n">
        <f aca="false">Pipeline!$Q$16*Pipeline!$D$16*MIN(1,MAX(0,(14-Pipeline!$E$16+1)/MAX(Pipeline!$F$16,1)))</f>
        <v>3016.725</v>
      </c>
      <c r="Q9" s="109" t="n">
        <f aca="false">Pipeline!$Q$16*Pipeline!$D$16*MIN(1,MAX(0,(15-Pipeline!$E$16+1)/MAX(Pipeline!$F$16,1)))</f>
        <v>3016.725</v>
      </c>
      <c r="R9" s="109" t="n">
        <f aca="false">Pipeline!$Q$16*Pipeline!$D$16*MIN(1,MAX(0,(16-Pipeline!$E$16+1)/MAX(Pipeline!$F$16,1)))</f>
        <v>3016.725</v>
      </c>
      <c r="S9" s="109" t="n">
        <f aca="false">Pipeline!$Q$16*Pipeline!$D$16*MIN(1,MAX(0,(17-Pipeline!$E$16+1)/MAX(Pipeline!$F$16,1)))</f>
        <v>3016.725</v>
      </c>
      <c r="T9" s="109" t="n">
        <f aca="false">Pipeline!$Q$16*Pipeline!$D$16*MIN(1,MAX(0,(18-Pipeline!$E$16+1)/MAX(Pipeline!$F$16,1)))</f>
        <v>3016.725</v>
      </c>
      <c r="U9" s="109" t="n">
        <f aca="false">Pipeline!$Q$16*Pipeline!$D$16*MIN(1,MAX(0,(19-Pipeline!$E$16+1)/MAX(Pipeline!$F$16,1)))</f>
        <v>3016.725</v>
      </c>
      <c r="V9" s="109" t="n">
        <f aca="false">Pipeline!$Q$16*Pipeline!$D$16*MIN(1,MAX(0,(20-Pipeline!$E$16+1)/MAX(Pipeline!$F$16,1)))</f>
        <v>3016.725</v>
      </c>
      <c r="W9" s="109" t="n">
        <f aca="false">Pipeline!$Q$16*Pipeline!$D$16*MIN(1,MAX(0,(21-Pipeline!$E$16+1)/MAX(Pipeline!$F$16,1)))</f>
        <v>3016.725</v>
      </c>
      <c r="X9" s="109" t="n">
        <f aca="false">Pipeline!$Q$16*Pipeline!$D$16*MIN(1,MAX(0,(22-Pipeline!$E$16+1)/MAX(Pipeline!$F$16,1)))</f>
        <v>3016.725</v>
      </c>
      <c r="Y9" s="109" t="n">
        <f aca="false">Pipeline!$Q$16*Pipeline!$D$16*MIN(1,MAX(0,(23-Pipeline!$E$16+1)/MAX(Pipeline!$F$16,1)))</f>
        <v>3016.725</v>
      </c>
      <c r="Z9" s="109" t="n">
        <f aca="false">Pipeline!$Q$16*Pipeline!$D$16*MIN(1,MAX(0,(24-Pipeline!$E$16+1)/MAX(Pipeline!$F$16,1)))</f>
        <v>3016.725</v>
      </c>
      <c r="AA9" s="109" t="n">
        <f aca="false">Pipeline!$Q$16*Pipeline!$D$16*MIN(1,MAX(0,(25-Pipeline!$E$16+1)/MAX(Pipeline!$F$16,1)))</f>
        <v>3016.725</v>
      </c>
      <c r="AB9" s="109" t="n">
        <f aca="false">Pipeline!$Q$16*Pipeline!$D$16*MIN(1,MAX(0,(26-Pipeline!$E$16+1)/MAX(Pipeline!$F$16,1)))</f>
        <v>3016.725</v>
      </c>
      <c r="AC9" s="109" t="n">
        <f aca="false">Pipeline!$Q$16*Pipeline!$D$16*MIN(1,MAX(0,(27-Pipeline!$E$16+1)/MAX(Pipeline!$F$16,1)))</f>
        <v>3016.725</v>
      </c>
      <c r="AD9" s="109" t="n">
        <f aca="false">Pipeline!$Q$16*Pipeline!$D$16*MIN(1,MAX(0,(28-Pipeline!$E$16+1)/MAX(Pipeline!$F$16,1)))</f>
        <v>3016.725</v>
      </c>
      <c r="AE9" s="109" t="n">
        <f aca="false">Pipeline!$Q$16*Pipeline!$D$16*MIN(1,MAX(0,(29-Pipeline!$E$16+1)/MAX(Pipeline!$F$16,1)))</f>
        <v>3016.725</v>
      </c>
      <c r="AF9" s="109" t="n">
        <f aca="false">Pipeline!$Q$16*Pipeline!$D$16*MIN(1,MAX(0,(30-Pipeline!$E$16+1)/MAX(Pipeline!$F$16,1)))</f>
        <v>3016.725</v>
      </c>
      <c r="AG9" s="109" t="n">
        <f aca="false">Pipeline!$Q$16*Pipeline!$D$16*MIN(1,MAX(0,(31-Pipeline!$E$16+1)/MAX(Pipeline!$F$16,1)))</f>
        <v>3016.725</v>
      </c>
      <c r="AH9" s="109" t="n">
        <f aca="false">Pipeline!$Q$16*Pipeline!$D$16*MIN(1,MAX(0,(32-Pipeline!$E$16+1)/MAX(Pipeline!$F$16,1)))</f>
        <v>3016.725</v>
      </c>
      <c r="AI9" s="109" t="n">
        <f aca="false">Pipeline!$Q$16*Pipeline!$D$16*MIN(1,MAX(0,(33-Pipeline!$E$16+1)/MAX(Pipeline!$F$16,1)))</f>
        <v>3016.725</v>
      </c>
      <c r="AJ9" s="109" t="n">
        <f aca="false">Pipeline!$Q$16*Pipeline!$D$16*MIN(1,MAX(0,(34-Pipeline!$E$16+1)/MAX(Pipeline!$F$16,1)))</f>
        <v>3016.725</v>
      </c>
      <c r="AK9" s="109" t="n">
        <f aca="false">Pipeline!$Q$16*Pipeline!$D$16*MIN(1,MAX(0,(35-Pipeline!$E$16+1)/MAX(Pipeline!$F$16,1)))</f>
        <v>3016.725</v>
      </c>
      <c r="AL9" s="109" t="n">
        <f aca="false">Pipeline!$Q$16*Pipeline!$D$16*MIN(1,MAX(0,(36-Pipeline!$E$16+1)/MAX(Pipeline!$F$16,1)))</f>
        <v>3016.725</v>
      </c>
      <c r="AM9" s="109" t="n">
        <f aca="false">Pipeline!$Q$16*Pipeline!$D$16*MIN(1,MAX(0,(37-Pipeline!$E$16+1)/MAX(Pipeline!$F$16,1)))</f>
        <v>3016.725</v>
      </c>
      <c r="AN9" s="109" t="n">
        <f aca="false">Pipeline!$Q$16*Pipeline!$D$16*MIN(1,MAX(0,(38-Pipeline!$E$16+1)/MAX(Pipeline!$F$16,1)))</f>
        <v>3016.725</v>
      </c>
      <c r="AO9" s="109" t="n">
        <f aca="false">Pipeline!$Q$16*Pipeline!$D$16*MIN(1,MAX(0,(39-Pipeline!$E$16+1)/MAX(Pipeline!$F$16,1)))</f>
        <v>3016.725</v>
      </c>
      <c r="AP9" s="109" t="n">
        <f aca="false">Pipeline!$Q$16*Pipeline!$D$16*MIN(1,MAX(0,(40-Pipeline!$E$16+1)/MAX(Pipeline!$F$16,1)))</f>
        <v>3016.725</v>
      </c>
      <c r="AQ9" s="109" t="n">
        <f aca="false">Pipeline!$Q$16*Pipeline!$D$16*MIN(1,MAX(0,(41-Pipeline!$E$16+1)/MAX(Pipeline!$F$16,1)))</f>
        <v>3016.725</v>
      </c>
      <c r="AR9" s="109" t="n">
        <f aca="false">Pipeline!$Q$16*Pipeline!$D$16*MIN(1,MAX(0,(42-Pipeline!$E$16+1)/MAX(Pipeline!$F$16,1)))</f>
        <v>3016.725</v>
      </c>
      <c r="AS9" s="109" t="n">
        <f aca="false">Pipeline!$Q$16*Pipeline!$D$16*MIN(1,MAX(0,(43-Pipeline!$E$16+1)/MAX(Pipeline!$F$16,1)))</f>
        <v>3016.725</v>
      </c>
      <c r="AT9" s="109" t="n">
        <f aca="false">Pipeline!$Q$16*Pipeline!$D$16*MIN(1,MAX(0,(44-Pipeline!$E$16+1)/MAX(Pipeline!$F$16,1)))</f>
        <v>3016.725</v>
      </c>
      <c r="AU9" s="109" t="n">
        <f aca="false">Pipeline!$Q$16*Pipeline!$D$16*MIN(1,MAX(0,(45-Pipeline!$E$16+1)/MAX(Pipeline!$F$16,1)))</f>
        <v>3016.725</v>
      </c>
      <c r="AV9" s="109" t="n">
        <f aca="false">Pipeline!$Q$16*Pipeline!$D$16*MIN(1,MAX(0,(46-Pipeline!$E$16+1)/MAX(Pipeline!$F$16,1)))</f>
        <v>3016.725</v>
      </c>
      <c r="AW9" s="109" t="n">
        <f aca="false">Pipeline!$Q$16*Pipeline!$D$16*MIN(1,MAX(0,(47-Pipeline!$E$16+1)/MAX(Pipeline!$F$16,1)))</f>
        <v>3016.725</v>
      </c>
      <c r="AX9" s="109" t="n">
        <f aca="false">Pipeline!$Q$16*Pipeline!$D$16*MIN(1,MAX(0,(48-Pipeline!$E$16+1)/MAX(Pipeline!$F$16,1)))</f>
        <v>3016.725</v>
      </c>
      <c r="AY9" s="109" t="n">
        <f aca="false">Pipeline!$Q$16*Pipeline!$D$16*MIN(1,MAX(0,(49-Pipeline!$E$16+1)/MAX(Pipeline!$F$16,1)))</f>
        <v>3016.725</v>
      </c>
      <c r="AZ9" s="109" t="n">
        <f aca="false">Pipeline!$Q$16*Pipeline!$D$16*MIN(1,MAX(0,(50-Pipeline!$E$16+1)/MAX(Pipeline!$F$16,1)))</f>
        <v>3016.725</v>
      </c>
      <c r="BA9" s="109" t="n">
        <f aca="false">Pipeline!$Q$16*Pipeline!$D$16*MIN(1,MAX(0,(51-Pipeline!$E$16+1)/MAX(Pipeline!$F$16,1)))</f>
        <v>3016.725</v>
      </c>
      <c r="BB9" s="109" t="n">
        <f aca="false">Pipeline!$Q$16*Pipeline!$D$16*MIN(1,MAX(0,(52-Pipeline!$E$16+1)/MAX(Pipeline!$F$16,1)))</f>
        <v>3016.725</v>
      </c>
      <c r="BC9" s="109" t="n">
        <f aca="false">Pipeline!$Q$16*Pipeline!$D$16*MIN(1,MAX(0,(53-Pipeline!$E$16+1)/MAX(Pipeline!$F$16,1)))</f>
        <v>3016.725</v>
      </c>
      <c r="BD9" s="109" t="n">
        <f aca="false">Pipeline!$Q$16*Pipeline!$D$16*MIN(1,MAX(0,(54-Pipeline!$E$16+1)/MAX(Pipeline!$F$16,1)))</f>
        <v>3016.725</v>
      </c>
      <c r="BE9" s="109" t="n">
        <f aca="false">Pipeline!$Q$16*Pipeline!$D$16*MIN(1,MAX(0,(55-Pipeline!$E$16+1)/MAX(Pipeline!$F$16,1)))</f>
        <v>3016.725</v>
      </c>
      <c r="BF9" s="109" t="n">
        <f aca="false">Pipeline!$Q$16*Pipeline!$D$16*MIN(1,MAX(0,(56-Pipeline!$E$16+1)/MAX(Pipeline!$F$16,1)))</f>
        <v>3016.725</v>
      </c>
      <c r="BG9" s="109" t="n">
        <f aca="false">Pipeline!$Q$16*Pipeline!$D$16*MIN(1,MAX(0,(57-Pipeline!$E$16+1)/MAX(Pipeline!$F$16,1)))</f>
        <v>3016.725</v>
      </c>
      <c r="BH9" s="109" t="n">
        <f aca="false">Pipeline!$Q$16*Pipeline!$D$16*MIN(1,MAX(0,(58-Pipeline!$E$16+1)/MAX(Pipeline!$F$16,1)))</f>
        <v>3016.725</v>
      </c>
      <c r="BI9" s="109" t="n">
        <f aca="false">Pipeline!$Q$16*Pipeline!$D$16*MIN(1,MAX(0,(59-Pipeline!$E$16+1)/MAX(Pipeline!$F$16,1)))</f>
        <v>3016.725</v>
      </c>
      <c r="BJ9" s="109" t="n">
        <f aca="false">Pipeline!$Q$16*Pipeline!$D$16*MIN(1,MAX(0,(60-Pipeline!$E$16+1)/MAX(Pipeline!$F$16,1)))</f>
        <v>3016.725</v>
      </c>
      <c r="BK9" s="109" t="n">
        <f aca="false">Pipeline!$Q$16*Pipeline!$D$16*MIN(1,MAX(0,(61-Pipeline!$E$16+1)/MAX(Pipeline!$F$16,1)))</f>
        <v>3016.725</v>
      </c>
      <c r="BL9" s="109" t="n">
        <f aca="false">Pipeline!$Q$16*Pipeline!$D$16*MIN(1,MAX(0,(62-Pipeline!$E$16+1)/MAX(Pipeline!$F$16,1)))</f>
        <v>3016.725</v>
      </c>
      <c r="BM9" s="109" t="n">
        <f aca="false">Pipeline!$Q$16*Pipeline!$D$16*MIN(1,MAX(0,(63-Pipeline!$E$16+1)/MAX(Pipeline!$F$16,1)))</f>
        <v>3016.725</v>
      </c>
      <c r="BN9" s="109" t="n">
        <f aca="false">Pipeline!$Q$16*Pipeline!$D$16*MIN(1,MAX(0,(64-Pipeline!$E$16+1)/MAX(Pipeline!$F$16,1)))</f>
        <v>3016.725</v>
      </c>
      <c r="BO9" s="109" t="n">
        <f aca="false">Pipeline!$Q$16*Pipeline!$D$16*MIN(1,MAX(0,(65-Pipeline!$E$16+1)/MAX(Pipeline!$F$16,1)))</f>
        <v>3016.725</v>
      </c>
      <c r="BP9" s="109" t="n">
        <f aca="false">Pipeline!$Q$16*Pipeline!$D$16*MIN(1,MAX(0,(66-Pipeline!$E$16+1)/MAX(Pipeline!$F$16,1)))</f>
        <v>3016.725</v>
      </c>
      <c r="BQ9" s="109" t="n">
        <f aca="false">Pipeline!$Q$16*Pipeline!$D$16*MIN(1,MAX(0,(67-Pipeline!$E$16+1)/MAX(Pipeline!$F$16,1)))</f>
        <v>3016.725</v>
      </c>
      <c r="BR9" s="109" t="n">
        <f aca="false">Pipeline!$Q$16*Pipeline!$D$16*MIN(1,MAX(0,(68-Pipeline!$E$16+1)/MAX(Pipeline!$F$16,1)))</f>
        <v>3016.725</v>
      </c>
      <c r="BS9" s="109" t="n">
        <f aca="false">Pipeline!$Q$16*Pipeline!$D$16*MIN(1,MAX(0,(69-Pipeline!$E$16+1)/MAX(Pipeline!$F$16,1)))</f>
        <v>3016.725</v>
      </c>
      <c r="BT9" s="109" t="n">
        <f aca="false">Pipeline!$Q$16*Pipeline!$D$16*MIN(1,MAX(0,(70-Pipeline!$E$16+1)/MAX(Pipeline!$F$16,1)))</f>
        <v>3016.725</v>
      </c>
      <c r="BU9" s="109" t="n">
        <f aca="false">Pipeline!$Q$16*Pipeline!$D$16*MIN(1,MAX(0,(71-Pipeline!$E$16+1)/MAX(Pipeline!$F$16,1)))</f>
        <v>3016.725</v>
      </c>
      <c r="BV9" s="109" t="n">
        <f aca="false">Pipeline!$Q$16*Pipeline!$D$16*MIN(1,MAX(0,(72-Pipeline!$E$16+1)/MAX(Pipeline!$F$16,1)))</f>
        <v>3016.725</v>
      </c>
      <c r="BW9" s="109" t="n">
        <f aca="false">Pipeline!$Q$16*Pipeline!$D$16*MIN(1,MAX(0,(73-Pipeline!$E$16+1)/MAX(Pipeline!$F$16,1)))</f>
        <v>3016.725</v>
      </c>
      <c r="BX9" s="109" t="n">
        <f aca="false">Pipeline!$Q$16*Pipeline!$D$16*MIN(1,MAX(0,(74-Pipeline!$E$16+1)/MAX(Pipeline!$F$16,1)))</f>
        <v>3016.725</v>
      </c>
      <c r="BY9" s="109" t="n">
        <f aca="false">Pipeline!$Q$16*Pipeline!$D$16*MIN(1,MAX(0,(75-Pipeline!$E$16+1)/MAX(Pipeline!$F$16,1)))</f>
        <v>3016.725</v>
      </c>
      <c r="BZ9" s="109" t="n">
        <f aca="false">Pipeline!$Q$16*Pipeline!$D$16*MIN(1,MAX(0,(76-Pipeline!$E$16+1)/MAX(Pipeline!$F$16,1)))</f>
        <v>3016.725</v>
      </c>
      <c r="CA9" s="109" t="n">
        <f aca="false">Pipeline!$Q$16*Pipeline!$D$16*MIN(1,MAX(0,(77-Pipeline!$E$16+1)/MAX(Pipeline!$F$16,1)))</f>
        <v>3016.725</v>
      </c>
      <c r="CB9" s="109" t="n">
        <f aca="false">Pipeline!$Q$16*Pipeline!$D$16*MIN(1,MAX(0,(78-Pipeline!$E$16+1)/MAX(Pipeline!$F$16,1)))</f>
        <v>3016.725</v>
      </c>
      <c r="CC9" s="109" t="n">
        <f aca="false">Pipeline!$Q$16*Pipeline!$D$16*MIN(1,MAX(0,(79-Pipeline!$E$16+1)/MAX(Pipeline!$F$16,1)))</f>
        <v>3016.725</v>
      </c>
      <c r="CD9" s="109" t="n">
        <f aca="false">Pipeline!$Q$16*Pipeline!$D$16*MIN(1,MAX(0,(80-Pipeline!$E$16+1)/MAX(Pipeline!$F$16,1)))</f>
        <v>3016.725</v>
      </c>
      <c r="CE9" s="109" t="n">
        <f aca="false">Pipeline!$Q$16*Pipeline!$D$16*MIN(1,MAX(0,(81-Pipeline!$E$16+1)/MAX(Pipeline!$F$16,1)))</f>
        <v>3016.725</v>
      </c>
      <c r="CF9" s="109" t="n">
        <f aca="false">Pipeline!$Q$16*Pipeline!$D$16*MIN(1,MAX(0,(82-Pipeline!$E$16+1)/MAX(Pipeline!$F$16,1)))</f>
        <v>3016.725</v>
      </c>
      <c r="CG9" s="109" t="n">
        <f aca="false">Pipeline!$Q$16*Pipeline!$D$16*MIN(1,MAX(0,(83-Pipeline!$E$16+1)/MAX(Pipeline!$F$16,1)))</f>
        <v>3016.725</v>
      </c>
      <c r="CH9" s="109" t="n">
        <f aca="false">Pipeline!$Q$16*Pipeline!$D$16*MIN(1,MAX(0,(84-Pipeline!$E$16+1)/MAX(Pipeline!$F$16,1)))</f>
        <v>3016.725</v>
      </c>
    </row>
    <row r="10" customFormat="false" ht="13.5" hidden="false" customHeight="true" outlineLevel="0" collapsed="false">
      <c r="A10" s="6" t="s">
        <v>518</v>
      </c>
      <c r="C10" s="109" t="n">
        <f aca="false">Pipeline!$Q$17*Pipeline!$D$17*MIN(1,MAX(0,(1-Pipeline!$E$17+1)/MAX(Pipeline!$F$17,1)))</f>
        <v>0</v>
      </c>
      <c r="D10" s="109" t="n">
        <f aca="false">Pipeline!$Q$17*Pipeline!$D$17*MIN(1,MAX(0,(2-Pipeline!$E$17+1)/MAX(Pipeline!$F$17,1)))</f>
        <v>78.3</v>
      </c>
      <c r="E10" s="109" t="n">
        <f aca="false">Pipeline!$Q$17*Pipeline!$D$17*MIN(1,MAX(0,(3-Pipeline!$E$17+1)/MAX(Pipeline!$F$17,1)))</f>
        <v>156.6</v>
      </c>
      <c r="F10" s="109" t="n">
        <f aca="false">Pipeline!$Q$17*Pipeline!$D$17*MIN(1,MAX(0,(4-Pipeline!$E$17+1)/MAX(Pipeline!$F$17,1)))</f>
        <v>234.9</v>
      </c>
      <c r="G10" s="109" t="n">
        <f aca="false">Pipeline!$Q$17*Pipeline!$D$17*MIN(1,MAX(0,(5-Pipeline!$E$17+1)/MAX(Pipeline!$F$17,1)))</f>
        <v>234.9</v>
      </c>
      <c r="H10" s="109" t="n">
        <f aca="false">Pipeline!$Q$17*Pipeline!$D$17*MIN(1,MAX(0,(6-Pipeline!$E$17+1)/MAX(Pipeline!$F$17,1)))</f>
        <v>234.9</v>
      </c>
      <c r="I10" s="109" t="n">
        <f aca="false">Pipeline!$Q$17*Pipeline!$D$17*MIN(1,MAX(0,(7-Pipeline!$E$17+1)/MAX(Pipeline!$F$17,1)))</f>
        <v>234.9</v>
      </c>
      <c r="J10" s="109" t="n">
        <f aca="false">Pipeline!$Q$17*Pipeline!$D$17*MIN(1,MAX(0,(8-Pipeline!$E$17+1)/MAX(Pipeline!$F$17,1)))</f>
        <v>234.9</v>
      </c>
      <c r="K10" s="109" t="n">
        <f aca="false">Pipeline!$Q$17*Pipeline!$D$17*MIN(1,MAX(0,(9-Pipeline!$E$17+1)/MAX(Pipeline!$F$17,1)))</f>
        <v>234.9</v>
      </c>
      <c r="L10" s="109" t="n">
        <f aca="false">Pipeline!$Q$17*Pipeline!$D$17*MIN(1,MAX(0,(10-Pipeline!$E$17+1)/MAX(Pipeline!$F$17,1)))</f>
        <v>234.9</v>
      </c>
      <c r="M10" s="109" t="n">
        <f aca="false">Pipeline!$Q$17*Pipeline!$D$17*MIN(1,MAX(0,(11-Pipeline!$E$17+1)/MAX(Pipeline!$F$17,1)))</f>
        <v>234.9</v>
      </c>
      <c r="N10" s="109" t="n">
        <f aca="false">Pipeline!$Q$17*Pipeline!$D$17*MIN(1,MAX(0,(12-Pipeline!$E$17+1)/MAX(Pipeline!$F$17,1)))</f>
        <v>234.9</v>
      </c>
      <c r="O10" s="109" t="n">
        <f aca="false">Pipeline!$Q$17*Pipeline!$D$17*MIN(1,MAX(0,(13-Pipeline!$E$17+1)/MAX(Pipeline!$F$17,1)))</f>
        <v>234.9</v>
      </c>
      <c r="P10" s="109" t="n">
        <f aca="false">Pipeline!$Q$17*Pipeline!$D$17*MIN(1,MAX(0,(14-Pipeline!$E$17+1)/MAX(Pipeline!$F$17,1)))</f>
        <v>234.9</v>
      </c>
      <c r="Q10" s="109" t="n">
        <f aca="false">Pipeline!$Q$17*Pipeline!$D$17*MIN(1,MAX(0,(15-Pipeline!$E$17+1)/MAX(Pipeline!$F$17,1)))</f>
        <v>234.9</v>
      </c>
      <c r="R10" s="109" t="n">
        <f aca="false">Pipeline!$Q$17*Pipeline!$D$17*MIN(1,MAX(0,(16-Pipeline!$E$17+1)/MAX(Pipeline!$F$17,1)))</f>
        <v>234.9</v>
      </c>
      <c r="S10" s="109" t="n">
        <f aca="false">Pipeline!$Q$17*Pipeline!$D$17*MIN(1,MAX(0,(17-Pipeline!$E$17+1)/MAX(Pipeline!$F$17,1)))</f>
        <v>234.9</v>
      </c>
      <c r="T10" s="109" t="n">
        <f aca="false">Pipeline!$Q$17*Pipeline!$D$17*MIN(1,MAX(0,(18-Pipeline!$E$17+1)/MAX(Pipeline!$F$17,1)))</f>
        <v>234.9</v>
      </c>
      <c r="U10" s="109" t="n">
        <f aca="false">Pipeline!$Q$17*Pipeline!$D$17*MIN(1,MAX(0,(19-Pipeline!$E$17+1)/MAX(Pipeline!$F$17,1)))</f>
        <v>234.9</v>
      </c>
      <c r="V10" s="109" t="n">
        <f aca="false">Pipeline!$Q$17*Pipeline!$D$17*MIN(1,MAX(0,(20-Pipeline!$E$17+1)/MAX(Pipeline!$F$17,1)))</f>
        <v>234.9</v>
      </c>
      <c r="W10" s="109" t="n">
        <f aca="false">Pipeline!$Q$17*Pipeline!$D$17*MIN(1,MAX(0,(21-Pipeline!$E$17+1)/MAX(Pipeline!$F$17,1)))</f>
        <v>234.9</v>
      </c>
      <c r="X10" s="109" t="n">
        <f aca="false">Pipeline!$Q$17*Pipeline!$D$17*MIN(1,MAX(0,(22-Pipeline!$E$17+1)/MAX(Pipeline!$F$17,1)))</f>
        <v>234.9</v>
      </c>
      <c r="Y10" s="109" t="n">
        <f aca="false">Pipeline!$Q$17*Pipeline!$D$17*MIN(1,MAX(0,(23-Pipeline!$E$17+1)/MAX(Pipeline!$F$17,1)))</f>
        <v>234.9</v>
      </c>
      <c r="Z10" s="109" t="n">
        <f aca="false">Pipeline!$Q$17*Pipeline!$D$17*MIN(1,MAX(0,(24-Pipeline!$E$17+1)/MAX(Pipeline!$F$17,1)))</f>
        <v>234.9</v>
      </c>
      <c r="AA10" s="109" t="n">
        <f aca="false">Pipeline!$Q$17*Pipeline!$D$17*MIN(1,MAX(0,(25-Pipeline!$E$17+1)/MAX(Pipeline!$F$17,1)))</f>
        <v>234.9</v>
      </c>
      <c r="AB10" s="109" t="n">
        <f aca="false">Pipeline!$Q$17*Pipeline!$D$17*MIN(1,MAX(0,(26-Pipeline!$E$17+1)/MAX(Pipeline!$F$17,1)))</f>
        <v>234.9</v>
      </c>
      <c r="AC10" s="109" t="n">
        <f aca="false">Pipeline!$Q$17*Pipeline!$D$17*MIN(1,MAX(0,(27-Pipeline!$E$17+1)/MAX(Pipeline!$F$17,1)))</f>
        <v>234.9</v>
      </c>
      <c r="AD10" s="109" t="n">
        <f aca="false">Pipeline!$Q$17*Pipeline!$D$17*MIN(1,MAX(0,(28-Pipeline!$E$17+1)/MAX(Pipeline!$F$17,1)))</f>
        <v>234.9</v>
      </c>
      <c r="AE10" s="109" t="n">
        <f aca="false">Pipeline!$Q$17*Pipeline!$D$17*MIN(1,MAX(0,(29-Pipeline!$E$17+1)/MAX(Pipeline!$F$17,1)))</f>
        <v>234.9</v>
      </c>
      <c r="AF10" s="109" t="n">
        <f aca="false">Pipeline!$Q$17*Pipeline!$D$17*MIN(1,MAX(0,(30-Pipeline!$E$17+1)/MAX(Pipeline!$F$17,1)))</f>
        <v>234.9</v>
      </c>
      <c r="AG10" s="109" t="n">
        <f aca="false">Pipeline!$Q$17*Pipeline!$D$17*MIN(1,MAX(0,(31-Pipeline!$E$17+1)/MAX(Pipeline!$F$17,1)))</f>
        <v>234.9</v>
      </c>
      <c r="AH10" s="109" t="n">
        <f aca="false">Pipeline!$Q$17*Pipeline!$D$17*MIN(1,MAX(0,(32-Pipeline!$E$17+1)/MAX(Pipeline!$F$17,1)))</f>
        <v>234.9</v>
      </c>
      <c r="AI10" s="109" t="n">
        <f aca="false">Pipeline!$Q$17*Pipeline!$D$17*MIN(1,MAX(0,(33-Pipeline!$E$17+1)/MAX(Pipeline!$F$17,1)))</f>
        <v>234.9</v>
      </c>
      <c r="AJ10" s="109" t="n">
        <f aca="false">Pipeline!$Q$17*Pipeline!$D$17*MIN(1,MAX(0,(34-Pipeline!$E$17+1)/MAX(Pipeline!$F$17,1)))</f>
        <v>234.9</v>
      </c>
      <c r="AK10" s="109" t="n">
        <f aca="false">Pipeline!$Q$17*Pipeline!$D$17*MIN(1,MAX(0,(35-Pipeline!$E$17+1)/MAX(Pipeline!$F$17,1)))</f>
        <v>234.9</v>
      </c>
      <c r="AL10" s="109" t="n">
        <f aca="false">Pipeline!$Q$17*Pipeline!$D$17*MIN(1,MAX(0,(36-Pipeline!$E$17+1)/MAX(Pipeline!$F$17,1)))</f>
        <v>234.9</v>
      </c>
      <c r="AM10" s="109" t="n">
        <f aca="false">Pipeline!$Q$17*Pipeline!$D$17*MIN(1,MAX(0,(37-Pipeline!$E$17+1)/MAX(Pipeline!$F$17,1)))</f>
        <v>234.9</v>
      </c>
      <c r="AN10" s="109" t="n">
        <f aca="false">Pipeline!$Q$17*Pipeline!$D$17*MIN(1,MAX(0,(38-Pipeline!$E$17+1)/MAX(Pipeline!$F$17,1)))</f>
        <v>234.9</v>
      </c>
      <c r="AO10" s="109" t="n">
        <f aca="false">Pipeline!$Q$17*Pipeline!$D$17*MIN(1,MAX(0,(39-Pipeline!$E$17+1)/MAX(Pipeline!$F$17,1)))</f>
        <v>234.9</v>
      </c>
      <c r="AP10" s="109" t="n">
        <f aca="false">Pipeline!$Q$17*Pipeline!$D$17*MIN(1,MAX(0,(40-Pipeline!$E$17+1)/MAX(Pipeline!$F$17,1)))</f>
        <v>234.9</v>
      </c>
      <c r="AQ10" s="109" t="n">
        <f aca="false">Pipeline!$Q$17*Pipeline!$D$17*MIN(1,MAX(0,(41-Pipeline!$E$17+1)/MAX(Pipeline!$F$17,1)))</f>
        <v>234.9</v>
      </c>
      <c r="AR10" s="109" t="n">
        <f aca="false">Pipeline!$Q$17*Pipeline!$D$17*MIN(1,MAX(0,(42-Pipeline!$E$17+1)/MAX(Pipeline!$F$17,1)))</f>
        <v>234.9</v>
      </c>
      <c r="AS10" s="109" t="n">
        <f aca="false">Pipeline!$Q$17*Pipeline!$D$17*MIN(1,MAX(0,(43-Pipeline!$E$17+1)/MAX(Pipeline!$F$17,1)))</f>
        <v>234.9</v>
      </c>
      <c r="AT10" s="109" t="n">
        <f aca="false">Pipeline!$Q$17*Pipeline!$D$17*MIN(1,MAX(0,(44-Pipeline!$E$17+1)/MAX(Pipeline!$F$17,1)))</f>
        <v>234.9</v>
      </c>
      <c r="AU10" s="109" t="n">
        <f aca="false">Pipeline!$Q$17*Pipeline!$D$17*MIN(1,MAX(0,(45-Pipeline!$E$17+1)/MAX(Pipeline!$F$17,1)))</f>
        <v>234.9</v>
      </c>
      <c r="AV10" s="109" t="n">
        <f aca="false">Pipeline!$Q$17*Pipeline!$D$17*MIN(1,MAX(0,(46-Pipeline!$E$17+1)/MAX(Pipeline!$F$17,1)))</f>
        <v>234.9</v>
      </c>
      <c r="AW10" s="109" t="n">
        <f aca="false">Pipeline!$Q$17*Pipeline!$D$17*MIN(1,MAX(0,(47-Pipeline!$E$17+1)/MAX(Pipeline!$F$17,1)))</f>
        <v>234.9</v>
      </c>
      <c r="AX10" s="109" t="n">
        <f aca="false">Pipeline!$Q$17*Pipeline!$D$17*MIN(1,MAX(0,(48-Pipeline!$E$17+1)/MAX(Pipeline!$F$17,1)))</f>
        <v>234.9</v>
      </c>
      <c r="AY10" s="109" t="n">
        <f aca="false">Pipeline!$Q$17*Pipeline!$D$17*MIN(1,MAX(0,(49-Pipeline!$E$17+1)/MAX(Pipeline!$F$17,1)))</f>
        <v>234.9</v>
      </c>
      <c r="AZ10" s="109" t="n">
        <f aca="false">Pipeline!$Q$17*Pipeline!$D$17*MIN(1,MAX(0,(50-Pipeline!$E$17+1)/MAX(Pipeline!$F$17,1)))</f>
        <v>234.9</v>
      </c>
      <c r="BA10" s="109" t="n">
        <f aca="false">Pipeline!$Q$17*Pipeline!$D$17*MIN(1,MAX(0,(51-Pipeline!$E$17+1)/MAX(Pipeline!$F$17,1)))</f>
        <v>234.9</v>
      </c>
      <c r="BB10" s="109" t="n">
        <f aca="false">Pipeline!$Q$17*Pipeline!$D$17*MIN(1,MAX(0,(52-Pipeline!$E$17+1)/MAX(Pipeline!$F$17,1)))</f>
        <v>234.9</v>
      </c>
      <c r="BC10" s="109" t="n">
        <f aca="false">Pipeline!$Q$17*Pipeline!$D$17*MIN(1,MAX(0,(53-Pipeline!$E$17+1)/MAX(Pipeline!$F$17,1)))</f>
        <v>234.9</v>
      </c>
      <c r="BD10" s="109" t="n">
        <f aca="false">Pipeline!$Q$17*Pipeline!$D$17*MIN(1,MAX(0,(54-Pipeline!$E$17+1)/MAX(Pipeline!$F$17,1)))</f>
        <v>234.9</v>
      </c>
      <c r="BE10" s="109" t="n">
        <f aca="false">Pipeline!$Q$17*Pipeline!$D$17*MIN(1,MAX(0,(55-Pipeline!$E$17+1)/MAX(Pipeline!$F$17,1)))</f>
        <v>234.9</v>
      </c>
      <c r="BF10" s="109" t="n">
        <f aca="false">Pipeline!$Q$17*Pipeline!$D$17*MIN(1,MAX(0,(56-Pipeline!$E$17+1)/MAX(Pipeline!$F$17,1)))</f>
        <v>234.9</v>
      </c>
      <c r="BG10" s="109" t="n">
        <f aca="false">Pipeline!$Q$17*Pipeline!$D$17*MIN(1,MAX(0,(57-Pipeline!$E$17+1)/MAX(Pipeline!$F$17,1)))</f>
        <v>234.9</v>
      </c>
      <c r="BH10" s="109" t="n">
        <f aca="false">Pipeline!$Q$17*Pipeline!$D$17*MIN(1,MAX(0,(58-Pipeline!$E$17+1)/MAX(Pipeline!$F$17,1)))</f>
        <v>234.9</v>
      </c>
      <c r="BI10" s="109" t="n">
        <f aca="false">Pipeline!$Q$17*Pipeline!$D$17*MIN(1,MAX(0,(59-Pipeline!$E$17+1)/MAX(Pipeline!$F$17,1)))</f>
        <v>234.9</v>
      </c>
      <c r="BJ10" s="109" t="n">
        <f aca="false">Pipeline!$Q$17*Pipeline!$D$17*MIN(1,MAX(0,(60-Pipeline!$E$17+1)/MAX(Pipeline!$F$17,1)))</f>
        <v>234.9</v>
      </c>
      <c r="BK10" s="109" t="n">
        <f aca="false">Pipeline!$Q$17*Pipeline!$D$17*MIN(1,MAX(0,(61-Pipeline!$E$17+1)/MAX(Pipeline!$F$17,1)))</f>
        <v>234.9</v>
      </c>
      <c r="BL10" s="109" t="n">
        <f aca="false">Pipeline!$Q$17*Pipeline!$D$17*MIN(1,MAX(0,(62-Pipeline!$E$17+1)/MAX(Pipeline!$F$17,1)))</f>
        <v>234.9</v>
      </c>
      <c r="BM10" s="109" t="n">
        <f aca="false">Pipeline!$Q$17*Pipeline!$D$17*MIN(1,MAX(0,(63-Pipeline!$E$17+1)/MAX(Pipeline!$F$17,1)))</f>
        <v>234.9</v>
      </c>
      <c r="BN10" s="109" t="n">
        <f aca="false">Pipeline!$Q$17*Pipeline!$D$17*MIN(1,MAX(0,(64-Pipeline!$E$17+1)/MAX(Pipeline!$F$17,1)))</f>
        <v>234.9</v>
      </c>
      <c r="BO10" s="109" t="n">
        <f aca="false">Pipeline!$Q$17*Pipeline!$D$17*MIN(1,MAX(0,(65-Pipeline!$E$17+1)/MAX(Pipeline!$F$17,1)))</f>
        <v>234.9</v>
      </c>
      <c r="BP10" s="109" t="n">
        <f aca="false">Pipeline!$Q$17*Pipeline!$D$17*MIN(1,MAX(0,(66-Pipeline!$E$17+1)/MAX(Pipeline!$F$17,1)))</f>
        <v>234.9</v>
      </c>
      <c r="BQ10" s="109" t="n">
        <f aca="false">Pipeline!$Q$17*Pipeline!$D$17*MIN(1,MAX(0,(67-Pipeline!$E$17+1)/MAX(Pipeline!$F$17,1)))</f>
        <v>234.9</v>
      </c>
      <c r="BR10" s="109" t="n">
        <f aca="false">Pipeline!$Q$17*Pipeline!$D$17*MIN(1,MAX(0,(68-Pipeline!$E$17+1)/MAX(Pipeline!$F$17,1)))</f>
        <v>234.9</v>
      </c>
      <c r="BS10" s="109" t="n">
        <f aca="false">Pipeline!$Q$17*Pipeline!$D$17*MIN(1,MAX(0,(69-Pipeline!$E$17+1)/MAX(Pipeline!$F$17,1)))</f>
        <v>234.9</v>
      </c>
      <c r="BT10" s="109" t="n">
        <f aca="false">Pipeline!$Q$17*Pipeline!$D$17*MIN(1,MAX(0,(70-Pipeline!$E$17+1)/MAX(Pipeline!$F$17,1)))</f>
        <v>234.9</v>
      </c>
      <c r="BU10" s="109" t="n">
        <f aca="false">Pipeline!$Q$17*Pipeline!$D$17*MIN(1,MAX(0,(71-Pipeline!$E$17+1)/MAX(Pipeline!$F$17,1)))</f>
        <v>234.9</v>
      </c>
      <c r="BV10" s="109" t="n">
        <f aca="false">Pipeline!$Q$17*Pipeline!$D$17*MIN(1,MAX(0,(72-Pipeline!$E$17+1)/MAX(Pipeline!$F$17,1)))</f>
        <v>234.9</v>
      </c>
      <c r="BW10" s="109" t="n">
        <f aca="false">Pipeline!$Q$17*Pipeline!$D$17*MIN(1,MAX(0,(73-Pipeline!$E$17+1)/MAX(Pipeline!$F$17,1)))</f>
        <v>234.9</v>
      </c>
      <c r="BX10" s="109" t="n">
        <f aca="false">Pipeline!$Q$17*Pipeline!$D$17*MIN(1,MAX(0,(74-Pipeline!$E$17+1)/MAX(Pipeline!$F$17,1)))</f>
        <v>234.9</v>
      </c>
      <c r="BY10" s="109" t="n">
        <f aca="false">Pipeline!$Q$17*Pipeline!$D$17*MIN(1,MAX(0,(75-Pipeline!$E$17+1)/MAX(Pipeline!$F$17,1)))</f>
        <v>234.9</v>
      </c>
      <c r="BZ10" s="109" t="n">
        <f aca="false">Pipeline!$Q$17*Pipeline!$D$17*MIN(1,MAX(0,(76-Pipeline!$E$17+1)/MAX(Pipeline!$F$17,1)))</f>
        <v>234.9</v>
      </c>
      <c r="CA10" s="109" t="n">
        <f aca="false">Pipeline!$Q$17*Pipeline!$D$17*MIN(1,MAX(0,(77-Pipeline!$E$17+1)/MAX(Pipeline!$F$17,1)))</f>
        <v>234.9</v>
      </c>
      <c r="CB10" s="109" t="n">
        <f aca="false">Pipeline!$Q$17*Pipeline!$D$17*MIN(1,MAX(0,(78-Pipeline!$E$17+1)/MAX(Pipeline!$F$17,1)))</f>
        <v>234.9</v>
      </c>
      <c r="CC10" s="109" t="n">
        <f aca="false">Pipeline!$Q$17*Pipeline!$D$17*MIN(1,MAX(0,(79-Pipeline!$E$17+1)/MAX(Pipeline!$F$17,1)))</f>
        <v>234.9</v>
      </c>
      <c r="CD10" s="109" t="n">
        <f aca="false">Pipeline!$Q$17*Pipeline!$D$17*MIN(1,MAX(0,(80-Pipeline!$E$17+1)/MAX(Pipeline!$F$17,1)))</f>
        <v>234.9</v>
      </c>
      <c r="CE10" s="109" t="n">
        <f aca="false">Pipeline!$Q$17*Pipeline!$D$17*MIN(1,MAX(0,(81-Pipeline!$E$17+1)/MAX(Pipeline!$F$17,1)))</f>
        <v>234.9</v>
      </c>
      <c r="CF10" s="109" t="n">
        <f aca="false">Pipeline!$Q$17*Pipeline!$D$17*MIN(1,MAX(0,(82-Pipeline!$E$17+1)/MAX(Pipeline!$F$17,1)))</f>
        <v>234.9</v>
      </c>
      <c r="CG10" s="109" t="n">
        <f aca="false">Pipeline!$Q$17*Pipeline!$D$17*MIN(1,MAX(0,(83-Pipeline!$E$17+1)/MAX(Pipeline!$F$17,1)))</f>
        <v>234.9</v>
      </c>
      <c r="CH10" s="109" t="n">
        <f aca="false">Pipeline!$Q$17*Pipeline!$D$17*MIN(1,MAX(0,(84-Pipeline!$E$17+1)/MAX(Pipeline!$F$17,1)))</f>
        <v>234.9</v>
      </c>
    </row>
    <row r="11" customFormat="false" ht="13.5" hidden="false" customHeight="true" outlineLevel="0" collapsed="false">
      <c r="A11" s="6" t="s">
        <v>519</v>
      </c>
      <c r="C11" s="109" t="n">
        <f aca="false">Pipeline!$Q$18*Pipeline!$D$18*MIN(1,MAX(0,(1-Pipeline!$E$18+1)/MAX(Pipeline!$F$18,1)))</f>
        <v>0</v>
      </c>
      <c r="D11" s="109" t="n">
        <f aca="false">Pipeline!$Q$18*Pipeline!$D$18*MIN(1,MAX(0,(2-Pipeline!$E$18+1)/MAX(Pipeline!$F$18,1)))</f>
        <v>0</v>
      </c>
      <c r="E11" s="109" t="n">
        <f aca="false">Pipeline!$Q$18*Pipeline!$D$18*MIN(1,MAX(0,(3-Pipeline!$E$18+1)/MAX(Pipeline!$F$18,1)))</f>
        <v>1178.578125</v>
      </c>
      <c r="F11" s="109" t="n">
        <f aca="false">Pipeline!$Q$18*Pipeline!$D$18*MIN(1,MAX(0,(4-Pipeline!$E$18+1)/MAX(Pipeline!$F$18,1)))</f>
        <v>2357.15625</v>
      </c>
      <c r="G11" s="109" t="n">
        <f aca="false">Pipeline!$Q$18*Pipeline!$D$18*MIN(1,MAX(0,(5-Pipeline!$E$18+1)/MAX(Pipeline!$F$18,1)))</f>
        <v>3535.734375</v>
      </c>
      <c r="H11" s="109" t="n">
        <f aca="false">Pipeline!$Q$18*Pipeline!$D$18*MIN(1,MAX(0,(6-Pipeline!$E$18+1)/MAX(Pipeline!$F$18,1)))</f>
        <v>4714.3125</v>
      </c>
      <c r="I11" s="109" t="n">
        <f aca="false">Pipeline!$Q$18*Pipeline!$D$18*MIN(1,MAX(0,(7-Pipeline!$E$18+1)/MAX(Pipeline!$F$18,1)))</f>
        <v>5892.890625</v>
      </c>
      <c r="J11" s="109" t="n">
        <f aca="false">Pipeline!$Q$18*Pipeline!$D$18*MIN(1,MAX(0,(8-Pipeline!$E$18+1)/MAX(Pipeline!$F$18,1)))</f>
        <v>7071.46875</v>
      </c>
      <c r="K11" s="109" t="n">
        <f aca="false">Pipeline!$Q$18*Pipeline!$D$18*MIN(1,MAX(0,(9-Pipeline!$E$18+1)/MAX(Pipeline!$F$18,1)))</f>
        <v>8250.046875</v>
      </c>
      <c r="L11" s="109" t="n">
        <f aca="false">Pipeline!$Q$18*Pipeline!$D$18*MIN(1,MAX(0,(10-Pipeline!$E$18+1)/MAX(Pipeline!$F$18,1)))</f>
        <v>9428.625</v>
      </c>
      <c r="M11" s="109" t="n">
        <f aca="false">Pipeline!$Q$18*Pipeline!$D$18*MIN(1,MAX(0,(11-Pipeline!$E$18+1)/MAX(Pipeline!$F$18,1)))</f>
        <v>9428.625</v>
      </c>
      <c r="N11" s="109" t="n">
        <f aca="false">Pipeline!$Q$18*Pipeline!$D$18*MIN(1,MAX(0,(12-Pipeline!$E$18+1)/MAX(Pipeline!$F$18,1)))</f>
        <v>9428.625</v>
      </c>
      <c r="O11" s="109" t="n">
        <f aca="false">Pipeline!$Q$18*Pipeline!$D$18*MIN(1,MAX(0,(13-Pipeline!$E$18+1)/MAX(Pipeline!$F$18,1)))</f>
        <v>9428.625</v>
      </c>
      <c r="P11" s="109" t="n">
        <f aca="false">Pipeline!$Q$18*Pipeline!$D$18*MIN(1,MAX(0,(14-Pipeline!$E$18+1)/MAX(Pipeline!$F$18,1)))</f>
        <v>9428.625</v>
      </c>
      <c r="Q11" s="109" t="n">
        <f aca="false">Pipeline!$Q$18*Pipeline!$D$18*MIN(1,MAX(0,(15-Pipeline!$E$18+1)/MAX(Pipeline!$F$18,1)))</f>
        <v>9428.625</v>
      </c>
      <c r="R11" s="109" t="n">
        <f aca="false">Pipeline!$Q$18*Pipeline!$D$18*MIN(1,MAX(0,(16-Pipeline!$E$18+1)/MAX(Pipeline!$F$18,1)))</f>
        <v>9428.625</v>
      </c>
      <c r="S11" s="109" t="n">
        <f aca="false">Pipeline!$Q$18*Pipeline!$D$18*MIN(1,MAX(0,(17-Pipeline!$E$18+1)/MAX(Pipeline!$F$18,1)))</f>
        <v>9428.625</v>
      </c>
      <c r="T11" s="109" t="n">
        <f aca="false">Pipeline!$Q$18*Pipeline!$D$18*MIN(1,MAX(0,(18-Pipeline!$E$18+1)/MAX(Pipeline!$F$18,1)))</f>
        <v>9428.625</v>
      </c>
      <c r="U11" s="109" t="n">
        <f aca="false">Pipeline!$Q$18*Pipeline!$D$18*MIN(1,MAX(0,(19-Pipeline!$E$18+1)/MAX(Pipeline!$F$18,1)))</f>
        <v>9428.625</v>
      </c>
      <c r="V11" s="109" t="n">
        <f aca="false">Pipeline!$Q$18*Pipeline!$D$18*MIN(1,MAX(0,(20-Pipeline!$E$18+1)/MAX(Pipeline!$F$18,1)))</f>
        <v>9428.625</v>
      </c>
      <c r="W11" s="109" t="n">
        <f aca="false">Pipeline!$Q$18*Pipeline!$D$18*MIN(1,MAX(0,(21-Pipeline!$E$18+1)/MAX(Pipeline!$F$18,1)))</f>
        <v>9428.625</v>
      </c>
      <c r="X11" s="109" t="n">
        <f aca="false">Pipeline!$Q$18*Pipeline!$D$18*MIN(1,MAX(0,(22-Pipeline!$E$18+1)/MAX(Pipeline!$F$18,1)))</f>
        <v>9428.625</v>
      </c>
      <c r="Y11" s="109" t="n">
        <f aca="false">Pipeline!$Q$18*Pipeline!$D$18*MIN(1,MAX(0,(23-Pipeline!$E$18+1)/MAX(Pipeline!$F$18,1)))</f>
        <v>9428.625</v>
      </c>
      <c r="Z11" s="109" t="n">
        <f aca="false">Pipeline!$Q$18*Pipeline!$D$18*MIN(1,MAX(0,(24-Pipeline!$E$18+1)/MAX(Pipeline!$F$18,1)))</f>
        <v>9428.625</v>
      </c>
      <c r="AA11" s="109" t="n">
        <f aca="false">Pipeline!$Q$18*Pipeline!$D$18*MIN(1,MAX(0,(25-Pipeline!$E$18+1)/MAX(Pipeline!$F$18,1)))</f>
        <v>9428.625</v>
      </c>
      <c r="AB11" s="109" t="n">
        <f aca="false">Pipeline!$Q$18*Pipeline!$D$18*MIN(1,MAX(0,(26-Pipeline!$E$18+1)/MAX(Pipeline!$F$18,1)))</f>
        <v>9428.625</v>
      </c>
      <c r="AC11" s="109" t="n">
        <f aca="false">Pipeline!$Q$18*Pipeline!$D$18*MIN(1,MAX(0,(27-Pipeline!$E$18+1)/MAX(Pipeline!$F$18,1)))</f>
        <v>9428.625</v>
      </c>
      <c r="AD11" s="109" t="n">
        <f aca="false">Pipeline!$Q$18*Pipeline!$D$18*MIN(1,MAX(0,(28-Pipeline!$E$18+1)/MAX(Pipeline!$F$18,1)))</f>
        <v>9428.625</v>
      </c>
      <c r="AE11" s="109" t="n">
        <f aca="false">Pipeline!$Q$18*Pipeline!$D$18*MIN(1,MAX(0,(29-Pipeline!$E$18+1)/MAX(Pipeline!$F$18,1)))</f>
        <v>9428.625</v>
      </c>
      <c r="AF11" s="109" t="n">
        <f aca="false">Pipeline!$Q$18*Pipeline!$D$18*MIN(1,MAX(0,(30-Pipeline!$E$18+1)/MAX(Pipeline!$F$18,1)))</f>
        <v>9428.625</v>
      </c>
      <c r="AG11" s="109" t="n">
        <f aca="false">Pipeline!$Q$18*Pipeline!$D$18*MIN(1,MAX(0,(31-Pipeline!$E$18+1)/MAX(Pipeline!$F$18,1)))</f>
        <v>9428.625</v>
      </c>
      <c r="AH11" s="109" t="n">
        <f aca="false">Pipeline!$Q$18*Pipeline!$D$18*MIN(1,MAX(0,(32-Pipeline!$E$18+1)/MAX(Pipeline!$F$18,1)))</f>
        <v>9428.625</v>
      </c>
      <c r="AI11" s="109" t="n">
        <f aca="false">Pipeline!$Q$18*Pipeline!$D$18*MIN(1,MAX(0,(33-Pipeline!$E$18+1)/MAX(Pipeline!$F$18,1)))</f>
        <v>9428.625</v>
      </c>
      <c r="AJ11" s="109" t="n">
        <f aca="false">Pipeline!$Q$18*Pipeline!$D$18*MIN(1,MAX(0,(34-Pipeline!$E$18+1)/MAX(Pipeline!$F$18,1)))</f>
        <v>9428.625</v>
      </c>
      <c r="AK11" s="109" t="n">
        <f aca="false">Pipeline!$Q$18*Pipeline!$D$18*MIN(1,MAX(0,(35-Pipeline!$E$18+1)/MAX(Pipeline!$F$18,1)))</f>
        <v>9428.625</v>
      </c>
      <c r="AL11" s="109" t="n">
        <f aca="false">Pipeline!$Q$18*Pipeline!$D$18*MIN(1,MAX(0,(36-Pipeline!$E$18+1)/MAX(Pipeline!$F$18,1)))</f>
        <v>9428.625</v>
      </c>
      <c r="AM11" s="109" t="n">
        <f aca="false">Pipeline!$Q$18*Pipeline!$D$18*MIN(1,MAX(0,(37-Pipeline!$E$18+1)/MAX(Pipeline!$F$18,1)))</f>
        <v>9428.625</v>
      </c>
      <c r="AN11" s="109" t="n">
        <f aca="false">Pipeline!$Q$18*Pipeline!$D$18*MIN(1,MAX(0,(38-Pipeline!$E$18+1)/MAX(Pipeline!$F$18,1)))</f>
        <v>9428.625</v>
      </c>
      <c r="AO11" s="109" t="n">
        <f aca="false">Pipeline!$Q$18*Pipeline!$D$18*MIN(1,MAX(0,(39-Pipeline!$E$18+1)/MAX(Pipeline!$F$18,1)))</f>
        <v>9428.625</v>
      </c>
      <c r="AP11" s="109" t="n">
        <f aca="false">Pipeline!$Q$18*Pipeline!$D$18*MIN(1,MAX(0,(40-Pipeline!$E$18+1)/MAX(Pipeline!$F$18,1)))</f>
        <v>9428.625</v>
      </c>
      <c r="AQ11" s="109" t="n">
        <f aca="false">Pipeline!$Q$18*Pipeline!$D$18*MIN(1,MAX(0,(41-Pipeline!$E$18+1)/MAX(Pipeline!$F$18,1)))</f>
        <v>9428.625</v>
      </c>
      <c r="AR11" s="109" t="n">
        <f aca="false">Pipeline!$Q$18*Pipeline!$D$18*MIN(1,MAX(0,(42-Pipeline!$E$18+1)/MAX(Pipeline!$F$18,1)))</f>
        <v>9428.625</v>
      </c>
      <c r="AS11" s="109" t="n">
        <f aca="false">Pipeline!$Q$18*Pipeline!$D$18*MIN(1,MAX(0,(43-Pipeline!$E$18+1)/MAX(Pipeline!$F$18,1)))</f>
        <v>9428.625</v>
      </c>
      <c r="AT11" s="109" t="n">
        <f aca="false">Pipeline!$Q$18*Pipeline!$D$18*MIN(1,MAX(0,(44-Pipeline!$E$18+1)/MAX(Pipeline!$F$18,1)))</f>
        <v>9428.625</v>
      </c>
      <c r="AU11" s="109" t="n">
        <f aca="false">Pipeline!$Q$18*Pipeline!$D$18*MIN(1,MAX(0,(45-Pipeline!$E$18+1)/MAX(Pipeline!$F$18,1)))</f>
        <v>9428.625</v>
      </c>
      <c r="AV11" s="109" t="n">
        <f aca="false">Pipeline!$Q$18*Pipeline!$D$18*MIN(1,MAX(0,(46-Pipeline!$E$18+1)/MAX(Pipeline!$F$18,1)))</f>
        <v>9428.625</v>
      </c>
      <c r="AW11" s="109" t="n">
        <f aca="false">Pipeline!$Q$18*Pipeline!$D$18*MIN(1,MAX(0,(47-Pipeline!$E$18+1)/MAX(Pipeline!$F$18,1)))</f>
        <v>9428.625</v>
      </c>
      <c r="AX11" s="109" t="n">
        <f aca="false">Pipeline!$Q$18*Pipeline!$D$18*MIN(1,MAX(0,(48-Pipeline!$E$18+1)/MAX(Pipeline!$F$18,1)))</f>
        <v>9428.625</v>
      </c>
      <c r="AY11" s="109" t="n">
        <f aca="false">Pipeline!$Q$18*Pipeline!$D$18*MIN(1,MAX(0,(49-Pipeline!$E$18+1)/MAX(Pipeline!$F$18,1)))</f>
        <v>9428.625</v>
      </c>
      <c r="AZ11" s="109" t="n">
        <f aca="false">Pipeline!$Q$18*Pipeline!$D$18*MIN(1,MAX(0,(50-Pipeline!$E$18+1)/MAX(Pipeline!$F$18,1)))</f>
        <v>9428.625</v>
      </c>
      <c r="BA11" s="109" t="n">
        <f aca="false">Pipeline!$Q$18*Pipeline!$D$18*MIN(1,MAX(0,(51-Pipeline!$E$18+1)/MAX(Pipeline!$F$18,1)))</f>
        <v>9428.625</v>
      </c>
      <c r="BB11" s="109" t="n">
        <f aca="false">Pipeline!$Q$18*Pipeline!$D$18*MIN(1,MAX(0,(52-Pipeline!$E$18+1)/MAX(Pipeline!$F$18,1)))</f>
        <v>9428.625</v>
      </c>
      <c r="BC11" s="109" t="n">
        <f aca="false">Pipeline!$Q$18*Pipeline!$D$18*MIN(1,MAX(0,(53-Pipeline!$E$18+1)/MAX(Pipeline!$F$18,1)))</f>
        <v>9428.625</v>
      </c>
      <c r="BD11" s="109" t="n">
        <f aca="false">Pipeline!$Q$18*Pipeline!$D$18*MIN(1,MAX(0,(54-Pipeline!$E$18+1)/MAX(Pipeline!$F$18,1)))</f>
        <v>9428.625</v>
      </c>
      <c r="BE11" s="109" t="n">
        <f aca="false">Pipeline!$Q$18*Pipeline!$D$18*MIN(1,MAX(0,(55-Pipeline!$E$18+1)/MAX(Pipeline!$F$18,1)))</f>
        <v>9428.625</v>
      </c>
      <c r="BF11" s="109" t="n">
        <f aca="false">Pipeline!$Q$18*Pipeline!$D$18*MIN(1,MAX(0,(56-Pipeline!$E$18+1)/MAX(Pipeline!$F$18,1)))</f>
        <v>9428.625</v>
      </c>
      <c r="BG11" s="109" t="n">
        <f aca="false">Pipeline!$Q$18*Pipeline!$D$18*MIN(1,MAX(0,(57-Pipeline!$E$18+1)/MAX(Pipeline!$F$18,1)))</f>
        <v>9428.625</v>
      </c>
      <c r="BH11" s="109" t="n">
        <f aca="false">Pipeline!$Q$18*Pipeline!$D$18*MIN(1,MAX(0,(58-Pipeline!$E$18+1)/MAX(Pipeline!$F$18,1)))</f>
        <v>9428.625</v>
      </c>
      <c r="BI11" s="109" t="n">
        <f aca="false">Pipeline!$Q$18*Pipeline!$D$18*MIN(1,MAX(0,(59-Pipeline!$E$18+1)/MAX(Pipeline!$F$18,1)))</f>
        <v>9428.625</v>
      </c>
      <c r="BJ11" s="109" t="n">
        <f aca="false">Pipeline!$Q$18*Pipeline!$D$18*MIN(1,MAX(0,(60-Pipeline!$E$18+1)/MAX(Pipeline!$F$18,1)))</f>
        <v>9428.625</v>
      </c>
      <c r="BK11" s="109" t="n">
        <f aca="false">Pipeline!$Q$18*Pipeline!$D$18*MIN(1,MAX(0,(61-Pipeline!$E$18+1)/MAX(Pipeline!$F$18,1)))</f>
        <v>9428.625</v>
      </c>
      <c r="BL11" s="109" t="n">
        <f aca="false">Pipeline!$Q$18*Pipeline!$D$18*MIN(1,MAX(0,(62-Pipeline!$E$18+1)/MAX(Pipeline!$F$18,1)))</f>
        <v>9428.625</v>
      </c>
      <c r="BM11" s="109" t="n">
        <f aca="false">Pipeline!$Q$18*Pipeline!$D$18*MIN(1,MAX(0,(63-Pipeline!$E$18+1)/MAX(Pipeline!$F$18,1)))</f>
        <v>9428.625</v>
      </c>
      <c r="BN11" s="109" t="n">
        <f aca="false">Pipeline!$Q$18*Pipeline!$D$18*MIN(1,MAX(0,(64-Pipeline!$E$18+1)/MAX(Pipeline!$F$18,1)))</f>
        <v>9428.625</v>
      </c>
      <c r="BO11" s="109" t="n">
        <f aca="false">Pipeline!$Q$18*Pipeline!$D$18*MIN(1,MAX(0,(65-Pipeline!$E$18+1)/MAX(Pipeline!$F$18,1)))</f>
        <v>9428.625</v>
      </c>
      <c r="BP11" s="109" t="n">
        <f aca="false">Pipeline!$Q$18*Pipeline!$D$18*MIN(1,MAX(0,(66-Pipeline!$E$18+1)/MAX(Pipeline!$F$18,1)))</f>
        <v>9428.625</v>
      </c>
      <c r="BQ11" s="109" t="n">
        <f aca="false">Pipeline!$Q$18*Pipeline!$D$18*MIN(1,MAX(0,(67-Pipeline!$E$18+1)/MAX(Pipeline!$F$18,1)))</f>
        <v>9428.625</v>
      </c>
      <c r="BR11" s="109" t="n">
        <f aca="false">Pipeline!$Q$18*Pipeline!$D$18*MIN(1,MAX(0,(68-Pipeline!$E$18+1)/MAX(Pipeline!$F$18,1)))</f>
        <v>9428.625</v>
      </c>
      <c r="BS11" s="109" t="n">
        <f aca="false">Pipeline!$Q$18*Pipeline!$D$18*MIN(1,MAX(0,(69-Pipeline!$E$18+1)/MAX(Pipeline!$F$18,1)))</f>
        <v>9428.625</v>
      </c>
      <c r="BT11" s="109" t="n">
        <f aca="false">Pipeline!$Q$18*Pipeline!$D$18*MIN(1,MAX(0,(70-Pipeline!$E$18+1)/MAX(Pipeline!$F$18,1)))</f>
        <v>9428.625</v>
      </c>
      <c r="BU11" s="109" t="n">
        <f aca="false">Pipeline!$Q$18*Pipeline!$D$18*MIN(1,MAX(0,(71-Pipeline!$E$18+1)/MAX(Pipeline!$F$18,1)))</f>
        <v>9428.625</v>
      </c>
      <c r="BV11" s="109" t="n">
        <f aca="false">Pipeline!$Q$18*Pipeline!$D$18*MIN(1,MAX(0,(72-Pipeline!$E$18+1)/MAX(Pipeline!$F$18,1)))</f>
        <v>9428.625</v>
      </c>
      <c r="BW11" s="109" t="n">
        <f aca="false">Pipeline!$Q$18*Pipeline!$D$18*MIN(1,MAX(0,(73-Pipeline!$E$18+1)/MAX(Pipeline!$F$18,1)))</f>
        <v>9428.625</v>
      </c>
      <c r="BX11" s="109" t="n">
        <f aca="false">Pipeline!$Q$18*Pipeline!$D$18*MIN(1,MAX(0,(74-Pipeline!$E$18+1)/MAX(Pipeline!$F$18,1)))</f>
        <v>9428.625</v>
      </c>
      <c r="BY11" s="109" t="n">
        <f aca="false">Pipeline!$Q$18*Pipeline!$D$18*MIN(1,MAX(0,(75-Pipeline!$E$18+1)/MAX(Pipeline!$F$18,1)))</f>
        <v>9428.625</v>
      </c>
      <c r="BZ11" s="109" t="n">
        <f aca="false">Pipeline!$Q$18*Pipeline!$D$18*MIN(1,MAX(0,(76-Pipeline!$E$18+1)/MAX(Pipeline!$F$18,1)))</f>
        <v>9428.625</v>
      </c>
      <c r="CA11" s="109" t="n">
        <f aca="false">Pipeline!$Q$18*Pipeline!$D$18*MIN(1,MAX(0,(77-Pipeline!$E$18+1)/MAX(Pipeline!$F$18,1)))</f>
        <v>9428.625</v>
      </c>
      <c r="CB11" s="109" t="n">
        <f aca="false">Pipeline!$Q$18*Pipeline!$D$18*MIN(1,MAX(0,(78-Pipeline!$E$18+1)/MAX(Pipeline!$F$18,1)))</f>
        <v>9428.625</v>
      </c>
      <c r="CC11" s="109" t="n">
        <f aca="false">Pipeline!$Q$18*Pipeline!$D$18*MIN(1,MAX(0,(79-Pipeline!$E$18+1)/MAX(Pipeline!$F$18,1)))</f>
        <v>9428.625</v>
      </c>
      <c r="CD11" s="109" t="n">
        <f aca="false">Pipeline!$Q$18*Pipeline!$D$18*MIN(1,MAX(0,(80-Pipeline!$E$18+1)/MAX(Pipeline!$F$18,1)))</f>
        <v>9428.625</v>
      </c>
      <c r="CE11" s="109" t="n">
        <f aca="false">Pipeline!$Q$18*Pipeline!$D$18*MIN(1,MAX(0,(81-Pipeline!$E$18+1)/MAX(Pipeline!$F$18,1)))</f>
        <v>9428.625</v>
      </c>
      <c r="CF11" s="109" t="n">
        <f aca="false">Pipeline!$Q$18*Pipeline!$D$18*MIN(1,MAX(0,(82-Pipeline!$E$18+1)/MAX(Pipeline!$F$18,1)))</f>
        <v>9428.625</v>
      </c>
      <c r="CG11" s="109" t="n">
        <f aca="false">Pipeline!$Q$18*Pipeline!$D$18*MIN(1,MAX(0,(83-Pipeline!$E$18+1)/MAX(Pipeline!$F$18,1)))</f>
        <v>9428.625</v>
      </c>
      <c r="CH11" s="109" t="n">
        <f aca="false">Pipeline!$Q$18*Pipeline!$D$18*MIN(1,MAX(0,(84-Pipeline!$E$18+1)/MAX(Pipeline!$F$18,1)))</f>
        <v>9428.625</v>
      </c>
    </row>
    <row r="12" customFormat="false" ht="13.5" hidden="false" customHeight="true" outlineLevel="0" collapsed="false">
      <c r="A12" s="6" t="s">
        <v>520</v>
      </c>
      <c r="C12" s="109" t="n">
        <f aca="false">Pipeline!$Q$19*Pipeline!$D$19*MIN(1,MAX(0,(1-Pipeline!$E$19+1)/MAX(Pipeline!$F$19,1)))</f>
        <v>0</v>
      </c>
      <c r="D12" s="109" t="n">
        <f aca="false">Pipeline!$Q$19*Pipeline!$D$19*MIN(1,MAX(0,(2-Pipeline!$E$19+1)/MAX(Pipeline!$F$19,1)))</f>
        <v>0</v>
      </c>
      <c r="E12" s="109" t="n">
        <f aca="false">Pipeline!$Q$19*Pipeline!$D$19*MIN(1,MAX(0,(3-Pipeline!$E$19+1)/MAX(Pipeline!$F$19,1)))</f>
        <v>0</v>
      </c>
      <c r="F12" s="109" t="n">
        <f aca="false">Pipeline!$Q$19*Pipeline!$D$19*MIN(1,MAX(0,(4-Pipeline!$E$19+1)/MAX(Pipeline!$F$19,1)))</f>
        <v>0</v>
      </c>
      <c r="G12" s="109" t="n">
        <f aca="false">Pipeline!$Q$19*Pipeline!$D$19*MIN(1,MAX(0,(5-Pipeline!$E$19+1)/MAX(Pipeline!$F$19,1)))</f>
        <v>0</v>
      </c>
      <c r="H12" s="109" t="n">
        <f aca="false">Pipeline!$Q$19*Pipeline!$D$19*MIN(1,MAX(0,(6-Pipeline!$E$19+1)/MAX(Pipeline!$F$19,1)))</f>
        <v>717.75</v>
      </c>
      <c r="I12" s="109" t="n">
        <f aca="false">Pipeline!$Q$19*Pipeline!$D$19*MIN(1,MAX(0,(7-Pipeline!$E$19+1)/MAX(Pipeline!$F$19,1)))</f>
        <v>1435.5</v>
      </c>
      <c r="J12" s="109" t="n">
        <f aca="false">Pipeline!$Q$19*Pipeline!$D$19*MIN(1,MAX(0,(8-Pipeline!$E$19+1)/MAX(Pipeline!$F$19,1)))</f>
        <v>2153.25</v>
      </c>
      <c r="K12" s="109" t="n">
        <f aca="false">Pipeline!$Q$19*Pipeline!$D$19*MIN(1,MAX(0,(9-Pipeline!$E$19+1)/MAX(Pipeline!$F$19,1)))</f>
        <v>2871</v>
      </c>
      <c r="L12" s="109" t="n">
        <f aca="false">Pipeline!$Q$19*Pipeline!$D$19*MIN(1,MAX(0,(10-Pipeline!$E$19+1)/MAX(Pipeline!$F$19,1)))</f>
        <v>3588.75</v>
      </c>
      <c r="M12" s="109" t="n">
        <f aca="false">Pipeline!$Q$19*Pipeline!$D$19*MIN(1,MAX(0,(11-Pipeline!$E$19+1)/MAX(Pipeline!$F$19,1)))</f>
        <v>4306.5</v>
      </c>
      <c r="N12" s="109" t="n">
        <f aca="false">Pipeline!$Q$19*Pipeline!$D$19*MIN(1,MAX(0,(12-Pipeline!$E$19+1)/MAX(Pipeline!$F$19,1)))</f>
        <v>5024.25</v>
      </c>
      <c r="O12" s="109" t="n">
        <f aca="false">Pipeline!$Q$19*Pipeline!$D$19*MIN(1,MAX(0,(13-Pipeline!$E$19+1)/MAX(Pipeline!$F$19,1)))</f>
        <v>5742</v>
      </c>
      <c r="P12" s="109" t="n">
        <f aca="false">Pipeline!$Q$19*Pipeline!$D$19*MIN(1,MAX(0,(14-Pipeline!$E$19+1)/MAX(Pipeline!$F$19,1)))</f>
        <v>5742</v>
      </c>
      <c r="Q12" s="109" t="n">
        <f aca="false">Pipeline!$Q$19*Pipeline!$D$19*MIN(1,MAX(0,(15-Pipeline!$E$19+1)/MAX(Pipeline!$F$19,1)))</f>
        <v>5742</v>
      </c>
      <c r="R12" s="109" t="n">
        <f aca="false">Pipeline!$Q$19*Pipeline!$D$19*MIN(1,MAX(0,(16-Pipeline!$E$19+1)/MAX(Pipeline!$F$19,1)))</f>
        <v>5742</v>
      </c>
      <c r="S12" s="109" t="n">
        <f aca="false">Pipeline!$Q$19*Pipeline!$D$19*MIN(1,MAX(0,(17-Pipeline!$E$19+1)/MAX(Pipeline!$F$19,1)))</f>
        <v>5742</v>
      </c>
      <c r="T12" s="109" t="n">
        <f aca="false">Pipeline!$Q$19*Pipeline!$D$19*MIN(1,MAX(0,(18-Pipeline!$E$19+1)/MAX(Pipeline!$F$19,1)))</f>
        <v>5742</v>
      </c>
      <c r="U12" s="109" t="n">
        <f aca="false">Pipeline!$Q$19*Pipeline!$D$19*MIN(1,MAX(0,(19-Pipeline!$E$19+1)/MAX(Pipeline!$F$19,1)))</f>
        <v>5742</v>
      </c>
      <c r="V12" s="109" t="n">
        <f aca="false">Pipeline!$Q$19*Pipeline!$D$19*MIN(1,MAX(0,(20-Pipeline!$E$19+1)/MAX(Pipeline!$F$19,1)))</f>
        <v>5742</v>
      </c>
      <c r="W12" s="109" t="n">
        <f aca="false">Pipeline!$Q$19*Pipeline!$D$19*MIN(1,MAX(0,(21-Pipeline!$E$19+1)/MAX(Pipeline!$F$19,1)))</f>
        <v>5742</v>
      </c>
      <c r="X12" s="109" t="n">
        <f aca="false">Pipeline!$Q$19*Pipeline!$D$19*MIN(1,MAX(0,(22-Pipeline!$E$19+1)/MAX(Pipeline!$F$19,1)))</f>
        <v>5742</v>
      </c>
      <c r="Y12" s="109" t="n">
        <f aca="false">Pipeline!$Q$19*Pipeline!$D$19*MIN(1,MAX(0,(23-Pipeline!$E$19+1)/MAX(Pipeline!$F$19,1)))</f>
        <v>5742</v>
      </c>
      <c r="Z12" s="109" t="n">
        <f aca="false">Pipeline!$Q$19*Pipeline!$D$19*MIN(1,MAX(0,(24-Pipeline!$E$19+1)/MAX(Pipeline!$F$19,1)))</f>
        <v>5742</v>
      </c>
      <c r="AA12" s="109" t="n">
        <f aca="false">Pipeline!$Q$19*Pipeline!$D$19*MIN(1,MAX(0,(25-Pipeline!$E$19+1)/MAX(Pipeline!$F$19,1)))</f>
        <v>5742</v>
      </c>
      <c r="AB12" s="109" t="n">
        <f aca="false">Pipeline!$Q$19*Pipeline!$D$19*MIN(1,MAX(0,(26-Pipeline!$E$19+1)/MAX(Pipeline!$F$19,1)))</f>
        <v>5742</v>
      </c>
      <c r="AC12" s="109" t="n">
        <f aca="false">Pipeline!$Q$19*Pipeline!$D$19*MIN(1,MAX(0,(27-Pipeline!$E$19+1)/MAX(Pipeline!$F$19,1)))</f>
        <v>5742</v>
      </c>
      <c r="AD12" s="109" t="n">
        <f aca="false">Pipeline!$Q$19*Pipeline!$D$19*MIN(1,MAX(0,(28-Pipeline!$E$19+1)/MAX(Pipeline!$F$19,1)))</f>
        <v>5742</v>
      </c>
      <c r="AE12" s="109" t="n">
        <f aca="false">Pipeline!$Q$19*Pipeline!$D$19*MIN(1,MAX(0,(29-Pipeline!$E$19+1)/MAX(Pipeline!$F$19,1)))</f>
        <v>5742</v>
      </c>
      <c r="AF12" s="109" t="n">
        <f aca="false">Pipeline!$Q$19*Pipeline!$D$19*MIN(1,MAX(0,(30-Pipeline!$E$19+1)/MAX(Pipeline!$F$19,1)))</f>
        <v>5742</v>
      </c>
      <c r="AG12" s="109" t="n">
        <f aca="false">Pipeline!$Q$19*Pipeline!$D$19*MIN(1,MAX(0,(31-Pipeline!$E$19+1)/MAX(Pipeline!$F$19,1)))</f>
        <v>5742</v>
      </c>
      <c r="AH12" s="109" t="n">
        <f aca="false">Pipeline!$Q$19*Pipeline!$D$19*MIN(1,MAX(0,(32-Pipeline!$E$19+1)/MAX(Pipeline!$F$19,1)))</f>
        <v>5742</v>
      </c>
      <c r="AI12" s="109" t="n">
        <f aca="false">Pipeline!$Q$19*Pipeline!$D$19*MIN(1,MAX(0,(33-Pipeline!$E$19+1)/MAX(Pipeline!$F$19,1)))</f>
        <v>5742</v>
      </c>
      <c r="AJ12" s="109" t="n">
        <f aca="false">Pipeline!$Q$19*Pipeline!$D$19*MIN(1,MAX(0,(34-Pipeline!$E$19+1)/MAX(Pipeline!$F$19,1)))</f>
        <v>5742</v>
      </c>
      <c r="AK12" s="109" t="n">
        <f aca="false">Pipeline!$Q$19*Pipeline!$D$19*MIN(1,MAX(0,(35-Pipeline!$E$19+1)/MAX(Pipeline!$F$19,1)))</f>
        <v>5742</v>
      </c>
      <c r="AL12" s="109" t="n">
        <f aca="false">Pipeline!$Q$19*Pipeline!$D$19*MIN(1,MAX(0,(36-Pipeline!$E$19+1)/MAX(Pipeline!$F$19,1)))</f>
        <v>5742</v>
      </c>
      <c r="AM12" s="109" t="n">
        <f aca="false">Pipeline!$Q$19*Pipeline!$D$19*MIN(1,MAX(0,(37-Pipeline!$E$19+1)/MAX(Pipeline!$F$19,1)))</f>
        <v>5742</v>
      </c>
      <c r="AN12" s="109" t="n">
        <f aca="false">Pipeline!$Q$19*Pipeline!$D$19*MIN(1,MAX(0,(38-Pipeline!$E$19+1)/MAX(Pipeline!$F$19,1)))</f>
        <v>5742</v>
      </c>
      <c r="AO12" s="109" t="n">
        <f aca="false">Pipeline!$Q$19*Pipeline!$D$19*MIN(1,MAX(0,(39-Pipeline!$E$19+1)/MAX(Pipeline!$F$19,1)))</f>
        <v>5742</v>
      </c>
      <c r="AP12" s="109" t="n">
        <f aca="false">Pipeline!$Q$19*Pipeline!$D$19*MIN(1,MAX(0,(40-Pipeline!$E$19+1)/MAX(Pipeline!$F$19,1)))</f>
        <v>5742</v>
      </c>
      <c r="AQ12" s="109" t="n">
        <f aca="false">Pipeline!$Q$19*Pipeline!$D$19*MIN(1,MAX(0,(41-Pipeline!$E$19+1)/MAX(Pipeline!$F$19,1)))</f>
        <v>5742</v>
      </c>
      <c r="AR12" s="109" t="n">
        <f aca="false">Pipeline!$Q$19*Pipeline!$D$19*MIN(1,MAX(0,(42-Pipeline!$E$19+1)/MAX(Pipeline!$F$19,1)))</f>
        <v>5742</v>
      </c>
      <c r="AS12" s="109" t="n">
        <f aca="false">Pipeline!$Q$19*Pipeline!$D$19*MIN(1,MAX(0,(43-Pipeline!$E$19+1)/MAX(Pipeline!$F$19,1)))</f>
        <v>5742</v>
      </c>
      <c r="AT12" s="109" t="n">
        <f aca="false">Pipeline!$Q$19*Pipeline!$D$19*MIN(1,MAX(0,(44-Pipeline!$E$19+1)/MAX(Pipeline!$F$19,1)))</f>
        <v>5742</v>
      </c>
      <c r="AU12" s="109" t="n">
        <f aca="false">Pipeline!$Q$19*Pipeline!$D$19*MIN(1,MAX(0,(45-Pipeline!$E$19+1)/MAX(Pipeline!$F$19,1)))</f>
        <v>5742</v>
      </c>
      <c r="AV12" s="109" t="n">
        <f aca="false">Pipeline!$Q$19*Pipeline!$D$19*MIN(1,MAX(0,(46-Pipeline!$E$19+1)/MAX(Pipeline!$F$19,1)))</f>
        <v>5742</v>
      </c>
      <c r="AW12" s="109" t="n">
        <f aca="false">Pipeline!$Q$19*Pipeline!$D$19*MIN(1,MAX(0,(47-Pipeline!$E$19+1)/MAX(Pipeline!$F$19,1)))</f>
        <v>5742</v>
      </c>
      <c r="AX12" s="109" t="n">
        <f aca="false">Pipeline!$Q$19*Pipeline!$D$19*MIN(1,MAX(0,(48-Pipeline!$E$19+1)/MAX(Pipeline!$F$19,1)))</f>
        <v>5742</v>
      </c>
      <c r="AY12" s="109" t="n">
        <f aca="false">Pipeline!$Q$19*Pipeline!$D$19*MIN(1,MAX(0,(49-Pipeline!$E$19+1)/MAX(Pipeline!$F$19,1)))</f>
        <v>5742</v>
      </c>
      <c r="AZ12" s="109" t="n">
        <f aca="false">Pipeline!$Q$19*Pipeline!$D$19*MIN(1,MAX(0,(50-Pipeline!$E$19+1)/MAX(Pipeline!$F$19,1)))</f>
        <v>5742</v>
      </c>
      <c r="BA12" s="109" t="n">
        <f aca="false">Pipeline!$Q$19*Pipeline!$D$19*MIN(1,MAX(0,(51-Pipeline!$E$19+1)/MAX(Pipeline!$F$19,1)))</f>
        <v>5742</v>
      </c>
      <c r="BB12" s="109" t="n">
        <f aca="false">Pipeline!$Q$19*Pipeline!$D$19*MIN(1,MAX(0,(52-Pipeline!$E$19+1)/MAX(Pipeline!$F$19,1)))</f>
        <v>5742</v>
      </c>
      <c r="BC12" s="109" t="n">
        <f aca="false">Pipeline!$Q$19*Pipeline!$D$19*MIN(1,MAX(0,(53-Pipeline!$E$19+1)/MAX(Pipeline!$F$19,1)))</f>
        <v>5742</v>
      </c>
      <c r="BD12" s="109" t="n">
        <f aca="false">Pipeline!$Q$19*Pipeline!$D$19*MIN(1,MAX(0,(54-Pipeline!$E$19+1)/MAX(Pipeline!$F$19,1)))</f>
        <v>5742</v>
      </c>
      <c r="BE12" s="109" t="n">
        <f aca="false">Pipeline!$Q$19*Pipeline!$D$19*MIN(1,MAX(0,(55-Pipeline!$E$19+1)/MAX(Pipeline!$F$19,1)))</f>
        <v>5742</v>
      </c>
      <c r="BF12" s="109" t="n">
        <f aca="false">Pipeline!$Q$19*Pipeline!$D$19*MIN(1,MAX(0,(56-Pipeline!$E$19+1)/MAX(Pipeline!$F$19,1)))</f>
        <v>5742</v>
      </c>
      <c r="BG12" s="109" t="n">
        <f aca="false">Pipeline!$Q$19*Pipeline!$D$19*MIN(1,MAX(0,(57-Pipeline!$E$19+1)/MAX(Pipeline!$F$19,1)))</f>
        <v>5742</v>
      </c>
      <c r="BH12" s="109" t="n">
        <f aca="false">Pipeline!$Q$19*Pipeline!$D$19*MIN(1,MAX(0,(58-Pipeline!$E$19+1)/MAX(Pipeline!$F$19,1)))</f>
        <v>5742</v>
      </c>
      <c r="BI12" s="109" t="n">
        <f aca="false">Pipeline!$Q$19*Pipeline!$D$19*MIN(1,MAX(0,(59-Pipeline!$E$19+1)/MAX(Pipeline!$F$19,1)))</f>
        <v>5742</v>
      </c>
      <c r="BJ12" s="109" t="n">
        <f aca="false">Pipeline!$Q$19*Pipeline!$D$19*MIN(1,MAX(0,(60-Pipeline!$E$19+1)/MAX(Pipeline!$F$19,1)))</f>
        <v>5742</v>
      </c>
      <c r="BK12" s="109" t="n">
        <f aca="false">Pipeline!$Q$19*Pipeline!$D$19*MIN(1,MAX(0,(61-Pipeline!$E$19+1)/MAX(Pipeline!$F$19,1)))</f>
        <v>5742</v>
      </c>
      <c r="BL12" s="109" t="n">
        <f aca="false">Pipeline!$Q$19*Pipeline!$D$19*MIN(1,MAX(0,(62-Pipeline!$E$19+1)/MAX(Pipeline!$F$19,1)))</f>
        <v>5742</v>
      </c>
      <c r="BM12" s="109" t="n">
        <f aca="false">Pipeline!$Q$19*Pipeline!$D$19*MIN(1,MAX(0,(63-Pipeline!$E$19+1)/MAX(Pipeline!$F$19,1)))</f>
        <v>5742</v>
      </c>
      <c r="BN12" s="109" t="n">
        <f aca="false">Pipeline!$Q$19*Pipeline!$D$19*MIN(1,MAX(0,(64-Pipeline!$E$19+1)/MAX(Pipeline!$F$19,1)))</f>
        <v>5742</v>
      </c>
      <c r="BO12" s="109" t="n">
        <f aca="false">Pipeline!$Q$19*Pipeline!$D$19*MIN(1,MAX(0,(65-Pipeline!$E$19+1)/MAX(Pipeline!$F$19,1)))</f>
        <v>5742</v>
      </c>
      <c r="BP12" s="109" t="n">
        <f aca="false">Pipeline!$Q$19*Pipeline!$D$19*MIN(1,MAX(0,(66-Pipeline!$E$19+1)/MAX(Pipeline!$F$19,1)))</f>
        <v>5742</v>
      </c>
      <c r="BQ12" s="109" t="n">
        <f aca="false">Pipeline!$Q$19*Pipeline!$D$19*MIN(1,MAX(0,(67-Pipeline!$E$19+1)/MAX(Pipeline!$F$19,1)))</f>
        <v>5742</v>
      </c>
      <c r="BR12" s="109" t="n">
        <f aca="false">Pipeline!$Q$19*Pipeline!$D$19*MIN(1,MAX(0,(68-Pipeline!$E$19+1)/MAX(Pipeline!$F$19,1)))</f>
        <v>5742</v>
      </c>
      <c r="BS12" s="109" t="n">
        <f aca="false">Pipeline!$Q$19*Pipeline!$D$19*MIN(1,MAX(0,(69-Pipeline!$E$19+1)/MAX(Pipeline!$F$19,1)))</f>
        <v>5742</v>
      </c>
      <c r="BT12" s="109" t="n">
        <f aca="false">Pipeline!$Q$19*Pipeline!$D$19*MIN(1,MAX(0,(70-Pipeline!$E$19+1)/MAX(Pipeline!$F$19,1)))</f>
        <v>5742</v>
      </c>
      <c r="BU12" s="109" t="n">
        <f aca="false">Pipeline!$Q$19*Pipeline!$D$19*MIN(1,MAX(0,(71-Pipeline!$E$19+1)/MAX(Pipeline!$F$19,1)))</f>
        <v>5742</v>
      </c>
      <c r="BV12" s="109" t="n">
        <f aca="false">Pipeline!$Q$19*Pipeline!$D$19*MIN(1,MAX(0,(72-Pipeline!$E$19+1)/MAX(Pipeline!$F$19,1)))</f>
        <v>5742</v>
      </c>
      <c r="BW12" s="109" t="n">
        <f aca="false">Pipeline!$Q$19*Pipeline!$D$19*MIN(1,MAX(0,(73-Pipeline!$E$19+1)/MAX(Pipeline!$F$19,1)))</f>
        <v>5742</v>
      </c>
      <c r="BX12" s="109" t="n">
        <f aca="false">Pipeline!$Q$19*Pipeline!$D$19*MIN(1,MAX(0,(74-Pipeline!$E$19+1)/MAX(Pipeline!$F$19,1)))</f>
        <v>5742</v>
      </c>
      <c r="BY12" s="109" t="n">
        <f aca="false">Pipeline!$Q$19*Pipeline!$D$19*MIN(1,MAX(0,(75-Pipeline!$E$19+1)/MAX(Pipeline!$F$19,1)))</f>
        <v>5742</v>
      </c>
      <c r="BZ12" s="109" t="n">
        <f aca="false">Pipeline!$Q$19*Pipeline!$D$19*MIN(1,MAX(0,(76-Pipeline!$E$19+1)/MAX(Pipeline!$F$19,1)))</f>
        <v>5742</v>
      </c>
      <c r="CA12" s="109" t="n">
        <f aca="false">Pipeline!$Q$19*Pipeline!$D$19*MIN(1,MAX(0,(77-Pipeline!$E$19+1)/MAX(Pipeline!$F$19,1)))</f>
        <v>5742</v>
      </c>
      <c r="CB12" s="109" t="n">
        <f aca="false">Pipeline!$Q$19*Pipeline!$D$19*MIN(1,MAX(0,(78-Pipeline!$E$19+1)/MAX(Pipeline!$F$19,1)))</f>
        <v>5742</v>
      </c>
      <c r="CC12" s="109" t="n">
        <f aca="false">Pipeline!$Q$19*Pipeline!$D$19*MIN(1,MAX(0,(79-Pipeline!$E$19+1)/MAX(Pipeline!$F$19,1)))</f>
        <v>5742</v>
      </c>
      <c r="CD12" s="109" t="n">
        <f aca="false">Pipeline!$Q$19*Pipeline!$D$19*MIN(1,MAX(0,(80-Pipeline!$E$19+1)/MAX(Pipeline!$F$19,1)))</f>
        <v>5742</v>
      </c>
      <c r="CE12" s="109" t="n">
        <f aca="false">Pipeline!$Q$19*Pipeline!$D$19*MIN(1,MAX(0,(81-Pipeline!$E$19+1)/MAX(Pipeline!$F$19,1)))</f>
        <v>5742</v>
      </c>
      <c r="CF12" s="109" t="n">
        <f aca="false">Pipeline!$Q$19*Pipeline!$D$19*MIN(1,MAX(0,(82-Pipeline!$E$19+1)/MAX(Pipeline!$F$19,1)))</f>
        <v>5742</v>
      </c>
      <c r="CG12" s="109" t="n">
        <f aca="false">Pipeline!$Q$19*Pipeline!$D$19*MIN(1,MAX(0,(83-Pipeline!$E$19+1)/MAX(Pipeline!$F$19,1)))</f>
        <v>5742</v>
      </c>
      <c r="CH12" s="109" t="n">
        <f aca="false">Pipeline!$Q$19*Pipeline!$D$19*MIN(1,MAX(0,(84-Pipeline!$E$19+1)/MAX(Pipeline!$F$19,1)))</f>
        <v>5742</v>
      </c>
    </row>
    <row r="13" customFormat="false" ht="13.5" hidden="false" customHeight="true" outlineLevel="0" collapsed="false">
      <c r="A13" s="6" t="s">
        <v>521</v>
      </c>
      <c r="C13" s="109" t="n">
        <f aca="false">Pipeline!$Q$20*Pipeline!$D$20*MIN(1,MAX(0,(1-Pipeline!$E$20+1)/MAX(Pipeline!$F$20,1)))</f>
        <v>0</v>
      </c>
      <c r="D13" s="109" t="n">
        <f aca="false">Pipeline!$Q$20*Pipeline!$D$20*MIN(1,MAX(0,(2-Pipeline!$E$20+1)/MAX(Pipeline!$F$20,1)))</f>
        <v>0</v>
      </c>
      <c r="E13" s="109" t="n">
        <f aca="false">Pipeline!$Q$20*Pipeline!$D$20*MIN(1,MAX(0,(3-Pipeline!$E$20+1)/MAX(Pipeline!$F$20,1)))</f>
        <v>0</v>
      </c>
      <c r="F13" s="109" t="n">
        <f aca="false">Pipeline!$Q$20*Pipeline!$D$20*MIN(1,MAX(0,(4-Pipeline!$E$20+1)/MAX(Pipeline!$F$20,1)))</f>
        <v>0</v>
      </c>
      <c r="G13" s="109" t="n">
        <f aca="false">Pipeline!$Q$20*Pipeline!$D$20*MIN(1,MAX(0,(5-Pipeline!$E$20+1)/MAX(Pipeline!$F$20,1)))</f>
        <v>0</v>
      </c>
      <c r="H13" s="109" t="n">
        <f aca="false">Pipeline!$Q$20*Pipeline!$D$20*MIN(1,MAX(0,(6-Pipeline!$E$20+1)/MAX(Pipeline!$F$20,1)))</f>
        <v>0</v>
      </c>
      <c r="I13" s="109" t="n">
        <f aca="false">Pipeline!$Q$20*Pipeline!$D$20*MIN(1,MAX(0,(7-Pipeline!$E$20+1)/MAX(Pipeline!$F$20,1)))</f>
        <v>0</v>
      </c>
      <c r="J13" s="109" t="n">
        <f aca="false">Pipeline!$Q$20*Pipeline!$D$20*MIN(1,MAX(0,(8-Pipeline!$E$20+1)/MAX(Pipeline!$F$20,1)))</f>
        <v>0</v>
      </c>
      <c r="K13" s="109" t="n">
        <f aca="false">Pipeline!$Q$20*Pipeline!$D$20*MIN(1,MAX(0,(9-Pipeline!$E$20+1)/MAX(Pipeline!$F$20,1)))</f>
        <v>0</v>
      </c>
      <c r="L13" s="109" t="n">
        <f aca="false">Pipeline!$Q$20*Pipeline!$D$20*MIN(1,MAX(0,(10-Pipeline!$E$20+1)/MAX(Pipeline!$F$20,1)))</f>
        <v>0</v>
      </c>
      <c r="M13" s="109" t="n">
        <f aca="false">Pipeline!$Q$20*Pipeline!$D$20*MIN(1,MAX(0,(11-Pipeline!$E$20+1)/MAX(Pipeline!$F$20,1)))</f>
        <v>0</v>
      </c>
      <c r="N13" s="109" t="n">
        <f aca="false">Pipeline!$Q$20*Pipeline!$D$20*MIN(1,MAX(0,(12-Pipeline!$E$20+1)/MAX(Pipeline!$F$20,1)))</f>
        <v>978.75</v>
      </c>
      <c r="O13" s="109" t="n">
        <f aca="false">Pipeline!$Q$20*Pipeline!$D$20*MIN(1,MAX(0,(13-Pipeline!$E$20+1)/MAX(Pipeline!$F$20,1)))</f>
        <v>1957.5</v>
      </c>
      <c r="P13" s="109" t="n">
        <f aca="false">Pipeline!$Q$20*Pipeline!$D$20*MIN(1,MAX(0,(14-Pipeline!$E$20+1)/MAX(Pipeline!$F$20,1)))</f>
        <v>2936.25</v>
      </c>
      <c r="Q13" s="109" t="n">
        <f aca="false">Pipeline!$Q$20*Pipeline!$D$20*MIN(1,MAX(0,(15-Pipeline!$E$20+1)/MAX(Pipeline!$F$20,1)))</f>
        <v>3915</v>
      </c>
      <c r="R13" s="109" t="n">
        <f aca="false">Pipeline!$Q$20*Pipeline!$D$20*MIN(1,MAX(0,(16-Pipeline!$E$20+1)/MAX(Pipeline!$F$20,1)))</f>
        <v>4893.75</v>
      </c>
      <c r="S13" s="109" t="n">
        <f aca="false">Pipeline!$Q$20*Pipeline!$D$20*MIN(1,MAX(0,(17-Pipeline!$E$20+1)/MAX(Pipeline!$F$20,1)))</f>
        <v>5872.5</v>
      </c>
      <c r="T13" s="109" t="n">
        <f aca="false">Pipeline!$Q$20*Pipeline!$D$20*MIN(1,MAX(0,(18-Pipeline!$E$20+1)/MAX(Pipeline!$F$20,1)))</f>
        <v>6851.25</v>
      </c>
      <c r="U13" s="109" t="n">
        <f aca="false">Pipeline!$Q$20*Pipeline!$D$20*MIN(1,MAX(0,(19-Pipeline!$E$20+1)/MAX(Pipeline!$F$20,1)))</f>
        <v>7830</v>
      </c>
      <c r="V13" s="109" t="n">
        <f aca="false">Pipeline!$Q$20*Pipeline!$D$20*MIN(1,MAX(0,(20-Pipeline!$E$20+1)/MAX(Pipeline!$F$20,1)))</f>
        <v>8808.75</v>
      </c>
      <c r="W13" s="109" t="n">
        <f aca="false">Pipeline!$Q$20*Pipeline!$D$20*MIN(1,MAX(0,(21-Pipeline!$E$20+1)/MAX(Pipeline!$F$20,1)))</f>
        <v>9787.5</v>
      </c>
      <c r="X13" s="109" t="n">
        <f aca="false">Pipeline!$Q$20*Pipeline!$D$20*MIN(1,MAX(0,(22-Pipeline!$E$20+1)/MAX(Pipeline!$F$20,1)))</f>
        <v>9787.5</v>
      </c>
      <c r="Y13" s="109" t="n">
        <f aca="false">Pipeline!$Q$20*Pipeline!$D$20*MIN(1,MAX(0,(23-Pipeline!$E$20+1)/MAX(Pipeline!$F$20,1)))</f>
        <v>9787.5</v>
      </c>
      <c r="Z13" s="109" t="n">
        <f aca="false">Pipeline!$Q$20*Pipeline!$D$20*MIN(1,MAX(0,(24-Pipeline!$E$20+1)/MAX(Pipeline!$F$20,1)))</f>
        <v>9787.5</v>
      </c>
      <c r="AA13" s="109" t="n">
        <f aca="false">Pipeline!$Q$20*Pipeline!$D$20*MIN(1,MAX(0,(25-Pipeline!$E$20+1)/MAX(Pipeline!$F$20,1)))</f>
        <v>9787.5</v>
      </c>
      <c r="AB13" s="109" t="n">
        <f aca="false">Pipeline!$Q$20*Pipeline!$D$20*MIN(1,MAX(0,(26-Pipeline!$E$20+1)/MAX(Pipeline!$F$20,1)))</f>
        <v>9787.5</v>
      </c>
      <c r="AC13" s="109" t="n">
        <f aca="false">Pipeline!$Q$20*Pipeline!$D$20*MIN(1,MAX(0,(27-Pipeline!$E$20+1)/MAX(Pipeline!$F$20,1)))</f>
        <v>9787.5</v>
      </c>
      <c r="AD13" s="109" t="n">
        <f aca="false">Pipeline!$Q$20*Pipeline!$D$20*MIN(1,MAX(0,(28-Pipeline!$E$20+1)/MAX(Pipeline!$F$20,1)))</f>
        <v>9787.5</v>
      </c>
      <c r="AE13" s="109" t="n">
        <f aca="false">Pipeline!$Q$20*Pipeline!$D$20*MIN(1,MAX(0,(29-Pipeline!$E$20+1)/MAX(Pipeline!$F$20,1)))</f>
        <v>9787.5</v>
      </c>
      <c r="AF13" s="109" t="n">
        <f aca="false">Pipeline!$Q$20*Pipeline!$D$20*MIN(1,MAX(0,(30-Pipeline!$E$20+1)/MAX(Pipeline!$F$20,1)))</f>
        <v>9787.5</v>
      </c>
      <c r="AG13" s="109" t="n">
        <f aca="false">Pipeline!$Q$20*Pipeline!$D$20*MIN(1,MAX(0,(31-Pipeline!$E$20+1)/MAX(Pipeline!$F$20,1)))</f>
        <v>9787.5</v>
      </c>
      <c r="AH13" s="109" t="n">
        <f aca="false">Pipeline!$Q$20*Pipeline!$D$20*MIN(1,MAX(0,(32-Pipeline!$E$20+1)/MAX(Pipeline!$F$20,1)))</f>
        <v>9787.5</v>
      </c>
      <c r="AI13" s="109" t="n">
        <f aca="false">Pipeline!$Q$20*Pipeline!$D$20*MIN(1,MAX(0,(33-Pipeline!$E$20+1)/MAX(Pipeline!$F$20,1)))</f>
        <v>9787.5</v>
      </c>
      <c r="AJ13" s="109" t="n">
        <f aca="false">Pipeline!$Q$20*Pipeline!$D$20*MIN(1,MAX(0,(34-Pipeline!$E$20+1)/MAX(Pipeline!$F$20,1)))</f>
        <v>9787.5</v>
      </c>
      <c r="AK13" s="109" t="n">
        <f aca="false">Pipeline!$Q$20*Pipeline!$D$20*MIN(1,MAX(0,(35-Pipeline!$E$20+1)/MAX(Pipeline!$F$20,1)))</f>
        <v>9787.5</v>
      </c>
      <c r="AL13" s="109" t="n">
        <f aca="false">Pipeline!$Q$20*Pipeline!$D$20*MIN(1,MAX(0,(36-Pipeline!$E$20+1)/MAX(Pipeline!$F$20,1)))</f>
        <v>9787.5</v>
      </c>
      <c r="AM13" s="109" t="n">
        <f aca="false">Pipeline!$Q$20*Pipeline!$D$20*MIN(1,MAX(0,(37-Pipeline!$E$20+1)/MAX(Pipeline!$F$20,1)))</f>
        <v>9787.5</v>
      </c>
      <c r="AN13" s="109" t="n">
        <f aca="false">Pipeline!$Q$20*Pipeline!$D$20*MIN(1,MAX(0,(38-Pipeline!$E$20+1)/MAX(Pipeline!$F$20,1)))</f>
        <v>9787.5</v>
      </c>
      <c r="AO13" s="109" t="n">
        <f aca="false">Pipeline!$Q$20*Pipeline!$D$20*MIN(1,MAX(0,(39-Pipeline!$E$20+1)/MAX(Pipeline!$F$20,1)))</f>
        <v>9787.5</v>
      </c>
      <c r="AP13" s="109" t="n">
        <f aca="false">Pipeline!$Q$20*Pipeline!$D$20*MIN(1,MAX(0,(40-Pipeline!$E$20+1)/MAX(Pipeline!$F$20,1)))</f>
        <v>9787.5</v>
      </c>
      <c r="AQ13" s="109" t="n">
        <f aca="false">Pipeline!$Q$20*Pipeline!$D$20*MIN(1,MAX(0,(41-Pipeline!$E$20+1)/MAX(Pipeline!$F$20,1)))</f>
        <v>9787.5</v>
      </c>
      <c r="AR13" s="109" t="n">
        <f aca="false">Pipeline!$Q$20*Pipeline!$D$20*MIN(1,MAX(0,(42-Pipeline!$E$20+1)/MAX(Pipeline!$F$20,1)))</f>
        <v>9787.5</v>
      </c>
      <c r="AS13" s="109" t="n">
        <f aca="false">Pipeline!$Q$20*Pipeline!$D$20*MIN(1,MAX(0,(43-Pipeline!$E$20+1)/MAX(Pipeline!$F$20,1)))</f>
        <v>9787.5</v>
      </c>
      <c r="AT13" s="109" t="n">
        <f aca="false">Pipeline!$Q$20*Pipeline!$D$20*MIN(1,MAX(0,(44-Pipeline!$E$20+1)/MAX(Pipeline!$F$20,1)))</f>
        <v>9787.5</v>
      </c>
      <c r="AU13" s="109" t="n">
        <f aca="false">Pipeline!$Q$20*Pipeline!$D$20*MIN(1,MAX(0,(45-Pipeline!$E$20+1)/MAX(Pipeline!$F$20,1)))</f>
        <v>9787.5</v>
      </c>
      <c r="AV13" s="109" t="n">
        <f aca="false">Pipeline!$Q$20*Pipeline!$D$20*MIN(1,MAX(0,(46-Pipeline!$E$20+1)/MAX(Pipeline!$F$20,1)))</f>
        <v>9787.5</v>
      </c>
      <c r="AW13" s="109" t="n">
        <f aca="false">Pipeline!$Q$20*Pipeline!$D$20*MIN(1,MAX(0,(47-Pipeline!$E$20+1)/MAX(Pipeline!$F$20,1)))</f>
        <v>9787.5</v>
      </c>
      <c r="AX13" s="109" t="n">
        <f aca="false">Pipeline!$Q$20*Pipeline!$D$20*MIN(1,MAX(0,(48-Pipeline!$E$20+1)/MAX(Pipeline!$F$20,1)))</f>
        <v>9787.5</v>
      </c>
      <c r="AY13" s="109" t="n">
        <f aca="false">Pipeline!$Q$20*Pipeline!$D$20*MIN(1,MAX(0,(49-Pipeline!$E$20+1)/MAX(Pipeline!$F$20,1)))</f>
        <v>9787.5</v>
      </c>
      <c r="AZ13" s="109" t="n">
        <f aca="false">Pipeline!$Q$20*Pipeline!$D$20*MIN(1,MAX(0,(50-Pipeline!$E$20+1)/MAX(Pipeline!$F$20,1)))</f>
        <v>9787.5</v>
      </c>
      <c r="BA13" s="109" t="n">
        <f aca="false">Pipeline!$Q$20*Pipeline!$D$20*MIN(1,MAX(0,(51-Pipeline!$E$20+1)/MAX(Pipeline!$F$20,1)))</f>
        <v>9787.5</v>
      </c>
      <c r="BB13" s="109" t="n">
        <f aca="false">Pipeline!$Q$20*Pipeline!$D$20*MIN(1,MAX(0,(52-Pipeline!$E$20+1)/MAX(Pipeline!$F$20,1)))</f>
        <v>9787.5</v>
      </c>
      <c r="BC13" s="109" t="n">
        <f aca="false">Pipeline!$Q$20*Pipeline!$D$20*MIN(1,MAX(0,(53-Pipeline!$E$20+1)/MAX(Pipeline!$F$20,1)))</f>
        <v>9787.5</v>
      </c>
      <c r="BD13" s="109" t="n">
        <f aca="false">Pipeline!$Q$20*Pipeline!$D$20*MIN(1,MAX(0,(54-Pipeline!$E$20+1)/MAX(Pipeline!$F$20,1)))</f>
        <v>9787.5</v>
      </c>
      <c r="BE13" s="109" t="n">
        <f aca="false">Pipeline!$Q$20*Pipeline!$D$20*MIN(1,MAX(0,(55-Pipeline!$E$20+1)/MAX(Pipeline!$F$20,1)))</f>
        <v>9787.5</v>
      </c>
      <c r="BF13" s="109" t="n">
        <f aca="false">Pipeline!$Q$20*Pipeline!$D$20*MIN(1,MAX(0,(56-Pipeline!$E$20+1)/MAX(Pipeline!$F$20,1)))</f>
        <v>9787.5</v>
      </c>
      <c r="BG13" s="109" t="n">
        <f aca="false">Pipeline!$Q$20*Pipeline!$D$20*MIN(1,MAX(0,(57-Pipeline!$E$20+1)/MAX(Pipeline!$F$20,1)))</f>
        <v>9787.5</v>
      </c>
      <c r="BH13" s="109" t="n">
        <f aca="false">Pipeline!$Q$20*Pipeline!$D$20*MIN(1,MAX(0,(58-Pipeline!$E$20+1)/MAX(Pipeline!$F$20,1)))</f>
        <v>9787.5</v>
      </c>
      <c r="BI13" s="109" t="n">
        <f aca="false">Pipeline!$Q$20*Pipeline!$D$20*MIN(1,MAX(0,(59-Pipeline!$E$20+1)/MAX(Pipeline!$F$20,1)))</f>
        <v>9787.5</v>
      </c>
      <c r="BJ13" s="109" t="n">
        <f aca="false">Pipeline!$Q$20*Pipeline!$D$20*MIN(1,MAX(0,(60-Pipeline!$E$20+1)/MAX(Pipeline!$F$20,1)))</f>
        <v>9787.5</v>
      </c>
      <c r="BK13" s="109" t="n">
        <f aca="false">Pipeline!$Q$20*Pipeline!$D$20*MIN(1,MAX(0,(61-Pipeline!$E$20+1)/MAX(Pipeline!$F$20,1)))</f>
        <v>9787.5</v>
      </c>
      <c r="BL13" s="109" t="n">
        <f aca="false">Pipeline!$Q$20*Pipeline!$D$20*MIN(1,MAX(0,(62-Pipeline!$E$20+1)/MAX(Pipeline!$F$20,1)))</f>
        <v>9787.5</v>
      </c>
      <c r="BM13" s="109" t="n">
        <f aca="false">Pipeline!$Q$20*Pipeline!$D$20*MIN(1,MAX(0,(63-Pipeline!$E$20+1)/MAX(Pipeline!$F$20,1)))</f>
        <v>9787.5</v>
      </c>
      <c r="BN13" s="109" t="n">
        <f aca="false">Pipeline!$Q$20*Pipeline!$D$20*MIN(1,MAX(0,(64-Pipeline!$E$20+1)/MAX(Pipeline!$F$20,1)))</f>
        <v>9787.5</v>
      </c>
      <c r="BO13" s="109" t="n">
        <f aca="false">Pipeline!$Q$20*Pipeline!$D$20*MIN(1,MAX(0,(65-Pipeline!$E$20+1)/MAX(Pipeline!$F$20,1)))</f>
        <v>9787.5</v>
      </c>
      <c r="BP13" s="109" t="n">
        <f aca="false">Pipeline!$Q$20*Pipeline!$D$20*MIN(1,MAX(0,(66-Pipeline!$E$20+1)/MAX(Pipeline!$F$20,1)))</f>
        <v>9787.5</v>
      </c>
      <c r="BQ13" s="109" t="n">
        <f aca="false">Pipeline!$Q$20*Pipeline!$D$20*MIN(1,MAX(0,(67-Pipeline!$E$20+1)/MAX(Pipeline!$F$20,1)))</f>
        <v>9787.5</v>
      </c>
      <c r="BR13" s="109" t="n">
        <f aca="false">Pipeline!$Q$20*Pipeline!$D$20*MIN(1,MAX(0,(68-Pipeline!$E$20+1)/MAX(Pipeline!$F$20,1)))</f>
        <v>9787.5</v>
      </c>
      <c r="BS13" s="109" t="n">
        <f aca="false">Pipeline!$Q$20*Pipeline!$D$20*MIN(1,MAX(0,(69-Pipeline!$E$20+1)/MAX(Pipeline!$F$20,1)))</f>
        <v>9787.5</v>
      </c>
      <c r="BT13" s="109" t="n">
        <f aca="false">Pipeline!$Q$20*Pipeline!$D$20*MIN(1,MAX(0,(70-Pipeline!$E$20+1)/MAX(Pipeline!$F$20,1)))</f>
        <v>9787.5</v>
      </c>
      <c r="BU13" s="109" t="n">
        <f aca="false">Pipeline!$Q$20*Pipeline!$D$20*MIN(1,MAX(0,(71-Pipeline!$E$20+1)/MAX(Pipeline!$F$20,1)))</f>
        <v>9787.5</v>
      </c>
      <c r="BV13" s="109" t="n">
        <f aca="false">Pipeline!$Q$20*Pipeline!$D$20*MIN(1,MAX(0,(72-Pipeline!$E$20+1)/MAX(Pipeline!$F$20,1)))</f>
        <v>9787.5</v>
      </c>
      <c r="BW13" s="109" t="n">
        <f aca="false">Pipeline!$Q$20*Pipeline!$D$20*MIN(1,MAX(0,(73-Pipeline!$E$20+1)/MAX(Pipeline!$F$20,1)))</f>
        <v>9787.5</v>
      </c>
      <c r="BX13" s="109" t="n">
        <f aca="false">Pipeline!$Q$20*Pipeline!$D$20*MIN(1,MAX(0,(74-Pipeline!$E$20+1)/MAX(Pipeline!$F$20,1)))</f>
        <v>9787.5</v>
      </c>
      <c r="BY13" s="109" t="n">
        <f aca="false">Pipeline!$Q$20*Pipeline!$D$20*MIN(1,MAX(0,(75-Pipeline!$E$20+1)/MAX(Pipeline!$F$20,1)))</f>
        <v>9787.5</v>
      </c>
      <c r="BZ13" s="109" t="n">
        <f aca="false">Pipeline!$Q$20*Pipeline!$D$20*MIN(1,MAX(0,(76-Pipeline!$E$20+1)/MAX(Pipeline!$F$20,1)))</f>
        <v>9787.5</v>
      </c>
      <c r="CA13" s="109" t="n">
        <f aca="false">Pipeline!$Q$20*Pipeline!$D$20*MIN(1,MAX(0,(77-Pipeline!$E$20+1)/MAX(Pipeline!$F$20,1)))</f>
        <v>9787.5</v>
      </c>
      <c r="CB13" s="109" t="n">
        <f aca="false">Pipeline!$Q$20*Pipeline!$D$20*MIN(1,MAX(0,(78-Pipeline!$E$20+1)/MAX(Pipeline!$F$20,1)))</f>
        <v>9787.5</v>
      </c>
      <c r="CC13" s="109" t="n">
        <f aca="false">Pipeline!$Q$20*Pipeline!$D$20*MIN(1,MAX(0,(79-Pipeline!$E$20+1)/MAX(Pipeline!$F$20,1)))</f>
        <v>9787.5</v>
      </c>
      <c r="CD13" s="109" t="n">
        <f aca="false">Pipeline!$Q$20*Pipeline!$D$20*MIN(1,MAX(0,(80-Pipeline!$E$20+1)/MAX(Pipeline!$F$20,1)))</f>
        <v>9787.5</v>
      </c>
      <c r="CE13" s="109" t="n">
        <f aca="false">Pipeline!$Q$20*Pipeline!$D$20*MIN(1,MAX(0,(81-Pipeline!$E$20+1)/MAX(Pipeline!$F$20,1)))</f>
        <v>9787.5</v>
      </c>
      <c r="CF13" s="109" t="n">
        <f aca="false">Pipeline!$Q$20*Pipeline!$D$20*MIN(1,MAX(0,(82-Pipeline!$E$20+1)/MAX(Pipeline!$F$20,1)))</f>
        <v>9787.5</v>
      </c>
      <c r="CG13" s="109" t="n">
        <f aca="false">Pipeline!$Q$20*Pipeline!$D$20*MIN(1,MAX(0,(83-Pipeline!$E$20+1)/MAX(Pipeline!$F$20,1)))</f>
        <v>9787.5</v>
      </c>
      <c r="CH13" s="109" t="n">
        <f aca="false">Pipeline!$Q$20*Pipeline!$D$20*MIN(1,MAX(0,(84-Pipeline!$E$20+1)/MAX(Pipeline!$F$20,1)))</f>
        <v>9787.5</v>
      </c>
    </row>
    <row r="14" customFormat="false" ht="13.5" hidden="false" customHeight="true" outlineLevel="0" collapsed="false">
      <c r="A14" s="6" t="s">
        <v>522</v>
      </c>
      <c r="C14" s="109" t="n">
        <f aca="false">Pipeline!$Q$21*Pipeline!$D$21*MIN(1,MAX(0,(1-Pipeline!$E$21+1)/MAX(Pipeline!$F$21,1)))</f>
        <v>0</v>
      </c>
      <c r="D14" s="109" t="n">
        <f aca="false">Pipeline!$Q$21*Pipeline!$D$21*MIN(1,MAX(0,(2-Pipeline!$E$21+1)/MAX(Pipeline!$F$21,1)))</f>
        <v>0</v>
      </c>
      <c r="E14" s="109" t="n">
        <f aca="false">Pipeline!$Q$21*Pipeline!$D$21*MIN(1,MAX(0,(3-Pipeline!$E$21+1)/MAX(Pipeline!$F$21,1)))</f>
        <v>0</v>
      </c>
      <c r="F14" s="109" t="n">
        <f aca="false">Pipeline!$Q$21*Pipeline!$D$21*MIN(1,MAX(0,(4-Pipeline!$E$21+1)/MAX(Pipeline!$F$21,1)))</f>
        <v>0</v>
      </c>
      <c r="G14" s="109" t="n">
        <f aca="false">Pipeline!$Q$21*Pipeline!$D$21*MIN(1,MAX(0,(5-Pipeline!$E$21+1)/MAX(Pipeline!$F$21,1)))</f>
        <v>0</v>
      </c>
      <c r="H14" s="109" t="n">
        <f aca="false">Pipeline!$Q$21*Pipeline!$D$21*MIN(1,MAX(0,(6-Pipeline!$E$21+1)/MAX(Pipeline!$F$21,1)))</f>
        <v>0</v>
      </c>
      <c r="I14" s="109" t="n">
        <f aca="false">Pipeline!$Q$21*Pipeline!$D$21*MIN(1,MAX(0,(7-Pipeline!$E$21+1)/MAX(Pipeline!$F$21,1)))</f>
        <v>0</v>
      </c>
      <c r="J14" s="109" t="n">
        <f aca="false">Pipeline!$Q$21*Pipeline!$D$21*MIN(1,MAX(0,(8-Pipeline!$E$21+1)/MAX(Pipeline!$F$21,1)))</f>
        <v>0</v>
      </c>
      <c r="K14" s="109" t="n">
        <f aca="false">Pipeline!$Q$21*Pipeline!$D$21*MIN(1,MAX(0,(9-Pipeline!$E$21+1)/MAX(Pipeline!$F$21,1)))</f>
        <v>0</v>
      </c>
      <c r="L14" s="109" t="n">
        <f aca="false">Pipeline!$Q$21*Pipeline!$D$21*MIN(1,MAX(0,(10-Pipeline!$E$21+1)/MAX(Pipeline!$F$21,1)))</f>
        <v>0</v>
      </c>
      <c r="M14" s="109" t="n">
        <f aca="false">Pipeline!$Q$21*Pipeline!$D$21*MIN(1,MAX(0,(11-Pipeline!$E$21+1)/MAX(Pipeline!$F$21,1)))</f>
        <v>0</v>
      </c>
      <c r="N14" s="109" t="n">
        <f aca="false">Pipeline!$Q$21*Pipeline!$D$21*MIN(1,MAX(0,(12-Pipeline!$E$21+1)/MAX(Pipeline!$F$21,1)))</f>
        <v>0</v>
      </c>
      <c r="O14" s="109" t="n">
        <f aca="false">Pipeline!$Q$21*Pipeline!$D$21*MIN(1,MAX(0,(13-Pipeline!$E$21+1)/MAX(Pipeline!$F$21,1)))</f>
        <v>0</v>
      </c>
      <c r="P14" s="109" t="n">
        <f aca="false">Pipeline!$Q$21*Pipeline!$D$21*MIN(1,MAX(0,(14-Pipeline!$E$21+1)/MAX(Pipeline!$F$21,1)))</f>
        <v>365.4</v>
      </c>
      <c r="Q14" s="109" t="n">
        <f aca="false">Pipeline!$Q$21*Pipeline!$D$21*MIN(1,MAX(0,(15-Pipeline!$E$21+1)/MAX(Pipeline!$F$21,1)))</f>
        <v>730.8</v>
      </c>
      <c r="R14" s="109" t="n">
        <f aca="false">Pipeline!$Q$21*Pipeline!$D$21*MIN(1,MAX(0,(16-Pipeline!$E$21+1)/MAX(Pipeline!$F$21,1)))</f>
        <v>1096.2</v>
      </c>
      <c r="S14" s="109" t="n">
        <f aca="false">Pipeline!$Q$21*Pipeline!$D$21*MIN(1,MAX(0,(17-Pipeline!$E$21+1)/MAX(Pipeline!$F$21,1)))</f>
        <v>1461.6</v>
      </c>
      <c r="T14" s="109" t="n">
        <f aca="false">Pipeline!$Q$21*Pipeline!$D$21*MIN(1,MAX(0,(18-Pipeline!$E$21+1)/MAX(Pipeline!$F$21,1)))</f>
        <v>1827</v>
      </c>
      <c r="U14" s="109" t="n">
        <f aca="false">Pipeline!$Q$21*Pipeline!$D$21*MIN(1,MAX(0,(19-Pipeline!$E$21+1)/MAX(Pipeline!$F$21,1)))</f>
        <v>2192.4</v>
      </c>
      <c r="V14" s="109" t="n">
        <f aca="false">Pipeline!$Q$21*Pipeline!$D$21*MIN(1,MAX(0,(20-Pipeline!$E$21+1)/MAX(Pipeline!$F$21,1)))</f>
        <v>2557.8</v>
      </c>
      <c r="W14" s="109" t="n">
        <f aca="false">Pipeline!$Q$21*Pipeline!$D$21*MIN(1,MAX(0,(21-Pipeline!$E$21+1)/MAX(Pipeline!$F$21,1)))</f>
        <v>2923.2</v>
      </c>
      <c r="X14" s="109" t="n">
        <f aca="false">Pipeline!$Q$21*Pipeline!$D$21*MIN(1,MAX(0,(22-Pipeline!$E$21+1)/MAX(Pipeline!$F$21,1)))</f>
        <v>3288.6</v>
      </c>
      <c r="Y14" s="109" t="n">
        <f aca="false">Pipeline!$Q$21*Pipeline!$D$21*MIN(1,MAX(0,(23-Pipeline!$E$21+1)/MAX(Pipeline!$F$21,1)))</f>
        <v>3654</v>
      </c>
      <c r="Z14" s="109" t="n">
        <f aca="false">Pipeline!$Q$21*Pipeline!$D$21*MIN(1,MAX(0,(24-Pipeline!$E$21+1)/MAX(Pipeline!$F$21,1)))</f>
        <v>3654</v>
      </c>
      <c r="AA14" s="109" t="n">
        <f aca="false">Pipeline!$Q$21*Pipeline!$D$21*MIN(1,MAX(0,(25-Pipeline!$E$21+1)/MAX(Pipeline!$F$21,1)))</f>
        <v>3654</v>
      </c>
      <c r="AB14" s="109" t="n">
        <f aca="false">Pipeline!$Q$21*Pipeline!$D$21*MIN(1,MAX(0,(26-Pipeline!$E$21+1)/MAX(Pipeline!$F$21,1)))</f>
        <v>3654</v>
      </c>
      <c r="AC14" s="109" t="n">
        <f aca="false">Pipeline!$Q$21*Pipeline!$D$21*MIN(1,MAX(0,(27-Pipeline!$E$21+1)/MAX(Pipeline!$F$21,1)))</f>
        <v>3654</v>
      </c>
      <c r="AD14" s="109" t="n">
        <f aca="false">Pipeline!$Q$21*Pipeline!$D$21*MIN(1,MAX(0,(28-Pipeline!$E$21+1)/MAX(Pipeline!$F$21,1)))</f>
        <v>3654</v>
      </c>
      <c r="AE14" s="109" t="n">
        <f aca="false">Pipeline!$Q$21*Pipeline!$D$21*MIN(1,MAX(0,(29-Pipeline!$E$21+1)/MAX(Pipeline!$F$21,1)))</f>
        <v>3654</v>
      </c>
      <c r="AF14" s="109" t="n">
        <f aca="false">Pipeline!$Q$21*Pipeline!$D$21*MIN(1,MAX(0,(30-Pipeline!$E$21+1)/MAX(Pipeline!$F$21,1)))</f>
        <v>3654</v>
      </c>
      <c r="AG14" s="109" t="n">
        <f aca="false">Pipeline!$Q$21*Pipeline!$D$21*MIN(1,MAX(0,(31-Pipeline!$E$21+1)/MAX(Pipeline!$F$21,1)))</f>
        <v>3654</v>
      </c>
      <c r="AH14" s="109" t="n">
        <f aca="false">Pipeline!$Q$21*Pipeline!$D$21*MIN(1,MAX(0,(32-Pipeline!$E$21+1)/MAX(Pipeline!$F$21,1)))</f>
        <v>3654</v>
      </c>
      <c r="AI14" s="109" t="n">
        <f aca="false">Pipeline!$Q$21*Pipeline!$D$21*MIN(1,MAX(0,(33-Pipeline!$E$21+1)/MAX(Pipeline!$F$21,1)))</f>
        <v>3654</v>
      </c>
      <c r="AJ14" s="109" t="n">
        <f aca="false">Pipeline!$Q$21*Pipeline!$D$21*MIN(1,MAX(0,(34-Pipeline!$E$21+1)/MAX(Pipeline!$F$21,1)))</f>
        <v>3654</v>
      </c>
      <c r="AK14" s="109" t="n">
        <f aca="false">Pipeline!$Q$21*Pipeline!$D$21*MIN(1,MAX(0,(35-Pipeline!$E$21+1)/MAX(Pipeline!$F$21,1)))</f>
        <v>3654</v>
      </c>
      <c r="AL14" s="109" t="n">
        <f aca="false">Pipeline!$Q$21*Pipeline!$D$21*MIN(1,MAX(0,(36-Pipeline!$E$21+1)/MAX(Pipeline!$F$21,1)))</f>
        <v>3654</v>
      </c>
      <c r="AM14" s="109" t="n">
        <f aca="false">Pipeline!$Q$21*Pipeline!$D$21*MIN(1,MAX(0,(37-Pipeline!$E$21+1)/MAX(Pipeline!$F$21,1)))</f>
        <v>3654</v>
      </c>
      <c r="AN14" s="109" t="n">
        <f aca="false">Pipeline!$Q$21*Pipeline!$D$21*MIN(1,MAX(0,(38-Pipeline!$E$21+1)/MAX(Pipeline!$F$21,1)))</f>
        <v>3654</v>
      </c>
      <c r="AO14" s="109" t="n">
        <f aca="false">Pipeline!$Q$21*Pipeline!$D$21*MIN(1,MAX(0,(39-Pipeline!$E$21+1)/MAX(Pipeline!$F$21,1)))</f>
        <v>3654</v>
      </c>
      <c r="AP14" s="109" t="n">
        <f aca="false">Pipeline!$Q$21*Pipeline!$D$21*MIN(1,MAX(0,(40-Pipeline!$E$21+1)/MAX(Pipeline!$F$21,1)))</f>
        <v>3654</v>
      </c>
      <c r="AQ14" s="109" t="n">
        <f aca="false">Pipeline!$Q$21*Pipeline!$D$21*MIN(1,MAX(0,(41-Pipeline!$E$21+1)/MAX(Pipeline!$F$21,1)))</f>
        <v>3654</v>
      </c>
      <c r="AR14" s="109" t="n">
        <f aca="false">Pipeline!$Q$21*Pipeline!$D$21*MIN(1,MAX(0,(42-Pipeline!$E$21+1)/MAX(Pipeline!$F$21,1)))</f>
        <v>3654</v>
      </c>
      <c r="AS14" s="109" t="n">
        <f aca="false">Pipeline!$Q$21*Pipeline!$D$21*MIN(1,MAX(0,(43-Pipeline!$E$21+1)/MAX(Pipeline!$F$21,1)))</f>
        <v>3654</v>
      </c>
      <c r="AT14" s="109" t="n">
        <f aca="false">Pipeline!$Q$21*Pipeline!$D$21*MIN(1,MAX(0,(44-Pipeline!$E$21+1)/MAX(Pipeline!$F$21,1)))</f>
        <v>3654</v>
      </c>
      <c r="AU14" s="109" t="n">
        <f aca="false">Pipeline!$Q$21*Pipeline!$D$21*MIN(1,MAX(0,(45-Pipeline!$E$21+1)/MAX(Pipeline!$F$21,1)))</f>
        <v>3654</v>
      </c>
      <c r="AV14" s="109" t="n">
        <f aca="false">Pipeline!$Q$21*Pipeline!$D$21*MIN(1,MAX(0,(46-Pipeline!$E$21+1)/MAX(Pipeline!$F$21,1)))</f>
        <v>3654</v>
      </c>
      <c r="AW14" s="109" t="n">
        <f aca="false">Pipeline!$Q$21*Pipeline!$D$21*MIN(1,MAX(0,(47-Pipeline!$E$21+1)/MAX(Pipeline!$F$21,1)))</f>
        <v>3654</v>
      </c>
      <c r="AX14" s="109" t="n">
        <f aca="false">Pipeline!$Q$21*Pipeline!$D$21*MIN(1,MAX(0,(48-Pipeline!$E$21+1)/MAX(Pipeline!$F$21,1)))</f>
        <v>3654</v>
      </c>
      <c r="AY14" s="109" t="n">
        <f aca="false">Pipeline!$Q$21*Pipeline!$D$21*MIN(1,MAX(0,(49-Pipeline!$E$21+1)/MAX(Pipeline!$F$21,1)))</f>
        <v>3654</v>
      </c>
      <c r="AZ14" s="109" t="n">
        <f aca="false">Pipeline!$Q$21*Pipeline!$D$21*MIN(1,MAX(0,(50-Pipeline!$E$21+1)/MAX(Pipeline!$F$21,1)))</f>
        <v>3654</v>
      </c>
      <c r="BA14" s="109" t="n">
        <f aca="false">Pipeline!$Q$21*Pipeline!$D$21*MIN(1,MAX(0,(51-Pipeline!$E$21+1)/MAX(Pipeline!$F$21,1)))</f>
        <v>3654</v>
      </c>
      <c r="BB14" s="109" t="n">
        <f aca="false">Pipeline!$Q$21*Pipeline!$D$21*MIN(1,MAX(0,(52-Pipeline!$E$21+1)/MAX(Pipeline!$F$21,1)))</f>
        <v>3654</v>
      </c>
      <c r="BC14" s="109" t="n">
        <f aca="false">Pipeline!$Q$21*Pipeline!$D$21*MIN(1,MAX(0,(53-Pipeline!$E$21+1)/MAX(Pipeline!$F$21,1)))</f>
        <v>3654</v>
      </c>
      <c r="BD14" s="109" t="n">
        <f aca="false">Pipeline!$Q$21*Pipeline!$D$21*MIN(1,MAX(0,(54-Pipeline!$E$21+1)/MAX(Pipeline!$F$21,1)))</f>
        <v>3654</v>
      </c>
      <c r="BE14" s="109" t="n">
        <f aca="false">Pipeline!$Q$21*Pipeline!$D$21*MIN(1,MAX(0,(55-Pipeline!$E$21+1)/MAX(Pipeline!$F$21,1)))</f>
        <v>3654</v>
      </c>
      <c r="BF14" s="109" t="n">
        <f aca="false">Pipeline!$Q$21*Pipeline!$D$21*MIN(1,MAX(0,(56-Pipeline!$E$21+1)/MAX(Pipeline!$F$21,1)))</f>
        <v>3654</v>
      </c>
      <c r="BG14" s="109" t="n">
        <f aca="false">Pipeline!$Q$21*Pipeline!$D$21*MIN(1,MAX(0,(57-Pipeline!$E$21+1)/MAX(Pipeline!$F$21,1)))</f>
        <v>3654</v>
      </c>
      <c r="BH14" s="109" t="n">
        <f aca="false">Pipeline!$Q$21*Pipeline!$D$21*MIN(1,MAX(0,(58-Pipeline!$E$21+1)/MAX(Pipeline!$F$21,1)))</f>
        <v>3654</v>
      </c>
      <c r="BI14" s="109" t="n">
        <f aca="false">Pipeline!$Q$21*Pipeline!$D$21*MIN(1,MAX(0,(59-Pipeline!$E$21+1)/MAX(Pipeline!$F$21,1)))</f>
        <v>3654</v>
      </c>
      <c r="BJ14" s="109" t="n">
        <f aca="false">Pipeline!$Q$21*Pipeline!$D$21*MIN(1,MAX(0,(60-Pipeline!$E$21+1)/MAX(Pipeline!$F$21,1)))</f>
        <v>3654</v>
      </c>
      <c r="BK14" s="109" t="n">
        <f aca="false">Pipeline!$Q$21*Pipeline!$D$21*MIN(1,MAX(0,(61-Pipeline!$E$21+1)/MAX(Pipeline!$F$21,1)))</f>
        <v>3654</v>
      </c>
      <c r="BL14" s="109" t="n">
        <f aca="false">Pipeline!$Q$21*Pipeline!$D$21*MIN(1,MAX(0,(62-Pipeline!$E$21+1)/MAX(Pipeline!$F$21,1)))</f>
        <v>3654</v>
      </c>
      <c r="BM14" s="109" t="n">
        <f aca="false">Pipeline!$Q$21*Pipeline!$D$21*MIN(1,MAX(0,(63-Pipeline!$E$21+1)/MAX(Pipeline!$F$21,1)))</f>
        <v>3654</v>
      </c>
      <c r="BN14" s="109" t="n">
        <f aca="false">Pipeline!$Q$21*Pipeline!$D$21*MIN(1,MAX(0,(64-Pipeline!$E$21+1)/MAX(Pipeline!$F$21,1)))</f>
        <v>3654</v>
      </c>
      <c r="BO14" s="109" t="n">
        <f aca="false">Pipeline!$Q$21*Pipeline!$D$21*MIN(1,MAX(0,(65-Pipeline!$E$21+1)/MAX(Pipeline!$F$21,1)))</f>
        <v>3654</v>
      </c>
      <c r="BP14" s="109" t="n">
        <f aca="false">Pipeline!$Q$21*Pipeline!$D$21*MIN(1,MAX(0,(66-Pipeline!$E$21+1)/MAX(Pipeline!$F$21,1)))</f>
        <v>3654</v>
      </c>
      <c r="BQ14" s="109" t="n">
        <f aca="false">Pipeline!$Q$21*Pipeline!$D$21*MIN(1,MAX(0,(67-Pipeline!$E$21+1)/MAX(Pipeline!$F$21,1)))</f>
        <v>3654</v>
      </c>
      <c r="BR14" s="109" t="n">
        <f aca="false">Pipeline!$Q$21*Pipeline!$D$21*MIN(1,MAX(0,(68-Pipeline!$E$21+1)/MAX(Pipeline!$F$21,1)))</f>
        <v>3654</v>
      </c>
      <c r="BS14" s="109" t="n">
        <f aca="false">Pipeline!$Q$21*Pipeline!$D$21*MIN(1,MAX(0,(69-Pipeline!$E$21+1)/MAX(Pipeline!$F$21,1)))</f>
        <v>3654</v>
      </c>
      <c r="BT14" s="109" t="n">
        <f aca="false">Pipeline!$Q$21*Pipeline!$D$21*MIN(1,MAX(0,(70-Pipeline!$E$21+1)/MAX(Pipeline!$F$21,1)))</f>
        <v>3654</v>
      </c>
      <c r="BU14" s="109" t="n">
        <f aca="false">Pipeline!$Q$21*Pipeline!$D$21*MIN(1,MAX(0,(71-Pipeline!$E$21+1)/MAX(Pipeline!$F$21,1)))</f>
        <v>3654</v>
      </c>
      <c r="BV14" s="109" t="n">
        <f aca="false">Pipeline!$Q$21*Pipeline!$D$21*MIN(1,MAX(0,(72-Pipeline!$E$21+1)/MAX(Pipeline!$F$21,1)))</f>
        <v>3654</v>
      </c>
      <c r="BW14" s="109" t="n">
        <f aca="false">Pipeline!$Q$21*Pipeline!$D$21*MIN(1,MAX(0,(73-Pipeline!$E$21+1)/MAX(Pipeline!$F$21,1)))</f>
        <v>3654</v>
      </c>
      <c r="BX14" s="109" t="n">
        <f aca="false">Pipeline!$Q$21*Pipeline!$D$21*MIN(1,MAX(0,(74-Pipeline!$E$21+1)/MAX(Pipeline!$F$21,1)))</f>
        <v>3654</v>
      </c>
      <c r="BY14" s="109" t="n">
        <f aca="false">Pipeline!$Q$21*Pipeline!$D$21*MIN(1,MAX(0,(75-Pipeline!$E$21+1)/MAX(Pipeline!$F$21,1)))</f>
        <v>3654</v>
      </c>
      <c r="BZ14" s="109" t="n">
        <f aca="false">Pipeline!$Q$21*Pipeline!$D$21*MIN(1,MAX(0,(76-Pipeline!$E$21+1)/MAX(Pipeline!$F$21,1)))</f>
        <v>3654</v>
      </c>
      <c r="CA14" s="109" t="n">
        <f aca="false">Pipeline!$Q$21*Pipeline!$D$21*MIN(1,MAX(0,(77-Pipeline!$E$21+1)/MAX(Pipeline!$F$21,1)))</f>
        <v>3654</v>
      </c>
      <c r="CB14" s="109" t="n">
        <f aca="false">Pipeline!$Q$21*Pipeline!$D$21*MIN(1,MAX(0,(78-Pipeline!$E$21+1)/MAX(Pipeline!$F$21,1)))</f>
        <v>3654</v>
      </c>
      <c r="CC14" s="109" t="n">
        <f aca="false">Pipeline!$Q$21*Pipeline!$D$21*MIN(1,MAX(0,(79-Pipeline!$E$21+1)/MAX(Pipeline!$F$21,1)))</f>
        <v>3654</v>
      </c>
      <c r="CD14" s="109" t="n">
        <f aca="false">Pipeline!$Q$21*Pipeline!$D$21*MIN(1,MAX(0,(80-Pipeline!$E$21+1)/MAX(Pipeline!$F$21,1)))</f>
        <v>3654</v>
      </c>
      <c r="CE14" s="109" t="n">
        <f aca="false">Pipeline!$Q$21*Pipeline!$D$21*MIN(1,MAX(0,(81-Pipeline!$E$21+1)/MAX(Pipeline!$F$21,1)))</f>
        <v>3654</v>
      </c>
      <c r="CF14" s="109" t="n">
        <f aca="false">Pipeline!$Q$21*Pipeline!$D$21*MIN(1,MAX(0,(82-Pipeline!$E$21+1)/MAX(Pipeline!$F$21,1)))</f>
        <v>3654</v>
      </c>
      <c r="CG14" s="109" t="n">
        <f aca="false">Pipeline!$Q$21*Pipeline!$D$21*MIN(1,MAX(0,(83-Pipeline!$E$21+1)/MAX(Pipeline!$F$21,1)))</f>
        <v>3654</v>
      </c>
      <c r="CH14" s="109" t="n">
        <f aca="false">Pipeline!$Q$21*Pipeline!$D$21*MIN(1,MAX(0,(84-Pipeline!$E$21+1)/MAX(Pipeline!$F$21,1)))</f>
        <v>3654</v>
      </c>
    </row>
    <row r="15" customFormat="false" ht="13.5" hidden="false" customHeight="true" outlineLevel="0" collapsed="false">
      <c r="A15" s="6" t="s">
        <v>523</v>
      </c>
      <c r="C15" s="109" t="n">
        <f aca="false">Pipeline!$Q$22*Pipeline!$D$22*MIN(1,MAX(0,(1-Pipeline!$E$22+1)/MAX(Pipeline!$F$22,1)))</f>
        <v>0</v>
      </c>
      <c r="D15" s="109" t="n">
        <f aca="false">Pipeline!$Q$22*Pipeline!$D$22*MIN(1,MAX(0,(2-Pipeline!$E$22+1)/MAX(Pipeline!$F$22,1)))</f>
        <v>0</v>
      </c>
      <c r="E15" s="109" t="n">
        <f aca="false">Pipeline!$Q$22*Pipeline!$D$22*MIN(1,MAX(0,(3-Pipeline!$E$22+1)/MAX(Pipeline!$F$22,1)))</f>
        <v>0</v>
      </c>
      <c r="F15" s="109" t="n">
        <f aca="false">Pipeline!$Q$22*Pipeline!$D$22*MIN(1,MAX(0,(4-Pipeline!$E$22+1)/MAX(Pipeline!$F$22,1)))</f>
        <v>0</v>
      </c>
      <c r="G15" s="109" t="n">
        <f aca="false">Pipeline!$Q$22*Pipeline!$D$22*MIN(1,MAX(0,(5-Pipeline!$E$22+1)/MAX(Pipeline!$F$22,1)))</f>
        <v>0</v>
      </c>
      <c r="H15" s="109" t="n">
        <f aca="false">Pipeline!$Q$22*Pipeline!$D$22*MIN(1,MAX(0,(6-Pipeline!$E$22+1)/MAX(Pipeline!$F$22,1)))</f>
        <v>0</v>
      </c>
      <c r="I15" s="109" t="n">
        <f aca="false">Pipeline!$Q$22*Pipeline!$D$22*MIN(1,MAX(0,(7-Pipeline!$E$22+1)/MAX(Pipeline!$F$22,1)))</f>
        <v>0</v>
      </c>
      <c r="J15" s="109" t="n">
        <f aca="false">Pipeline!$Q$22*Pipeline!$D$22*MIN(1,MAX(0,(8-Pipeline!$E$22+1)/MAX(Pipeline!$F$22,1)))</f>
        <v>0</v>
      </c>
      <c r="K15" s="109" t="n">
        <f aca="false">Pipeline!$Q$22*Pipeline!$D$22*MIN(1,MAX(0,(9-Pipeline!$E$22+1)/MAX(Pipeline!$F$22,1)))</f>
        <v>0</v>
      </c>
      <c r="L15" s="109" t="n">
        <f aca="false">Pipeline!$Q$22*Pipeline!$D$22*MIN(1,MAX(0,(10-Pipeline!$E$22+1)/MAX(Pipeline!$F$22,1)))</f>
        <v>0</v>
      </c>
      <c r="M15" s="109" t="n">
        <f aca="false">Pipeline!$Q$22*Pipeline!$D$22*MIN(1,MAX(0,(11-Pipeline!$E$22+1)/MAX(Pipeline!$F$22,1)))</f>
        <v>0</v>
      </c>
      <c r="N15" s="109" t="n">
        <f aca="false">Pipeline!$Q$22*Pipeline!$D$22*MIN(1,MAX(0,(12-Pipeline!$E$22+1)/MAX(Pipeline!$F$22,1)))</f>
        <v>0</v>
      </c>
      <c r="O15" s="109" t="n">
        <f aca="false">Pipeline!$Q$22*Pipeline!$D$22*MIN(1,MAX(0,(13-Pipeline!$E$22+1)/MAX(Pipeline!$F$22,1)))</f>
        <v>0</v>
      </c>
      <c r="P15" s="109" t="n">
        <f aca="false">Pipeline!$Q$22*Pipeline!$D$22*MIN(1,MAX(0,(14-Pipeline!$E$22+1)/MAX(Pipeline!$F$22,1)))</f>
        <v>0</v>
      </c>
      <c r="Q15" s="109" t="n">
        <f aca="false">Pipeline!$Q$22*Pipeline!$D$22*MIN(1,MAX(0,(15-Pipeline!$E$22+1)/MAX(Pipeline!$F$22,1)))</f>
        <v>0</v>
      </c>
      <c r="R15" s="109" t="n">
        <f aca="false">Pipeline!$Q$22*Pipeline!$D$22*MIN(1,MAX(0,(16-Pipeline!$E$22+1)/MAX(Pipeline!$F$22,1)))</f>
        <v>0</v>
      </c>
      <c r="S15" s="109" t="n">
        <f aca="false">Pipeline!$Q$22*Pipeline!$D$22*MIN(1,MAX(0,(17-Pipeline!$E$22+1)/MAX(Pipeline!$F$22,1)))</f>
        <v>0</v>
      </c>
      <c r="T15" s="109" t="n">
        <f aca="false">Pipeline!$Q$22*Pipeline!$D$22*MIN(1,MAX(0,(18-Pipeline!$E$22+1)/MAX(Pipeline!$F$22,1)))</f>
        <v>0</v>
      </c>
      <c r="U15" s="109" t="n">
        <f aca="false">Pipeline!$Q$22*Pipeline!$D$22*MIN(1,MAX(0,(19-Pipeline!$E$22+1)/MAX(Pipeline!$F$22,1)))</f>
        <v>0</v>
      </c>
      <c r="V15" s="109" t="n">
        <f aca="false">Pipeline!$Q$22*Pipeline!$D$22*MIN(1,MAX(0,(20-Pipeline!$E$22+1)/MAX(Pipeline!$F$22,1)))</f>
        <v>0</v>
      </c>
      <c r="W15" s="109" t="n">
        <f aca="false">Pipeline!$Q$22*Pipeline!$D$22*MIN(1,MAX(0,(21-Pipeline!$E$22+1)/MAX(Pipeline!$F$22,1)))</f>
        <v>0</v>
      </c>
      <c r="X15" s="109" t="n">
        <f aca="false">Pipeline!$Q$22*Pipeline!$D$22*MIN(1,MAX(0,(22-Pipeline!$E$22+1)/MAX(Pipeline!$F$22,1)))</f>
        <v>0</v>
      </c>
      <c r="Y15" s="109" t="n">
        <f aca="false">Pipeline!$Q$22*Pipeline!$D$22*MIN(1,MAX(0,(23-Pipeline!$E$22+1)/MAX(Pipeline!$F$22,1)))</f>
        <v>0</v>
      </c>
      <c r="Z15" s="109" t="n">
        <f aca="false">Pipeline!$Q$22*Pipeline!$D$22*MIN(1,MAX(0,(24-Pipeline!$E$22+1)/MAX(Pipeline!$F$22,1)))</f>
        <v>0</v>
      </c>
      <c r="AA15" s="109" t="n">
        <f aca="false">Pipeline!$Q$22*Pipeline!$D$22*MIN(1,MAX(0,(25-Pipeline!$E$22+1)/MAX(Pipeline!$F$22,1)))</f>
        <v>0</v>
      </c>
      <c r="AB15" s="109" t="n">
        <f aca="false">Pipeline!$Q$22*Pipeline!$D$22*MIN(1,MAX(0,(26-Pipeline!$E$22+1)/MAX(Pipeline!$F$22,1)))</f>
        <v>0</v>
      </c>
      <c r="AC15" s="109" t="n">
        <f aca="false">Pipeline!$Q$22*Pipeline!$D$22*MIN(1,MAX(0,(27-Pipeline!$E$22+1)/MAX(Pipeline!$F$22,1)))</f>
        <v>0</v>
      </c>
      <c r="AD15" s="109" t="n">
        <f aca="false">Pipeline!$Q$22*Pipeline!$D$22*MIN(1,MAX(0,(28-Pipeline!$E$22+1)/MAX(Pipeline!$F$22,1)))</f>
        <v>0</v>
      </c>
      <c r="AE15" s="109" t="n">
        <f aca="false">Pipeline!$Q$22*Pipeline!$D$22*MIN(1,MAX(0,(29-Pipeline!$E$22+1)/MAX(Pipeline!$F$22,1)))</f>
        <v>0</v>
      </c>
      <c r="AF15" s="109" t="n">
        <f aca="false">Pipeline!$Q$22*Pipeline!$D$22*MIN(1,MAX(0,(30-Pipeline!$E$22+1)/MAX(Pipeline!$F$22,1)))</f>
        <v>0</v>
      </c>
      <c r="AG15" s="109" t="n">
        <f aca="false">Pipeline!$Q$22*Pipeline!$D$22*MIN(1,MAX(0,(31-Pipeline!$E$22+1)/MAX(Pipeline!$F$22,1)))</f>
        <v>0</v>
      </c>
      <c r="AH15" s="109" t="n">
        <f aca="false">Pipeline!$Q$22*Pipeline!$D$22*MIN(1,MAX(0,(32-Pipeline!$E$22+1)/MAX(Pipeline!$F$22,1)))</f>
        <v>0</v>
      </c>
      <c r="AI15" s="109" t="n">
        <f aca="false">Pipeline!$Q$22*Pipeline!$D$22*MIN(1,MAX(0,(33-Pipeline!$E$22+1)/MAX(Pipeline!$F$22,1)))</f>
        <v>0</v>
      </c>
      <c r="AJ15" s="109" t="n">
        <f aca="false">Pipeline!$Q$22*Pipeline!$D$22*MIN(1,MAX(0,(34-Pipeline!$E$22+1)/MAX(Pipeline!$F$22,1)))</f>
        <v>0</v>
      </c>
      <c r="AK15" s="109" t="n">
        <f aca="false">Pipeline!$Q$22*Pipeline!$D$22*MIN(1,MAX(0,(35-Pipeline!$E$22+1)/MAX(Pipeline!$F$22,1)))</f>
        <v>0</v>
      </c>
      <c r="AL15" s="109" t="n">
        <f aca="false">Pipeline!$Q$22*Pipeline!$D$22*MIN(1,MAX(0,(36-Pipeline!$E$22+1)/MAX(Pipeline!$F$22,1)))</f>
        <v>0</v>
      </c>
      <c r="AM15" s="109" t="n">
        <f aca="false">Pipeline!$Q$22*Pipeline!$D$22*MIN(1,MAX(0,(37-Pipeline!$E$22+1)/MAX(Pipeline!$F$22,1)))</f>
        <v>0</v>
      </c>
      <c r="AN15" s="109" t="n">
        <f aca="false">Pipeline!$Q$22*Pipeline!$D$22*MIN(1,MAX(0,(38-Pipeline!$E$22+1)/MAX(Pipeline!$F$22,1)))</f>
        <v>0</v>
      </c>
      <c r="AO15" s="109" t="n">
        <f aca="false">Pipeline!$Q$22*Pipeline!$D$22*MIN(1,MAX(0,(39-Pipeline!$E$22+1)/MAX(Pipeline!$F$22,1)))</f>
        <v>0</v>
      </c>
      <c r="AP15" s="109" t="n">
        <f aca="false">Pipeline!$Q$22*Pipeline!$D$22*MIN(1,MAX(0,(40-Pipeline!$E$22+1)/MAX(Pipeline!$F$22,1)))</f>
        <v>0</v>
      </c>
      <c r="AQ15" s="109" t="n">
        <f aca="false">Pipeline!$Q$22*Pipeline!$D$22*MIN(1,MAX(0,(41-Pipeline!$E$22+1)/MAX(Pipeline!$F$22,1)))</f>
        <v>0</v>
      </c>
      <c r="AR15" s="109" t="n">
        <f aca="false">Pipeline!$Q$22*Pipeline!$D$22*MIN(1,MAX(0,(42-Pipeline!$E$22+1)/MAX(Pipeline!$F$22,1)))</f>
        <v>0</v>
      </c>
      <c r="AS15" s="109" t="n">
        <f aca="false">Pipeline!$Q$22*Pipeline!$D$22*MIN(1,MAX(0,(43-Pipeline!$E$22+1)/MAX(Pipeline!$F$22,1)))</f>
        <v>0</v>
      </c>
      <c r="AT15" s="109" t="n">
        <f aca="false">Pipeline!$Q$22*Pipeline!$D$22*MIN(1,MAX(0,(44-Pipeline!$E$22+1)/MAX(Pipeline!$F$22,1)))</f>
        <v>0</v>
      </c>
      <c r="AU15" s="109" t="n">
        <f aca="false">Pipeline!$Q$22*Pipeline!$D$22*MIN(1,MAX(0,(45-Pipeline!$E$22+1)/MAX(Pipeline!$F$22,1)))</f>
        <v>0</v>
      </c>
      <c r="AV15" s="109" t="n">
        <f aca="false">Pipeline!$Q$22*Pipeline!$D$22*MIN(1,MAX(0,(46-Pipeline!$E$22+1)/MAX(Pipeline!$F$22,1)))</f>
        <v>0</v>
      </c>
      <c r="AW15" s="109" t="n">
        <f aca="false">Pipeline!$Q$22*Pipeline!$D$22*MIN(1,MAX(0,(47-Pipeline!$E$22+1)/MAX(Pipeline!$F$22,1)))</f>
        <v>0</v>
      </c>
      <c r="AX15" s="109" t="n">
        <f aca="false">Pipeline!$Q$22*Pipeline!$D$22*MIN(1,MAX(0,(48-Pipeline!$E$22+1)/MAX(Pipeline!$F$22,1)))</f>
        <v>0</v>
      </c>
      <c r="AY15" s="109" t="n">
        <f aca="false">Pipeline!$Q$22*Pipeline!$D$22*MIN(1,MAX(0,(49-Pipeline!$E$22+1)/MAX(Pipeline!$F$22,1)))</f>
        <v>0</v>
      </c>
      <c r="AZ15" s="109" t="n">
        <f aca="false">Pipeline!$Q$22*Pipeline!$D$22*MIN(1,MAX(0,(50-Pipeline!$E$22+1)/MAX(Pipeline!$F$22,1)))</f>
        <v>0</v>
      </c>
      <c r="BA15" s="109" t="n">
        <f aca="false">Pipeline!$Q$22*Pipeline!$D$22*MIN(1,MAX(0,(51-Pipeline!$E$22+1)/MAX(Pipeline!$F$22,1)))</f>
        <v>0</v>
      </c>
      <c r="BB15" s="109" t="n">
        <f aca="false">Pipeline!$Q$22*Pipeline!$D$22*MIN(1,MAX(0,(52-Pipeline!$E$22+1)/MAX(Pipeline!$F$22,1)))</f>
        <v>0</v>
      </c>
      <c r="BC15" s="109" t="n">
        <f aca="false">Pipeline!$Q$22*Pipeline!$D$22*MIN(1,MAX(0,(53-Pipeline!$E$22+1)/MAX(Pipeline!$F$22,1)))</f>
        <v>0</v>
      </c>
      <c r="BD15" s="109" t="n">
        <f aca="false">Pipeline!$Q$22*Pipeline!$D$22*MIN(1,MAX(0,(54-Pipeline!$E$22+1)/MAX(Pipeline!$F$22,1)))</f>
        <v>0</v>
      </c>
      <c r="BE15" s="109" t="n">
        <f aca="false">Pipeline!$Q$22*Pipeline!$D$22*MIN(1,MAX(0,(55-Pipeline!$E$22+1)/MAX(Pipeline!$F$22,1)))</f>
        <v>0</v>
      </c>
      <c r="BF15" s="109" t="n">
        <f aca="false">Pipeline!$Q$22*Pipeline!$D$22*MIN(1,MAX(0,(56-Pipeline!$E$22+1)/MAX(Pipeline!$F$22,1)))</f>
        <v>0</v>
      </c>
      <c r="BG15" s="109" t="n">
        <f aca="false">Pipeline!$Q$22*Pipeline!$D$22*MIN(1,MAX(0,(57-Pipeline!$E$22+1)/MAX(Pipeline!$F$22,1)))</f>
        <v>0</v>
      </c>
      <c r="BH15" s="109" t="n">
        <f aca="false">Pipeline!$Q$22*Pipeline!$D$22*MIN(1,MAX(0,(58-Pipeline!$E$22+1)/MAX(Pipeline!$F$22,1)))</f>
        <v>0</v>
      </c>
      <c r="BI15" s="109" t="n">
        <f aca="false">Pipeline!$Q$22*Pipeline!$D$22*MIN(1,MAX(0,(59-Pipeline!$E$22+1)/MAX(Pipeline!$F$22,1)))</f>
        <v>0</v>
      </c>
      <c r="BJ15" s="109" t="n">
        <f aca="false">Pipeline!$Q$22*Pipeline!$D$22*MIN(1,MAX(0,(60-Pipeline!$E$22+1)/MAX(Pipeline!$F$22,1)))</f>
        <v>0</v>
      </c>
      <c r="BK15" s="109" t="n">
        <f aca="false">Pipeline!$Q$22*Pipeline!$D$22*MIN(1,MAX(0,(61-Pipeline!$E$22+1)/MAX(Pipeline!$F$22,1)))</f>
        <v>0</v>
      </c>
      <c r="BL15" s="109" t="n">
        <f aca="false">Pipeline!$Q$22*Pipeline!$D$22*MIN(1,MAX(0,(62-Pipeline!$E$22+1)/MAX(Pipeline!$F$22,1)))</f>
        <v>0</v>
      </c>
      <c r="BM15" s="109" t="n">
        <f aca="false">Pipeline!$Q$22*Pipeline!$D$22*MIN(1,MAX(0,(63-Pipeline!$E$22+1)/MAX(Pipeline!$F$22,1)))</f>
        <v>0</v>
      </c>
      <c r="BN15" s="109" t="n">
        <f aca="false">Pipeline!$Q$22*Pipeline!$D$22*MIN(1,MAX(0,(64-Pipeline!$E$22+1)/MAX(Pipeline!$F$22,1)))</f>
        <v>0</v>
      </c>
      <c r="BO15" s="109" t="n">
        <f aca="false">Pipeline!$Q$22*Pipeline!$D$22*MIN(1,MAX(0,(65-Pipeline!$E$22+1)/MAX(Pipeline!$F$22,1)))</f>
        <v>0</v>
      </c>
      <c r="BP15" s="109" t="n">
        <f aca="false">Pipeline!$Q$22*Pipeline!$D$22*MIN(1,MAX(0,(66-Pipeline!$E$22+1)/MAX(Pipeline!$F$22,1)))</f>
        <v>0</v>
      </c>
      <c r="BQ15" s="109" t="n">
        <f aca="false">Pipeline!$Q$22*Pipeline!$D$22*MIN(1,MAX(0,(67-Pipeline!$E$22+1)/MAX(Pipeline!$F$22,1)))</f>
        <v>0</v>
      </c>
      <c r="BR15" s="109" t="n">
        <f aca="false">Pipeline!$Q$22*Pipeline!$D$22*MIN(1,MAX(0,(68-Pipeline!$E$22+1)/MAX(Pipeline!$F$22,1)))</f>
        <v>0</v>
      </c>
      <c r="BS15" s="109" t="n">
        <f aca="false">Pipeline!$Q$22*Pipeline!$D$22*MIN(1,MAX(0,(69-Pipeline!$E$22+1)/MAX(Pipeline!$F$22,1)))</f>
        <v>0</v>
      </c>
      <c r="BT15" s="109" t="n">
        <f aca="false">Pipeline!$Q$22*Pipeline!$D$22*MIN(1,MAX(0,(70-Pipeline!$E$22+1)/MAX(Pipeline!$F$22,1)))</f>
        <v>0</v>
      </c>
      <c r="BU15" s="109" t="n">
        <f aca="false">Pipeline!$Q$22*Pipeline!$D$22*MIN(1,MAX(0,(71-Pipeline!$E$22+1)/MAX(Pipeline!$F$22,1)))</f>
        <v>0</v>
      </c>
      <c r="BV15" s="109" t="n">
        <f aca="false">Pipeline!$Q$22*Pipeline!$D$22*MIN(1,MAX(0,(72-Pipeline!$E$22+1)/MAX(Pipeline!$F$22,1)))</f>
        <v>0</v>
      </c>
      <c r="BW15" s="109" t="n">
        <f aca="false">Pipeline!$Q$22*Pipeline!$D$22*MIN(1,MAX(0,(73-Pipeline!$E$22+1)/MAX(Pipeline!$F$22,1)))</f>
        <v>0</v>
      </c>
      <c r="BX15" s="109" t="n">
        <f aca="false">Pipeline!$Q$22*Pipeline!$D$22*MIN(1,MAX(0,(74-Pipeline!$E$22+1)/MAX(Pipeline!$F$22,1)))</f>
        <v>0</v>
      </c>
      <c r="BY15" s="109" t="n">
        <f aca="false">Pipeline!$Q$22*Pipeline!$D$22*MIN(1,MAX(0,(75-Pipeline!$E$22+1)/MAX(Pipeline!$F$22,1)))</f>
        <v>0</v>
      </c>
      <c r="BZ15" s="109" t="n">
        <f aca="false">Pipeline!$Q$22*Pipeline!$D$22*MIN(1,MAX(0,(76-Pipeline!$E$22+1)/MAX(Pipeline!$F$22,1)))</f>
        <v>0</v>
      </c>
      <c r="CA15" s="109" t="n">
        <f aca="false">Pipeline!$Q$22*Pipeline!$D$22*MIN(1,MAX(0,(77-Pipeline!$E$22+1)/MAX(Pipeline!$F$22,1)))</f>
        <v>0</v>
      </c>
      <c r="CB15" s="109" t="n">
        <f aca="false">Pipeline!$Q$22*Pipeline!$D$22*MIN(1,MAX(0,(78-Pipeline!$E$22+1)/MAX(Pipeline!$F$22,1)))</f>
        <v>0</v>
      </c>
      <c r="CC15" s="109" t="n">
        <f aca="false">Pipeline!$Q$22*Pipeline!$D$22*MIN(1,MAX(0,(79-Pipeline!$E$22+1)/MAX(Pipeline!$F$22,1)))</f>
        <v>0</v>
      </c>
      <c r="CD15" s="109" t="n">
        <f aca="false">Pipeline!$Q$22*Pipeline!$D$22*MIN(1,MAX(0,(80-Pipeline!$E$22+1)/MAX(Pipeline!$F$22,1)))</f>
        <v>0</v>
      </c>
      <c r="CE15" s="109" t="n">
        <f aca="false">Pipeline!$Q$22*Pipeline!$D$22*MIN(1,MAX(0,(81-Pipeline!$E$22+1)/MAX(Pipeline!$F$22,1)))</f>
        <v>0</v>
      </c>
      <c r="CF15" s="109" t="n">
        <f aca="false">Pipeline!$Q$22*Pipeline!$D$22*MIN(1,MAX(0,(82-Pipeline!$E$22+1)/MAX(Pipeline!$F$22,1)))</f>
        <v>0</v>
      </c>
      <c r="CG15" s="109" t="n">
        <f aca="false">Pipeline!$Q$22*Pipeline!$D$22*MIN(1,MAX(0,(83-Pipeline!$E$22+1)/MAX(Pipeline!$F$22,1)))</f>
        <v>0</v>
      </c>
      <c r="CH15" s="109" t="n">
        <f aca="false">Pipeline!$Q$22*Pipeline!$D$22*MIN(1,MAX(0,(84-Pipeline!$E$22+1)/MAX(Pipeline!$F$22,1)))</f>
        <v>0</v>
      </c>
    </row>
    <row r="16" customFormat="false" ht="13.5" hidden="false" customHeight="true" outlineLevel="0" collapsed="false">
      <c r="A16" s="22" t="s">
        <v>524</v>
      </c>
      <c r="C16" s="109" t="n">
        <f aca="false">SUM(C9:C15)</f>
        <v>1005.575</v>
      </c>
      <c r="D16" s="109" t="n">
        <f aca="false">SUM(D9:D15)</f>
        <v>2089.45</v>
      </c>
      <c r="E16" s="109" t="n">
        <f aca="false">SUM(E9:E15)</f>
        <v>4351.903125</v>
      </c>
      <c r="F16" s="109" t="n">
        <f aca="false">SUM(F9:F15)</f>
        <v>5608.78125</v>
      </c>
      <c r="G16" s="109" t="n">
        <f aca="false">SUM(G9:G15)</f>
        <v>6787.359375</v>
      </c>
      <c r="H16" s="109" t="n">
        <f aca="false">SUM(H9:H15)</f>
        <v>8683.6875</v>
      </c>
      <c r="I16" s="109" t="n">
        <f aca="false">SUM(I9:I15)</f>
        <v>10580.015625</v>
      </c>
      <c r="J16" s="109" t="n">
        <f aca="false">SUM(J9:J15)</f>
        <v>12476.34375</v>
      </c>
      <c r="K16" s="109" t="n">
        <f aca="false">SUM(K9:K15)</f>
        <v>14372.671875</v>
      </c>
      <c r="L16" s="109" t="n">
        <f aca="false">SUM(L9:L15)</f>
        <v>16269</v>
      </c>
      <c r="M16" s="109" t="n">
        <f aca="false">SUM(M9:M15)</f>
        <v>16986.75</v>
      </c>
      <c r="N16" s="109" t="n">
        <f aca="false">SUM(N9:N15)</f>
        <v>18683.25</v>
      </c>
      <c r="O16" s="109" t="n">
        <f aca="false">SUM(O9:O15)</f>
        <v>20379.75</v>
      </c>
      <c r="P16" s="109" t="n">
        <f aca="false">SUM(P9:P15)</f>
        <v>21723.9</v>
      </c>
      <c r="Q16" s="109" t="n">
        <f aca="false">SUM(Q9:Q15)</f>
        <v>23068.05</v>
      </c>
      <c r="R16" s="109" t="n">
        <f aca="false">SUM(R9:R15)</f>
        <v>24412.2</v>
      </c>
      <c r="S16" s="109" t="n">
        <f aca="false">SUM(S9:S15)</f>
        <v>25756.35</v>
      </c>
      <c r="T16" s="109" t="n">
        <f aca="false">SUM(T9:T15)</f>
        <v>27100.5</v>
      </c>
      <c r="U16" s="109" t="n">
        <f aca="false">SUM(U9:U15)</f>
        <v>28444.65</v>
      </c>
      <c r="V16" s="109" t="n">
        <f aca="false">SUM(V9:V15)</f>
        <v>29788.8</v>
      </c>
      <c r="W16" s="109" t="n">
        <f aca="false">SUM(W9:W15)</f>
        <v>31132.95</v>
      </c>
      <c r="X16" s="109" t="n">
        <f aca="false">SUM(X9:X15)</f>
        <v>31498.35</v>
      </c>
      <c r="Y16" s="109" t="n">
        <f aca="false">SUM(Y9:Y15)</f>
        <v>31863.75</v>
      </c>
      <c r="Z16" s="109" t="n">
        <f aca="false">SUM(Z9:Z15)</f>
        <v>31863.75</v>
      </c>
      <c r="AA16" s="109" t="n">
        <f aca="false">SUM(AA9:AA15)</f>
        <v>31863.75</v>
      </c>
      <c r="AB16" s="109" t="n">
        <f aca="false">SUM(AB9:AB15)</f>
        <v>31863.75</v>
      </c>
      <c r="AC16" s="109" t="n">
        <f aca="false">SUM(AC9:AC15)</f>
        <v>31863.75</v>
      </c>
      <c r="AD16" s="109" t="n">
        <f aca="false">SUM(AD9:AD15)</f>
        <v>31863.75</v>
      </c>
      <c r="AE16" s="109" t="n">
        <f aca="false">SUM(AE9:AE15)</f>
        <v>31863.75</v>
      </c>
      <c r="AF16" s="109" t="n">
        <f aca="false">SUM(AF9:AF15)</f>
        <v>31863.75</v>
      </c>
      <c r="AG16" s="109" t="n">
        <f aca="false">SUM(AG9:AG15)</f>
        <v>31863.75</v>
      </c>
      <c r="AH16" s="109" t="n">
        <f aca="false">SUM(AH9:AH15)</f>
        <v>31863.75</v>
      </c>
      <c r="AI16" s="109" t="n">
        <f aca="false">SUM(AI9:AI15)</f>
        <v>31863.75</v>
      </c>
      <c r="AJ16" s="109" t="n">
        <f aca="false">SUM(AJ9:AJ15)</f>
        <v>31863.75</v>
      </c>
      <c r="AK16" s="109" t="n">
        <f aca="false">SUM(AK9:AK15)</f>
        <v>31863.75</v>
      </c>
      <c r="AL16" s="109" t="n">
        <f aca="false">SUM(AL9:AL15)</f>
        <v>31863.75</v>
      </c>
      <c r="AM16" s="109" t="n">
        <f aca="false">SUM(AM9:AM15)</f>
        <v>31863.75</v>
      </c>
      <c r="AN16" s="109" t="n">
        <f aca="false">SUM(AN9:AN15)</f>
        <v>31863.75</v>
      </c>
      <c r="AO16" s="109" t="n">
        <f aca="false">SUM(AO9:AO15)</f>
        <v>31863.75</v>
      </c>
      <c r="AP16" s="109" t="n">
        <f aca="false">SUM(AP9:AP15)</f>
        <v>31863.75</v>
      </c>
      <c r="AQ16" s="109" t="n">
        <f aca="false">SUM(AQ9:AQ15)</f>
        <v>31863.75</v>
      </c>
      <c r="AR16" s="109" t="n">
        <f aca="false">SUM(AR9:AR15)</f>
        <v>31863.75</v>
      </c>
      <c r="AS16" s="109" t="n">
        <f aca="false">SUM(AS9:AS15)</f>
        <v>31863.75</v>
      </c>
      <c r="AT16" s="109" t="n">
        <f aca="false">SUM(AT9:AT15)</f>
        <v>31863.75</v>
      </c>
      <c r="AU16" s="109" t="n">
        <f aca="false">SUM(AU9:AU15)</f>
        <v>31863.75</v>
      </c>
      <c r="AV16" s="109" t="n">
        <f aca="false">SUM(AV9:AV15)</f>
        <v>31863.75</v>
      </c>
      <c r="AW16" s="109" t="n">
        <f aca="false">SUM(AW9:AW15)</f>
        <v>31863.75</v>
      </c>
      <c r="AX16" s="109" t="n">
        <f aca="false">SUM(AX9:AX15)</f>
        <v>31863.75</v>
      </c>
      <c r="AY16" s="109" t="n">
        <f aca="false">SUM(AY9:AY15)</f>
        <v>31863.75</v>
      </c>
      <c r="AZ16" s="109" t="n">
        <f aca="false">SUM(AZ9:AZ15)</f>
        <v>31863.75</v>
      </c>
      <c r="BA16" s="109" t="n">
        <f aca="false">SUM(BA9:BA15)</f>
        <v>31863.75</v>
      </c>
      <c r="BB16" s="109" t="n">
        <f aca="false">SUM(BB9:BB15)</f>
        <v>31863.75</v>
      </c>
      <c r="BC16" s="109" t="n">
        <f aca="false">SUM(BC9:BC15)</f>
        <v>31863.75</v>
      </c>
      <c r="BD16" s="109" t="n">
        <f aca="false">SUM(BD9:BD15)</f>
        <v>31863.75</v>
      </c>
      <c r="BE16" s="109" t="n">
        <f aca="false">SUM(BE9:BE15)</f>
        <v>31863.75</v>
      </c>
      <c r="BF16" s="109" t="n">
        <f aca="false">SUM(BF9:BF15)</f>
        <v>31863.75</v>
      </c>
      <c r="BG16" s="109" t="n">
        <f aca="false">SUM(BG9:BG15)</f>
        <v>31863.75</v>
      </c>
      <c r="BH16" s="109" t="n">
        <f aca="false">SUM(BH9:BH15)</f>
        <v>31863.75</v>
      </c>
      <c r="BI16" s="109" t="n">
        <f aca="false">SUM(BI9:BI15)</f>
        <v>31863.75</v>
      </c>
      <c r="BJ16" s="109" t="n">
        <f aca="false">SUM(BJ9:BJ15)</f>
        <v>31863.75</v>
      </c>
      <c r="BK16" s="109" t="n">
        <f aca="false">SUM(BK9:BK15)</f>
        <v>31863.75</v>
      </c>
      <c r="BL16" s="109" t="n">
        <f aca="false">SUM(BL9:BL15)</f>
        <v>31863.75</v>
      </c>
      <c r="BM16" s="109" t="n">
        <f aca="false">SUM(BM9:BM15)</f>
        <v>31863.75</v>
      </c>
      <c r="BN16" s="109" t="n">
        <f aca="false">SUM(BN9:BN15)</f>
        <v>31863.75</v>
      </c>
      <c r="BO16" s="109" t="n">
        <f aca="false">SUM(BO9:BO15)</f>
        <v>31863.75</v>
      </c>
      <c r="BP16" s="109" t="n">
        <f aca="false">SUM(BP9:BP15)</f>
        <v>31863.75</v>
      </c>
      <c r="BQ16" s="109" t="n">
        <f aca="false">SUM(BQ9:BQ15)</f>
        <v>31863.75</v>
      </c>
      <c r="BR16" s="109" t="n">
        <f aca="false">SUM(BR9:BR15)</f>
        <v>31863.75</v>
      </c>
      <c r="BS16" s="109" t="n">
        <f aca="false">SUM(BS9:BS15)</f>
        <v>31863.75</v>
      </c>
      <c r="BT16" s="109" t="n">
        <f aca="false">SUM(BT9:BT15)</f>
        <v>31863.75</v>
      </c>
      <c r="BU16" s="109" t="n">
        <f aca="false">SUM(BU9:BU15)</f>
        <v>31863.75</v>
      </c>
      <c r="BV16" s="109" t="n">
        <f aca="false">SUM(BV9:BV15)</f>
        <v>31863.75</v>
      </c>
      <c r="BW16" s="109" t="n">
        <f aca="false">SUM(BW9:BW15)</f>
        <v>31863.75</v>
      </c>
      <c r="BX16" s="109" t="n">
        <f aca="false">SUM(BX9:BX15)</f>
        <v>31863.75</v>
      </c>
      <c r="BY16" s="109" t="n">
        <f aca="false">SUM(BY9:BY15)</f>
        <v>31863.75</v>
      </c>
      <c r="BZ16" s="109" t="n">
        <f aca="false">SUM(BZ9:BZ15)</f>
        <v>31863.75</v>
      </c>
      <c r="CA16" s="109" t="n">
        <f aca="false">SUM(CA9:CA15)</f>
        <v>31863.75</v>
      </c>
      <c r="CB16" s="109" t="n">
        <f aca="false">SUM(CB9:CB15)</f>
        <v>31863.75</v>
      </c>
      <c r="CC16" s="109" t="n">
        <f aca="false">SUM(CC9:CC15)</f>
        <v>31863.75</v>
      </c>
      <c r="CD16" s="109" t="n">
        <f aca="false">SUM(CD9:CD15)</f>
        <v>31863.75</v>
      </c>
      <c r="CE16" s="109" t="n">
        <f aca="false">SUM(CE9:CE15)</f>
        <v>31863.75</v>
      </c>
      <c r="CF16" s="109" t="n">
        <f aca="false">SUM(CF9:CF15)</f>
        <v>31863.75</v>
      </c>
      <c r="CG16" s="109" t="n">
        <f aca="false">SUM(CG9:CG15)</f>
        <v>31863.75</v>
      </c>
      <c r="CH16" s="109" t="n">
        <f aca="false">SUM(CH9:CH15)</f>
        <v>31863.75</v>
      </c>
    </row>
    <row r="17" customFormat="false" ht="13.5" hidden="false" customHeight="true" outlineLevel="0" collapsed="false">
      <c r="A17" s="6" t="s">
        <v>525</v>
      </c>
      <c r="C17" s="110" t="n">
        <f aca="false">(Pipeline!$T$16*Pipeline!$D$16*MIN(1,MAX(0,(1-Pipeline!$E$16+1)/MAX(Pipeline!$F$16,1)))+Pipeline!$T$17*Pipeline!$D$17*MIN(1,MAX(0,(1-Pipeline!$E$17+1)/MAX(Pipeline!$F$17,1)))+Pipeline!$T$18*Pipeline!$D$18*MIN(1,MAX(0,(1-Pipeline!$E$18+1)/MAX(Pipeline!$F$18,1)))+Pipeline!$T$19*Pipeline!$D$19*MIN(1,MAX(0,(1-Pipeline!$E$19+1)/MAX(Pipeline!$F$19,1)))+Pipeline!$T$20*Pipeline!$D$20*MIN(1,MAX(0,(1-Pipeline!$E$20+1)/MAX(Pipeline!$F$20,1)))+Pipeline!$T$21*Pipeline!$D$21*MIN(1,MAX(0,(1-Pipeline!$E$21+1)/MAX(Pipeline!$F$21,1)))+Pipeline!$T$22*Pipeline!$D$22*MIN(1,MAX(0,(1-Pipeline!$E$22+1)/MAX(Pipeline!$F$22,1))))/Hipótesis!$D$17</f>
        <v>102.916666666667</v>
      </c>
      <c r="D17" s="110" t="n">
        <f aca="false">(Pipeline!$T$16*Pipeline!$D$16*MIN(1,MAX(0,(2-Pipeline!$E$16+1)/MAX(Pipeline!$F$16,1)))+Pipeline!$T$17*Pipeline!$D$17*MIN(1,MAX(0,(2-Pipeline!$E$17+1)/MAX(Pipeline!$F$17,1)))+Pipeline!$T$18*Pipeline!$D$18*MIN(1,MAX(0,(2-Pipeline!$E$18+1)/MAX(Pipeline!$F$18,1)))+Pipeline!$T$19*Pipeline!$D$19*MIN(1,MAX(0,(2-Pipeline!$E$19+1)/MAX(Pipeline!$F$19,1)))+Pipeline!$T$20*Pipeline!$D$20*MIN(1,MAX(0,(2-Pipeline!$E$20+1)/MAX(Pipeline!$F$20,1)))+Pipeline!$T$21*Pipeline!$D$21*MIN(1,MAX(0,(2-Pipeline!$E$21+1)/MAX(Pipeline!$F$21,1)))+Pipeline!$T$22*Pipeline!$D$22*MIN(1,MAX(0,(2-Pipeline!$E$22+1)/MAX(Pipeline!$F$22,1))))/Hipótesis!$D$17</f>
        <v>221.186274509804</v>
      </c>
      <c r="E17" s="110" t="n">
        <f aca="false">(Pipeline!$T$16*Pipeline!$D$16*MIN(1,MAX(0,(3-Pipeline!$E$16+1)/MAX(Pipeline!$F$16,1)))+Pipeline!$T$17*Pipeline!$D$17*MIN(1,MAX(0,(3-Pipeline!$E$17+1)/MAX(Pipeline!$F$17,1)))+Pipeline!$T$18*Pipeline!$D$18*MIN(1,MAX(0,(3-Pipeline!$E$18+1)/MAX(Pipeline!$F$18,1)))+Pipeline!$T$19*Pipeline!$D$19*MIN(1,MAX(0,(3-Pipeline!$E$19+1)/MAX(Pipeline!$F$19,1)))+Pipeline!$T$20*Pipeline!$D$20*MIN(1,MAX(0,(3-Pipeline!$E$20+1)/MAX(Pipeline!$F$20,1)))+Pipeline!$T$21*Pipeline!$D$21*MIN(1,MAX(0,(3-Pipeline!$E$21+1)/MAX(Pipeline!$F$21,1)))+Pipeline!$T$22*Pipeline!$D$22*MIN(1,MAX(0,(3-Pipeline!$E$22+1)/MAX(Pipeline!$F$22,1))))/Hipótesis!$D$17</f>
        <v>538.868509903962</v>
      </c>
      <c r="F17" s="110" t="n">
        <f aca="false">(Pipeline!$T$16*Pipeline!$D$16*MIN(1,MAX(0,(4-Pipeline!$E$16+1)/MAX(Pipeline!$F$16,1)))+Pipeline!$T$17*Pipeline!$D$17*MIN(1,MAX(0,(4-Pipeline!$E$17+1)/MAX(Pipeline!$F$17,1)))+Pipeline!$T$18*Pipeline!$D$18*MIN(1,MAX(0,(4-Pipeline!$E$18+1)/MAX(Pipeline!$F$18,1)))+Pipeline!$T$19*Pipeline!$D$19*MIN(1,MAX(0,(4-Pipeline!$E$19+1)/MAX(Pipeline!$F$19,1)))+Pipeline!$T$20*Pipeline!$D$20*MIN(1,MAX(0,(4-Pipeline!$E$20+1)/MAX(Pipeline!$F$20,1)))+Pipeline!$T$21*Pipeline!$D$21*MIN(1,MAX(0,(4-Pipeline!$E$21+1)/MAX(Pipeline!$F$21,1)))+Pipeline!$T$22*Pipeline!$D$22*MIN(1,MAX(0,(4-Pipeline!$E$22+1)/MAX(Pipeline!$F$22,1))))/Hipótesis!$D$17</f>
        <v>753.634078631453</v>
      </c>
      <c r="G17" s="110" t="n">
        <f aca="false">(Pipeline!$T$16*Pipeline!$D$16*MIN(1,MAX(0,(5-Pipeline!$E$16+1)/MAX(Pipeline!$F$16,1)))+Pipeline!$T$17*Pipeline!$D$17*MIN(1,MAX(0,(5-Pipeline!$E$17+1)/MAX(Pipeline!$F$17,1)))+Pipeline!$T$18*Pipeline!$D$18*MIN(1,MAX(0,(5-Pipeline!$E$18+1)/MAX(Pipeline!$F$18,1)))+Pipeline!$T$19*Pipeline!$D$19*MIN(1,MAX(0,(5-Pipeline!$E$19+1)/MAX(Pipeline!$F$19,1)))+Pipeline!$T$20*Pipeline!$D$20*MIN(1,MAX(0,(5-Pipeline!$E$20+1)/MAX(Pipeline!$F$20,1)))+Pipeline!$T$21*Pipeline!$D$21*MIN(1,MAX(0,(5-Pipeline!$E$21+1)/MAX(Pipeline!$F$21,1)))+Pipeline!$T$22*Pipeline!$D$22*MIN(1,MAX(0,(5-Pipeline!$E$22+1)/MAX(Pipeline!$F$22,1))))/Hipótesis!$D$17</f>
        <v>953.046706182473</v>
      </c>
      <c r="H17" s="110" t="n">
        <f aca="false">(Pipeline!$T$16*Pipeline!$D$16*MIN(1,MAX(0,(6-Pipeline!$E$16+1)/MAX(Pipeline!$F$16,1)))+Pipeline!$T$17*Pipeline!$D$17*MIN(1,MAX(0,(6-Pipeline!$E$17+1)/MAX(Pipeline!$F$17,1)))+Pipeline!$T$18*Pipeline!$D$18*MIN(1,MAX(0,(6-Pipeline!$E$18+1)/MAX(Pipeline!$F$18,1)))+Pipeline!$T$19*Pipeline!$D$19*MIN(1,MAX(0,(6-Pipeline!$E$19+1)/MAX(Pipeline!$F$19,1)))+Pipeline!$T$20*Pipeline!$D$20*MIN(1,MAX(0,(6-Pipeline!$E$20+1)/MAX(Pipeline!$F$20,1)))+Pipeline!$T$21*Pipeline!$D$21*MIN(1,MAX(0,(6-Pipeline!$E$21+1)/MAX(Pipeline!$F$21,1)))+Pipeline!$T$22*Pipeline!$D$22*MIN(1,MAX(0,(6-Pipeline!$E$22+1)/MAX(Pipeline!$F$22,1))))/Hipótesis!$D$17</f>
        <v>1328.37845138055</v>
      </c>
      <c r="I17" s="110" t="n">
        <f aca="false">(Pipeline!$T$16*Pipeline!$D$16*MIN(1,MAX(0,(7-Pipeline!$E$16+1)/MAX(Pipeline!$F$16,1)))+Pipeline!$T$17*Pipeline!$D$17*MIN(1,MAX(0,(7-Pipeline!$E$17+1)/MAX(Pipeline!$F$17,1)))+Pipeline!$T$18*Pipeline!$D$18*MIN(1,MAX(0,(7-Pipeline!$E$18+1)/MAX(Pipeline!$F$18,1)))+Pipeline!$T$19*Pipeline!$D$19*MIN(1,MAX(0,(7-Pipeline!$E$19+1)/MAX(Pipeline!$F$19,1)))+Pipeline!$T$20*Pipeline!$D$20*MIN(1,MAX(0,(7-Pipeline!$E$20+1)/MAX(Pipeline!$F$20,1)))+Pipeline!$T$21*Pipeline!$D$21*MIN(1,MAX(0,(7-Pipeline!$E$21+1)/MAX(Pipeline!$F$21,1)))+Pipeline!$T$22*Pipeline!$D$22*MIN(1,MAX(0,(7-Pipeline!$E$22+1)/MAX(Pipeline!$F$22,1))))/Hipótesis!$D$17</f>
        <v>1703.71019657863</v>
      </c>
      <c r="J17" s="110" t="n">
        <f aca="false">(Pipeline!$T$16*Pipeline!$D$16*MIN(1,MAX(0,(8-Pipeline!$E$16+1)/MAX(Pipeline!$F$16,1)))+Pipeline!$T$17*Pipeline!$D$17*MIN(1,MAX(0,(8-Pipeline!$E$17+1)/MAX(Pipeline!$F$17,1)))+Pipeline!$T$18*Pipeline!$D$18*MIN(1,MAX(0,(8-Pipeline!$E$18+1)/MAX(Pipeline!$F$18,1)))+Pipeline!$T$19*Pipeline!$D$19*MIN(1,MAX(0,(8-Pipeline!$E$19+1)/MAX(Pipeline!$F$19,1)))+Pipeline!$T$20*Pipeline!$D$20*MIN(1,MAX(0,(8-Pipeline!$E$20+1)/MAX(Pipeline!$F$20,1)))+Pipeline!$T$21*Pipeline!$D$21*MIN(1,MAX(0,(8-Pipeline!$E$21+1)/MAX(Pipeline!$F$21,1)))+Pipeline!$T$22*Pipeline!$D$22*MIN(1,MAX(0,(8-Pipeline!$E$22+1)/MAX(Pipeline!$F$22,1))))/Hipótesis!$D$17</f>
        <v>2079.04194177671</v>
      </c>
      <c r="K17" s="110" t="n">
        <f aca="false">(Pipeline!$T$16*Pipeline!$D$16*MIN(1,MAX(0,(9-Pipeline!$E$16+1)/MAX(Pipeline!$F$16,1)))+Pipeline!$T$17*Pipeline!$D$17*MIN(1,MAX(0,(9-Pipeline!$E$17+1)/MAX(Pipeline!$F$17,1)))+Pipeline!$T$18*Pipeline!$D$18*MIN(1,MAX(0,(9-Pipeline!$E$18+1)/MAX(Pipeline!$F$18,1)))+Pipeline!$T$19*Pipeline!$D$19*MIN(1,MAX(0,(9-Pipeline!$E$19+1)/MAX(Pipeline!$F$19,1)))+Pipeline!$T$20*Pipeline!$D$20*MIN(1,MAX(0,(9-Pipeline!$E$20+1)/MAX(Pipeline!$F$20,1)))+Pipeline!$T$21*Pipeline!$D$21*MIN(1,MAX(0,(9-Pipeline!$E$21+1)/MAX(Pipeline!$F$21,1)))+Pipeline!$T$22*Pipeline!$D$22*MIN(1,MAX(0,(9-Pipeline!$E$22+1)/MAX(Pipeline!$F$22,1))))/Hipótesis!$D$17</f>
        <v>2454.37368697479</v>
      </c>
      <c r="L17" s="110" t="n">
        <f aca="false">(Pipeline!$T$16*Pipeline!$D$16*MIN(1,MAX(0,(10-Pipeline!$E$16+1)/MAX(Pipeline!$F$16,1)))+Pipeline!$T$17*Pipeline!$D$17*MIN(1,MAX(0,(10-Pipeline!$E$17+1)/MAX(Pipeline!$F$17,1)))+Pipeline!$T$18*Pipeline!$D$18*MIN(1,MAX(0,(10-Pipeline!$E$18+1)/MAX(Pipeline!$F$18,1)))+Pipeline!$T$19*Pipeline!$D$19*MIN(1,MAX(0,(10-Pipeline!$E$19+1)/MAX(Pipeline!$F$19,1)))+Pipeline!$T$20*Pipeline!$D$20*MIN(1,MAX(0,(10-Pipeline!$E$20+1)/MAX(Pipeline!$F$20,1)))+Pipeline!$T$21*Pipeline!$D$21*MIN(1,MAX(0,(10-Pipeline!$E$21+1)/MAX(Pipeline!$F$21,1)))+Pipeline!$T$22*Pipeline!$D$22*MIN(1,MAX(0,(10-Pipeline!$E$22+1)/MAX(Pipeline!$F$22,1))))/Hipótesis!$D$17</f>
        <v>2829.70543217287</v>
      </c>
      <c r="M17" s="110" t="n">
        <f aca="false">(Pipeline!$T$16*Pipeline!$D$16*MIN(1,MAX(0,(11-Pipeline!$E$16+1)/MAX(Pipeline!$F$16,1)))+Pipeline!$T$17*Pipeline!$D$17*MIN(1,MAX(0,(11-Pipeline!$E$17+1)/MAX(Pipeline!$F$17,1)))+Pipeline!$T$18*Pipeline!$D$18*MIN(1,MAX(0,(11-Pipeline!$E$18+1)/MAX(Pipeline!$F$18,1)))+Pipeline!$T$19*Pipeline!$D$19*MIN(1,MAX(0,(11-Pipeline!$E$19+1)/MAX(Pipeline!$F$19,1)))+Pipeline!$T$20*Pipeline!$D$20*MIN(1,MAX(0,(11-Pipeline!$E$20+1)/MAX(Pipeline!$F$20,1)))+Pipeline!$T$21*Pipeline!$D$21*MIN(1,MAX(0,(11-Pipeline!$E$21+1)/MAX(Pipeline!$F$21,1)))+Pipeline!$T$22*Pipeline!$D$22*MIN(1,MAX(0,(11-Pipeline!$E$22+1)/MAX(Pipeline!$F$22,1))))/Hipótesis!$D$17</f>
        <v>3005.62454981993</v>
      </c>
      <c r="N17" s="110" t="n">
        <f aca="false">(Pipeline!$T$16*Pipeline!$D$16*MIN(1,MAX(0,(12-Pipeline!$E$16+1)/MAX(Pipeline!$F$16,1)))+Pipeline!$T$17*Pipeline!$D$17*MIN(1,MAX(0,(12-Pipeline!$E$17+1)/MAX(Pipeline!$F$17,1)))+Pipeline!$T$18*Pipeline!$D$18*MIN(1,MAX(0,(12-Pipeline!$E$18+1)/MAX(Pipeline!$F$18,1)))+Pipeline!$T$19*Pipeline!$D$19*MIN(1,MAX(0,(12-Pipeline!$E$19+1)/MAX(Pipeline!$F$19,1)))+Pipeline!$T$20*Pipeline!$D$20*MIN(1,MAX(0,(12-Pipeline!$E$20+1)/MAX(Pipeline!$F$20,1)))+Pipeline!$T$21*Pipeline!$D$21*MIN(1,MAX(0,(12-Pipeline!$E$21+1)/MAX(Pipeline!$F$21,1)))+Pipeline!$T$22*Pipeline!$D$22*MIN(1,MAX(0,(12-Pipeline!$E$22+1)/MAX(Pipeline!$F$22,1))))/Hipótesis!$D$17</f>
        <v>3437.42602040816</v>
      </c>
      <c r="O17" s="110" t="n">
        <f aca="false">(Pipeline!$T$16*Pipeline!$D$16*MIN(1,MAX(0,(13-Pipeline!$E$16+1)/MAX(Pipeline!$F$16,1)))+Pipeline!$T$17*Pipeline!$D$17*MIN(1,MAX(0,(13-Pipeline!$E$17+1)/MAX(Pipeline!$F$17,1)))+Pipeline!$T$18*Pipeline!$D$18*MIN(1,MAX(0,(13-Pipeline!$E$18+1)/MAX(Pipeline!$F$18,1)))+Pipeline!$T$19*Pipeline!$D$19*MIN(1,MAX(0,(13-Pipeline!$E$19+1)/MAX(Pipeline!$F$19,1)))+Pipeline!$T$20*Pipeline!$D$20*MIN(1,MAX(0,(13-Pipeline!$E$20+1)/MAX(Pipeline!$F$20,1)))+Pipeline!$T$21*Pipeline!$D$21*MIN(1,MAX(0,(13-Pipeline!$E$21+1)/MAX(Pipeline!$F$21,1)))+Pipeline!$T$22*Pipeline!$D$22*MIN(1,MAX(0,(13-Pipeline!$E$22+1)/MAX(Pipeline!$F$22,1))))/Hipótesis!$D$17</f>
        <v>3869.2274909964</v>
      </c>
      <c r="P17" s="110" t="n">
        <f aca="false">(Pipeline!$T$16*Pipeline!$D$16*MIN(1,MAX(0,(14-Pipeline!$E$16+1)/MAX(Pipeline!$F$16,1)))+Pipeline!$T$17*Pipeline!$D$17*MIN(1,MAX(0,(14-Pipeline!$E$17+1)/MAX(Pipeline!$F$17,1)))+Pipeline!$T$18*Pipeline!$D$18*MIN(1,MAX(0,(14-Pipeline!$E$18+1)/MAX(Pipeline!$F$18,1)))+Pipeline!$T$19*Pipeline!$D$19*MIN(1,MAX(0,(14-Pipeline!$E$19+1)/MAX(Pipeline!$F$19,1)))+Pipeline!$T$20*Pipeline!$D$20*MIN(1,MAX(0,(14-Pipeline!$E$20+1)/MAX(Pipeline!$F$20,1)))+Pipeline!$T$21*Pipeline!$D$21*MIN(1,MAX(0,(14-Pipeline!$E$21+1)/MAX(Pipeline!$F$21,1)))+Pipeline!$T$22*Pipeline!$D$22*MIN(1,MAX(0,(14-Pipeline!$E$22+1)/MAX(Pipeline!$F$22,1))))/Hipótesis!$D$17</f>
        <v>4227.46278511405</v>
      </c>
      <c r="Q17" s="110" t="n">
        <f aca="false">(Pipeline!$T$16*Pipeline!$D$16*MIN(1,MAX(0,(15-Pipeline!$E$16+1)/MAX(Pipeline!$F$16,1)))+Pipeline!$T$17*Pipeline!$D$17*MIN(1,MAX(0,(15-Pipeline!$E$17+1)/MAX(Pipeline!$F$17,1)))+Pipeline!$T$18*Pipeline!$D$18*MIN(1,MAX(0,(15-Pipeline!$E$18+1)/MAX(Pipeline!$F$18,1)))+Pipeline!$T$19*Pipeline!$D$19*MIN(1,MAX(0,(15-Pipeline!$E$19+1)/MAX(Pipeline!$F$19,1)))+Pipeline!$T$20*Pipeline!$D$20*MIN(1,MAX(0,(15-Pipeline!$E$20+1)/MAX(Pipeline!$F$20,1)))+Pipeline!$T$21*Pipeline!$D$21*MIN(1,MAX(0,(15-Pipeline!$E$21+1)/MAX(Pipeline!$F$21,1)))+Pipeline!$T$22*Pipeline!$D$22*MIN(1,MAX(0,(15-Pipeline!$E$22+1)/MAX(Pipeline!$F$22,1))))/Hipótesis!$D$17</f>
        <v>4585.69807923169</v>
      </c>
      <c r="R17" s="110" t="n">
        <f aca="false">(Pipeline!$T$16*Pipeline!$D$16*MIN(1,MAX(0,(16-Pipeline!$E$16+1)/MAX(Pipeline!$F$16,1)))+Pipeline!$T$17*Pipeline!$D$17*MIN(1,MAX(0,(16-Pipeline!$E$17+1)/MAX(Pipeline!$F$17,1)))+Pipeline!$T$18*Pipeline!$D$18*MIN(1,MAX(0,(16-Pipeline!$E$18+1)/MAX(Pipeline!$F$18,1)))+Pipeline!$T$19*Pipeline!$D$19*MIN(1,MAX(0,(16-Pipeline!$E$19+1)/MAX(Pipeline!$F$19,1)))+Pipeline!$T$20*Pipeline!$D$20*MIN(1,MAX(0,(16-Pipeline!$E$20+1)/MAX(Pipeline!$F$20,1)))+Pipeline!$T$21*Pipeline!$D$21*MIN(1,MAX(0,(16-Pipeline!$E$21+1)/MAX(Pipeline!$F$21,1)))+Pipeline!$T$22*Pipeline!$D$22*MIN(1,MAX(0,(16-Pipeline!$E$22+1)/MAX(Pipeline!$F$22,1))))/Hipótesis!$D$17</f>
        <v>4943.93337334934</v>
      </c>
      <c r="S17" s="110" t="n">
        <f aca="false">(Pipeline!$T$16*Pipeline!$D$16*MIN(1,MAX(0,(17-Pipeline!$E$16+1)/MAX(Pipeline!$F$16,1)))+Pipeline!$T$17*Pipeline!$D$17*MIN(1,MAX(0,(17-Pipeline!$E$17+1)/MAX(Pipeline!$F$17,1)))+Pipeline!$T$18*Pipeline!$D$18*MIN(1,MAX(0,(17-Pipeline!$E$18+1)/MAX(Pipeline!$F$18,1)))+Pipeline!$T$19*Pipeline!$D$19*MIN(1,MAX(0,(17-Pipeline!$E$19+1)/MAX(Pipeline!$F$19,1)))+Pipeline!$T$20*Pipeline!$D$20*MIN(1,MAX(0,(17-Pipeline!$E$20+1)/MAX(Pipeline!$F$20,1)))+Pipeline!$T$21*Pipeline!$D$21*MIN(1,MAX(0,(17-Pipeline!$E$21+1)/MAX(Pipeline!$F$21,1)))+Pipeline!$T$22*Pipeline!$D$22*MIN(1,MAX(0,(17-Pipeline!$E$22+1)/MAX(Pipeline!$F$22,1))))/Hipótesis!$D$17</f>
        <v>5302.16866746699</v>
      </c>
      <c r="T17" s="110" t="n">
        <f aca="false">(Pipeline!$T$16*Pipeline!$D$16*MIN(1,MAX(0,(18-Pipeline!$E$16+1)/MAX(Pipeline!$F$16,1)))+Pipeline!$T$17*Pipeline!$D$17*MIN(1,MAX(0,(18-Pipeline!$E$17+1)/MAX(Pipeline!$F$17,1)))+Pipeline!$T$18*Pipeline!$D$18*MIN(1,MAX(0,(18-Pipeline!$E$18+1)/MAX(Pipeline!$F$18,1)))+Pipeline!$T$19*Pipeline!$D$19*MIN(1,MAX(0,(18-Pipeline!$E$19+1)/MAX(Pipeline!$F$19,1)))+Pipeline!$T$20*Pipeline!$D$20*MIN(1,MAX(0,(18-Pipeline!$E$20+1)/MAX(Pipeline!$F$20,1)))+Pipeline!$T$21*Pipeline!$D$21*MIN(1,MAX(0,(18-Pipeline!$E$21+1)/MAX(Pipeline!$F$21,1)))+Pipeline!$T$22*Pipeline!$D$22*MIN(1,MAX(0,(18-Pipeline!$E$22+1)/MAX(Pipeline!$F$22,1))))/Hipótesis!$D$17</f>
        <v>5660.40396158463</v>
      </c>
      <c r="U17" s="110" t="n">
        <f aca="false">(Pipeline!$T$16*Pipeline!$D$16*MIN(1,MAX(0,(19-Pipeline!$E$16+1)/MAX(Pipeline!$F$16,1)))+Pipeline!$T$17*Pipeline!$D$17*MIN(1,MAX(0,(19-Pipeline!$E$17+1)/MAX(Pipeline!$F$17,1)))+Pipeline!$T$18*Pipeline!$D$18*MIN(1,MAX(0,(19-Pipeline!$E$18+1)/MAX(Pipeline!$F$18,1)))+Pipeline!$T$19*Pipeline!$D$19*MIN(1,MAX(0,(19-Pipeline!$E$19+1)/MAX(Pipeline!$F$19,1)))+Pipeline!$T$20*Pipeline!$D$20*MIN(1,MAX(0,(19-Pipeline!$E$20+1)/MAX(Pipeline!$F$20,1)))+Pipeline!$T$21*Pipeline!$D$21*MIN(1,MAX(0,(19-Pipeline!$E$21+1)/MAX(Pipeline!$F$21,1)))+Pipeline!$T$22*Pipeline!$D$22*MIN(1,MAX(0,(19-Pipeline!$E$22+1)/MAX(Pipeline!$F$22,1))))/Hipótesis!$D$17</f>
        <v>6018.63925570228</v>
      </c>
      <c r="V17" s="110" t="n">
        <f aca="false">(Pipeline!$T$16*Pipeline!$D$16*MIN(1,MAX(0,(20-Pipeline!$E$16+1)/MAX(Pipeline!$F$16,1)))+Pipeline!$T$17*Pipeline!$D$17*MIN(1,MAX(0,(20-Pipeline!$E$17+1)/MAX(Pipeline!$F$17,1)))+Pipeline!$T$18*Pipeline!$D$18*MIN(1,MAX(0,(20-Pipeline!$E$18+1)/MAX(Pipeline!$F$18,1)))+Pipeline!$T$19*Pipeline!$D$19*MIN(1,MAX(0,(20-Pipeline!$E$19+1)/MAX(Pipeline!$F$19,1)))+Pipeline!$T$20*Pipeline!$D$20*MIN(1,MAX(0,(20-Pipeline!$E$20+1)/MAX(Pipeline!$F$20,1)))+Pipeline!$T$21*Pipeline!$D$21*MIN(1,MAX(0,(20-Pipeline!$E$21+1)/MAX(Pipeline!$F$21,1)))+Pipeline!$T$22*Pipeline!$D$22*MIN(1,MAX(0,(20-Pipeline!$E$22+1)/MAX(Pipeline!$F$22,1))))/Hipótesis!$D$17</f>
        <v>6376.87454981993</v>
      </c>
      <c r="W17" s="110" t="n">
        <f aca="false">(Pipeline!$T$16*Pipeline!$D$16*MIN(1,MAX(0,(21-Pipeline!$E$16+1)/MAX(Pipeline!$F$16,1)))+Pipeline!$T$17*Pipeline!$D$17*MIN(1,MAX(0,(21-Pipeline!$E$17+1)/MAX(Pipeline!$F$17,1)))+Pipeline!$T$18*Pipeline!$D$18*MIN(1,MAX(0,(21-Pipeline!$E$18+1)/MAX(Pipeline!$F$18,1)))+Pipeline!$T$19*Pipeline!$D$19*MIN(1,MAX(0,(21-Pipeline!$E$19+1)/MAX(Pipeline!$F$19,1)))+Pipeline!$T$20*Pipeline!$D$20*MIN(1,MAX(0,(21-Pipeline!$E$20+1)/MAX(Pipeline!$F$20,1)))+Pipeline!$T$21*Pipeline!$D$21*MIN(1,MAX(0,(21-Pipeline!$E$21+1)/MAX(Pipeline!$F$21,1)))+Pipeline!$T$22*Pipeline!$D$22*MIN(1,MAX(0,(21-Pipeline!$E$22+1)/MAX(Pipeline!$F$22,1))))/Hipótesis!$D$17</f>
        <v>6735.10984393758</v>
      </c>
      <c r="X17" s="110" t="n">
        <f aca="false">(Pipeline!$T$16*Pipeline!$D$16*MIN(1,MAX(0,(22-Pipeline!$E$16+1)/MAX(Pipeline!$F$16,1)))+Pipeline!$T$17*Pipeline!$D$17*MIN(1,MAX(0,(22-Pipeline!$E$17+1)/MAX(Pipeline!$F$17,1)))+Pipeline!$T$18*Pipeline!$D$18*MIN(1,MAX(0,(22-Pipeline!$E$18+1)/MAX(Pipeline!$F$18,1)))+Pipeline!$T$19*Pipeline!$D$19*MIN(1,MAX(0,(22-Pipeline!$E$19+1)/MAX(Pipeline!$F$19,1)))+Pipeline!$T$20*Pipeline!$D$20*MIN(1,MAX(0,(22-Pipeline!$E$20+1)/MAX(Pipeline!$F$20,1)))+Pipeline!$T$21*Pipeline!$D$21*MIN(1,MAX(0,(22-Pipeline!$E$21+1)/MAX(Pipeline!$F$21,1)))+Pipeline!$T$22*Pipeline!$D$22*MIN(1,MAX(0,(22-Pipeline!$E$22+1)/MAX(Pipeline!$F$22,1))))/Hipótesis!$D$17</f>
        <v>6837.46278511405</v>
      </c>
      <c r="Y17" s="110" t="n">
        <f aca="false">(Pipeline!$T$16*Pipeline!$D$16*MIN(1,MAX(0,(23-Pipeline!$E$16+1)/MAX(Pipeline!$F$16,1)))+Pipeline!$T$17*Pipeline!$D$17*MIN(1,MAX(0,(23-Pipeline!$E$17+1)/MAX(Pipeline!$F$17,1)))+Pipeline!$T$18*Pipeline!$D$18*MIN(1,MAX(0,(23-Pipeline!$E$18+1)/MAX(Pipeline!$F$18,1)))+Pipeline!$T$19*Pipeline!$D$19*MIN(1,MAX(0,(23-Pipeline!$E$19+1)/MAX(Pipeline!$F$19,1)))+Pipeline!$T$20*Pipeline!$D$20*MIN(1,MAX(0,(23-Pipeline!$E$20+1)/MAX(Pipeline!$F$20,1)))+Pipeline!$T$21*Pipeline!$D$21*MIN(1,MAX(0,(23-Pipeline!$E$21+1)/MAX(Pipeline!$F$21,1)))+Pipeline!$T$22*Pipeline!$D$22*MIN(1,MAX(0,(23-Pipeline!$E$22+1)/MAX(Pipeline!$F$22,1))))/Hipótesis!$D$17</f>
        <v>6939.81572629052</v>
      </c>
      <c r="Z17" s="110" t="n">
        <f aca="false">(Pipeline!$T$16*Pipeline!$D$16*MIN(1,MAX(0,(24-Pipeline!$E$16+1)/MAX(Pipeline!$F$16,1)))+Pipeline!$T$17*Pipeline!$D$17*MIN(1,MAX(0,(24-Pipeline!$E$17+1)/MAX(Pipeline!$F$17,1)))+Pipeline!$T$18*Pipeline!$D$18*MIN(1,MAX(0,(24-Pipeline!$E$18+1)/MAX(Pipeline!$F$18,1)))+Pipeline!$T$19*Pipeline!$D$19*MIN(1,MAX(0,(24-Pipeline!$E$19+1)/MAX(Pipeline!$F$19,1)))+Pipeline!$T$20*Pipeline!$D$20*MIN(1,MAX(0,(24-Pipeline!$E$20+1)/MAX(Pipeline!$F$20,1)))+Pipeline!$T$21*Pipeline!$D$21*MIN(1,MAX(0,(24-Pipeline!$E$21+1)/MAX(Pipeline!$F$21,1)))+Pipeline!$T$22*Pipeline!$D$22*MIN(1,MAX(0,(24-Pipeline!$E$22+1)/MAX(Pipeline!$F$22,1))))/Hipótesis!$D$17</f>
        <v>6939.81572629052</v>
      </c>
      <c r="AA17" s="110" t="n">
        <f aca="false">(Pipeline!$T$16*Pipeline!$D$16*MIN(1,MAX(0,(25-Pipeline!$E$16+1)/MAX(Pipeline!$F$16,1)))+Pipeline!$T$17*Pipeline!$D$17*MIN(1,MAX(0,(25-Pipeline!$E$17+1)/MAX(Pipeline!$F$17,1)))+Pipeline!$T$18*Pipeline!$D$18*MIN(1,MAX(0,(25-Pipeline!$E$18+1)/MAX(Pipeline!$F$18,1)))+Pipeline!$T$19*Pipeline!$D$19*MIN(1,MAX(0,(25-Pipeline!$E$19+1)/MAX(Pipeline!$F$19,1)))+Pipeline!$T$20*Pipeline!$D$20*MIN(1,MAX(0,(25-Pipeline!$E$20+1)/MAX(Pipeline!$F$20,1)))+Pipeline!$T$21*Pipeline!$D$21*MIN(1,MAX(0,(25-Pipeline!$E$21+1)/MAX(Pipeline!$F$21,1)))+Pipeline!$T$22*Pipeline!$D$22*MIN(1,MAX(0,(25-Pipeline!$E$22+1)/MAX(Pipeline!$F$22,1))))/Hipótesis!$D$17</f>
        <v>6939.81572629052</v>
      </c>
      <c r="AB17" s="110" t="n">
        <f aca="false">(Pipeline!$T$16*Pipeline!$D$16*MIN(1,MAX(0,(26-Pipeline!$E$16+1)/MAX(Pipeline!$F$16,1)))+Pipeline!$T$17*Pipeline!$D$17*MIN(1,MAX(0,(26-Pipeline!$E$17+1)/MAX(Pipeline!$F$17,1)))+Pipeline!$T$18*Pipeline!$D$18*MIN(1,MAX(0,(26-Pipeline!$E$18+1)/MAX(Pipeline!$F$18,1)))+Pipeline!$T$19*Pipeline!$D$19*MIN(1,MAX(0,(26-Pipeline!$E$19+1)/MAX(Pipeline!$F$19,1)))+Pipeline!$T$20*Pipeline!$D$20*MIN(1,MAX(0,(26-Pipeline!$E$20+1)/MAX(Pipeline!$F$20,1)))+Pipeline!$T$21*Pipeline!$D$21*MIN(1,MAX(0,(26-Pipeline!$E$21+1)/MAX(Pipeline!$F$21,1)))+Pipeline!$T$22*Pipeline!$D$22*MIN(1,MAX(0,(26-Pipeline!$E$22+1)/MAX(Pipeline!$F$22,1))))/Hipótesis!$D$17</f>
        <v>6939.81572629052</v>
      </c>
      <c r="AC17" s="110" t="n">
        <f aca="false">(Pipeline!$T$16*Pipeline!$D$16*MIN(1,MAX(0,(27-Pipeline!$E$16+1)/MAX(Pipeline!$F$16,1)))+Pipeline!$T$17*Pipeline!$D$17*MIN(1,MAX(0,(27-Pipeline!$E$17+1)/MAX(Pipeline!$F$17,1)))+Pipeline!$T$18*Pipeline!$D$18*MIN(1,MAX(0,(27-Pipeline!$E$18+1)/MAX(Pipeline!$F$18,1)))+Pipeline!$T$19*Pipeline!$D$19*MIN(1,MAX(0,(27-Pipeline!$E$19+1)/MAX(Pipeline!$F$19,1)))+Pipeline!$T$20*Pipeline!$D$20*MIN(1,MAX(0,(27-Pipeline!$E$20+1)/MAX(Pipeline!$F$20,1)))+Pipeline!$T$21*Pipeline!$D$21*MIN(1,MAX(0,(27-Pipeline!$E$21+1)/MAX(Pipeline!$F$21,1)))+Pipeline!$T$22*Pipeline!$D$22*MIN(1,MAX(0,(27-Pipeline!$E$22+1)/MAX(Pipeline!$F$22,1))))/Hipótesis!$D$17</f>
        <v>6939.81572629052</v>
      </c>
      <c r="AD17" s="110" t="n">
        <f aca="false">(Pipeline!$T$16*Pipeline!$D$16*MIN(1,MAX(0,(28-Pipeline!$E$16+1)/MAX(Pipeline!$F$16,1)))+Pipeline!$T$17*Pipeline!$D$17*MIN(1,MAX(0,(28-Pipeline!$E$17+1)/MAX(Pipeline!$F$17,1)))+Pipeline!$T$18*Pipeline!$D$18*MIN(1,MAX(0,(28-Pipeline!$E$18+1)/MAX(Pipeline!$F$18,1)))+Pipeline!$T$19*Pipeline!$D$19*MIN(1,MAX(0,(28-Pipeline!$E$19+1)/MAX(Pipeline!$F$19,1)))+Pipeline!$T$20*Pipeline!$D$20*MIN(1,MAX(0,(28-Pipeline!$E$20+1)/MAX(Pipeline!$F$20,1)))+Pipeline!$T$21*Pipeline!$D$21*MIN(1,MAX(0,(28-Pipeline!$E$21+1)/MAX(Pipeline!$F$21,1)))+Pipeline!$T$22*Pipeline!$D$22*MIN(1,MAX(0,(28-Pipeline!$E$22+1)/MAX(Pipeline!$F$22,1))))/Hipótesis!$D$17</f>
        <v>6939.81572629052</v>
      </c>
      <c r="AE17" s="110" t="n">
        <f aca="false">(Pipeline!$T$16*Pipeline!$D$16*MIN(1,MAX(0,(29-Pipeline!$E$16+1)/MAX(Pipeline!$F$16,1)))+Pipeline!$T$17*Pipeline!$D$17*MIN(1,MAX(0,(29-Pipeline!$E$17+1)/MAX(Pipeline!$F$17,1)))+Pipeline!$T$18*Pipeline!$D$18*MIN(1,MAX(0,(29-Pipeline!$E$18+1)/MAX(Pipeline!$F$18,1)))+Pipeline!$T$19*Pipeline!$D$19*MIN(1,MAX(0,(29-Pipeline!$E$19+1)/MAX(Pipeline!$F$19,1)))+Pipeline!$T$20*Pipeline!$D$20*MIN(1,MAX(0,(29-Pipeline!$E$20+1)/MAX(Pipeline!$F$20,1)))+Pipeline!$T$21*Pipeline!$D$21*MIN(1,MAX(0,(29-Pipeline!$E$21+1)/MAX(Pipeline!$F$21,1)))+Pipeline!$T$22*Pipeline!$D$22*MIN(1,MAX(0,(29-Pipeline!$E$22+1)/MAX(Pipeline!$F$22,1))))/Hipótesis!$D$17</f>
        <v>6939.81572629052</v>
      </c>
      <c r="AF17" s="110" t="n">
        <f aca="false">(Pipeline!$T$16*Pipeline!$D$16*MIN(1,MAX(0,(30-Pipeline!$E$16+1)/MAX(Pipeline!$F$16,1)))+Pipeline!$T$17*Pipeline!$D$17*MIN(1,MAX(0,(30-Pipeline!$E$17+1)/MAX(Pipeline!$F$17,1)))+Pipeline!$T$18*Pipeline!$D$18*MIN(1,MAX(0,(30-Pipeline!$E$18+1)/MAX(Pipeline!$F$18,1)))+Pipeline!$T$19*Pipeline!$D$19*MIN(1,MAX(0,(30-Pipeline!$E$19+1)/MAX(Pipeline!$F$19,1)))+Pipeline!$T$20*Pipeline!$D$20*MIN(1,MAX(0,(30-Pipeline!$E$20+1)/MAX(Pipeline!$F$20,1)))+Pipeline!$T$21*Pipeline!$D$21*MIN(1,MAX(0,(30-Pipeline!$E$21+1)/MAX(Pipeline!$F$21,1)))+Pipeline!$T$22*Pipeline!$D$22*MIN(1,MAX(0,(30-Pipeline!$E$22+1)/MAX(Pipeline!$F$22,1))))/Hipótesis!$D$17</f>
        <v>6939.81572629052</v>
      </c>
      <c r="AG17" s="110" t="n">
        <f aca="false">(Pipeline!$T$16*Pipeline!$D$16*MIN(1,MAX(0,(31-Pipeline!$E$16+1)/MAX(Pipeline!$F$16,1)))+Pipeline!$T$17*Pipeline!$D$17*MIN(1,MAX(0,(31-Pipeline!$E$17+1)/MAX(Pipeline!$F$17,1)))+Pipeline!$T$18*Pipeline!$D$18*MIN(1,MAX(0,(31-Pipeline!$E$18+1)/MAX(Pipeline!$F$18,1)))+Pipeline!$T$19*Pipeline!$D$19*MIN(1,MAX(0,(31-Pipeline!$E$19+1)/MAX(Pipeline!$F$19,1)))+Pipeline!$T$20*Pipeline!$D$20*MIN(1,MAX(0,(31-Pipeline!$E$20+1)/MAX(Pipeline!$F$20,1)))+Pipeline!$T$21*Pipeline!$D$21*MIN(1,MAX(0,(31-Pipeline!$E$21+1)/MAX(Pipeline!$F$21,1)))+Pipeline!$T$22*Pipeline!$D$22*MIN(1,MAX(0,(31-Pipeline!$E$22+1)/MAX(Pipeline!$F$22,1))))/Hipótesis!$D$17</f>
        <v>6939.81572629052</v>
      </c>
      <c r="AH17" s="110" t="n">
        <f aca="false">(Pipeline!$T$16*Pipeline!$D$16*MIN(1,MAX(0,(32-Pipeline!$E$16+1)/MAX(Pipeline!$F$16,1)))+Pipeline!$T$17*Pipeline!$D$17*MIN(1,MAX(0,(32-Pipeline!$E$17+1)/MAX(Pipeline!$F$17,1)))+Pipeline!$T$18*Pipeline!$D$18*MIN(1,MAX(0,(32-Pipeline!$E$18+1)/MAX(Pipeline!$F$18,1)))+Pipeline!$T$19*Pipeline!$D$19*MIN(1,MAX(0,(32-Pipeline!$E$19+1)/MAX(Pipeline!$F$19,1)))+Pipeline!$T$20*Pipeline!$D$20*MIN(1,MAX(0,(32-Pipeline!$E$20+1)/MAX(Pipeline!$F$20,1)))+Pipeline!$T$21*Pipeline!$D$21*MIN(1,MAX(0,(32-Pipeline!$E$21+1)/MAX(Pipeline!$F$21,1)))+Pipeline!$T$22*Pipeline!$D$22*MIN(1,MAX(0,(32-Pipeline!$E$22+1)/MAX(Pipeline!$F$22,1))))/Hipótesis!$D$17</f>
        <v>6939.81572629052</v>
      </c>
      <c r="AI17" s="110" t="n">
        <f aca="false">(Pipeline!$T$16*Pipeline!$D$16*MIN(1,MAX(0,(33-Pipeline!$E$16+1)/MAX(Pipeline!$F$16,1)))+Pipeline!$T$17*Pipeline!$D$17*MIN(1,MAX(0,(33-Pipeline!$E$17+1)/MAX(Pipeline!$F$17,1)))+Pipeline!$T$18*Pipeline!$D$18*MIN(1,MAX(0,(33-Pipeline!$E$18+1)/MAX(Pipeline!$F$18,1)))+Pipeline!$T$19*Pipeline!$D$19*MIN(1,MAX(0,(33-Pipeline!$E$19+1)/MAX(Pipeline!$F$19,1)))+Pipeline!$T$20*Pipeline!$D$20*MIN(1,MAX(0,(33-Pipeline!$E$20+1)/MAX(Pipeline!$F$20,1)))+Pipeline!$T$21*Pipeline!$D$21*MIN(1,MAX(0,(33-Pipeline!$E$21+1)/MAX(Pipeline!$F$21,1)))+Pipeline!$T$22*Pipeline!$D$22*MIN(1,MAX(0,(33-Pipeline!$E$22+1)/MAX(Pipeline!$F$22,1))))/Hipótesis!$D$17</f>
        <v>6939.81572629052</v>
      </c>
      <c r="AJ17" s="110" t="n">
        <f aca="false">(Pipeline!$T$16*Pipeline!$D$16*MIN(1,MAX(0,(34-Pipeline!$E$16+1)/MAX(Pipeline!$F$16,1)))+Pipeline!$T$17*Pipeline!$D$17*MIN(1,MAX(0,(34-Pipeline!$E$17+1)/MAX(Pipeline!$F$17,1)))+Pipeline!$T$18*Pipeline!$D$18*MIN(1,MAX(0,(34-Pipeline!$E$18+1)/MAX(Pipeline!$F$18,1)))+Pipeline!$T$19*Pipeline!$D$19*MIN(1,MAX(0,(34-Pipeline!$E$19+1)/MAX(Pipeline!$F$19,1)))+Pipeline!$T$20*Pipeline!$D$20*MIN(1,MAX(0,(34-Pipeline!$E$20+1)/MAX(Pipeline!$F$20,1)))+Pipeline!$T$21*Pipeline!$D$21*MIN(1,MAX(0,(34-Pipeline!$E$21+1)/MAX(Pipeline!$F$21,1)))+Pipeline!$T$22*Pipeline!$D$22*MIN(1,MAX(0,(34-Pipeline!$E$22+1)/MAX(Pipeline!$F$22,1))))/Hipótesis!$D$17</f>
        <v>6939.81572629052</v>
      </c>
      <c r="AK17" s="110" t="n">
        <f aca="false">(Pipeline!$T$16*Pipeline!$D$16*MIN(1,MAX(0,(35-Pipeline!$E$16+1)/MAX(Pipeline!$F$16,1)))+Pipeline!$T$17*Pipeline!$D$17*MIN(1,MAX(0,(35-Pipeline!$E$17+1)/MAX(Pipeline!$F$17,1)))+Pipeline!$T$18*Pipeline!$D$18*MIN(1,MAX(0,(35-Pipeline!$E$18+1)/MAX(Pipeline!$F$18,1)))+Pipeline!$T$19*Pipeline!$D$19*MIN(1,MAX(0,(35-Pipeline!$E$19+1)/MAX(Pipeline!$F$19,1)))+Pipeline!$T$20*Pipeline!$D$20*MIN(1,MAX(0,(35-Pipeline!$E$20+1)/MAX(Pipeline!$F$20,1)))+Pipeline!$T$21*Pipeline!$D$21*MIN(1,MAX(0,(35-Pipeline!$E$21+1)/MAX(Pipeline!$F$21,1)))+Pipeline!$T$22*Pipeline!$D$22*MIN(1,MAX(0,(35-Pipeline!$E$22+1)/MAX(Pipeline!$F$22,1))))/Hipótesis!$D$17</f>
        <v>6939.81572629052</v>
      </c>
      <c r="AL17" s="110" t="n">
        <f aca="false">(Pipeline!$T$16*Pipeline!$D$16*MIN(1,MAX(0,(36-Pipeline!$E$16+1)/MAX(Pipeline!$F$16,1)))+Pipeline!$T$17*Pipeline!$D$17*MIN(1,MAX(0,(36-Pipeline!$E$17+1)/MAX(Pipeline!$F$17,1)))+Pipeline!$T$18*Pipeline!$D$18*MIN(1,MAX(0,(36-Pipeline!$E$18+1)/MAX(Pipeline!$F$18,1)))+Pipeline!$T$19*Pipeline!$D$19*MIN(1,MAX(0,(36-Pipeline!$E$19+1)/MAX(Pipeline!$F$19,1)))+Pipeline!$T$20*Pipeline!$D$20*MIN(1,MAX(0,(36-Pipeline!$E$20+1)/MAX(Pipeline!$F$20,1)))+Pipeline!$T$21*Pipeline!$D$21*MIN(1,MAX(0,(36-Pipeline!$E$21+1)/MAX(Pipeline!$F$21,1)))+Pipeline!$T$22*Pipeline!$D$22*MIN(1,MAX(0,(36-Pipeline!$E$22+1)/MAX(Pipeline!$F$22,1))))/Hipótesis!$D$17</f>
        <v>6939.81572629052</v>
      </c>
      <c r="AM17" s="110" t="n">
        <f aca="false">(Pipeline!$T$16*Pipeline!$D$16*MIN(1,MAX(0,(37-Pipeline!$E$16+1)/MAX(Pipeline!$F$16,1)))+Pipeline!$T$17*Pipeline!$D$17*MIN(1,MAX(0,(37-Pipeline!$E$17+1)/MAX(Pipeline!$F$17,1)))+Pipeline!$T$18*Pipeline!$D$18*MIN(1,MAX(0,(37-Pipeline!$E$18+1)/MAX(Pipeline!$F$18,1)))+Pipeline!$T$19*Pipeline!$D$19*MIN(1,MAX(0,(37-Pipeline!$E$19+1)/MAX(Pipeline!$F$19,1)))+Pipeline!$T$20*Pipeline!$D$20*MIN(1,MAX(0,(37-Pipeline!$E$20+1)/MAX(Pipeline!$F$20,1)))+Pipeline!$T$21*Pipeline!$D$21*MIN(1,MAX(0,(37-Pipeline!$E$21+1)/MAX(Pipeline!$F$21,1)))+Pipeline!$T$22*Pipeline!$D$22*MIN(1,MAX(0,(37-Pipeline!$E$22+1)/MAX(Pipeline!$F$22,1))))/Hipótesis!$D$17</f>
        <v>6939.81572629052</v>
      </c>
      <c r="AN17" s="110" t="n">
        <f aca="false">(Pipeline!$T$16*Pipeline!$D$16*MIN(1,MAX(0,(38-Pipeline!$E$16+1)/MAX(Pipeline!$F$16,1)))+Pipeline!$T$17*Pipeline!$D$17*MIN(1,MAX(0,(38-Pipeline!$E$17+1)/MAX(Pipeline!$F$17,1)))+Pipeline!$T$18*Pipeline!$D$18*MIN(1,MAX(0,(38-Pipeline!$E$18+1)/MAX(Pipeline!$F$18,1)))+Pipeline!$T$19*Pipeline!$D$19*MIN(1,MAX(0,(38-Pipeline!$E$19+1)/MAX(Pipeline!$F$19,1)))+Pipeline!$T$20*Pipeline!$D$20*MIN(1,MAX(0,(38-Pipeline!$E$20+1)/MAX(Pipeline!$F$20,1)))+Pipeline!$T$21*Pipeline!$D$21*MIN(1,MAX(0,(38-Pipeline!$E$21+1)/MAX(Pipeline!$F$21,1)))+Pipeline!$T$22*Pipeline!$D$22*MIN(1,MAX(0,(38-Pipeline!$E$22+1)/MAX(Pipeline!$F$22,1))))/Hipótesis!$D$17</f>
        <v>6939.81572629052</v>
      </c>
      <c r="AO17" s="110" t="n">
        <f aca="false">(Pipeline!$T$16*Pipeline!$D$16*MIN(1,MAX(0,(39-Pipeline!$E$16+1)/MAX(Pipeline!$F$16,1)))+Pipeline!$T$17*Pipeline!$D$17*MIN(1,MAX(0,(39-Pipeline!$E$17+1)/MAX(Pipeline!$F$17,1)))+Pipeline!$T$18*Pipeline!$D$18*MIN(1,MAX(0,(39-Pipeline!$E$18+1)/MAX(Pipeline!$F$18,1)))+Pipeline!$T$19*Pipeline!$D$19*MIN(1,MAX(0,(39-Pipeline!$E$19+1)/MAX(Pipeline!$F$19,1)))+Pipeline!$T$20*Pipeline!$D$20*MIN(1,MAX(0,(39-Pipeline!$E$20+1)/MAX(Pipeline!$F$20,1)))+Pipeline!$T$21*Pipeline!$D$21*MIN(1,MAX(0,(39-Pipeline!$E$21+1)/MAX(Pipeline!$F$21,1)))+Pipeline!$T$22*Pipeline!$D$22*MIN(1,MAX(0,(39-Pipeline!$E$22+1)/MAX(Pipeline!$F$22,1))))/Hipótesis!$D$17</f>
        <v>6939.81572629052</v>
      </c>
      <c r="AP17" s="110" t="n">
        <f aca="false">(Pipeline!$T$16*Pipeline!$D$16*MIN(1,MAX(0,(40-Pipeline!$E$16+1)/MAX(Pipeline!$F$16,1)))+Pipeline!$T$17*Pipeline!$D$17*MIN(1,MAX(0,(40-Pipeline!$E$17+1)/MAX(Pipeline!$F$17,1)))+Pipeline!$T$18*Pipeline!$D$18*MIN(1,MAX(0,(40-Pipeline!$E$18+1)/MAX(Pipeline!$F$18,1)))+Pipeline!$T$19*Pipeline!$D$19*MIN(1,MAX(0,(40-Pipeline!$E$19+1)/MAX(Pipeline!$F$19,1)))+Pipeline!$T$20*Pipeline!$D$20*MIN(1,MAX(0,(40-Pipeline!$E$20+1)/MAX(Pipeline!$F$20,1)))+Pipeline!$T$21*Pipeline!$D$21*MIN(1,MAX(0,(40-Pipeline!$E$21+1)/MAX(Pipeline!$F$21,1)))+Pipeline!$T$22*Pipeline!$D$22*MIN(1,MAX(0,(40-Pipeline!$E$22+1)/MAX(Pipeline!$F$22,1))))/Hipótesis!$D$17</f>
        <v>6939.81572629052</v>
      </c>
      <c r="AQ17" s="110" t="n">
        <f aca="false">(Pipeline!$T$16*Pipeline!$D$16*MIN(1,MAX(0,(41-Pipeline!$E$16+1)/MAX(Pipeline!$F$16,1)))+Pipeline!$T$17*Pipeline!$D$17*MIN(1,MAX(0,(41-Pipeline!$E$17+1)/MAX(Pipeline!$F$17,1)))+Pipeline!$T$18*Pipeline!$D$18*MIN(1,MAX(0,(41-Pipeline!$E$18+1)/MAX(Pipeline!$F$18,1)))+Pipeline!$T$19*Pipeline!$D$19*MIN(1,MAX(0,(41-Pipeline!$E$19+1)/MAX(Pipeline!$F$19,1)))+Pipeline!$T$20*Pipeline!$D$20*MIN(1,MAX(0,(41-Pipeline!$E$20+1)/MAX(Pipeline!$F$20,1)))+Pipeline!$T$21*Pipeline!$D$21*MIN(1,MAX(0,(41-Pipeline!$E$21+1)/MAX(Pipeline!$F$21,1)))+Pipeline!$T$22*Pipeline!$D$22*MIN(1,MAX(0,(41-Pipeline!$E$22+1)/MAX(Pipeline!$F$22,1))))/Hipótesis!$D$17</f>
        <v>6939.81572629052</v>
      </c>
      <c r="AR17" s="110" t="n">
        <f aca="false">(Pipeline!$T$16*Pipeline!$D$16*MIN(1,MAX(0,(42-Pipeline!$E$16+1)/MAX(Pipeline!$F$16,1)))+Pipeline!$T$17*Pipeline!$D$17*MIN(1,MAX(0,(42-Pipeline!$E$17+1)/MAX(Pipeline!$F$17,1)))+Pipeline!$T$18*Pipeline!$D$18*MIN(1,MAX(0,(42-Pipeline!$E$18+1)/MAX(Pipeline!$F$18,1)))+Pipeline!$T$19*Pipeline!$D$19*MIN(1,MAX(0,(42-Pipeline!$E$19+1)/MAX(Pipeline!$F$19,1)))+Pipeline!$T$20*Pipeline!$D$20*MIN(1,MAX(0,(42-Pipeline!$E$20+1)/MAX(Pipeline!$F$20,1)))+Pipeline!$T$21*Pipeline!$D$21*MIN(1,MAX(0,(42-Pipeline!$E$21+1)/MAX(Pipeline!$F$21,1)))+Pipeline!$T$22*Pipeline!$D$22*MIN(1,MAX(0,(42-Pipeline!$E$22+1)/MAX(Pipeline!$F$22,1))))/Hipótesis!$D$17</f>
        <v>6939.81572629052</v>
      </c>
      <c r="AS17" s="110" t="n">
        <f aca="false">(Pipeline!$T$16*Pipeline!$D$16*MIN(1,MAX(0,(43-Pipeline!$E$16+1)/MAX(Pipeline!$F$16,1)))+Pipeline!$T$17*Pipeline!$D$17*MIN(1,MAX(0,(43-Pipeline!$E$17+1)/MAX(Pipeline!$F$17,1)))+Pipeline!$T$18*Pipeline!$D$18*MIN(1,MAX(0,(43-Pipeline!$E$18+1)/MAX(Pipeline!$F$18,1)))+Pipeline!$T$19*Pipeline!$D$19*MIN(1,MAX(0,(43-Pipeline!$E$19+1)/MAX(Pipeline!$F$19,1)))+Pipeline!$T$20*Pipeline!$D$20*MIN(1,MAX(0,(43-Pipeline!$E$20+1)/MAX(Pipeline!$F$20,1)))+Pipeline!$T$21*Pipeline!$D$21*MIN(1,MAX(0,(43-Pipeline!$E$21+1)/MAX(Pipeline!$F$21,1)))+Pipeline!$T$22*Pipeline!$D$22*MIN(1,MAX(0,(43-Pipeline!$E$22+1)/MAX(Pipeline!$F$22,1))))/Hipótesis!$D$17</f>
        <v>6939.81572629052</v>
      </c>
      <c r="AT17" s="110" t="n">
        <f aca="false">(Pipeline!$T$16*Pipeline!$D$16*MIN(1,MAX(0,(44-Pipeline!$E$16+1)/MAX(Pipeline!$F$16,1)))+Pipeline!$T$17*Pipeline!$D$17*MIN(1,MAX(0,(44-Pipeline!$E$17+1)/MAX(Pipeline!$F$17,1)))+Pipeline!$T$18*Pipeline!$D$18*MIN(1,MAX(0,(44-Pipeline!$E$18+1)/MAX(Pipeline!$F$18,1)))+Pipeline!$T$19*Pipeline!$D$19*MIN(1,MAX(0,(44-Pipeline!$E$19+1)/MAX(Pipeline!$F$19,1)))+Pipeline!$T$20*Pipeline!$D$20*MIN(1,MAX(0,(44-Pipeline!$E$20+1)/MAX(Pipeline!$F$20,1)))+Pipeline!$T$21*Pipeline!$D$21*MIN(1,MAX(0,(44-Pipeline!$E$21+1)/MAX(Pipeline!$F$21,1)))+Pipeline!$T$22*Pipeline!$D$22*MIN(1,MAX(0,(44-Pipeline!$E$22+1)/MAX(Pipeline!$F$22,1))))/Hipótesis!$D$17</f>
        <v>6939.81572629052</v>
      </c>
      <c r="AU17" s="110" t="n">
        <f aca="false">(Pipeline!$T$16*Pipeline!$D$16*MIN(1,MAX(0,(45-Pipeline!$E$16+1)/MAX(Pipeline!$F$16,1)))+Pipeline!$T$17*Pipeline!$D$17*MIN(1,MAX(0,(45-Pipeline!$E$17+1)/MAX(Pipeline!$F$17,1)))+Pipeline!$T$18*Pipeline!$D$18*MIN(1,MAX(0,(45-Pipeline!$E$18+1)/MAX(Pipeline!$F$18,1)))+Pipeline!$T$19*Pipeline!$D$19*MIN(1,MAX(0,(45-Pipeline!$E$19+1)/MAX(Pipeline!$F$19,1)))+Pipeline!$T$20*Pipeline!$D$20*MIN(1,MAX(0,(45-Pipeline!$E$20+1)/MAX(Pipeline!$F$20,1)))+Pipeline!$T$21*Pipeline!$D$21*MIN(1,MAX(0,(45-Pipeline!$E$21+1)/MAX(Pipeline!$F$21,1)))+Pipeline!$T$22*Pipeline!$D$22*MIN(1,MAX(0,(45-Pipeline!$E$22+1)/MAX(Pipeline!$F$22,1))))/Hipótesis!$D$17</f>
        <v>6939.81572629052</v>
      </c>
      <c r="AV17" s="110" t="n">
        <f aca="false">(Pipeline!$T$16*Pipeline!$D$16*MIN(1,MAX(0,(46-Pipeline!$E$16+1)/MAX(Pipeline!$F$16,1)))+Pipeline!$T$17*Pipeline!$D$17*MIN(1,MAX(0,(46-Pipeline!$E$17+1)/MAX(Pipeline!$F$17,1)))+Pipeline!$T$18*Pipeline!$D$18*MIN(1,MAX(0,(46-Pipeline!$E$18+1)/MAX(Pipeline!$F$18,1)))+Pipeline!$T$19*Pipeline!$D$19*MIN(1,MAX(0,(46-Pipeline!$E$19+1)/MAX(Pipeline!$F$19,1)))+Pipeline!$T$20*Pipeline!$D$20*MIN(1,MAX(0,(46-Pipeline!$E$20+1)/MAX(Pipeline!$F$20,1)))+Pipeline!$T$21*Pipeline!$D$21*MIN(1,MAX(0,(46-Pipeline!$E$21+1)/MAX(Pipeline!$F$21,1)))+Pipeline!$T$22*Pipeline!$D$22*MIN(1,MAX(0,(46-Pipeline!$E$22+1)/MAX(Pipeline!$F$22,1))))/Hipótesis!$D$17</f>
        <v>6939.81572629052</v>
      </c>
      <c r="AW17" s="110" t="n">
        <f aca="false">(Pipeline!$T$16*Pipeline!$D$16*MIN(1,MAX(0,(47-Pipeline!$E$16+1)/MAX(Pipeline!$F$16,1)))+Pipeline!$T$17*Pipeline!$D$17*MIN(1,MAX(0,(47-Pipeline!$E$17+1)/MAX(Pipeline!$F$17,1)))+Pipeline!$T$18*Pipeline!$D$18*MIN(1,MAX(0,(47-Pipeline!$E$18+1)/MAX(Pipeline!$F$18,1)))+Pipeline!$T$19*Pipeline!$D$19*MIN(1,MAX(0,(47-Pipeline!$E$19+1)/MAX(Pipeline!$F$19,1)))+Pipeline!$T$20*Pipeline!$D$20*MIN(1,MAX(0,(47-Pipeline!$E$20+1)/MAX(Pipeline!$F$20,1)))+Pipeline!$T$21*Pipeline!$D$21*MIN(1,MAX(0,(47-Pipeline!$E$21+1)/MAX(Pipeline!$F$21,1)))+Pipeline!$T$22*Pipeline!$D$22*MIN(1,MAX(0,(47-Pipeline!$E$22+1)/MAX(Pipeline!$F$22,1))))/Hipótesis!$D$17</f>
        <v>6939.81572629052</v>
      </c>
      <c r="AX17" s="110" t="n">
        <f aca="false">(Pipeline!$T$16*Pipeline!$D$16*MIN(1,MAX(0,(48-Pipeline!$E$16+1)/MAX(Pipeline!$F$16,1)))+Pipeline!$T$17*Pipeline!$D$17*MIN(1,MAX(0,(48-Pipeline!$E$17+1)/MAX(Pipeline!$F$17,1)))+Pipeline!$T$18*Pipeline!$D$18*MIN(1,MAX(0,(48-Pipeline!$E$18+1)/MAX(Pipeline!$F$18,1)))+Pipeline!$T$19*Pipeline!$D$19*MIN(1,MAX(0,(48-Pipeline!$E$19+1)/MAX(Pipeline!$F$19,1)))+Pipeline!$T$20*Pipeline!$D$20*MIN(1,MAX(0,(48-Pipeline!$E$20+1)/MAX(Pipeline!$F$20,1)))+Pipeline!$T$21*Pipeline!$D$21*MIN(1,MAX(0,(48-Pipeline!$E$21+1)/MAX(Pipeline!$F$21,1)))+Pipeline!$T$22*Pipeline!$D$22*MIN(1,MAX(0,(48-Pipeline!$E$22+1)/MAX(Pipeline!$F$22,1))))/Hipótesis!$D$17</f>
        <v>6939.81572629052</v>
      </c>
      <c r="AY17" s="110" t="n">
        <f aca="false">(Pipeline!$T$16*Pipeline!$D$16*MIN(1,MAX(0,(49-Pipeline!$E$16+1)/MAX(Pipeline!$F$16,1)))+Pipeline!$T$17*Pipeline!$D$17*MIN(1,MAX(0,(49-Pipeline!$E$17+1)/MAX(Pipeline!$F$17,1)))+Pipeline!$T$18*Pipeline!$D$18*MIN(1,MAX(0,(49-Pipeline!$E$18+1)/MAX(Pipeline!$F$18,1)))+Pipeline!$T$19*Pipeline!$D$19*MIN(1,MAX(0,(49-Pipeline!$E$19+1)/MAX(Pipeline!$F$19,1)))+Pipeline!$T$20*Pipeline!$D$20*MIN(1,MAX(0,(49-Pipeline!$E$20+1)/MAX(Pipeline!$F$20,1)))+Pipeline!$T$21*Pipeline!$D$21*MIN(1,MAX(0,(49-Pipeline!$E$21+1)/MAX(Pipeline!$F$21,1)))+Pipeline!$T$22*Pipeline!$D$22*MIN(1,MAX(0,(49-Pipeline!$E$22+1)/MAX(Pipeline!$F$22,1))))/Hipótesis!$D$17</f>
        <v>6939.81572629052</v>
      </c>
      <c r="AZ17" s="110" t="n">
        <f aca="false">(Pipeline!$T$16*Pipeline!$D$16*MIN(1,MAX(0,(50-Pipeline!$E$16+1)/MAX(Pipeline!$F$16,1)))+Pipeline!$T$17*Pipeline!$D$17*MIN(1,MAX(0,(50-Pipeline!$E$17+1)/MAX(Pipeline!$F$17,1)))+Pipeline!$T$18*Pipeline!$D$18*MIN(1,MAX(0,(50-Pipeline!$E$18+1)/MAX(Pipeline!$F$18,1)))+Pipeline!$T$19*Pipeline!$D$19*MIN(1,MAX(0,(50-Pipeline!$E$19+1)/MAX(Pipeline!$F$19,1)))+Pipeline!$T$20*Pipeline!$D$20*MIN(1,MAX(0,(50-Pipeline!$E$20+1)/MAX(Pipeline!$F$20,1)))+Pipeline!$T$21*Pipeline!$D$21*MIN(1,MAX(0,(50-Pipeline!$E$21+1)/MAX(Pipeline!$F$21,1)))+Pipeline!$T$22*Pipeline!$D$22*MIN(1,MAX(0,(50-Pipeline!$E$22+1)/MAX(Pipeline!$F$22,1))))/Hipótesis!$D$17</f>
        <v>6939.81572629052</v>
      </c>
      <c r="BA17" s="110" t="n">
        <f aca="false">(Pipeline!$T$16*Pipeline!$D$16*MIN(1,MAX(0,(51-Pipeline!$E$16+1)/MAX(Pipeline!$F$16,1)))+Pipeline!$T$17*Pipeline!$D$17*MIN(1,MAX(0,(51-Pipeline!$E$17+1)/MAX(Pipeline!$F$17,1)))+Pipeline!$T$18*Pipeline!$D$18*MIN(1,MAX(0,(51-Pipeline!$E$18+1)/MAX(Pipeline!$F$18,1)))+Pipeline!$T$19*Pipeline!$D$19*MIN(1,MAX(0,(51-Pipeline!$E$19+1)/MAX(Pipeline!$F$19,1)))+Pipeline!$T$20*Pipeline!$D$20*MIN(1,MAX(0,(51-Pipeline!$E$20+1)/MAX(Pipeline!$F$20,1)))+Pipeline!$T$21*Pipeline!$D$21*MIN(1,MAX(0,(51-Pipeline!$E$21+1)/MAX(Pipeline!$F$21,1)))+Pipeline!$T$22*Pipeline!$D$22*MIN(1,MAX(0,(51-Pipeline!$E$22+1)/MAX(Pipeline!$F$22,1))))/Hipótesis!$D$17</f>
        <v>6939.81572629052</v>
      </c>
      <c r="BB17" s="110" t="n">
        <f aca="false">(Pipeline!$T$16*Pipeline!$D$16*MIN(1,MAX(0,(52-Pipeline!$E$16+1)/MAX(Pipeline!$F$16,1)))+Pipeline!$T$17*Pipeline!$D$17*MIN(1,MAX(0,(52-Pipeline!$E$17+1)/MAX(Pipeline!$F$17,1)))+Pipeline!$T$18*Pipeline!$D$18*MIN(1,MAX(0,(52-Pipeline!$E$18+1)/MAX(Pipeline!$F$18,1)))+Pipeline!$T$19*Pipeline!$D$19*MIN(1,MAX(0,(52-Pipeline!$E$19+1)/MAX(Pipeline!$F$19,1)))+Pipeline!$T$20*Pipeline!$D$20*MIN(1,MAX(0,(52-Pipeline!$E$20+1)/MAX(Pipeline!$F$20,1)))+Pipeline!$T$21*Pipeline!$D$21*MIN(1,MAX(0,(52-Pipeline!$E$21+1)/MAX(Pipeline!$F$21,1)))+Pipeline!$T$22*Pipeline!$D$22*MIN(1,MAX(0,(52-Pipeline!$E$22+1)/MAX(Pipeline!$F$22,1))))/Hipótesis!$D$17</f>
        <v>6939.81572629052</v>
      </c>
      <c r="BC17" s="110" t="n">
        <f aca="false">(Pipeline!$T$16*Pipeline!$D$16*MIN(1,MAX(0,(53-Pipeline!$E$16+1)/MAX(Pipeline!$F$16,1)))+Pipeline!$T$17*Pipeline!$D$17*MIN(1,MAX(0,(53-Pipeline!$E$17+1)/MAX(Pipeline!$F$17,1)))+Pipeline!$T$18*Pipeline!$D$18*MIN(1,MAX(0,(53-Pipeline!$E$18+1)/MAX(Pipeline!$F$18,1)))+Pipeline!$T$19*Pipeline!$D$19*MIN(1,MAX(0,(53-Pipeline!$E$19+1)/MAX(Pipeline!$F$19,1)))+Pipeline!$T$20*Pipeline!$D$20*MIN(1,MAX(0,(53-Pipeline!$E$20+1)/MAX(Pipeline!$F$20,1)))+Pipeline!$T$21*Pipeline!$D$21*MIN(1,MAX(0,(53-Pipeline!$E$21+1)/MAX(Pipeline!$F$21,1)))+Pipeline!$T$22*Pipeline!$D$22*MIN(1,MAX(0,(53-Pipeline!$E$22+1)/MAX(Pipeline!$F$22,1))))/Hipótesis!$D$17</f>
        <v>6939.81572629052</v>
      </c>
      <c r="BD17" s="110" t="n">
        <f aca="false">(Pipeline!$T$16*Pipeline!$D$16*MIN(1,MAX(0,(54-Pipeline!$E$16+1)/MAX(Pipeline!$F$16,1)))+Pipeline!$T$17*Pipeline!$D$17*MIN(1,MAX(0,(54-Pipeline!$E$17+1)/MAX(Pipeline!$F$17,1)))+Pipeline!$T$18*Pipeline!$D$18*MIN(1,MAX(0,(54-Pipeline!$E$18+1)/MAX(Pipeline!$F$18,1)))+Pipeline!$T$19*Pipeline!$D$19*MIN(1,MAX(0,(54-Pipeline!$E$19+1)/MAX(Pipeline!$F$19,1)))+Pipeline!$T$20*Pipeline!$D$20*MIN(1,MAX(0,(54-Pipeline!$E$20+1)/MAX(Pipeline!$F$20,1)))+Pipeline!$T$21*Pipeline!$D$21*MIN(1,MAX(0,(54-Pipeline!$E$21+1)/MAX(Pipeline!$F$21,1)))+Pipeline!$T$22*Pipeline!$D$22*MIN(1,MAX(0,(54-Pipeline!$E$22+1)/MAX(Pipeline!$F$22,1))))/Hipótesis!$D$17</f>
        <v>6939.81572629052</v>
      </c>
      <c r="BE17" s="110" t="n">
        <f aca="false">(Pipeline!$T$16*Pipeline!$D$16*MIN(1,MAX(0,(55-Pipeline!$E$16+1)/MAX(Pipeline!$F$16,1)))+Pipeline!$T$17*Pipeline!$D$17*MIN(1,MAX(0,(55-Pipeline!$E$17+1)/MAX(Pipeline!$F$17,1)))+Pipeline!$T$18*Pipeline!$D$18*MIN(1,MAX(0,(55-Pipeline!$E$18+1)/MAX(Pipeline!$F$18,1)))+Pipeline!$T$19*Pipeline!$D$19*MIN(1,MAX(0,(55-Pipeline!$E$19+1)/MAX(Pipeline!$F$19,1)))+Pipeline!$T$20*Pipeline!$D$20*MIN(1,MAX(0,(55-Pipeline!$E$20+1)/MAX(Pipeline!$F$20,1)))+Pipeline!$T$21*Pipeline!$D$21*MIN(1,MAX(0,(55-Pipeline!$E$21+1)/MAX(Pipeline!$F$21,1)))+Pipeline!$T$22*Pipeline!$D$22*MIN(1,MAX(0,(55-Pipeline!$E$22+1)/MAX(Pipeline!$F$22,1))))/Hipótesis!$D$17</f>
        <v>6939.81572629052</v>
      </c>
      <c r="BF17" s="110" t="n">
        <f aca="false">(Pipeline!$T$16*Pipeline!$D$16*MIN(1,MAX(0,(56-Pipeline!$E$16+1)/MAX(Pipeline!$F$16,1)))+Pipeline!$T$17*Pipeline!$D$17*MIN(1,MAX(0,(56-Pipeline!$E$17+1)/MAX(Pipeline!$F$17,1)))+Pipeline!$T$18*Pipeline!$D$18*MIN(1,MAX(0,(56-Pipeline!$E$18+1)/MAX(Pipeline!$F$18,1)))+Pipeline!$T$19*Pipeline!$D$19*MIN(1,MAX(0,(56-Pipeline!$E$19+1)/MAX(Pipeline!$F$19,1)))+Pipeline!$T$20*Pipeline!$D$20*MIN(1,MAX(0,(56-Pipeline!$E$20+1)/MAX(Pipeline!$F$20,1)))+Pipeline!$T$21*Pipeline!$D$21*MIN(1,MAX(0,(56-Pipeline!$E$21+1)/MAX(Pipeline!$F$21,1)))+Pipeline!$T$22*Pipeline!$D$22*MIN(1,MAX(0,(56-Pipeline!$E$22+1)/MAX(Pipeline!$F$22,1))))/Hipótesis!$D$17</f>
        <v>6939.81572629052</v>
      </c>
      <c r="BG17" s="110" t="n">
        <f aca="false">(Pipeline!$T$16*Pipeline!$D$16*MIN(1,MAX(0,(57-Pipeline!$E$16+1)/MAX(Pipeline!$F$16,1)))+Pipeline!$T$17*Pipeline!$D$17*MIN(1,MAX(0,(57-Pipeline!$E$17+1)/MAX(Pipeline!$F$17,1)))+Pipeline!$T$18*Pipeline!$D$18*MIN(1,MAX(0,(57-Pipeline!$E$18+1)/MAX(Pipeline!$F$18,1)))+Pipeline!$T$19*Pipeline!$D$19*MIN(1,MAX(0,(57-Pipeline!$E$19+1)/MAX(Pipeline!$F$19,1)))+Pipeline!$T$20*Pipeline!$D$20*MIN(1,MAX(0,(57-Pipeline!$E$20+1)/MAX(Pipeline!$F$20,1)))+Pipeline!$T$21*Pipeline!$D$21*MIN(1,MAX(0,(57-Pipeline!$E$21+1)/MAX(Pipeline!$F$21,1)))+Pipeline!$T$22*Pipeline!$D$22*MIN(1,MAX(0,(57-Pipeline!$E$22+1)/MAX(Pipeline!$F$22,1))))/Hipótesis!$D$17</f>
        <v>6939.81572629052</v>
      </c>
      <c r="BH17" s="110" t="n">
        <f aca="false">(Pipeline!$T$16*Pipeline!$D$16*MIN(1,MAX(0,(58-Pipeline!$E$16+1)/MAX(Pipeline!$F$16,1)))+Pipeline!$T$17*Pipeline!$D$17*MIN(1,MAX(0,(58-Pipeline!$E$17+1)/MAX(Pipeline!$F$17,1)))+Pipeline!$T$18*Pipeline!$D$18*MIN(1,MAX(0,(58-Pipeline!$E$18+1)/MAX(Pipeline!$F$18,1)))+Pipeline!$T$19*Pipeline!$D$19*MIN(1,MAX(0,(58-Pipeline!$E$19+1)/MAX(Pipeline!$F$19,1)))+Pipeline!$T$20*Pipeline!$D$20*MIN(1,MAX(0,(58-Pipeline!$E$20+1)/MAX(Pipeline!$F$20,1)))+Pipeline!$T$21*Pipeline!$D$21*MIN(1,MAX(0,(58-Pipeline!$E$21+1)/MAX(Pipeline!$F$21,1)))+Pipeline!$T$22*Pipeline!$D$22*MIN(1,MAX(0,(58-Pipeline!$E$22+1)/MAX(Pipeline!$F$22,1))))/Hipótesis!$D$17</f>
        <v>6939.81572629052</v>
      </c>
      <c r="BI17" s="110" t="n">
        <f aca="false">(Pipeline!$T$16*Pipeline!$D$16*MIN(1,MAX(0,(59-Pipeline!$E$16+1)/MAX(Pipeline!$F$16,1)))+Pipeline!$T$17*Pipeline!$D$17*MIN(1,MAX(0,(59-Pipeline!$E$17+1)/MAX(Pipeline!$F$17,1)))+Pipeline!$T$18*Pipeline!$D$18*MIN(1,MAX(0,(59-Pipeline!$E$18+1)/MAX(Pipeline!$F$18,1)))+Pipeline!$T$19*Pipeline!$D$19*MIN(1,MAX(0,(59-Pipeline!$E$19+1)/MAX(Pipeline!$F$19,1)))+Pipeline!$T$20*Pipeline!$D$20*MIN(1,MAX(0,(59-Pipeline!$E$20+1)/MAX(Pipeline!$F$20,1)))+Pipeline!$T$21*Pipeline!$D$21*MIN(1,MAX(0,(59-Pipeline!$E$21+1)/MAX(Pipeline!$F$21,1)))+Pipeline!$T$22*Pipeline!$D$22*MIN(1,MAX(0,(59-Pipeline!$E$22+1)/MAX(Pipeline!$F$22,1))))/Hipótesis!$D$17</f>
        <v>6939.81572629052</v>
      </c>
      <c r="BJ17" s="110" t="n">
        <f aca="false">(Pipeline!$T$16*Pipeline!$D$16*MIN(1,MAX(0,(60-Pipeline!$E$16+1)/MAX(Pipeline!$F$16,1)))+Pipeline!$T$17*Pipeline!$D$17*MIN(1,MAX(0,(60-Pipeline!$E$17+1)/MAX(Pipeline!$F$17,1)))+Pipeline!$T$18*Pipeline!$D$18*MIN(1,MAX(0,(60-Pipeline!$E$18+1)/MAX(Pipeline!$F$18,1)))+Pipeline!$T$19*Pipeline!$D$19*MIN(1,MAX(0,(60-Pipeline!$E$19+1)/MAX(Pipeline!$F$19,1)))+Pipeline!$T$20*Pipeline!$D$20*MIN(1,MAX(0,(60-Pipeline!$E$20+1)/MAX(Pipeline!$F$20,1)))+Pipeline!$T$21*Pipeline!$D$21*MIN(1,MAX(0,(60-Pipeline!$E$21+1)/MAX(Pipeline!$F$21,1)))+Pipeline!$T$22*Pipeline!$D$22*MIN(1,MAX(0,(60-Pipeline!$E$22+1)/MAX(Pipeline!$F$22,1))))/Hipótesis!$D$17</f>
        <v>6939.81572629052</v>
      </c>
      <c r="BK17" s="110" t="n">
        <f aca="false">(Pipeline!$T$16*Pipeline!$D$16*MIN(1,MAX(0,(61-Pipeline!$E$16+1)/MAX(Pipeline!$F$16,1)))+Pipeline!$T$17*Pipeline!$D$17*MIN(1,MAX(0,(61-Pipeline!$E$17+1)/MAX(Pipeline!$F$17,1)))+Pipeline!$T$18*Pipeline!$D$18*MIN(1,MAX(0,(61-Pipeline!$E$18+1)/MAX(Pipeline!$F$18,1)))+Pipeline!$T$19*Pipeline!$D$19*MIN(1,MAX(0,(61-Pipeline!$E$19+1)/MAX(Pipeline!$F$19,1)))+Pipeline!$T$20*Pipeline!$D$20*MIN(1,MAX(0,(61-Pipeline!$E$20+1)/MAX(Pipeline!$F$20,1)))+Pipeline!$T$21*Pipeline!$D$21*MIN(1,MAX(0,(61-Pipeline!$E$21+1)/MAX(Pipeline!$F$21,1)))+Pipeline!$T$22*Pipeline!$D$22*MIN(1,MAX(0,(61-Pipeline!$E$22+1)/MAX(Pipeline!$F$22,1))))/Hipótesis!$D$17</f>
        <v>6939.81572629052</v>
      </c>
      <c r="BL17" s="110" t="n">
        <f aca="false">(Pipeline!$T$16*Pipeline!$D$16*MIN(1,MAX(0,(62-Pipeline!$E$16+1)/MAX(Pipeline!$F$16,1)))+Pipeline!$T$17*Pipeline!$D$17*MIN(1,MAX(0,(62-Pipeline!$E$17+1)/MAX(Pipeline!$F$17,1)))+Pipeline!$T$18*Pipeline!$D$18*MIN(1,MAX(0,(62-Pipeline!$E$18+1)/MAX(Pipeline!$F$18,1)))+Pipeline!$T$19*Pipeline!$D$19*MIN(1,MAX(0,(62-Pipeline!$E$19+1)/MAX(Pipeline!$F$19,1)))+Pipeline!$T$20*Pipeline!$D$20*MIN(1,MAX(0,(62-Pipeline!$E$20+1)/MAX(Pipeline!$F$20,1)))+Pipeline!$T$21*Pipeline!$D$21*MIN(1,MAX(0,(62-Pipeline!$E$21+1)/MAX(Pipeline!$F$21,1)))+Pipeline!$T$22*Pipeline!$D$22*MIN(1,MAX(0,(62-Pipeline!$E$22+1)/MAX(Pipeline!$F$22,1))))/Hipótesis!$D$17</f>
        <v>6939.81572629052</v>
      </c>
      <c r="BM17" s="110" t="n">
        <f aca="false">(Pipeline!$T$16*Pipeline!$D$16*MIN(1,MAX(0,(63-Pipeline!$E$16+1)/MAX(Pipeline!$F$16,1)))+Pipeline!$T$17*Pipeline!$D$17*MIN(1,MAX(0,(63-Pipeline!$E$17+1)/MAX(Pipeline!$F$17,1)))+Pipeline!$T$18*Pipeline!$D$18*MIN(1,MAX(0,(63-Pipeline!$E$18+1)/MAX(Pipeline!$F$18,1)))+Pipeline!$T$19*Pipeline!$D$19*MIN(1,MAX(0,(63-Pipeline!$E$19+1)/MAX(Pipeline!$F$19,1)))+Pipeline!$T$20*Pipeline!$D$20*MIN(1,MAX(0,(63-Pipeline!$E$20+1)/MAX(Pipeline!$F$20,1)))+Pipeline!$T$21*Pipeline!$D$21*MIN(1,MAX(0,(63-Pipeline!$E$21+1)/MAX(Pipeline!$F$21,1)))+Pipeline!$T$22*Pipeline!$D$22*MIN(1,MAX(0,(63-Pipeline!$E$22+1)/MAX(Pipeline!$F$22,1))))/Hipótesis!$D$17</f>
        <v>6939.81572629052</v>
      </c>
      <c r="BN17" s="110" t="n">
        <f aca="false">(Pipeline!$T$16*Pipeline!$D$16*MIN(1,MAX(0,(64-Pipeline!$E$16+1)/MAX(Pipeline!$F$16,1)))+Pipeline!$T$17*Pipeline!$D$17*MIN(1,MAX(0,(64-Pipeline!$E$17+1)/MAX(Pipeline!$F$17,1)))+Pipeline!$T$18*Pipeline!$D$18*MIN(1,MAX(0,(64-Pipeline!$E$18+1)/MAX(Pipeline!$F$18,1)))+Pipeline!$T$19*Pipeline!$D$19*MIN(1,MAX(0,(64-Pipeline!$E$19+1)/MAX(Pipeline!$F$19,1)))+Pipeline!$T$20*Pipeline!$D$20*MIN(1,MAX(0,(64-Pipeline!$E$20+1)/MAX(Pipeline!$F$20,1)))+Pipeline!$T$21*Pipeline!$D$21*MIN(1,MAX(0,(64-Pipeline!$E$21+1)/MAX(Pipeline!$F$21,1)))+Pipeline!$T$22*Pipeline!$D$22*MIN(1,MAX(0,(64-Pipeline!$E$22+1)/MAX(Pipeline!$F$22,1))))/Hipótesis!$D$17</f>
        <v>6939.81572629052</v>
      </c>
      <c r="BO17" s="110" t="n">
        <f aca="false">(Pipeline!$T$16*Pipeline!$D$16*MIN(1,MAX(0,(65-Pipeline!$E$16+1)/MAX(Pipeline!$F$16,1)))+Pipeline!$T$17*Pipeline!$D$17*MIN(1,MAX(0,(65-Pipeline!$E$17+1)/MAX(Pipeline!$F$17,1)))+Pipeline!$T$18*Pipeline!$D$18*MIN(1,MAX(0,(65-Pipeline!$E$18+1)/MAX(Pipeline!$F$18,1)))+Pipeline!$T$19*Pipeline!$D$19*MIN(1,MAX(0,(65-Pipeline!$E$19+1)/MAX(Pipeline!$F$19,1)))+Pipeline!$T$20*Pipeline!$D$20*MIN(1,MAX(0,(65-Pipeline!$E$20+1)/MAX(Pipeline!$F$20,1)))+Pipeline!$T$21*Pipeline!$D$21*MIN(1,MAX(0,(65-Pipeline!$E$21+1)/MAX(Pipeline!$F$21,1)))+Pipeline!$T$22*Pipeline!$D$22*MIN(1,MAX(0,(65-Pipeline!$E$22+1)/MAX(Pipeline!$F$22,1))))/Hipótesis!$D$17</f>
        <v>6939.81572629052</v>
      </c>
      <c r="BP17" s="110" t="n">
        <f aca="false">(Pipeline!$T$16*Pipeline!$D$16*MIN(1,MAX(0,(66-Pipeline!$E$16+1)/MAX(Pipeline!$F$16,1)))+Pipeline!$T$17*Pipeline!$D$17*MIN(1,MAX(0,(66-Pipeline!$E$17+1)/MAX(Pipeline!$F$17,1)))+Pipeline!$T$18*Pipeline!$D$18*MIN(1,MAX(0,(66-Pipeline!$E$18+1)/MAX(Pipeline!$F$18,1)))+Pipeline!$T$19*Pipeline!$D$19*MIN(1,MAX(0,(66-Pipeline!$E$19+1)/MAX(Pipeline!$F$19,1)))+Pipeline!$T$20*Pipeline!$D$20*MIN(1,MAX(0,(66-Pipeline!$E$20+1)/MAX(Pipeline!$F$20,1)))+Pipeline!$T$21*Pipeline!$D$21*MIN(1,MAX(0,(66-Pipeline!$E$21+1)/MAX(Pipeline!$F$21,1)))+Pipeline!$T$22*Pipeline!$D$22*MIN(1,MAX(0,(66-Pipeline!$E$22+1)/MAX(Pipeline!$F$22,1))))/Hipótesis!$D$17</f>
        <v>6939.81572629052</v>
      </c>
      <c r="BQ17" s="110" t="n">
        <f aca="false">(Pipeline!$T$16*Pipeline!$D$16*MIN(1,MAX(0,(67-Pipeline!$E$16+1)/MAX(Pipeline!$F$16,1)))+Pipeline!$T$17*Pipeline!$D$17*MIN(1,MAX(0,(67-Pipeline!$E$17+1)/MAX(Pipeline!$F$17,1)))+Pipeline!$T$18*Pipeline!$D$18*MIN(1,MAX(0,(67-Pipeline!$E$18+1)/MAX(Pipeline!$F$18,1)))+Pipeline!$T$19*Pipeline!$D$19*MIN(1,MAX(0,(67-Pipeline!$E$19+1)/MAX(Pipeline!$F$19,1)))+Pipeline!$T$20*Pipeline!$D$20*MIN(1,MAX(0,(67-Pipeline!$E$20+1)/MAX(Pipeline!$F$20,1)))+Pipeline!$T$21*Pipeline!$D$21*MIN(1,MAX(0,(67-Pipeline!$E$21+1)/MAX(Pipeline!$F$21,1)))+Pipeline!$T$22*Pipeline!$D$22*MIN(1,MAX(0,(67-Pipeline!$E$22+1)/MAX(Pipeline!$F$22,1))))/Hipótesis!$D$17</f>
        <v>6939.81572629052</v>
      </c>
      <c r="BR17" s="110" t="n">
        <f aca="false">(Pipeline!$T$16*Pipeline!$D$16*MIN(1,MAX(0,(68-Pipeline!$E$16+1)/MAX(Pipeline!$F$16,1)))+Pipeline!$T$17*Pipeline!$D$17*MIN(1,MAX(0,(68-Pipeline!$E$17+1)/MAX(Pipeline!$F$17,1)))+Pipeline!$T$18*Pipeline!$D$18*MIN(1,MAX(0,(68-Pipeline!$E$18+1)/MAX(Pipeline!$F$18,1)))+Pipeline!$T$19*Pipeline!$D$19*MIN(1,MAX(0,(68-Pipeline!$E$19+1)/MAX(Pipeline!$F$19,1)))+Pipeline!$T$20*Pipeline!$D$20*MIN(1,MAX(0,(68-Pipeline!$E$20+1)/MAX(Pipeline!$F$20,1)))+Pipeline!$T$21*Pipeline!$D$21*MIN(1,MAX(0,(68-Pipeline!$E$21+1)/MAX(Pipeline!$F$21,1)))+Pipeline!$T$22*Pipeline!$D$22*MIN(1,MAX(0,(68-Pipeline!$E$22+1)/MAX(Pipeline!$F$22,1))))/Hipótesis!$D$17</f>
        <v>6939.81572629052</v>
      </c>
      <c r="BS17" s="110" t="n">
        <f aca="false">(Pipeline!$T$16*Pipeline!$D$16*MIN(1,MAX(0,(69-Pipeline!$E$16+1)/MAX(Pipeline!$F$16,1)))+Pipeline!$T$17*Pipeline!$D$17*MIN(1,MAX(0,(69-Pipeline!$E$17+1)/MAX(Pipeline!$F$17,1)))+Pipeline!$T$18*Pipeline!$D$18*MIN(1,MAX(0,(69-Pipeline!$E$18+1)/MAX(Pipeline!$F$18,1)))+Pipeline!$T$19*Pipeline!$D$19*MIN(1,MAX(0,(69-Pipeline!$E$19+1)/MAX(Pipeline!$F$19,1)))+Pipeline!$T$20*Pipeline!$D$20*MIN(1,MAX(0,(69-Pipeline!$E$20+1)/MAX(Pipeline!$F$20,1)))+Pipeline!$T$21*Pipeline!$D$21*MIN(1,MAX(0,(69-Pipeline!$E$21+1)/MAX(Pipeline!$F$21,1)))+Pipeline!$T$22*Pipeline!$D$22*MIN(1,MAX(0,(69-Pipeline!$E$22+1)/MAX(Pipeline!$F$22,1))))/Hipótesis!$D$17</f>
        <v>6939.81572629052</v>
      </c>
      <c r="BT17" s="110" t="n">
        <f aca="false">(Pipeline!$T$16*Pipeline!$D$16*MIN(1,MAX(0,(70-Pipeline!$E$16+1)/MAX(Pipeline!$F$16,1)))+Pipeline!$T$17*Pipeline!$D$17*MIN(1,MAX(0,(70-Pipeline!$E$17+1)/MAX(Pipeline!$F$17,1)))+Pipeline!$T$18*Pipeline!$D$18*MIN(1,MAX(0,(70-Pipeline!$E$18+1)/MAX(Pipeline!$F$18,1)))+Pipeline!$T$19*Pipeline!$D$19*MIN(1,MAX(0,(70-Pipeline!$E$19+1)/MAX(Pipeline!$F$19,1)))+Pipeline!$T$20*Pipeline!$D$20*MIN(1,MAX(0,(70-Pipeline!$E$20+1)/MAX(Pipeline!$F$20,1)))+Pipeline!$T$21*Pipeline!$D$21*MIN(1,MAX(0,(70-Pipeline!$E$21+1)/MAX(Pipeline!$F$21,1)))+Pipeline!$T$22*Pipeline!$D$22*MIN(1,MAX(0,(70-Pipeline!$E$22+1)/MAX(Pipeline!$F$22,1))))/Hipótesis!$D$17</f>
        <v>6939.81572629052</v>
      </c>
      <c r="BU17" s="110" t="n">
        <f aca="false">(Pipeline!$T$16*Pipeline!$D$16*MIN(1,MAX(0,(71-Pipeline!$E$16+1)/MAX(Pipeline!$F$16,1)))+Pipeline!$T$17*Pipeline!$D$17*MIN(1,MAX(0,(71-Pipeline!$E$17+1)/MAX(Pipeline!$F$17,1)))+Pipeline!$T$18*Pipeline!$D$18*MIN(1,MAX(0,(71-Pipeline!$E$18+1)/MAX(Pipeline!$F$18,1)))+Pipeline!$T$19*Pipeline!$D$19*MIN(1,MAX(0,(71-Pipeline!$E$19+1)/MAX(Pipeline!$F$19,1)))+Pipeline!$T$20*Pipeline!$D$20*MIN(1,MAX(0,(71-Pipeline!$E$20+1)/MAX(Pipeline!$F$20,1)))+Pipeline!$T$21*Pipeline!$D$21*MIN(1,MAX(0,(71-Pipeline!$E$21+1)/MAX(Pipeline!$F$21,1)))+Pipeline!$T$22*Pipeline!$D$22*MIN(1,MAX(0,(71-Pipeline!$E$22+1)/MAX(Pipeline!$F$22,1))))/Hipótesis!$D$17</f>
        <v>6939.81572629052</v>
      </c>
      <c r="BV17" s="110" t="n">
        <f aca="false">(Pipeline!$T$16*Pipeline!$D$16*MIN(1,MAX(0,(72-Pipeline!$E$16+1)/MAX(Pipeline!$F$16,1)))+Pipeline!$T$17*Pipeline!$D$17*MIN(1,MAX(0,(72-Pipeline!$E$17+1)/MAX(Pipeline!$F$17,1)))+Pipeline!$T$18*Pipeline!$D$18*MIN(1,MAX(0,(72-Pipeline!$E$18+1)/MAX(Pipeline!$F$18,1)))+Pipeline!$T$19*Pipeline!$D$19*MIN(1,MAX(0,(72-Pipeline!$E$19+1)/MAX(Pipeline!$F$19,1)))+Pipeline!$T$20*Pipeline!$D$20*MIN(1,MAX(0,(72-Pipeline!$E$20+1)/MAX(Pipeline!$F$20,1)))+Pipeline!$T$21*Pipeline!$D$21*MIN(1,MAX(0,(72-Pipeline!$E$21+1)/MAX(Pipeline!$F$21,1)))+Pipeline!$T$22*Pipeline!$D$22*MIN(1,MAX(0,(72-Pipeline!$E$22+1)/MAX(Pipeline!$F$22,1))))/Hipótesis!$D$17</f>
        <v>6939.81572629052</v>
      </c>
      <c r="BW17" s="110" t="n">
        <f aca="false">(Pipeline!$T$16*Pipeline!$D$16*MIN(1,MAX(0,(73-Pipeline!$E$16+1)/MAX(Pipeline!$F$16,1)))+Pipeline!$T$17*Pipeline!$D$17*MIN(1,MAX(0,(73-Pipeline!$E$17+1)/MAX(Pipeline!$F$17,1)))+Pipeline!$T$18*Pipeline!$D$18*MIN(1,MAX(0,(73-Pipeline!$E$18+1)/MAX(Pipeline!$F$18,1)))+Pipeline!$T$19*Pipeline!$D$19*MIN(1,MAX(0,(73-Pipeline!$E$19+1)/MAX(Pipeline!$F$19,1)))+Pipeline!$T$20*Pipeline!$D$20*MIN(1,MAX(0,(73-Pipeline!$E$20+1)/MAX(Pipeline!$F$20,1)))+Pipeline!$T$21*Pipeline!$D$21*MIN(1,MAX(0,(73-Pipeline!$E$21+1)/MAX(Pipeline!$F$21,1)))+Pipeline!$T$22*Pipeline!$D$22*MIN(1,MAX(0,(73-Pipeline!$E$22+1)/MAX(Pipeline!$F$22,1))))/Hipótesis!$D$17</f>
        <v>6939.81572629052</v>
      </c>
      <c r="BX17" s="110" t="n">
        <f aca="false">(Pipeline!$T$16*Pipeline!$D$16*MIN(1,MAX(0,(74-Pipeline!$E$16+1)/MAX(Pipeline!$F$16,1)))+Pipeline!$T$17*Pipeline!$D$17*MIN(1,MAX(0,(74-Pipeline!$E$17+1)/MAX(Pipeline!$F$17,1)))+Pipeline!$T$18*Pipeline!$D$18*MIN(1,MAX(0,(74-Pipeline!$E$18+1)/MAX(Pipeline!$F$18,1)))+Pipeline!$T$19*Pipeline!$D$19*MIN(1,MAX(0,(74-Pipeline!$E$19+1)/MAX(Pipeline!$F$19,1)))+Pipeline!$T$20*Pipeline!$D$20*MIN(1,MAX(0,(74-Pipeline!$E$20+1)/MAX(Pipeline!$F$20,1)))+Pipeline!$T$21*Pipeline!$D$21*MIN(1,MAX(0,(74-Pipeline!$E$21+1)/MAX(Pipeline!$F$21,1)))+Pipeline!$T$22*Pipeline!$D$22*MIN(1,MAX(0,(74-Pipeline!$E$22+1)/MAX(Pipeline!$F$22,1))))/Hipótesis!$D$17</f>
        <v>6939.81572629052</v>
      </c>
      <c r="BY17" s="110" t="n">
        <f aca="false">(Pipeline!$T$16*Pipeline!$D$16*MIN(1,MAX(0,(75-Pipeline!$E$16+1)/MAX(Pipeline!$F$16,1)))+Pipeline!$T$17*Pipeline!$D$17*MIN(1,MAX(0,(75-Pipeline!$E$17+1)/MAX(Pipeline!$F$17,1)))+Pipeline!$T$18*Pipeline!$D$18*MIN(1,MAX(0,(75-Pipeline!$E$18+1)/MAX(Pipeline!$F$18,1)))+Pipeline!$T$19*Pipeline!$D$19*MIN(1,MAX(0,(75-Pipeline!$E$19+1)/MAX(Pipeline!$F$19,1)))+Pipeline!$T$20*Pipeline!$D$20*MIN(1,MAX(0,(75-Pipeline!$E$20+1)/MAX(Pipeline!$F$20,1)))+Pipeline!$T$21*Pipeline!$D$21*MIN(1,MAX(0,(75-Pipeline!$E$21+1)/MAX(Pipeline!$F$21,1)))+Pipeline!$T$22*Pipeline!$D$22*MIN(1,MAX(0,(75-Pipeline!$E$22+1)/MAX(Pipeline!$F$22,1))))/Hipótesis!$D$17</f>
        <v>6939.81572629052</v>
      </c>
      <c r="BZ17" s="110" t="n">
        <f aca="false">(Pipeline!$T$16*Pipeline!$D$16*MIN(1,MAX(0,(76-Pipeline!$E$16+1)/MAX(Pipeline!$F$16,1)))+Pipeline!$T$17*Pipeline!$D$17*MIN(1,MAX(0,(76-Pipeline!$E$17+1)/MAX(Pipeline!$F$17,1)))+Pipeline!$T$18*Pipeline!$D$18*MIN(1,MAX(0,(76-Pipeline!$E$18+1)/MAX(Pipeline!$F$18,1)))+Pipeline!$T$19*Pipeline!$D$19*MIN(1,MAX(0,(76-Pipeline!$E$19+1)/MAX(Pipeline!$F$19,1)))+Pipeline!$T$20*Pipeline!$D$20*MIN(1,MAX(0,(76-Pipeline!$E$20+1)/MAX(Pipeline!$F$20,1)))+Pipeline!$T$21*Pipeline!$D$21*MIN(1,MAX(0,(76-Pipeline!$E$21+1)/MAX(Pipeline!$F$21,1)))+Pipeline!$T$22*Pipeline!$D$22*MIN(1,MAX(0,(76-Pipeline!$E$22+1)/MAX(Pipeline!$F$22,1))))/Hipótesis!$D$17</f>
        <v>6939.81572629052</v>
      </c>
      <c r="CA17" s="110" t="n">
        <f aca="false">(Pipeline!$T$16*Pipeline!$D$16*MIN(1,MAX(0,(77-Pipeline!$E$16+1)/MAX(Pipeline!$F$16,1)))+Pipeline!$T$17*Pipeline!$D$17*MIN(1,MAX(0,(77-Pipeline!$E$17+1)/MAX(Pipeline!$F$17,1)))+Pipeline!$T$18*Pipeline!$D$18*MIN(1,MAX(0,(77-Pipeline!$E$18+1)/MAX(Pipeline!$F$18,1)))+Pipeline!$T$19*Pipeline!$D$19*MIN(1,MAX(0,(77-Pipeline!$E$19+1)/MAX(Pipeline!$F$19,1)))+Pipeline!$T$20*Pipeline!$D$20*MIN(1,MAX(0,(77-Pipeline!$E$20+1)/MAX(Pipeline!$F$20,1)))+Pipeline!$T$21*Pipeline!$D$21*MIN(1,MAX(0,(77-Pipeline!$E$21+1)/MAX(Pipeline!$F$21,1)))+Pipeline!$T$22*Pipeline!$D$22*MIN(1,MAX(0,(77-Pipeline!$E$22+1)/MAX(Pipeline!$F$22,1))))/Hipótesis!$D$17</f>
        <v>6939.81572629052</v>
      </c>
      <c r="CB17" s="110" t="n">
        <f aca="false">(Pipeline!$T$16*Pipeline!$D$16*MIN(1,MAX(0,(78-Pipeline!$E$16+1)/MAX(Pipeline!$F$16,1)))+Pipeline!$T$17*Pipeline!$D$17*MIN(1,MAX(0,(78-Pipeline!$E$17+1)/MAX(Pipeline!$F$17,1)))+Pipeline!$T$18*Pipeline!$D$18*MIN(1,MAX(0,(78-Pipeline!$E$18+1)/MAX(Pipeline!$F$18,1)))+Pipeline!$T$19*Pipeline!$D$19*MIN(1,MAX(0,(78-Pipeline!$E$19+1)/MAX(Pipeline!$F$19,1)))+Pipeline!$T$20*Pipeline!$D$20*MIN(1,MAX(0,(78-Pipeline!$E$20+1)/MAX(Pipeline!$F$20,1)))+Pipeline!$T$21*Pipeline!$D$21*MIN(1,MAX(0,(78-Pipeline!$E$21+1)/MAX(Pipeline!$F$21,1)))+Pipeline!$T$22*Pipeline!$D$22*MIN(1,MAX(0,(78-Pipeline!$E$22+1)/MAX(Pipeline!$F$22,1))))/Hipótesis!$D$17</f>
        <v>6939.81572629052</v>
      </c>
      <c r="CC17" s="110" t="n">
        <f aca="false">(Pipeline!$T$16*Pipeline!$D$16*MIN(1,MAX(0,(79-Pipeline!$E$16+1)/MAX(Pipeline!$F$16,1)))+Pipeline!$T$17*Pipeline!$D$17*MIN(1,MAX(0,(79-Pipeline!$E$17+1)/MAX(Pipeline!$F$17,1)))+Pipeline!$T$18*Pipeline!$D$18*MIN(1,MAX(0,(79-Pipeline!$E$18+1)/MAX(Pipeline!$F$18,1)))+Pipeline!$T$19*Pipeline!$D$19*MIN(1,MAX(0,(79-Pipeline!$E$19+1)/MAX(Pipeline!$F$19,1)))+Pipeline!$T$20*Pipeline!$D$20*MIN(1,MAX(0,(79-Pipeline!$E$20+1)/MAX(Pipeline!$F$20,1)))+Pipeline!$T$21*Pipeline!$D$21*MIN(1,MAX(0,(79-Pipeline!$E$21+1)/MAX(Pipeline!$F$21,1)))+Pipeline!$T$22*Pipeline!$D$22*MIN(1,MAX(0,(79-Pipeline!$E$22+1)/MAX(Pipeline!$F$22,1))))/Hipótesis!$D$17</f>
        <v>6939.81572629052</v>
      </c>
      <c r="CD17" s="110" t="n">
        <f aca="false">(Pipeline!$T$16*Pipeline!$D$16*MIN(1,MAX(0,(80-Pipeline!$E$16+1)/MAX(Pipeline!$F$16,1)))+Pipeline!$T$17*Pipeline!$D$17*MIN(1,MAX(0,(80-Pipeline!$E$17+1)/MAX(Pipeline!$F$17,1)))+Pipeline!$T$18*Pipeline!$D$18*MIN(1,MAX(0,(80-Pipeline!$E$18+1)/MAX(Pipeline!$F$18,1)))+Pipeline!$T$19*Pipeline!$D$19*MIN(1,MAX(0,(80-Pipeline!$E$19+1)/MAX(Pipeline!$F$19,1)))+Pipeline!$T$20*Pipeline!$D$20*MIN(1,MAX(0,(80-Pipeline!$E$20+1)/MAX(Pipeline!$F$20,1)))+Pipeline!$T$21*Pipeline!$D$21*MIN(1,MAX(0,(80-Pipeline!$E$21+1)/MAX(Pipeline!$F$21,1)))+Pipeline!$T$22*Pipeline!$D$22*MIN(1,MAX(0,(80-Pipeline!$E$22+1)/MAX(Pipeline!$F$22,1))))/Hipótesis!$D$17</f>
        <v>6939.81572629052</v>
      </c>
      <c r="CE17" s="110" t="n">
        <f aca="false">(Pipeline!$T$16*Pipeline!$D$16*MIN(1,MAX(0,(81-Pipeline!$E$16+1)/MAX(Pipeline!$F$16,1)))+Pipeline!$T$17*Pipeline!$D$17*MIN(1,MAX(0,(81-Pipeline!$E$17+1)/MAX(Pipeline!$F$17,1)))+Pipeline!$T$18*Pipeline!$D$18*MIN(1,MAX(0,(81-Pipeline!$E$18+1)/MAX(Pipeline!$F$18,1)))+Pipeline!$T$19*Pipeline!$D$19*MIN(1,MAX(0,(81-Pipeline!$E$19+1)/MAX(Pipeline!$F$19,1)))+Pipeline!$T$20*Pipeline!$D$20*MIN(1,MAX(0,(81-Pipeline!$E$20+1)/MAX(Pipeline!$F$20,1)))+Pipeline!$T$21*Pipeline!$D$21*MIN(1,MAX(0,(81-Pipeline!$E$21+1)/MAX(Pipeline!$F$21,1)))+Pipeline!$T$22*Pipeline!$D$22*MIN(1,MAX(0,(81-Pipeline!$E$22+1)/MAX(Pipeline!$F$22,1))))/Hipótesis!$D$17</f>
        <v>6939.81572629052</v>
      </c>
      <c r="CF17" s="110" t="n">
        <f aca="false">(Pipeline!$T$16*Pipeline!$D$16*MIN(1,MAX(0,(82-Pipeline!$E$16+1)/MAX(Pipeline!$F$16,1)))+Pipeline!$T$17*Pipeline!$D$17*MIN(1,MAX(0,(82-Pipeline!$E$17+1)/MAX(Pipeline!$F$17,1)))+Pipeline!$T$18*Pipeline!$D$18*MIN(1,MAX(0,(82-Pipeline!$E$18+1)/MAX(Pipeline!$F$18,1)))+Pipeline!$T$19*Pipeline!$D$19*MIN(1,MAX(0,(82-Pipeline!$E$19+1)/MAX(Pipeline!$F$19,1)))+Pipeline!$T$20*Pipeline!$D$20*MIN(1,MAX(0,(82-Pipeline!$E$20+1)/MAX(Pipeline!$F$20,1)))+Pipeline!$T$21*Pipeline!$D$21*MIN(1,MAX(0,(82-Pipeline!$E$21+1)/MAX(Pipeline!$F$21,1)))+Pipeline!$T$22*Pipeline!$D$22*MIN(1,MAX(0,(82-Pipeline!$E$22+1)/MAX(Pipeline!$F$22,1))))/Hipótesis!$D$17</f>
        <v>6939.81572629052</v>
      </c>
      <c r="CG17" s="110" t="n">
        <f aca="false">(Pipeline!$T$16*Pipeline!$D$16*MIN(1,MAX(0,(83-Pipeline!$E$16+1)/MAX(Pipeline!$F$16,1)))+Pipeline!$T$17*Pipeline!$D$17*MIN(1,MAX(0,(83-Pipeline!$E$17+1)/MAX(Pipeline!$F$17,1)))+Pipeline!$T$18*Pipeline!$D$18*MIN(1,MAX(0,(83-Pipeline!$E$18+1)/MAX(Pipeline!$F$18,1)))+Pipeline!$T$19*Pipeline!$D$19*MIN(1,MAX(0,(83-Pipeline!$E$19+1)/MAX(Pipeline!$F$19,1)))+Pipeline!$T$20*Pipeline!$D$20*MIN(1,MAX(0,(83-Pipeline!$E$20+1)/MAX(Pipeline!$F$20,1)))+Pipeline!$T$21*Pipeline!$D$21*MIN(1,MAX(0,(83-Pipeline!$E$21+1)/MAX(Pipeline!$F$21,1)))+Pipeline!$T$22*Pipeline!$D$22*MIN(1,MAX(0,(83-Pipeline!$E$22+1)/MAX(Pipeline!$F$22,1))))/Hipótesis!$D$17</f>
        <v>6939.81572629052</v>
      </c>
      <c r="CH17" s="110" t="n">
        <f aca="false">(Pipeline!$T$16*Pipeline!$D$16*MIN(1,MAX(0,(84-Pipeline!$E$16+1)/MAX(Pipeline!$F$16,1)))+Pipeline!$T$17*Pipeline!$D$17*MIN(1,MAX(0,(84-Pipeline!$E$17+1)/MAX(Pipeline!$F$17,1)))+Pipeline!$T$18*Pipeline!$D$18*MIN(1,MAX(0,(84-Pipeline!$E$18+1)/MAX(Pipeline!$F$18,1)))+Pipeline!$T$19*Pipeline!$D$19*MIN(1,MAX(0,(84-Pipeline!$E$19+1)/MAX(Pipeline!$F$19,1)))+Pipeline!$T$20*Pipeline!$D$20*MIN(1,MAX(0,(84-Pipeline!$E$20+1)/MAX(Pipeline!$F$20,1)))+Pipeline!$T$21*Pipeline!$D$21*MIN(1,MAX(0,(84-Pipeline!$E$21+1)/MAX(Pipeline!$F$21,1)))+Pipeline!$T$22*Pipeline!$D$22*MIN(1,MAX(0,(84-Pipeline!$E$22+1)/MAX(Pipeline!$F$22,1))))/Hipótesis!$D$17</f>
        <v>6939.81572629052</v>
      </c>
    </row>
    <row r="18" customFormat="false" ht="13.5" hidden="false" customHeight="true" outlineLevel="0" collapsed="false">
      <c r="A18" s="6" t="s">
        <v>526</v>
      </c>
      <c r="C18" s="119" t="n">
        <f aca="false">(Pipeline!$U$16*Pipeline!$D$16*MIN(1,MAX(0,(1-Pipeline!$E$16+1)/MAX(Pipeline!$F$16,1)))+Pipeline!$U$17*Pipeline!$D$17*MIN(1,MAX(0,(1-Pipeline!$E$17+1)/MAX(Pipeline!$F$17,1)))+Pipeline!$U$18*Pipeline!$D$18*MIN(1,MAX(0,(1-Pipeline!$E$18+1)/MAX(Pipeline!$F$18,1)))+Pipeline!$U$19*Pipeline!$D$19*MIN(1,MAX(0,(1-Pipeline!$E$19+1)/MAX(Pipeline!$F$19,1)))+Pipeline!$U$20*Pipeline!$D$20*MIN(1,MAX(0,(1-Pipeline!$E$20+1)/MAX(Pipeline!$F$20,1)))+Pipeline!$U$21*Pipeline!$D$21*MIN(1,MAX(0,(1-Pipeline!$E$21+1)/MAX(Pipeline!$F$21,1)))+Pipeline!$U$22*Pipeline!$D$22*MIN(1,MAX(0,(1-Pipeline!$E$22+1)/MAX(Pipeline!$F$22,1))))/Hipótesis!$D$17</f>
        <v>40.2339469647162</v>
      </c>
      <c r="D18" s="119" t="n">
        <f aca="false">(Pipeline!$U$16*Pipeline!$D$16*MIN(1,MAX(0,(2-Pipeline!$E$16+1)/MAX(Pipeline!$F$16,1)))+Pipeline!$U$17*Pipeline!$D$17*MIN(1,MAX(0,(2-Pipeline!$E$17+1)/MAX(Pipeline!$F$17,1)))+Pipeline!$U$18*Pipeline!$D$18*MIN(1,MAX(0,(2-Pipeline!$E$18+1)/MAX(Pipeline!$F$18,1)))+Pipeline!$U$19*Pipeline!$D$19*MIN(1,MAX(0,(2-Pipeline!$E$19+1)/MAX(Pipeline!$F$19,1)))+Pipeline!$U$20*Pipeline!$D$20*MIN(1,MAX(0,(2-Pipeline!$E$20+1)/MAX(Pipeline!$F$20,1)))+Pipeline!$U$21*Pipeline!$D$21*MIN(1,MAX(0,(2-Pipeline!$E$21+1)/MAX(Pipeline!$F$21,1)))+Pipeline!$U$22*Pipeline!$D$22*MIN(1,MAX(0,(2-Pipeline!$E$22+1)/MAX(Pipeline!$F$22,1))))/Hipótesis!$D$17</f>
        <v>82.3352799370899</v>
      </c>
      <c r="E18" s="119" t="n">
        <f aca="false">(Pipeline!$U$16*Pipeline!$D$16*MIN(1,MAX(0,(3-Pipeline!$E$16+1)/MAX(Pipeline!$F$16,1)))+Pipeline!$U$17*Pipeline!$D$17*MIN(1,MAX(0,(3-Pipeline!$E$17+1)/MAX(Pipeline!$F$17,1)))+Pipeline!$U$18*Pipeline!$D$18*MIN(1,MAX(0,(3-Pipeline!$E$18+1)/MAX(Pipeline!$F$18,1)))+Pipeline!$U$19*Pipeline!$D$19*MIN(1,MAX(0,(3-Pipeline!$E$19+1)/MAX(Pipeline!$F$19,1)))+Pipeline!$U$20*Pipeline!$D$20*MIN(1,MAX(0,(3-Pipeline!$E$20+1)/MAX(Pipeline!$F$20,1)))+Pipeline!$U$21*Pipeline!$D$21*MIN(1,MAX(0,(3-Pipeline!$E$21+1)/MAX(Pipeline!$F$21,1)))+Pipeline!$U$22*Pipeline!$D$22*MIN(1,MAX(0,(3-Pipeline!$E$22+1)/MAX(Pipeline!$F$22,1))))/Hipótesis!$D$17</f>
        <v>155.435557112391</v>
      </c>
      <c r="F18" s="119" t="n">
        <f aca="false">(Pipeline!$U$16*Pipeline!$D$16*MIN(1,MAX(0,(4-Pipeline!$E$16+1)/MAX(Pipeline!$F$16,1)))+Pipeline!$U$17*Pipeline!$D$17*MIN(1,MAX(0,(4-Pipeline!$E$17+1)/MAX(Pipeline!$F$17,1)))+Pipeline!$U$18*Pipeline!$D$18*MIN(1,MAX(0,(4-Pipeline!$E$18+1)/MAX(Pipeline!$F$18,1)))+Pipeline!$U$19*Pipeline!$D$19*MIN(1,MAX(0,(4-Pipeline!$E$19+1)/MAX(Pipeline!$F$19,1)))+Pipeline!$U$20*Pipeline!$D$20*MIN(1,MAX(0,(4-Pipeline!$E$20+1)/MAX(Pipeline!$F$20,1)))+Pipeline!$U$21*Pipeline!$D$21*MIN(1,MAX(0,(4-Pipeline!$E$21+1)/MAX(Pipeline!$F$21,1)))+Pipeline!$U$22*Pipeline!$D$22*MIN(1,MAX(0,(4-Pipeline!$E$22+1)/MAX(Pipeline!$F$22,1))))/Hipótesis!$D$17</f>
        <v>188.301887322976</v>
      </c>
      <c r="G18" s="119" t="n">
        <f aca="false">(Pipeline!$U$16*Pipeline!$D$16*MIN(1,MAX(0,(5-Pipeline!$E$16+1)/MAX(Pipeline!$F$16,1)))+Pipeline!$U$17*Pipeline!$D$17*MIN(1,MAX(0,(5-Pipeline!$E$17+1)/MAX(Pipeline!$F$17,1)))+Pipeline!$U$18*Pipeline!$D$18*MIN(1,MAX(0,(5-Pipeline!$E$18+1)/MAX(Pipeline!$F$18,1)))+Pipeline!$U$19*Pipeline!$D$19*MIN(1,MAX(0,(5-Pipeline!$E$19+1)/MAX(Pipeline!$F$19,1)))+Pipeline!$U$20*Pipeline!$D$20*MIN(1,MAX(0,(5-Pipeline!$E$20+1)/MAX(Pipeline!$F$20,1)))+Pipeline!$U$21*Pipeline!$D$21*MIN(1,MAX(0,(5-Pipeline!$E$21+1)/MAX(Pipeline!$F$21,1)))+Pipeline!$U$22*Pipeline!$D$22*MIN(1,MAX(0,(5-Pipeline!$E$22+1)/MAX(Pipeline!$F$22,1))))/Hipótesis!$D$17</f>
        <v>219.300831525904</v>
      </c>
      <c r="H18" s="119" t="n">
        <f aca="false">(Pipeline!$U$16*Pipeline!$D$16*MIN(1,MAX(0,(6-Pipeline!$E$16+1)/MAX(Pipeline!$F$16,1)))+Pipeline!$U$17*Pipeline!$D$17*MIN(1,MAX(0,(6-Pipeline!$E$17+1)/MAX(Pipeline!$F$17,1)))+Pipeline!$U$18*Pipeline!$D$18*MIN(1,MAX(0,(6-Pipeline!$E$18+1)/MAX(Pipeline!$F$18,1)))+Pipeline!$U$19*Pipeline!$D$19*MIN(1,MAX(0,(6-Pipeline!$E$19+1)/MAX(Pipeline!$F$19,1)))+Pipeline!$U$20*Pipeline!$D$20*MIN(1,MAX(0,(6-Pipeline!$E$20+1)/MAX(Pipeline!$F$20,1)))+Pipeline!$U$21*Pipeline!$D$21*MIN(1,MAX(0,(6-Pipeline!$E$21+1)/MAX(Pipeline!$F$21,1)))+Pipeline!$U$22*Pipeline!$D$22*MIN(1,MAX(0,(6-Pipeline!$E$22+1)/MAX(Pipeline!$F$22,1))))/Hipótesis!$D$17</f>
        <v>271.696907066574</v>
      </c>
      <c r="I18" s="119" t="n">
        <f aca="false">(Pipeline!$U$16*Pipeline!$D$16*MIN(1,MAX(0,(7-Pipeline!$E$16+1)/MAX(Pipeline!$F$16,1)))+Pipeline!$U$17*Pipeline!$D$17*MIN(1,MAX(0,(7-Pipeline!$E$17+1)/MAX(Pipeline!$F$17,1)))+Pipeline!$U$18*Pipeline!$D$18*MIN(1,MAX(0,(7-Pipeline!$E$18+1)/MAX(Pipeline!$F$18,1)))+Pipeline!$U$19*Pipeline!$D$19*MIN(1,MAX(0,(7-Pipeline!$E$19+1)/MAX(Pipeline!$F$19,1)))+Pipeline!$U$20*Pipeline!$D$20*MIN(1,MAX(0,(7-Pipeline!$E$20+1)/MAX(Pipeline!$F$20,1)))+Pipeline!$U$21*Pipeline!$D$21*MIN(1,MAX(0,(7-Pipeline!$E$21+1)/MAX(Pipeline!$F$21,1)))+Pipeline!$U$22*Pipeline!$D$22*MIN(1,MAX(0,(7-Pipeline!$E$22+1)/MAX(Pipeline!$F$22,1))))/Hipótesis!$D$17</f>
        <v>324.092982607244</v>
      </c>
      <c r="J18" s="119" t="n">
        <f aca="false">(Pipeline!$U$16*Pipeline!$D$16*MIN(1,MAX(0,(8-Pipeline!$E$16+1)/MAX(Pipeline!$F$16,1)))+Pipeline!$U$17*Pipeline!$D$17*MIN(1,MAX(0,(8-Pipeline!$E$17+1)/MAX(Pipeline!$F$17,1)))+Pipeline!$U$18*Pipeline!$D$18*MIN(1,MAX(0,(8-Pipeline!$E$18+1)/MAX(Pipeline!$F$18,1)))+Pipeline!$U$19*Pipeline!$D$19*MIN(1,MAX(0,(8-Pipeline!$E$19+1)/MAX(Pipeline!$F$19,1)))+Pipeline!$U$20*Pipeline!$D$20*MIN(1,MAX(0,(8-Pipeline!$E$20+1)/MAX(Pipeline!$F$20,1)))+Pipeline!$U$21*Pipeline!$D$21*MIN(1,MAX(0,(8-Pipeline!$E$21+1)/MAX(Pipeline!$F$21,1)))+Pipeline!$U$22*Pipeline!$D$22*MIN(1,MAX(0,(8-Pipeline!$E$22+1)/MAX(Pipeline!$F$22,1))))/Hipótesis!$D$17</f>
        <v>376.489058147914</v>
      </c>
      <c r="K18" s="119" t="n">
        <f aca="false">(Pipeline!$U$16*Pipeline!$D$16*MIN(1,MAX(0,(9-Pipeline!$E$16+1)/MAX(Pipeline!$F$16,1)))+Pipeline!$U$17*Pipeline!$D$17*MIN(1,MAX(0,(9-Pipeline!$E$17+1)/MAX(Pipeline!$F$17,1)))+Pipeline!$U$18*Pipeline!$D$18*MIN(1,MAX(0,(9-Pipeline!$E$18+1)/MAX(Pipeline!$F$18,1)))+Pipeline!$U$19*Pipeline!$D$19*MIN(1,MAX(0,(9-Pipeline!$E$19+1)/MAX(Pipeline!$F$19,1)))+Pipeline!$U$20*Pipeline!$D$20*MIN(1,MAX(0,(9-Pipeline!$E$20+1)/MAX(Pipeline!$F$20,1)))+Pipeline!$U$21*Pipeline!$D$21*MIN(1,MAX(0,(9-Pipeline!$E$21+1)/MAX(Pipeline!$F$21,1)))+Pipeline!$U$22*Pipeline!$D$22*MIN(1,MAX(0,(9-Pipeline!$E$22+1)/MAX(Pipeline!$F$22,1))))/Hipótesis!$D$17</f>
        <v>428.885133688584</v>
      </c>
      <c r="L18" s="119" t="n">
        <f aca="false">(Pipeline!$U$16*Pipeline!$D$16*MIN(1,MAX(0,(10-Pipeline!$E$16+1)/MAX(Pipeline!$F$16,1)))+Pipeline!$U$17*Pipeline!$D$17*MIN(1,MAX(0,(10-Pipeline!$E$17+1)/MAX(Pipeline!$F$17,1)))+Pipeline!$U$18*Pipeline!$D$18*MIN(1,MAX(0,(10-Pipeline!$E$18+1)/MAX(Pipeline!$F$18,1)))+Pipeline!$U$19*Pipeline!$D$19*MIN(1,MAX(0,(10-Pipeline!$E$19+1)/MAX(Pipeline!$F$19,1)))+Pipeline!$U$20*Pipeline!$D$20*MIN(1,MAX(0,(10-Pipeline!$E$20+1)/MAX(Pipeline!$F$20,1)))+Pipeline!$U$21*Pipeline!$D$21*MIN(1,MAX(0,(10-Pipeline!$E$21+1)/MAX(Pipeline!$F$21,1)))+Pipeline!$U$22*Pipeline!$D$22*MIN(1,MAX(0,(10-Pipeline!$E$22+1)/MAX(Pipeline!$F$22,1))))/Hipótesis!$D$17</f>
        <v>481.281209229254</v>
      </c>
      <c r="M18" s="119" t="n">
        <f aca="false">(Pipeline!$U$16*Pipeline!$D$16*MIN(1,MAX(0,(11-Pipeline!$E$16+1)/MAX(Pipeline!$F$16,1)))+Pipeline!$U$17*Pipeline!$D$17*MIN(1,MAX(0,(11-Pipeline!$E$17+1)/MAX(Pipeline!$F$17,1)))+Pipeline!$U$18*Pipeline!$D$18*MIN(1,MAX(0,(11-Pipeline!$E$18+1)/MAX(Pipeline!$F$18,1)))+Pipeline!$U$19*Pipeline!$D$19*MIN(1,MAX(0,(11-Pipeline!$E$19+1)/MAX(Pipeline!$F$19,1)))+Pipeline!$U$20*Pipeline!$D$20*MIN(1,MAX(0,(11-Pipeline!$E$20+1)/MAX(Pipeline!$F$20,1)))+Pipeline!$U$21*Pipeline!$D$21*MIN(1,MAX(0,(11-Pipeline!$E$21+1)/MAX(Pipeline!$F$21,1)))+Pipeline!$U$22*Pipeline!$D$22*MIN(1,MAX(0,(11-Pipeline!$E$22+1)/MAX(Pipeline!$F$22,1))))/Hipótesis!$D$17</f>
        <v>502.678340566996</v>
      </c>
      <c r="N18" s="119" t="n">
        <f aca="false">(Pipeline!$U$16*Pipeline!$D$16*MIN(1,MAX(0,(12-Pipeline!$E$16+1)/MAX(Pipeline!$F$16,1)))+Pipeline!$U$17*Pipeline!$D$17*MIN(1,MAX(0,(12-Pipeline!$E$17+1)/MAX(Pipeline!$F$17,1)))+Pipeline!$U$18*Pipeline!$D$18*MIN(1,MAX(0,(12-Pipeline!$E$18+1)/MAX(Pipeline!$F$18,1)))+Pipeline!$U$19*Pipeline!$D$19*MIN(1,MAX(0,(12-Pipeline!$E$19+1)/MAX(Pipeline!$F$19,1)))+Pipeline!$U$20*Pipeline!$D$20*MIN(1,MAX(0,(12-Pipeline!$E$20+1)/MAX(Pipeline!$F$20,1)))+Pipeline!$U$21*Pipeline!$D$21*MIN(1,MAX(0,(12-Pipeline!$E$21+1)/MAX(Pipeline!$F$21,1)))+Pipeline!$U$22*Pipeline!$D$22*MIN(1,MAX(0,(12-Pipeline!$E$22+1)/MAX(Pipeline!$F$22,1))))/Hipótesis!$D$17</f>
        <v>555.198572032363</v>
      </c>
      <c r="O18" s="119" t="n">
        <f aca="false">(Pipeline!$U$16*Pipeline!$D$16*MIN(1,MAX(0,(13-Pipeline!$E$16+1)/MAX(Pipeline!$F$16,1)))+Pipeline!$U$17*Pipeline!$D$17*MIN(1,MAX(0,(13-Pipeline!$E$17+1)/MAX(Pipeline!$F$17,1)))+Pipeline!$U$18*Pipeline!$D$18*MIN(1,MAX(0,(13-Pipeline!$E$18+1)/MAX(Pipeline!$F$18,1)))+Pipeline!$U$19*Pipeline!$D$19*MIN(1,MAX(0,(13-Pipeline!$E$19+1)/MAX(Pipeline!$F$19,1)))+Pipeline!$U$20*Pipeline!$D$20*MIN(1,MAX(0,(13-Pipeline!$E$20+1)/MAX(Pipeline!$F$20,1)))+Pipeline!$U$21*Pipeline!$D$21*MIN(1,MAX(0,(13-Pipeline!$E$21+1)/MAX(Pipeline!$F$21,1)))+Pipeline!$U$22*Pipeline!$D$22*MIN(1,MAX(0,(13-Pipeline!$E$22+1)/MAX(Pipeline!$F$22,1))))/Hipótesis!$D$17</f>
        <v>607.71880349773</v>
      </c>
      <c r="P18" s="119" t="n">
        <f aca="false">(Pipeline!$U$16*Pipeline!$D$16*MIN(1,MAX(0,(14-Pipeline!$E$16+1)/MAX(Pipeline!$F$16,1)))+Pipeline!$U$17*Pipeline!$D$17*MIN(1,MAX(0,(14-Pipeline!$E$17+1)/MAX(Pipeline!$F$17,1)))+Pipeline!$U$18*Pipeline!$D$18*MIN(1,MAX(0,(14-Pipeline!$E$18+1)/MAX(Pipeline!$F$18,1)))+Pipeline!$U$19*Pipeline!$D$19*MIN(1,MAX(0,(14-Pipeline!$E$19+1)/MAX(Pipeline!$F$19,1)))+Pipeline!$U$20*Pipeline!$D$20*MIN(1,MAX(0,(14-Pipeline!$E$20+1)/MAX(Pipeline!$F$20,1)))+Pipeline!$U$21*Pipeline!$D$21*MIN(1,MAX(0,(14-Pipeline!$E$21+1)/MAX(Pipeline!$F$21,1)))+Pipeline!$U$22*Pipeline!$D$22*MIN(1,MAX(0,(14-Pipeline!$E$22+1)/MAX(Pipeline!$F$22,1))))/Hipótesis!$D$17</f>
        <v>651.291143676405</v>
      </c>
      <c r="Q18" s="119" t="n">
        <f aca="false">(Pipeline!$U$16*Pipeline!$D$16*MIN(1,MAX(0,(15-Pipeline!$E$16+1)/MAX(Pipeline!$F$16,1)))+Pipeline!$U$17*Pipeline!$D$17*MIN(1,MAX(0,(15-Pipeline!$E$17+1)/MAX(Pipeline!$F$17,1)))+Pipeline!$U$18*Pipeline!$D$18*MIN(1,MAX(0,(15-Pipeline!$E$18+1)/MAX(Pipeline!$F$18,1)))+Pipeline!$U$19*Pipeline!$D$19*MIN(1,MAX(0,(15-Pipeline!$E$19+1)/MAX(Pipeline!$F$19,1)))+Pipeline!$U$20*Pipeline!$D$20*MIN(1,MAX(0,(15-Pipeline!$E$20+1)/MAX(Pipeline!$F$20,1)))+Pipeline!$U$21*Pipeline!$D$21*MIN(1,MAX(0,(15-Pipeline!$E$21+1)/MAX(Pipeline!$F$21,1)))+Pipeline!$U$22*Pipeline!$D$22*MIN(1,MAX(0,(15-Pipeline!$E$22+1)/MAX(Pipeline!$F$22,1))))/Hipótesis!$D$17</f>
        <v>694.86348385508</v>
      </c>
      <c r="R18" s="119" t="n">
        <f aca="false">(Pipeline!$U$16*Pipeline!$D$16*MIN(1,MAX(0,(16-Pipeline!$E$16+1)/MAX(Pipeline!$F$16,1)))+Pipeline!$U$17*Pipeline!$D$17*MIN(1,MAX(0,(16-Pipeline!$E$17+1)/MAX(Pipeline!$F$17,1)))+Pipeline!$U$18*Pipeline!$D$18*MIN(1,MAX(0,(16-Pipeline!$E$18+1)/MAX(Pipeline!$F$18,1)))+Pipeline!$U$19*Pipeline!$D$19*MIN(1,MAX(0,(16-Pipeline!$E$19+1)/MAX(Pipeline!$F$19,1)))+Pipeline!$U$20*Pipeline!$D$20*MIN(1,MAX(0,(16-Pipeline!$E$20+1)/MAX(Pipeline!$F$20,1)))+Pipeline!$U$21*Pipeline!$D$21*MIN(1,MAX(0,(16-Pipeline!$E$21+1)/MAX(Pipeline!$F$21,1)))+Pipeline!$U$22*Pipeline!$D$22*MIN(1,MAX(0,(16-Pipeline!$E$22+1)/MAX(Pipeline!$F$22,1))))/Hipótesis!$D$17</f>
        <v>738.435824033755</v>
      </c>
      <c r="S18" s="119" t="n">
        <f aca="false">(Pipeline!$U$16*Pipeline!$D$16*MIN(1,MAX(0,(17-Pipeline!$E$16+1)/MAX(Pipeline!$F$16,1)))+Pipeline!$U$17*Pipeline!$D$17*MIN(1,MAX(0,(17-Pipeline!$E$17+1)/MAX(Pipeline!$F$17,1)))+Pipeline!$U$18*Pipeline!$D$18*MIN(1,MAX(0,(17-Pipeline!$E$18+1)/MAX(Pipeline!$F$18,1)))+Pipeline!$U$19*Pipeline!$D$19*MIN(1,MAX(0,(17-Pipeline!$E$19+1)/MAX(Pipeline!$F$19,1)))+Pipeline!$U$20*Pipeline!$D$20*MIN(1,MAX(0,(17-Pipeline!$E$20+1)/MAX(Pipeline!$F$20,1)))+Pipeline!$U$21*Pipeline!$D$21*MIN(1,MAX(0,(17-Pipeline!$E$21+1)/MAX(Pipeline!$F$21,1)))+Pipeline!$U$22*Pipeline!$D$22*MIN(1,MAX(0,(17-Pipeline!$E$22+1)/MAX(Pipeline!$F$22,1))))/Hipótesis!$D$17</f>
        <v>782.00816421243</v>
      </c>
      <c r="T18" s="119" t="n">
        <f aca="false">(Pipeline!$U$16*Pipeline!$D$16*MIN(1,MAX(0,(18-Pipeline!$E$16+1)/MAX(Pipeline!$F$16,1)))+Pipeline!$U$17*Pipeline!$D$17*MIN(1,MAX(0,(18-Pipeline!$E$17+1)/MAX(Pipeline!$F$17,1)))+Pipeline!$U$18*Pipeline!$D$18*MIN(1,MAX(0,(18-Pipeline!$E$18+1)/MAX(Pipeline!$F$18,1)))+Pipeline!$U$19*Pipeline!$D$19*MIN(1,MAX(0,(18-Pipeline!$E$19+1)/MAX(Pipeline!$F$19,1)))+Pipeline!$U$20*Pipeline!$D$20*MIN(1,MAX(0,(18-Pipeline!$E$20+1)/MAX(Pipeline!$F$20,1)))+Pipeline!$U$21*Pipeline!$D$21*MIN(1,MAX(0,(18-Pipeline!$E$21+1)/MAX(Pipeline!$F$21,1)))+Pipeline!$U$22*Pipeline!$D$22*MIN(1,MAX(0,(18-Pipeline!$E$22+1)/MAX(Pipeline!$F$22,1))))/Hipótesis!$D$17</f>
        <v>825.580504391106</v>
      </c>
      <c r="U18" s="119" t="n">
        <f aca="false">(Pipeline!$U$16*Pipeline!$D$16*MIN(1,MAX(0,(19-Pipeline!$E$16+1)/MAX(Pipeline!$F$16,1)))+Pipeline!$U$17*Pipeline!$D$17*MIN(1,MAX(0,(19-Pipeline!$E$17+1)/MAX(Pipeline!$F$17,1)))+Pipeline!$U$18*Pipeline!$D$18*MIN(1,MAX(0,(19-Pipeline!$E$18+1)/MAX(Pipeline!$F$18,1)))+Pipeline!$U$19*Pipeline!$D$19*MIN(1,MAX(0,(19-Pipeline!$E$19+1)/MAX(Pipeline!$F$19,1)))+Pipeline!$U$20*Pipeline!$D$20*MIN(1,MAX(0,(19-Pipeline!$E$20+1)/MAX(Pipeline!$F$20,1)))+Pipeline!$U$21*Pipeline!$D$21*MIN(1,MAX(0,(19-Pipeline!$E$21+1)/MAX(Pipeline!$F$21,1)))+Pipeline!$U$22*Pipeline!$D$22*MIN(1,MAX(0,(19-Pipeline!$E$22+1)/MAX(Pipeline!$F$22,1))))/Hipótesis!$D$17</f>
        <v>869.15284456978</v>
      </c>
      <c r="V18" s="119" t="n">
        <f aca="false">(Pipeline!$U$16*Pipeline!$D$16*MIN(1,MAX(0,(20-Pipeline!$E$16+1)/MAX(Pipeline!$F$16,1)))+Pipeline!$U$17*Pipeline!$D$17*MIN(1,MAX(0,(20-Pipeline!$E$17+1)/MAX(Pipeline!$F$17,1)))+Pipeline!$U$18*Pipeline!$D$18*MIN(1,MAX(0,(20-Pipeline!$E$18+1)/MAX(Pipeline!$F$18,1)))+Pipeline!$U$19*Pipeline!$D$19*MIN(1,MAX(0,(20-Pipeline!$E$19+1)/MAX(Pipeline!$F$19,1)))+Pipeline!$U$20*Pipeline!$D$20*MIN(1,MAX(0,(20-Pipeline!$E$20+1)/MAX(Pipeline!$F$20,1)))+Pipeline!$U$21*Pipeline!$D$21*MIN(1,MAX(0,(20-Pipeline!$E$21+1)/MAX(Pipeline!$F$21,1)))+Pipeline!$U$22*Pipeline!$D$22*MIN(1,MAX(0,(20-Pipeline!$E$22+1)/MAX(Pipeline!$F$22,1))))/Hipótesis!$D$17</f>
        <v>912.725184748456</v>
      </c>
      <c r="W18" s="119" t="n">
        <f aca="false">(Pipeline!$U$16*Pipeline!$D$16*MIN(1,MAX(0,(21-Pipeline!$E$16+1)/MAX(Pipeline!$F$16,1)))+Pipeline!$U$17*Pipeline!$D$17*MIN(1,MAX(0,(21-Pipeline!$E$17+1)/MAX(Pipeline!$F$17,1)))+Pipeline!$U$18*Pipeline!$D$18*MIN(1,MAX(0,(21-Pipeline!$E$18+1)/MAX(Pipeline!$F$18,1)))+Pipeline!$U$19*Pipeline!$D$19*MIN(1,MAX(0,(21-Pipeline!$E$19+1)/MAX(Pipeline!$F$19,1)))+Pipeline!$U$20*Pipeline!$D$20*MIN(1,MAX(0,(21-Pipeline!$E$20+1)/MAX(Pipeline!$F$20,1)))+Pipeline!$U$21*Pipeline!$D$21*MIN(1,MAX(0,(21-Pipeline!$E$21+1)/MAX(Pipeline!$F$21,1)))+Pipeline!$U$22*Pipeline!$D$22*MIN(1,MAX(0,(21-Pipeline!$E$22+1)/MAX(Pipeline!$F$22,1))))/Hipótesis!$D$17</f>
        <v>956.29752492713</v>
      </c>
      <c r="X18" s="119" t="n">
        <f aca="false">(Pipeline!$U$16*Pipeline!$D$16*MIN(1,MAX(0,(22-Pipeline!$E$16+1)/MAX(Pipeline!$F$16,1)))+Pipeline!$U$17*Pipeline!$D$17*MIN(1,MAX(0,(22-Pipeline!$E$17+1)/MAX(Pipeline!$F$17,1)))+Pipeline!$U$18*Pipeline!$D$18*MIN(1,MAX(0,(22-Pipeline!$E$18+1)/MAX(Pipeline!$F$18,1)))+Pipeline!$U$19*Pipeline!$D$19*MIN(1,MAX(0,(22-Pipeline!$E$19+1)/MAX(Pipeline!$F$19,1)))+Pipeline!$U$20*Pipeline!$D$20*MIN(1,MAX(0,(22-Pipeline!$E$20+1)/MAX(Pipeline!$F$20,1)))+Pipeline!$U$21*Pipeline!$D$21*MIN(1,MAX(0,(22-Pipeline!$E$21+1)/MAX(Pipeline!$F$21,1)))+Pipeline!$U$22*Pipeline!$D$22*MIN(1,MAX(0,(22-Pipeline!$E$22+1)/MAX(Pipeline!$F$22,1))))/Hipótesis!$D$17</f>
        <v>968.74676497818</v>
      </c>
      <c r="Y18" s="119" t="n">
        <f aca="false">(Pipeline!$U$16*Pipeline!$D$16*MIN(1,MAX(0,(23-Pipeline!$E$16+1)/MAX(Pipeline!$F$16,1)))+Pipeline!$U$17*Pipeline!$D$17*MIN(1,MAX(0,(23-Pipeline!$E$17+1)/MAX(Pipeline!$F$17,1)))+Pipeline!$U$18*Pipeline!$D$18*MIN(1,MAX(0,(23-Pipeline!$E$18+1)/MAX(Pipeline!$F$18,1)))+Pipeline!$U$19*Pipeline!$D$19*MIN(1,MAX(0,(23-Pipeline!$E$19+1)/MAX(Pipeline!$F$19,1)))+Pipeline!$U$20*Pipeline!$D$20*MIN(1,MAX(0,(23-Pipeline!$E$20+1)/MAX(Pipeline!$F$20,1)))+Pipeline!$U$21*Pipeline!$D$21*MIN(1,MAX(0,(23-Pipeline!$E$21+1)/MAX(Pipeline!$F$21,1)))+Pipeline!$U$22*Pipeline!$D$22*MIN(1,MAX(0,(23-Pipeline!$E$22+1)/MAX(Pipeline!$F$22,1))))/Hipótesis!$D$17</f>
        <v>981.19600502923</v>
      </c>
      <c r="Z18" s="119" t="n">
        <f aca="false">(Pipeline!$U$16*Pipeline!$D$16*MIN(1,MAX(0,(24-Pipeline!$E$16+1)/MAX(Pipeline!$F$16,1)))+Pipeline!$U$17*Pipeline!$D$17*MIN(1,MAX(0,(24-Pipeline!$E$17+1)/MAX(Pipeline!$F$17,1)))+Pipeline!$U$18*Pipeline!$D$18*MIN(1,MAX(0,(24-Pipeline!$E$18+1)/MAX(Pipeline!$F$18,1)))+Pipeline!$U$19*Pipeline!$D$19*MIN(1,MAX(0,(24-Pipeline!$E$19+1)/MAX(Pipeline!$F$19,1)))+Pipeline!$U$20*Pipeline!$D$20*MIN(1,MAX(0,(24-Pipeline!$E$20+1)/MAX(Pipeline!$F$20,1)))+Pipeline!$U$21*Pipeline!$D$21*MIN(1,MAX(0,(24-Pipeline!$E$21+1)/MAX(Pipeline!$F$21,1)))+Pipeline!$U$22*Pipeline!$D$22*MIN(1,MAX(0,(24-Pipeline!$E$22+1)/MAX(Pipeline!$F$22,1))))/Hipótesis!$D$17</f>
        <v>981.19600502923</v>
      </c>
      <c r="AA18" s="119" t="n">
        <f aca="false">(Pipeline!$U$16*Pipeline!$D$16*MIN(1,MAX(0,(25-Pipeline!$E$16+1)/MAX(Pipeline!$F$16,1)))+Pipeline!$U$17*Pipeline!$D$17*MIN(1,MAX(0,(25-Pipeline!$E$17+1)/MAX(Pipeline!$F$17,1)))+Pipeline!$U$18*Pipeline!$D$18*MIN(1,MAX(0,(25-Pipeline!$E$18+1)/MAX(Pipeline!$F$18,1)))+Pipeline!$U$19*Pipeline!$D$19*MIN(1,MAX(0,(25-Pipeline!$E$19+1)/MAX(Pipeline!$F$19,1)))+Pipeline!$U$20*Pipeline!$D$20*MIN(1,MAX(0,(25-Pipeline!$E$20+1)/MAX(Pipeline!$F$20,1)))+Pipeline!$U$21*Pipeline!$D$21*MIN(1,MAX(0,(25-Pipeline!$E$21+1)/MAX(Pipeline!$F$21,1)))+Pipeline!$U$22*Pipeline!$D$22*MIN(1,MAX(0,(25-Pipeline!$E$22+1)/MAX(Pipeline!$F$22,1))))/Hipótesis!$D$17</f>
        <v>981.19600502923</v>
      </c>
      <c r="AB18" s="119" t="n">
        <f aca="false">(Pipeline!$U$16*Pipeline!$D$16*MIN(1,MAX(0,(26-Pipeline!$E$16+1)/MAX(Pipeline!$F$16,1)))+Pipeline!$U$17*Pipeline!$D$17*MIN(1,MAX(0,(26-Pipeline!$E$17+1)/MAX(Pipeline!$F$17,1)))+Pipeline!$U$18*Pipeline!$D$18*MIN(1,MAX(0,(26-Pipeline!$E$18+1)/MAX(Pipeline!$F$18,1)))+Pipeline!$U$19*Pipeline!$D$19*MIN(1,MAX(0,(26-Pipeline!$E$19+1)/MAX(Pipeline!$F$19,1)))+Pipeline!$U$20*Pipeline!$D$20*MIN(1,MAX(0,(26-Pipeline!$E$20+1)/MAX(Pipeline!$F$20,1)))+Pipeline!$U$21*Pipeline!$D$21*MIN(1,MAX(0,(26-Pipeline!$E$21+1)/MAX(Pipeline!$F$21,1)))+Pipeline!$U$22*Pipeline!$D$22*MIN(1,MAX(0,(26-Pipeline!$E$22+1)/MAX(Pipeline!$F$22,1))))/Hipótesis!$D$17</f>
        <v>981.19600502923</v>
      </c>
      <c r="AC18" s="119" t="n">
        <f aca="false">(Pipeline!$U$16*Pipeline!$D$16*MIN(1,MAX(0,(27-Pipeline!$E$16+1)/MAX(Pipeline!$F$16,1)))+Pipeline!$U$17*Pipeline!$D$17*MIN(1,MAX(0,(27-Pipeline!$E$17+1)/MAX(Pipeline!$F$17,1)))+Pipeline!$U$18*Pipeline!$D$18*MIN(1,MAX(0,(27-Pipeline!$E$18+1)/MAX(Pipeline!$F$18,1)))+Pipeline!$U$19*Pipeline!$D$19*MIN(1,MAX(0,(27-Pipeline!$E$19+1)/MAX(Pipeline!$F$19,1)))+Pipeline!$U$20*Pipeline!$D$20*MIN(1,MAX(0,(27-Pipeline!$E$20+1)/MAX(Pipeline!$F$20,1)))+Pipeline!$U$21*Pipeline!$D$21*MIN(1,MAX(0,(27-Pipeline!$E$21+1)/MAX(Pipeline!$F$21,1)))+Pipeline!$U$22*Pipeline!$D$22*MIN(1,MAX(0,(27-Pipeline!$E$22+1)/MAX(Pipeline!$F$22,1))))/Hipótesis!$D$17</f>
        <v>981.19600502923</v>
      </c>
      <c r="AD18" s="119" t="n">
        <f aca="false">(Pipeline!$U$16*Pipeline!$D$16*MIN(1,MAX(0,(28-Pipeline!$E$16+1)/MAX(Pipeline!$F$16,1)))+Pipeline!$U$17*Pipeline!$D$17*MIN(1,MAX(0,(28-Pipeline!$E$17+1)/MAX(Pipeline!$F$17,1)))+Pipeline!$U$18*Pipeline!$D$18*MIN(1,MAX(0,(28-Pipeline!$E$18+1)/MAX(Pipeline!$F$18,1)))+Pipeline!$U$19*Pipeline!$D$19*MIN(1,MAX(0,(28-Pipeline!$E$19+1)/MAX(Pipeline!$F$19,1)))+Pipeline!$U$20*Pipeline!$D$20*MIN(1,MAX(0,(28-Pipeline!$E$20+1)/MAX(Pipeline!$F$20,1)))+Pipeline!$U$21*Pipeline!$D$21*MIN(1,MAX(0,(28-Pipeline!$E$21+1)/MAX(Pipeline!$F$21,1)))+Pipeline!$U$22*Pipeline!$D$22*MIN(1,MAX(0,(28-Pipeline!$E$22+1)/MAX(Pipeline!$F$22,1))))/Hipótesis!$D$17</f>
        <v>981.19600502923</v>
      </c>
      <c r="AE18" s="119" t="n">
        <f aca="false">(Pipeline!$U$16*Pipeline!$D$16*MIN(1,MAX(0,(29-Pipeline!$E$16+1)/MAX(Pipeline!$F$16,1)))+Pipeline!$U$17*Pipeline!$D$17*MIN(1,MAX(0,(29-Pipeline!$E$17+1)/MAX(Pipeline!$F$17,1)))+Pipeline!$U$18*Pipeline!$D$18*MIN(1,MAX(0,(29-Pipeline!$E$18+1)/MAX(Pipeline!$F$18,1)))+Pipeline!$U$19*Pipeline!$D$19*MIN(1,MAX(0,(29-Pipeline!$E$19+1)/MAX(Pipeline!$F$19,1)))+Pipeline!$U$20*Pipeline!$D$20*MIN(1,MAX(0,(29-Pipeline!$E$20+1)/MAX(Pipeline!$F$20,1)))+Pipeline!$U$21*Pipeline!$D$21*MIN(1,MAX(0,(29-Pipeline!$E$21+1)/MAX(Pipeline!$F$21,1)))+Pipeline!$U$22*Pipeline!$D$22*MIN(1,MAX(0,(29-Pipeline!$E$22+1)/MAX(Pipeline!$F$22,1))))/Hipótesis!$D$17</f>
        <v>981.19600502923</v>
      </c>
      <c r="AF18" s="119" t="n">
        <f aca="false">(Pipeline!$U$16*Pipeline!$D$16*MIN(1,MAX(0,(30-Pipeline!$E$16+1)/MAX(Pipeline!$F$16,1)))+Pipeline!$U$17*Pipeline!$D$17*MIN(1,MAX(0,(30-Pipeline!$E$17+1)/MAX(Pipeline!$F$17,1)))+Pipeline!$U$18*Pipeline!$D$18*MIN(1,MAX(0,(30-Pipeline!$E$18+1)/MAX(Pipeline!$F$18,1)))+Pipeline!$U$19*Pipeline!$D$19*MIN(1,MAX(0,(30-Pipeline!$E$19+1)/MAX(Pipeline!$F$19,1)))+Pipeline!$U$20*Pipeline!$D$20*MIN(1,MAX(0,(30-Pipeline!$E$20+1)/MAX(Pipeline!$F$20,1)))+Pipeline!$U$21*Pipeline!$D$21*MIN(1,MAX(0,(30-Pipeline!$E$21+1)/MAX(Pipeline!$F$21,1)))+Pipeline!$U$22*Pipeline!$D$22*MIN(1,MAX(0,(30-Pipeline!$E$22+1)/MAX(Pipeline!$F$22,1))))/Hipótesis!$D$17</f>
        <v>981.19600502923</v>
      </c>
      <c r="AG18" s="119" t="n">
        <f aca="false">(Pipeline!$U$16*Pipeline!$D$16*MIN(1,MAX(0,(31-Pipeline!$E$16+1)/MAX(Pipeline!$F$16,1)))+Pipeline!$U$17*Pipeline!$D$17*MIN(1,MAX(0,(31-Pipeline!$E$17+1)/MAX(Pipeline!$F$17,1)))+Pipeline!$U$18*Pipeline!$D$18*MIN(1,MAX(0,(31-Pipeline!$E$18+1)/MAX(Pipeline!$F$18,1)))+Pipeline!$U$19*Pipeline!$D$19*MIN(1,MAX(0,(31-Pipeline!$E$19+1)/MAX(Pipeline!$F$19,1)))+Pipeline!$U$20*Pipeline!$D$20*MIN(1,MAX(0,(31-Pipeline!$E$20+1)/MAX(Pipeline!$F$20,1)))+Pipeline!$U$21*Pipeline!$D$21*MIN(1,MAX(0,(31-Pipeline!$E$21+1)/MAX(Pipeline!$F$21,1)))+Pipeline!$U$22*Pipeline!$D$22*MIN(1,MAX(0,(31-Pipeline!$E$22+1)/MAX(Pipeline!$F$22,1))))/Hipótesis!$D$17</f>
        <v>981.19600502923</v>
      </c>
      <c r="AH18" s="119" t="n">
        <f aca="false">(Pipeline!$U$16*Pipeline!$D$16*MIN(1,MAX(0,(32-Pipeline!$E$16+1)/MAX(Pipeline!$F$16,1)))+Pipeline!$U$17*Pipeline!$D$17*MIN(1,MAX(0,(32-Pipeline!$E$17+1)/MAX(Pipeline!$F$17,1)))+Pipeline!$U$18*Pipeline!$D$18*MIN(1,MAX(0,(32-Pipeline!$E$18+1)/MAX(Pipeline!$F$18,1)))+Pipeline!$U$19*Pipeline!$D$19*MIN(1,MAX(0,(32-Pipeline!$E$19+1)/MAX(Pipeline!$F$19,1)))+Pipeline!$U$20*Pipeline!$D$20*MIN(1,MAX(0,(32-Pipeline!$E$20+1)/MAX(Pipeline!$F$20,1)))+Pipeline!$U$21*Pipeline!$D$21*MIN(1,MAX(0,(32-Pipeline!$E$21+1)/MAX(Pipeline!$F$21,1)))+Pipeline!$U$22*Pipeline!$D$22*MIN(1,MAX(0,(32-Pipeline!$E$22+1)/MAX(Pipeline!$F$22,1))))/Hipótesis!$D$17</f>
        <v>981.19600502923</v>
      </c>
      <c r="AI18" s="119" t="n">
        <f aca="false">(Pipeline!$U$16*Pipeline!$D$16*MIN(1,MAX(0,(33-Pipeline!$E$16+1)/MAX(Pipeline!$F$16,1)))+Pipeline!$U$17*Pipeline!$D$17*MIN(1,MAX(0,(33-Pipeline!$E$17+1)/MAX(Pipeline!$F$17,1)))+Pipeline!$U$18*Pipeline!$D$18*MIN(1,MAX(0,(33-Pipeline!$E$18+1)/MAX(Pipeline!$F$18,1)))+Pipeline!$U$19*Pipeline!$D$19*MIN(1,MAX(0,(33-Pipeline!$E$19+1)/MAX(Pipeline!$F$19,1)))+Pipeline!$U$20*Pipeline!$D$20*MIN(1,MAX(0,(33-Pipeline!$E$20+1)/MAX(Pipeline!$F$20,1)))+Pipeline!$U$21*Pipeline!$D$21*MIN(1,MAX(0,(33-Pipeline!$E$21+1)/MAX(Pipeline!$F$21,1)))+Pipeline!$U$22*Pipeline!$D$22*MIN(1,MAX(0,(33-Pipeline!$E$22+1)/MAX(Pipeline!$F$22,1))))/Hipótesis!$D$17</f>
        <v>981.19600502923</v>
      </c>
      <c r="AJ18" s="119" t="n">
        <f aca="false">(Pipeline!$U$16*Pipeline!$D$16*MIN(1,MAX(0,(34-Pipeline!$E$16+1)/MAX(Pipeline!$F$16,1)))+Pipeline!$U$17*Pipeline!$D$17*MIN(1,MAX(0,(34-Pipeline!$E$17+1)/MAX(Pipeline!$F$17,1)))+Pipeline!$U$18*Pipeline!$D$18*MIN(1,MAX(0,(34-Pipeline!$E$18+1)/MAX(Pipeline!$F$18,1)))+Pipeline!$U$19*Pipeline!$D$19*MIN(1,MAX(0,(34-Pipeline!$E$19+1)/MAX(Pipeline!$F$19,1)))+Pipeline!$U$20*Pipeline!$D$20*MIN(1,MAX(0,(34-Pipeline!$E$20+1)/MAX(Pipeline!$F$20,1)))+Pipeline!$U$21*Pipeline!$D$21*MIN(1,MAX(0,(34-Pipeline!$E$21+1)/MAX(Pipeline!$F$21,1)))+Pipeline!$U$22*Pipeline!$D$22*MIN(1,MAX(0,(34-Pipeline!$E$22+1)/MAX(Pipeline!$F$22,1))))/Hipótesis!$D$17</f>
        <v>981.19600502923</v>
      </c>
      <c r="AK18" s="119" t="n">
        <f aca="false">(Pipeline!$U$16*Pipeline!$D$16*MIN(1,MAX(0,(35-Pipeline!$E$16+1)/MAX(Pipeline!$F$16,1)))+Pipeline!$U$17*Pipeline!$D$17*MIN(1,MAX(0,(35-Pipeline!$E$17+1)/MAX(Pipeline!$F$17,1)))+Pipeline!$U$18*Pipeline!$D$18*MIN(1,MAX(0,(35-Pipeline!$E$18+1)/MAX(Pipeline!$F$18,1)))+Pipeline!$U$19*Pipeline!$D$19*MIN(1,MAX(0,(35-Pipeline!$E$19+1)/MAX(Pipeline!$F$19,1)))+Pipeline!$U$20*Pipeline!$D$20*MIN(1,MAX(0,(35-Pipeline!$E$20+1)/MAX(Pipeline!$F$20,1)))+Pipeline!$U$21*Pipeline!$D$21*MIN(1,MAX(0,(35-Pipeline!$E$21+1)/MAX(Pipeline!$F$21,1)))+Pipeline!$U$22*Pipeline!$D$22*MIN(1,MAX(0,(35-Pipeline!$E$22+1)/MAX(Pipeline!$F$22,1))))/Hipótesis!$D$17</f>
        <v>981.19600502923</v>
      </c>
      <c r="AL18" s="119" t="n">
        <f aca="false">(Pipeline!$U$16*Pipeline!$D$16*MIN(1,MAX(0,(36-Pipeline!$E$16+1)/MAX(Pipeline!$F$16,1)))+Pipeline!$U$17*Pipeline!$D$17*MIN(1,MAX(0,(36-Pipeline!$E$17+1)/MAX(Pipeline!$F$17,1)))+Pipeline!$U$18*Pipeline!$D$18*MIN(1,MAX(0,(36-Pipeline!$E$18+1)/MAX(Pipeline!$F$18,1)))+Pipeline!$U$19*Pipeline!$D$19*MIN(1,MAX(0,(36-Pipeline!$E$19+1)/MAX(Pipeline!$F$19,1)))+Pipeline!$U$20*Pipeline!$D$20*MIN(1,MAX(0,(36-Pipeline!$E$20+1)/MAX(Pipeline!$F$20,1)))+Pipeline!$U$21*Pipeline!$D$21*MIN(1,MAX(0,(36-Pipeline!$E$21+1)/MAX(Pipeline!$F$21,1)))+Pipeline!$U$22*Pipeline!$D$22*MIN(1,MAX(0,(36-Pipeline!$E$22+1)/MAX(Pipeline!$F$22,1))))/Hipótesis!$D$17</f>
        <v>981.19600502923</v>
      </c>
      <c r="AM18" s="119" t="n">
        <f aca="false">(Pipeline!$U$16*Pipeline!$D$16*MIN(1,MAX(0,(37-Pipeline!$E$16+1)/MAX(Pipeline!$F$16,1)))+Pipeline!$U$17*Pipeline!$D$17*MIN(1,MAX(0,(37-Pipeline!$E$17+1)/MAX(Pipeline!$F$17,1)))+Pipeline!$U$18*Pipeline!$D$18*MIN(1,MAX(0,(37-Pipeline!$E$18+1)/MAX(Pipeline!$F$18,1)))+Pipeline!$U$19*Pipeline!$D$19*MIN(1,MAX(0,(37-Pipeline!$E$19+1)/MAX(Pipeline!$F$19,1)))+Pipeline!$U$20*Pipeline!$D$20*MIN(1,MAX(0,(37-Pipeline!$E$20+1)/MAX(Pipeline!$F$20,1)))+Pipeline!$U$21*Pipeline!$D$21*MIN(1,MAX(0,(37-Pipeline!$E$21+1)/MAX(Pipeline!$F$21,1)))+Pipeline!$U$22*Pipeline!$D$22*MIN(1,MAX(0,(37-Pipeline!$E$22+1)/MAX(Pipeline!$F$22,1))))/Hipótesis!$D$17</f>
        <v>981.19600502923</v>
      </c>
      <c r="AN18" s="119" t="n">
        <f aca="false">(Pipeline!$U$16*Pipeline!$D$16*MIN(1,MAX(0,(38-Pipeline!$E$16+1)/MAX(Pipeline!$F$16,1)))+Pipeline!$U$17*Pipeline!$D$17*MIN(1,MAX(0,(38-Pipeline!$E$17+1)/MAX(Pipeline!$F$17,1)))+Pipeline!$U$18*Pipeline!$D$18*MIN(1,MAX(0,(38-Pipeline!$E$18+1)/MAX(Pipeline!$F$18,1)))+Pipeline!$U$19*Pipeline!$D$19*MIN(1,MAX(0,(38-Pipeline!$E$19+1)/MAX(Pipeline!$F$19,1)))+Pipeline!$U$20*Pipeline!$D$20*MIN(1,MAX(0,(38-Pipeline!$E$20+1)/MAX(Pipeline!$F$20,1)))+Pipeline!$U$21*Pipeline!$D$21*MIN(1,MAX(0,(38-Pipeline!$E$21+1)/MAX(Pipeline!$F$21,1)))+Pipeline!$U$22*Pipeline!$D$22*MIN(1,MAX(0,(38-Pipeline!$E$22+1)/MAX(Pipeline!$F$22,1))))/Hipótesis!$D$17</f>
        <v>981.19600502923</v>
      </c>
      <c r="AO18" s="119" t="n">
        <f aca="false">(Pipeline!$U$16*Pipeline!$D$16*MIN(1,MAX(0,(39-Pipeline!$E$16+1)/MAX(Pipeline!$F$16,1)))+Pipeline!$U$17*Pipeline!$D$17*MIN(1,MAX(0,(39-Pipeline!$E$17+1)/MAX(Pipeline!$F$17,1)))+Pipeline!$U$18*Pipeline!$D$18*MIN(1,MAX(0,(39-Pipeline!$E$18+1)/MAX(Pipeline!$F$18,1)))+Pipeline!$U$19*Pipeline!$D$19*MIN(1,MAX(0,(39-Pipeline!$E$19+1)/MAX(Pipeline!$F$19,1)))+Pipeline!$U$20*Pipeline!$D$20*MIN(1,MAX(0,(39-Pipeline!$E$20+1)/MAX(Pipeline!$F$20,1)))+Pipeline!$U$21*Pipeline!$D$21*MIN(1,MAX(0,(39-Pipeline!$E$21+1)/MAX(Pipeline!$F$21,1)))+Pipeline!$U$22*Pipeline!$D$22*MIN(1,MAX(0,(39-Pipeline!$E$22+1)/MAX(Pipeline!$F$22,1))))/Hipótesis!$D$17</f>
        <v>981.19600502923</v>
      </c>
      <c r="AP18" s="119" t="n">
        <f aca="false">(Pipeline!$U$16*Pipeline!$D$16*MIN(1,MAX(0,(40-Pipeline!$E$16+1)/MAX(Pipeline!$F$16,1)))+Pipeline!$U$17*Pipeline!$D$17*MIN(1,MAX(0,(40-Pipeline!$E$17+1)/MAX(Pipeline!$F$17,1)))+Pipeline!$U$18*Pipeline!$D$18*MIN(1,MAX(0,(40-Pipeline!$E$18+1)/MAX(Pipeline!$F$18,1)))+Pipeline!$U$19*Pipeline!$D$19*MIN(1,MAX(0,(40-Pipeline!$E$19+1)/MAX(Pipeline!$F$19,1)))+Pipeline!$U$20*Pipeline!$D$20*MIN(1,MAX(0,(40-Pipeline!$E$20+1)/MAX(Pipeline!$F$20,1)))+Pipeline!$U$21*Pipeline!$D$21*MIN(1,MAX(0,(40-Pipeline!$E$21+1)/MAX(Pipeline!$F$21,1)))+Pipeline!$U$22*Pipeline!$D$22*MIN(1,MAX(0,(40-Pipeline!$E$22+1)/MAX(Pipeline!$F$22,1))))/Hipótesis!$D$17</f>
        <v>981.19600502923</v>
      </c>
      <c r="AQ18" s="119" t="n">
        <f aca="false">(Pipeline!$U$16*Pipeline!$D$16*MIN(1,MAX(0,(41-Pipeline!$E$16+1)/MAX(Pipeline!$F$16,1)))+Pipeline!$U$17*Pipeline!$D$17*MIN(1,MAX(0,(41-Pipeline!$E$17+1)/MAX(Pipeline!$F$17,1)))+Pipeline!$U$18*Pipeline!$D$18*MIN(1,MAX(0,(41-Pipeline!$E$18+1)/MAX(Pipeline!$F$18,1)))+Pipeline!$U$19*Pipeline!$D$19*MIN(1,MAX(0,(41-Pipeline!$E$19+1)/MAX(Pipeline!$F$19,1)))+Pipeline!$U$20*Pipeline!$D$20*MIN(1,MAX(0,(41-Pipeline!$E$20+1)/MAX(Pipeline!$F$20,1)))+Pipeline!$U$21*Pipeline!$D$21*MIN(1,MAX(0,(41-Pipeline!$E$21+1)/MAX(Pipeline!$F$21,1)))+Pipeline!$U$22*Pipeline!$D$22*MIN(1,MAX(0,(41-Pipeline!$E$22+1)/MAX(Pipeline!$F$22,1))))/Hipótesis!$D$17</f>
        <v>981.19600502923</v>
      </c>
      <c r="AR18" s="119" t="n">
        <f aca="false">(Pipeline!$U$16*Pipeline!$D$16*MIN(1,MAX(0,(42-Pipeline!$E$16+1)/MAX(Pipeline!$F$16,1)))+Pipeline!$U$17*Pipeline!$D$17*MIN(1,MAX(0,(42-Pipeline!$E$17+1)/MAX(Pipeline!$F$17,1)))+Pipeline!$U$18*Pipeline!$D$18*MIN(1,MAX(0,(42-Pipeline!$E$18+1)/MAX(Pipeline!$F$18,1)))+Pipeline!$U$19*Pipeline!$D$19*MIN(1,MAX(0,(42-Pipeline!$E$19+1)/MAX(Pipeline!$F$19,1)))+Pipeline!$U$20*Pipeline!$D$20*MIN(1,MAX(0,(42-Pipeline!$E$20+1)/MAX(Pipeline!$F$20,1)))+Pipeline!$U$21*Pipeline!$D$21*MIN(1,MAX(0,(42-Pipeline!$E$21+1)/MAX(Pipeline!$F$21,1)))+Pipeline!$U$22*Pipeline!$D$22*MIN(1,MAX(0,(42-Pipeline!$E$22+1)/MAX(Pipeline!$F$22,1))))/Hipótesis!$D$17</f>
        <v>981.19600502923</v>
      </c>
      <c r="AS18" s="119" t="n">
        <f aca="false">(Pipeline!$U$16*Pipeline!$D$16*MIN(1,MAX(0,(43-Pipeline!$E$16+1)/MAX(Pipeline!$F$16,1)))+Pipeline!$U$17*Pipeline!$D$17*MIN(1,MAX(0,(43-Pipeline!$E$17+1)/MAX(Pipeline!$F$17,1)))+Pipeline!$U$18*Pipeline!$D$18*MIN(1,MAX(0,(43-Pipeline!$E$18+1)/MAX(Pipeline!$F$18,1)))+Pipeline!$U$19*Pipeline!$D$19*MIN(1,MAX(0,(43-Pipeline!$E$19+1)/MAX(Pipeline!$F$19,1)))+Pipeline!$U$20*Pipeline!$D$20*MIN(1,MAX(0,(43-Pipeline!$E$20+1)/MAX(Pipeline!$F$20,1)))+Pipeline!$U$21*Pipeline!$D$21*MIN(1,MAX(0,(43-Pipeline!$E$21+1)/MAX(Pipeline!$F$21,1)))+Pipeline!$U$22*Pipeline!$D$22*MIN(1,MAX(0,(43-Pipeline!$E$22+1)/MAX(Pipeline!$F$22,1))))/Hipótesis!$D$17</f>
        <v>981.19600502923</v>
      </c>
      <c r="AT18" s="119" t="n">
        <f aca="false">(Pipeline!$U$16*Pipeline!$D$16*MIN(1,MAX(0,(44-Pipeline!$E$16+1)/MAX(Pipeline!$F$16,1)))+Pipeline!$U$17*Pipeline!$D$17*MIN(1,MAX(0,(44-Pipeline!$E$17+1)/MAX(Pipeline!$F$17,1)))+Pipeline!$U$18*Pipeline!$D$18*MIN(1,MAX(0,(44-Pipeline!$E$18+1)/MAX(Pipeline!$F$18,1)))+Pipeline!$U$19*Pipeline!$D$19*MIN(1,MAX(0,(44-Pipeline!$E$19+1)/MAX(Pipeline!$F$19,1)))+Pipeline!$U$20*Pipeline!$D$20*MIN(1,MAX(0,(44-Pipeline!$E$20+1)/MAX(Pipeline!$F$20,1)))+Pipeline!$U$21*Pipeline!$D$21*MIN(1,MAX(0,(44-Pipeline!$E$21+1)/MAX(Pipeline!$F$21,1)))+Pipeline!$U$22*Pipeline!$D$22*MIN(1,MAX(0,(44-Pipeline!$E$22+1)/MAX(Pipeline!$F$22,1))))/Hipótesis!$D$17</f>
        <v>981.19600502923</v>
      </c>
      <c r="AU18" s="119" t="n">
        <f aca="false">(Pipeline!$U$16*Pipeline!$D$16*MIN(1,MAX(0,(45-Pipeline!$E$16+1)/MAX(Pipeline!$F$16,1)))+Pipeline!$U$17*Pipeline!$D$17*MIN(1,MAX(0,(45-Pipeline!$E$17+1)/MAX(Pipeline!$F$17,1)))+Pipeline!$U$18*Pipeline!$D$18*MIN(1,MAX(0,(45-Pipeline!$E$18+1)/MAX(Pipeline!$F$18,1)))+Pipeline!$U$19*Pipeline!$D$19*MIN(1,MAX(0,(45-Pipeline!$E$19+1)/MAX(Pipeline!$F$19,1)))+Pipeline!$U$20*Pipeline!$D$20*MIN(1,MAX(0,(45-Pipeline!$E$20+1)/MAX(Pipeline!$F$20,1)))+Pipeline!$U$21*Pipeline!$D$21*MIN(1,MAX(0,(45-Pipeline!$E$21+1)/MAX(Pipeline!$F$21,1)))+Pipeline!$U$22*Pipeline!$D$22*MIN(1,MAX(0,(45-Pipeline!$E$22+1)/MAX(Pipeline!$F$22,1))))/Hipótesis!$D$17</f>
        <v>981.19600502923</v>
      </c>
      <c r="AV18" s="119" t="n">
        <f aca="false">(Pipeline!$U$16*Pipeline!$D$16*MIN(1,MAX(0,(46-Pipeline!$E$16+1)/MAX(Pipeline!$F$16,1)))+Pipeline!$U$17*Pipeline!$D$17*MIN(1,MAX(0,(46-Pipeline!$E$17+1)/MAX(Pipeline!$F$17,1)))+Pipeline!$U$18*Pipeline!$D$18*MIN(1,MAX(0,(46-Pipeline!$E$18+1)/MAX(Pipeline!$F$18,1)))+Pipeline!$U$19*Pipeline!$D$19*MIN(1,MAX(0,(46-Pipeline!$E$19+1)/MAX(Pipeline!$F$19,1)))+Pipeline!$U$20*Pipeline!$D$20*MIN(1,MAX(0,(46-Pipeline!$E$20+1)/MAX(Pipeline!$F$20,1)))+Pipeline!$U$21*Pipeline!$D$21*MIN(1,MAX(0,(46-Pipeline!$E$21+1)/MAX(Pipeline!$F$21,1)))+Pipeline!$U$22*Pipeline!$D$22*MIN(1,MAX(0,(46-Pipeline!$E$22+1)/MAX(Pipeline!$F$22,1))))/Hipótesis!$D$17</f>
        <v>981.19600502923</v>
      </c>
      <c r="AW18" s="119" t="n">
        <f aca="false">(Pipeline!$U$16*Pipeline!$D$16*MIN(1,MAX(0,(47-Pipeline!$E$16+1)/MAX(Pipeline!$F$16,1)))+Pipeline!$U$17*Pipeline!$D$17*MIN(1,MAX(0,(47-Pipeline!$E$17+1)/MAX(Pipeline!$F$17,1)))+Pipeline!$U$18*Pipeline!$D$18*MIN(1,MAX(0,(47-Pipeline!$E$18+1)/MAX(Pipeline!$F$18,1)))+Pipeline!$U$19*Pipeline!$D$19*MIN(1,MAX(0,(47-Pipeline!$E$19+1)/MAX(Pipeline!$F$19,1)))+Pipeline!$U$20*Pipeline!$D$20*MIN(1,MAX(0,(47-Pipeline!$E$20+1)/MAX(Pipeline!$F$20,1)))+Pipeline!$U$21*Pipeline!$D$21*MIN(1,MAX(0,(47-Pipeline!$E$21+1)/MAX(Pipeline!$F$21,1)))+Pipeline!$U$22*Pipeline!$D$22*MIN(1,MAX(0,(47-Pipeline!$E$22+1)/MAX(Pipeline!$F$22,1))))/Hipótesis!$D$17</f>
        <v>981.19600502923</v>
      </c>
      <c r="AX18" s="119" t="n">
        <f aca="false">(Pipeline!$U$16*Pipeline!$D$16*MIN(1,MAX(0,(48-Pipeline!$E$16+1)/MAX(Pipeline!$F$16,1)))+Pipeline!$U$17*Pipeline!$D$17*MIN(1,MAX(0,(48-Pipeline!$E$17+1)/MAX(Pipeline!$F$17,1)))+Pipeline!$U$18*Pipeline!$D$18*MIN(1,MAX(0,(48-Pipeline!$E$18+1)/MAX(Pipeline!$F$18,1)))+Pipeline!$U$19*Pipeline!$D$19*MIN(1,MAX(0,(48-Pipeline!$E$19+1)/MAX(Pipeline!$F$19,1)))+Pipeline!$U$20*Pipeline!$D$20*MIN(1,MAX(0,(48-Pipeline!$E$20+1)/MAX(Pipeline!$F$20,1)))+Pipeline!$U$21*Pipeline!$D$21*MIN(1,MAX(0,(48-Pipeline!$E$21+1)/MAX(Pipeline!$F$21,1)))+Pipeline!$U$22*Pipeline!$D$22*MIN(1,MAX(0,(48-Pipeline!$E$22+1)/MAX(Pipeline!$F$22,1))))/Hipótesis!$D$17</f>
        <v>981.19600502923</v>
      </c>
      <c r="AY18" s="119" t="n">
        <f aca="false">(Pipeline!$U$16*Pipeline!$D$16*MIN(1,MAX(0,(49-Pipeline!$E$16+1)/MAX(Pipeline!$F$16,1)))+Pipeline!$U$17*Pipeline!$D$17*MIN(1,MAX(0,(49-Pipeline!$E$17+1)/MAX(Pipeline!$F$17,1)))+Pipeline!$U$18*Pipeline!$D$18*MIN(1,MAX(0,(49-Pipeline!$E$18+1)/MAX(Pipeline!$F$18,1)))+Pipeline!$U$19*Pipeline!$D$19*MIN(1,MAX(0,(49-Pipeline!$E$19+1)/MAX(Pipeline!$F$19,1)))+Pipeline!$U$20*Pipeline!$D$20*MIN(1,MAX(0,(49-Pipeline!$E$20+1)/MAX(Pipeline!$F$20,1)))+Pipeline!$U$21*Pipeline!$D$21*MIN(1,MAX(0,(49-Pipeline!$E$21+1)/MAX(Pipeline!$F$21,1)))+Pipeline!$U$22*Pipeline!$D$22*MIN(1,MAX(0,(49-Pipeline!$E$22+1)/MAX(Pipeline!$F$22,1))))/Hipótesis!$D$17</f>
        <v>981.19600502923</v>
      </c>
      <c r="AZ18" s="119" t="n">
        <f aca="false">(Pipeline!$U$16*Pipeline!$D$16*MIN(1,MAX(0,(50-Pipeline!$E$16+1)/MAX(Pipeline!$F$16,1)))+Pipeline!$U$17*Pipeline!$D$17*MIN(1,MAX(0,(50-Pipeline!$E$17+1)/MAX(Pipeline!$F$17,1)))+Pipeline!$U$18*Pipeline!$D$18*MIN(1,MAX(0,(50-Pipeline!$E$18+1)/MAX(Pipeline!$F$18,1)))+Pipeline!$U$19*Pipeline!$D$19*MIN(1,MAX(0,(50-Pipeline!$E$19+1)/MAX(Pipeline!$F$19,1)))+Pipeline!$U$20*Pipeline!$D$20*MIN(1,MAX(0,(50-Pipeline!$E$20+1)/MAX(Pipeline!$F$20,1)))+Pipeline!$U$21*Pipeline!$D$21*MIN(1,MAX(0,(50-Pipeline!$E$21+1)/MAX(Pipeline!$F$21,1)))+Pipeline!$U$22*Pipeline!$D$22*MIN(1,MAX(0,(50-Pipeline!$E$22+1)/MAX(Pipeline!$F$22,1))))/Hipótesis!$D$17</f>
        <v>981.19600502923</v>
      </c>
      <c r="BA18" s="119" t="n">
        <f aca="false">(Pipeline!$U$16*Pipeline!$D$16*MIN(1,MAX(0,(51-Pipeline!$E$16+1)/MAX(Pipeline!$F$16,1)))+Pipeline!$U$17*Pipeline!$D$17*MIN(1,MAX(0,(51-Pipeline!$E$17+1)/MAX(Pipeline!$F$17,1)))+Pipeline!$U$18*Pipeline!$D$18*MIN(1,MAX(0,(51-Pipeline!$E$18+1)/MAX(Pipeline!$F$18,1)))+Pipeline!$U$19*Pipeline!$D$19*MIN(1,MAX(0,(51-Pipeline!$E$19+1)/MAX(Pipeline!$F$19,1)))+Pipeline!$U$20*Pipeline!$D$20*MIN(1,MAX(0,(51-Pipeline!$E$20+1)/MAX(Pipeline!$F$20,1)))+Pipeline!$U$21*Pipeline!$D$21*MIN(1,MAX(0,(51-Pipeline!$E$21+1)/MAX(Pipeline!$F$21,1)))+Pipeline!$U$22*Pipeline!$D$22*MIN(1,MAX(0,(51-Pipeline!$E$22+1)/MAX(Pipeline!$F$22,1))))/Hipótesis!$D$17</f>
        <v>981.19600502923</v>
      </c>
      <c r="BB18" s="119" t="n">
        <f aca="false">(Pipeline!$U$16*Pipeline!$D$16*MIN(1,MAX(0,(52-Pipeline!$E$16+1)/MAX(Pipeline!$F$16,1)))+Pipeline!$U$17*Pipeline!$D$17*MIN(1,MAX(0,(52-Pipeline!$E$17+1)/MAX(Pipeline!$F$17,1)))+Pipeline!$U$18*Pipeline!$D$18*MIN(1,MAX(0,(52-Pipeline!$E$18+1)/MAX(Pipeline!$F$18,1)))+Pipeline!$U$19*Pipeline!$D$19*MIN(1,MAX(0,(52-Pipeline!$E$19+1)/MAX(Pipeline!$F$19,1)))+Pipeline!$U$20*Pipeline!$D$20*MIN(1,MAX(0,(52-Pipeline!$E$20+1)/MAX(Pipeline!$F$20,1)))+Pipeline!$U$21*Pipeline!$D$21*MIN(1,MAX(0,(52-Pipeline!$E$21+1)/MAX(Pipeline!$F$21,1)))+Pipeline!$U$22*Pipeline!$D$22*MIN(1,MAX(0,(52-Pipeline!$E$22+1)/MAX(Pipeline!$F$22,1))))/Hipótesis!$D$17</f>
        <v>981.19600502923</v>
      </c>
      <c r="BC18" s="119" t="n">
        <f aca="false">(Pipeline!$U$16*Pipeline!$D$16*MIN(1,MAX(0,(53-Pipeline!$E$16+1)/MAX(Pipeline!$F$16,1)))+Pipeline!$U$17*Pipeline!$D$17*MIN(1,MAX(0,(53-Pipeline!$E$17+1)/MAX(Pipeline!$F$17,1)))+Pipeline!$U$18*Pipeline!$D$18*MIN(1,MAX(0,(53-Pipeline!$E$18+1)/MAX(Pipeline!$F$18,1)))+Pipeline!$U$19*Pipeline!$D$19*MIN(1,MAX(0,(53-Pipeline!$E$19+1)/MAX(Pipeline!$F$19,1)))+Pipeline!$U$20*Pipeline!$D$20*MIN(1,MAX(0,(53-Pipeline!$E$20+1)/MAX(Pipeline!$F$20,1)))+Pipeline!$U$21*Pipeline!$D$21*MIN(1,MAX(0,(53-Pipeline!$E$21+1)/MAX(Pipeline!$F$21,1)))+Pipeline!$U$22*Pipeline!$D$22*MIN(1,MAX(0,(53-Pipeline!$E$22+1)/MAX(Pipeline!$F$22,1))))/Hipótesis!$D$17</f>
        <v>981.19600502923</v>
      </c>
      <c r="BD18" s="119" t="n">
        <f aca="false">(Pipeline!$U$16*Pipeline!$D$16*MIN(1,MAX(0,(54-Pipeline!$E$16+1)/MAX(Pipeline!$F$16,1)))+Pipeline!$U$17*Pipeline!$D$17*MIN(1,MAX(0,(54-Pipeline!$E$17+1)/MAX(Pipeline!$F$17,1)))+Pipeline!$U$18*Pipeline!$D$18*MIN(1,MAX(0,(54-Pipeline!$E$18+1)/MAX(Pipeline!$F$18,1)))+Pipeline!$U$19*Pipeline!$D$19*MIN(1,MAX(0,(54-Pipeline!$E$19+1)/MAX(Pipeline!$F$19,1)))+Pipeline!$U$20*Pipeline!$D$20*MIN(1,MAX(0,(54-Pipeline!$E$20+1)/MAX(Pipeline!$F$20,1)))+Pipeline!$U$21*Pipeline!$D$21*MIN(1,MAX(0,(54-Pipeline!$E$21+1)/MAX(Pipeline!$F$21,1)))+Pipeline!$U$22*Pipeline!$D$22*MIN(1,MAX(0,(54-Pipeline!$E$22+1)/MAX(Pipeline!$F$22,1))))/Hipótesis!$D$17</f>
        <v>981.19600502923</v>
      </c>
      <c r="BE18" s="119" t="n">
        <f aca="false">(Pipeline!$U$16*Pipeline!$D$16*MIN(1,MAX(0,(55-Pipeline!$E$16+1)/MAX(Pipeline!$F$16,1)))+Pipeline!$U$17*Pipeline!$D$17*MIN(1,MAX(0,(55-Pipeline!$E$17+1)/MAX(Pipeline!$F$17,1)))+Pipeline!$U$18*Pipeline!$D$18*MIN(1,MAX(0,(55-Pipeline!$E$18+1)/MAX(Pipeline!$F$18,1)))+Pipeline!$U$19*Pipeline!$D$19*MIN(1,MAX(0,(55-Pipeline!$E$19+1)/MAX(Pipeline!$F$19,1)))+Pipeline!$U$20*Pipeline!$D$20*MIN(1,MAX(0,(55-Pipeline!$E$20+1)/MAX(Pipeline!$F$20,1)))+Pipeline!$U$21*Pipeline!$D$21*MIN(1,MAX(0,(55-Pipeline!$E$21+1)/MAX(Pipeline!$F$21,1)))+Pipeline!$U$22*Pipeline!$D$22*MIN(1,MAX(0,(55-Pipeline!$E$22+1)/MAX(Pipeline!$F$22,1))))/Hipótesis!$D$17</f>
        <v>981.19600502923</v>
      </c>
      <c r="BF18" s="119" t="n">
        <f aca="false">(Pipeline!$U$16*Pipeline!$D$16*MIN(1,MAX(0,(56-Pipeline!$E$16+1)/MAX(Pipeline!$F$16,1)))+Pipeline!$U$17*Pipeline!$D$17*MIN(1,MAX(0,(56-Pipeline!$E$17+1)/MAX(Pipeline!$F$17,1)))+Pipeline!$U$18*Pipeline!$D$18*MIN(1,MAX(0,(56-Pipeline!$E$18+1)/MAX(Pipeline!$F$18,1)))+Pipeline!$U$19*Pipeline!$D$19*MIN(1,MAX(0,(56-Pipeline!$E$19+1)/MAX(Pipeline!$F$19,1)))+Pipeline!$U$20*Pipeline!$D$20*MIN(1,MAX(0,(56-Pipeline!$E$20+1)/MAX(Pipeline!$F$20,1)))+Pipeline!$U$21*Pipeline!$D$21*MIN(1,MAX(0,(56-Pipeline!$E$21+1)/MAX(Pipeline!$F$21,1)))+Pipeline!$U$22*Pipeline!$D$22*MIN(1,MAX(0,(56-Pipeline!$E$22+1)/MAX(Pipeline!$F$22,1))))/Hipótesis!$D$17</f>
        <v>981.19600502923</v>
      </c>
      <c r="BG18" s="119" t="n">
        <f aca="false">(Pipeline!$U$16*Pipeline!$D$16*MIN(1,MAX(0,(57-Pipeline!$E$16+1)/MAX(Pipeline!$F$16,1)))+Pipeline!$U$17*Pipeline!$D$17*MIN(1,MAX(0,(57-Pipeline!$E$17+1)/MAX(Pipeline!$F$17,1)))+Pipeline!$U$18*Pipeline!$D$18*MIN(1,MAX(0,(57-Pipeline!$E$18+1)/MAX(Pipeline!$F$18,1)))+Pipeline!$U$19*Pipeline!$D$19*MIN(1,MAX(0,(57-Pipeline!$E$19+1)/MAX(Pipeline!$F$19,1)))+Pipeline!$U$20*Pipeline!$D$20*MIN(1,MAX(0,(57-Pipeline!$E$20+1)/MAX(Pipeline!$F$20,1)))+Pipeline!$U$21*Pipeline!$D$21*MIN(1,MAX(0,(57-Pipeline!$E$21+1)/MAX(Pipeline!$F$21,1)))+Pipeline!$U$22*Pipeline!$D$22*MIN(1,MAX(0,(57-Pipeline!$E$22+1)/MAX(Pipeline!$F$22,1))))/Hipótesis!$D$17</f>
        <v>981.19600502923</v>
      </c>
      <c r="BH18" s="119" t="n">
        <f aca="false">(Pipeline!$U$16*Pipeline!$D$16*MIN(1,MAX(0,(58-Pipeline!$E$16+1)/MAX(Pipeline!$F$16,1)))+Pipeline!$U$17*Pipeline!$D$17*MIN(1,MAX(0,(58-Pipeline!$E$17+1)/MAX(Pipeline!$F$17,1)))+Pipeline!$U$18*Pipeline!$D$18*MIN(1,MAX(0,(58-Pipeline!$E$18+1)/MAX(Pipeline!$F$18,1)))+Pipeline!$U$19*Pipeline!$D$19*MIN(1,MAX(0,(58-Pipeline!$E$19+1)/MAX(Pipeline!$F$19,1)))+Pipeline!$U$20*Pipeline!$D$20*MIN(1,MAX(0,(58-Pipeline!$E$20+1)/MAX(Pipeline!$F$20,1)))+Pipeline!$U$21*Pipeline!$D$21*MIN(1,MAX(0,(58-Pipeline!$E$21+1)/MAX(Pipeline!$F$21,1)))+Pipeline!$U$22*Pipeline!$D$22*MIN(1,MAX(0,(58-Pipeline!$E$22+1)/MAX(Pipeline!$F$22,1))))/Hipótesis!$D$17</f>
        <v>981.19600502923</v>
      </c>
      <c r="BI18" s="119" t="n">
        <f aca="false">(Pipeline!$U$16*Pipeline!$D$16*MIN(1,MAX(0,(59-Pipeline!$E$16+1)/MAX(Pipeline!$F$16,1)))+Pipeline!$U$17*Pipeline!$D$17*MIN(1,MAX(0,(59-Pipeline!$E$17+1)/MAX(Pipeline!$F$17,1)))+Pipeline!$U$18*Pipeline!$D$18*MIN(1,MAX(0,(59-Pipeline!$E$18+1)/MAX(Pipeline!$F$18,1)))+Pipeline!$U$19*Pipeline!$D$19*MIN(1,MAX(0,(59-Pipeline!$E$19+1)/MAX(Pipeline!$F$19,1)))+Pipeline!$U$20*Pipeline!$D$20*MIN(1,MAX(0,(59-Pipeline!$E$20+1)/MAX(Pipeline!$F$20,1)))+Pipeline!$U$21*Pipeline!$D$21*MIN(1,MAX(0,(59-Pipeline!$E$21+1)/MAX(Pipeline!$F$21,1)))+Pipeline!$U$22*Pipeline!$D$22*MIN(1,MAX(0,(59-Pipeline!$E$22+1)/MAX(Pipeline!$F$22,1))))/Hipótesis!$D$17</f>
        <v>981.19600502923</v>
      </c>
      <c r="BJ18" s="119" t="n">
        <f aca="false">(Pipeline!$U$16*Pipeline!$D$16*MIN(1,MAX(0,(60-Pipeline!$E$16+1)/MAX(Pipeline!$F$16,1)))+Pipeline!$U$17*Pipeline!$D$17*MIN(1,MAX(0,(60-Pipeline!$E$17+1)/MAX(Pipeline!$F$17,1)))+Pipeline!$U$18*Pipeline!$D$18*MIN(1,MAX(0,(60-Pipeline!$E$18+1)/MAX(Pipeline!$F$18,1)))+Pipeline!$U$19*Pipeline!$D$19*MIN(1,MAX(0,(60-Pipeline!$E$19+1)/MAX(Pipeline!$F$19,1)))+Pipeline!$U$20*Pipeline!$D$20*MIN(1,MAX(0,(60-Pipeline!$E$20+1)/MAX(Pipeline!$F$20,1)))+Pipeline!$U$21*Pipeline!$D$21*MIN(1,MAX(0,(60-Pipeline!$E$21+1)/MAX(Pipeline!$F$21,1)))+Pipeline!$U$22*Pipeline!$D$22*MIN(1,MAX(0,(60-Pipeline!$E$22+1)/MAX(Pipeline!$F$22,1))))/Hipótesis!$D$17</f>
        <v>981.19600502923</v>
      </c>
      <c r="BK18" s="119" t="n">
        <f aca="false">(Pipeline!$U$16*Pipeline!$D$16*MIN(1,MAX(0,(61-Pipeline!$E$16+1)/MAX(Pipeline!$F$16,1)))+Pipeline!$U$17*Pipeline!$D$17*MIN(1,MAX(0,(61-Pipeline!$E$17+1)/MAX(Pipeline!$F$17,1)))+Pipeline!$U$18*Pipeline!$D$18*MIN(1,MAX(0,(61-Pipeline!$E$18+1)/MAX(Pipeline!$F$18,1)))+Pipeline!$U$19*Pipeline!$D$19*MIN(1,MAX(0,(61-Pipeline!$E$19+1)/MAX(Pipeline!$F$19,1)))+Pipeline!$U$20*Pipeline!$D$20*MIN(1,MAX(0,(61-Pipeline!$E$20+1)/MAX(Pipeline!$F$20,1)))+Pipeline!$U$21*Pipeline!$D$21*MIN(1,MAX(0,(61-Pipeline!$E$21+1)/MAX(Pipeline!$F$21,1)))+Pipeline!$U$22*Pipeline!$D$22*MIN(1,MAX(0,(61-Pipeline!$E$22+1)/MAX(Pipeline!$F$22,1))))/Hipótesis!$D$17</f>
        <v>981.19600502923</v>
      </c>
      <c r="BL18" s="119" t="n">
        <f aca="false">(Pipeline!$U$16*Pipeline!$D$16*MIN(1,MAX(0,(62-Pipeline!$E$16+1)/MAX(Pipeline!$F$16,1)))+Pipeline!$U$17*Pipeline!$D$17*MIN(1,MAX(0,(62-Pipeline!$E$17+1)/MAX(Pipeline!$F$17,1)))+Pipeline!$U$18*Pipeline!$D$18*MIN(1,MAX(0,(62-Pipeline!$E$18+1)/MAX(Pipeline!$F$18,1)))+Pipeline!$U$19*Pipeline!$D$19*MIN(1,MAX(0,(62-Pipeline!$E$19+1)/MAX(Pipeline!$F$19,1)))+Pipeline!$U$20*Pipeline!$D$20*MIN(1,MAX(0,(62-Pipeline!$E$20+1)/MAX(Pipeline!$F$20,1)))+Pipeline!$U$21*Pipeline!$D$21*MIN(1,MAX(0,(62-Pipeline!$E$21+1)/MAX(Pipeline!$F$21,1)))+Pipeline!$U$22*Pipeline!$D$22*MIN(1,MAX(0,(62-Pipeline!$E$22+1)/MAX(Pipeline!$F$22,1))))/Hipótesis!$D$17</f>
        <v>981.19600502923</v>
      </c>
      <c r="BM18" s="119" t="n">
        <f aca="false">(Pipeline!$U$16*Pipeline!$D$16*MIN(1,MAX(0,(63-Pipeline!$E$16+1)/MAX(Pipeline!$F$16,1)))+Pipeline!$U$17*Pipeline!$D$17*MIN(1,MAX(0,(63-Pipeline!$E$17+1)/MAX(Pipeline!$F$17,1)))+Pipeline!$U$18*Pipeline!$D$18*MIN(1,MAX(0,(63-Pipeline!$E$18+1)/MAX(Pipeline!$F$18,1)))+Pipeline!$U$19*Pipeline!$D$19*MIN(1,MAX(0,(63-Pipeline!$E$19+1)/MAX(Pipeline!$F$19,1)))+Pipeline!$U$20*Pipeline!$D$20*MIN(1,MAX(0,(63-Pipeline!$E$20+1)/MAX(Pipeline!$F$20,1)))+Pipeline!$U$21*Pipeline!$D$21*MIN(1,MAX(0,(63-Pipeline!$E$21+1)/MAX(Pipeline!$F$21,1)))+Pipeline!$U$22*Pipeline!$D$22*MIN(1,MAX(0,(63-Pipeline!$E$22+1)/MAX(Pipeline!$F$22,1))))/Hipótesis!$D$17</f>
        <v>981.19600502923</v>
      </c>
      <c r="BN18" s="119" t="n">
        <f aca="false">(Pipeline!$U$16*Pipeline!$D$16*MIN(1,MAX(0,(64-Pipeline!$E$16+1)/MAX(Pipeline!$F$16,1)))+Pipeline!$U$17*Pipeline!$D$17*MIN(1,MAX(0,(64-Pipeline!$E$17+1)/MAX(Pipeline!$F$17,1)))+Pipeline!$U$18*Pipeline!$D$18*MIN(1,MAX(0,(64-Pipeline!$E$18+1)/MAX(Pipeline!$F$18,1)))+Pipeline!$U$19*Pipeline!$D$19*MIN(1,MAX(0,(64-Pipeline!$E$19+1)/MAX(Pipeline!$F$19,1)))+Pipeline!$U$20*Pipeline!$D$20*MIN(1,MAX(0,(64-Pipeline!$E$20+1)/MAX(Pipeline!$F$20,1)))+Pipeline!$U$21*Pipeline!$D$21*MIN(1,MAX(0,(64-Pipeline!$E$21+1)/MAX(Pipeline!$F$21,1)))+Pipeline!$U$22*Pipeline!$D$22*MIN(1,MAX(0,(64-Pipeline!$E$22+1)/MAX(Pipeline!$F$22,1))))/Hipótesis!$D$17</f>
        <v>981.19600502923</v>
      </c>
      <c r="BO18" s="119" t="n">
        <f aca="false">(Pipeline!$U$16*Pipeline!$D$16*MIN(1,MAX(0,(65-Pipeline!$E$16+1)/MAX(Pipeline!$F$16,1)))+Pipeline!$U$17*Pipeline!$D$17*MIN(1,MAX(0,(65-Pipeline!$E$17+1)/MAX(Pipeline!$F$17,1)))+Pipeline!$U$18*Pipeline!$D$18*MIN(1,MAX(0,(65-Pipeline!$E$18+1)/MAX(Pipeline!$F$18,1)))+Pipeline!$U$19*Pipeline!$D$19*MIN(1,MAX(0,(65-Pipeline!$E$19+1)/MAX(Pipeline!$F$19,1)))+Pipeline!$U$20*Pipeline!$D$20*MIN(1,MAX(0,(65-Pipeline!$E$20+1)/MAX(Pipeline!$F$20,1)))+Pipeline!$U$21*Pipeline!$D$21*MIN(1,MAX(0,(65-Pipeline!$E$21+1)/MAX(Pipeline!$F$21,1)))+Pipeline!$U$22*Pipeline!$D$22*MIN(1,MAX(0,(65-Pipeline!$E$22+1)/MAX(Pipeline!$F$22,1))))/Hipótesis!$D$17</f>
        <v>981.19600502923</v>
      </c>
      <c r="BP18" s="119" t="n">
        <f aca="false">(Pipeline!$U$16*Pipeline!$D$16*MIN(1,MAX(0,(66-Pipeline!$E$16+1)/MAX(Pipeline!$F$16,1)))+Pipeline!$U$17*Pipeline!$D$17*MIN(1,MAX(0,(66-Pipeline!$E$17+1)/MAX(Pipeline!$F$17,1)))+Pipeline!$U$18*Pipeline!$D$18*MIN(1,MAX(0,(66-Pipeline!$E$18+1)/MAX(Pipeline!$F$18,1)))+Pipeline!$U$19*Pipeline!$D$19*MIN(1,MAX(0,(66-Pipeline!$E$19+1)/MAX(Pipeline!$F$19,1)))+Pipeline!$U$20*Pipeline!$D$20*MIN(1,MAX(0,(66-Pipeline!$E$20+1)/MAX(Pipeline!$F$20,1)))+Pipeline!$U$21*Pipeline!$D$21*MIN(1,MAX(0,(66-Pipeline!$E$21+1)/MAX(Pipeline!$F$21,1)))+Pipeline!$U$22*Pipeline!$D$22*MIN(1,MAX(0,(66-Pipeline!$E$22+1)/MAX(Pipeline!$F$22,1))))/Hipótesis!$D$17</f>
        <v>981.19600502923</v>
      </c>
      <c r="BQ18" s="119" t="n">
        <f aca="false">(Pipeline!$U$16*Pipeline!$D$16*MIN(1,MAX(0,(67-Pipeline!$E$16+1)/MAX(Pipeline!$F$16,1)))+Pipeline!$U$17*Pipeline!$D$17*MIN(1,MAX(0,(67-Pipeline!$E$17+1)/MAX(Pipeline!$F$17,1)))+Pipeline!$U$18*Pipeline!$D$18*MIN(1,MAX(0,(67-Pipeline!$E$18+1)/MAX(Pipeline!$F$18,1)))+Pipeline!$U$19*Pipeline!$D$19*MIN(1,MAX(0,(67-Pipeline!$E$19+1)/MAX(Pipeline!$F$19,1)))+Pipeline!$U$20*Pipeline!$D$20*MIN(1,MAX(0,(67-Pipeline!$E$20+1)/MAX(Pipeline!$F$20,1)))+Pipeline!$U$21*Pipeline!$D$21*MIN(1,MAX(0,(67-Pipeline!$E$21+1)/MAX(Pipeline!$F$21,1)))+Pipeline!$U$22*Pipeline!$D$22*MIN(1,MAX(0,(67-Pipeline!$E$22+1)/MAX(Pipeline!$F$22,1))))/Hipótesis!$D$17</f>
        <v>981.19600502923</v>
      </c>
      <c r="BR18" s="119" t="n">
        <f aca="false">(Pipeline!$U$16*Pipeline!$D$16*MIN(1,MAX(0,(68-Pipeline!$E$16+1)/MAX(Pipeline!$F$16,1)))+Pipeline!$U$17*Pipeline!$D$17*MIN(1,MAX(0,(68-Pipeline!$E$17+1)/MAX(Pipeline!$F$17,1)))+Pipeline!$U$18*Pipeline!$D$18*MIN(1,MAX(0,(68-Pipeline!$E$18+1)/MAX(Pipeline!$F$18,1)))+Pipeline!$U$19*Pipeline!$D$19*MIN(1,MAX(0,(68-Pipeline!$E$19+1)/MAX(Pipeline!$F$19,1)))+Pipeline!$U$20*Pipeline!$D$20*MIN(1,MAX(0,(68-Pipeline!$E$20+1)/MAX(Pipeline!$F$20,1)))+Pipeline!$U$21*Pipeline!$D$21*MIN(1,MAX(0,(68-Pipeline!$E$21+1)/MAX(Pipeline!$F$21,1)))+Pipeline!$U$22*Pipeline!$D$22*MIN(1,MAX(0,(68-Pipeline!$E$22+1)/MAX(Pipeline!$F$22,1))))/Hipótesis!$D$17</f>
        <v>981.19600502923</v>
      </c>
      <c r="BS18" s="119" t="n">
        <f aca="false">(Pipeline!$U$16*Pipeline!$D$16*MIN(1,MAX(0,(69-Pipeline!$E$16+1)/MAX(Pipeline!$F$16,1)))+Pipeline!$U$17*Pipeline!$D$17*MIN(1,MAX(0,(69-Pipeline!$E$17+1)/MAX(Pipeline!$F$17,1)))+Pipeline!$U$18*Pipeline!$D$18*MIN(1,MAX(0,(69-Pipeline!$E$18+1)/MAX(Pipeline!$F$18,1)))+Pipeline!$U$19*Pipeline!$D$19*MIN(1,MAX(0,(69-Pipeline!$E$19+1)/MAX(Pipeline!$F$19,1)))+Pipeline!$U$20*Pipeline!$D$20*MIN(1,MAX(0,(69-Pipeline!$E$20+1)/MAX(Pipeline!$F$20,1)))+Pipeline!$U$21*Pipeline!$D$21*MIN(1,MAX(0,(69-Pipeline!$E$21+1)/MAX(Pipeline!$F$21,1)))+Pipeline!$U$22*Pipeline!$D$22*MIN(1,MAX(0,(69-Pipeline!$E$22+1)/MAX(Pipeline!$F$22,1))))/Hipótesis!$D$17</f>
        <v>981.19600502923</v>
      </c>
      <c r="BT18" s="119" t="n">
        <f aca="false">(Pipeline!$U$16*Pipeline!$D$16*MIN(1,MAX(0,(70-Pipeline!$E$16+1)/MAX(Pipeline!$F$16,1)))+Pipeline!$U$17*Pipeline!$D$17*MIN(1,MAX(0,(70-Pipeline!$E$17+1)/MAX(Pipeline!$F$17,1)))+Pipeline!$U$18*Pipeline!$D$18*MIN(1,MAX(0,(70-Pipeline!$E$18+1)/MAX(Pipeline!$F$18,1)))+Pipeline!$U$19*Pipeline!$D$19*MIN(1,MAX(0,(70-Pipeline!$E$19+1)/MAX(Pipeline!$F$19,1)))+Pipeline!$U$20*Pipeline!$D$20*MIN(1,MAX(0,(70-Pipeline!$E$20+1)/MAX(Pipeline!$F$20,1)))+Pipeline!$U$21*Pipeline!$D$21*MIN(1,MAX(0,(70-Pipeline!$E$21+1)/MAX(Pipeline!$F$21,1)))+Pipeline!$U$22*Pipeline!$D$22*MIN(1,MAX(0,(70-Pipeline!$E$22+1)/MAX(Pipeline!$F$22,1))))/Hipótesis!$D$17</f>
        <v>981.19600502923</v>
      </c>
      <c r="BU18" s="119" t="n">
        <f aca="false">(Pipeline!$U$16*Pipeline!$D$16*MIN(1,MAX(0,(71-Pipeline!$E$16+1)/MAX(Pipeline!$F$16,1)))+Pipeline!$U$17*Pipeline!$D$17*MIN(1,MAX(0,(71-Pipeline!$E$17+1)/MAX(Pipeline!$F$17,1)))+Pipeline!$U$18*Pipeline!$D$18*MIN(1,MAX(0,(71-Pipeline!$E$18+1)/MAX(Pipeline!$F$18,1)))+Pipeline!$U$19*Pipeline!$D$19*MIN(1,MAX(0,(71-Pipeline!$E$19+1)/MAX(Pipeline!$F$19,1)))+Pipeline!$U$20*Pipeline!$D$20*MIN(1,MAX(0,(71-Pipeline!$E$20+1)/MAX(Pipeline!$F$20,1)))+Pipeline!$U$21*Pipeline!$D$21*MIN(1,MAX(0,(71-Pipeline!$E$21+1)/MAX(Pipeline!$F$21,1)))+Pipeline!$U$22*Pipeline!$D$22*MIN(1,MAX(0,(71-Pipeline!$E$22+1)/MAX(Pipeline!$F$22,1))))/Hipótesis!$D$17</f>
        <v>981.19600502923</v>
      </c>
      <c r="BV18" s="119" t="n">
        <f aca="false">(Pipeline!$U$16*Pipeline!$D$16*MIN(1,MAX(0,(72-Pipeline!$E$16+1)/MAX(Pipeline!$F$16,1)))+Pipeline!$U$17*Pipeline!$D$17*MIN(1,MAX(0,(72-Pipeline!$E$17+1)/MAX(Pipeline!$F$17,1)))+Pipeline!$U$18*Pipeline!$D$18*MIN(1,MAX(0,(72-Pipeline!$E$18+1)/MAX(Pipeline!$F$18,1)))+Pipeline!$U$19*Pipeline!$D$19*MIN(1,MAX(0,(72-Pipeline!$E$19+1)/MAX(Pipeline!$F$19,1)))+Pipeline!$U$20*Pipeline!$D$20*MIN(1,MAX(0,(72-Pipeline!$E$20+1)/MAX(Pipeline!$F$20,1)))+Pipeline!$U$21*Pipeline!$D$21*MIN(1,MAX(0,(72-Pipeline!$E$21+1)/MAX(Pipeline!$F$21,1)))+Pipeline!$U$22*Pipeline!$D$22*MIN(1,MAX(0,(72-Pipeline!$E$22+1)/MAX(Pipeline!$F$22,1))))/Hipótesis!$D$17</f>
        <v>981.19600502923</v>
      </c>
      <c r="BW18" s="119" t="n">
        <f aca="false">(Pipeline!$U$16*Pipeline!$D$16*MIN(1,MAX(0,(73-Pipeline!$E$16+1)/MAX(Pipeline!$F$16,1)))+Pipeline!$U$17*Pipeline!$D$17*MIN(1,MAX(0,(73-Pipeline!$E$17+1)/MAX(Pipeline!$F$17,1)))+Pipeline!$U$18*Pipeline!$D$18*MIN(1,MAX(0,(73-Pipeline!$E$18+1)/MAX(Pipeline!$F$18,1)))+Pipeline!$U$19*Pipeline!$D$19*MIN(1,MAX(0,(73-Pipeline!$E$19+1)/MAX(Pipeline!$F$19,1)))+Pipeline!$U$20*Pipeline!$D$20*MIN(1,MAX(0,(73-Pipeline!$E$20+1)/MAX(Pipeline!$F$20,1)))+Pipeline!$U$21*Pipeline!$D$21*MIN(1,MAX(0,(73-Pipeline!$E$21+1)/MAX(Pipeline!$F$21,1)))+Pipeline!$U$22*Pipeline!$D$22*MIN(1,MAX(0,(73-Pipeline!$E$22+1)/MAX(Pipeline!$F$22,1))))/Hipótesis!$D$17</f>
        <v>981.19600502923</v>
      </c>
      <c r="BX18" s="119" t="n">
        <f aca="false">(Pipeline!$U$16*Pipeline!$D$16*MIN(1,MAX(0,(74-Pipeline!$E$16+1)/MAX(Pipeline!$F$16,1)))+Pipeline!$U$17*Pipeline!$D$17*MIN(1,MAX(0,(74-Pipeline!$E$17+1)/MAX(Pipeline!$F$17,1)))+Pipeline!$U$18*Pipeline!$D$18*MIN(1,MAX(0,(74-Pipeline!$E$18+1)/MAX(Pipeline!$F$18,1)))+Pipeline!$U$19*Pipeline!$D$19*MIN(1,MAX(0,(74-Pipeline!$E$19+1)/MAX(Pipeline!$F$19,1)))+Pipeline!$U$20*Pipeline!$D$20*MIN(1,MAX(0,(74-Pipeline!$E$20+1)/MAX(Pipeline!$F$20,1)))+Pipeline!$U$21*Pipeline!$D$21*MIN(1,MAX(0,(74-Pipeline!$E$21+1)/MAX(Pipeline!$F$21,1)))+Pipeline!$U$22*Pipeline!$D$22*MIN(1,MAX(0,(74-Pipeline!$E$22+1)/MAX(Pipeline!$F$22,1))))/Hipótesis!$D$17</f>
        <v>981.19600502923</v>
      </c>
      <c r="BY18" s="119" t="n">
        <f aca="false">(Pipeline!$U$16*Pipeline!$D$16*MIN(1,MAX(0,(75-Pipeline!$E$16+1)/MAX(Pipeline!$F$16,1)))+Pipeline!$U$17*Pipeline!$D$17*MIN(1,MAX(0,(75-Pipeline!$E$17+1)/MAX(Pipeline!$F$17,1)))+Pipeline!$U$18*Pipeline!$D$18*MIN(1,MAX(0,(75-Pipeline!$E$18+1)/MAX(Pipeline!$F$18,1)))+Pipeline!$U$19*Pipeline!$D$19*MIN(1,MAX(0,(75-Pipeline!$E$19+1)/MAX(Pipeline!$F$19,1)))+Pipeline!$U$20*Pipeline!$D$20*MIN(1,MAX(0,(75-Pipeline!$E$20+1)/MAX(Pipeline!$F$20,1)))+Pipeline!$U$21*Pipeline!$D$21*MIN(1,MAX(0,(75-Pipeline!$E$21+1)/MAX(Pipeline!$F$21,1)))+Pipeline!$U$22*Pipeline!$D$22*MIN(1,MAX(0,(75-Pipeline!$E$22+1)/MAX(Pipeline!$F$22,1))))/Hipótesis!$D$17</f>
        <v>981.19600502923</v>
      </c>
      <c r="BZ18" s="119" t="n">
        <f aca="false">(Pipeline!$U$16*Pipeline!$D$16*MIN(1,MAX(0,(76-Pipeline!$E$16+1)/MAX(Pipeline!$F$16,1)))+Pipeline!$U$17*Pipeline!$D$17*MIN(1,MAX(0,(76-Pipeline!$E$17+1)/MAX(Pipeline!$F$17,1)))+Pipeline!$U$18*Pipeline!$D$18*MIN(1,MAX(0,(76-Pipeline!$E$18+1)/MAX(Pipeline!$F$18,1)))+Pipeline!$U$19*Pipeline!$D$19*MIN(1,MAX(0,(76-Pipeline!$E$19+1)/MAX(Pipeline!$F$19,1)))+Pipeline!$U$20*Pipeline!$D$20*MIN(1,MAX(0,(76-Pipeline!$E$20+1)/MAX(Pipeline!$F$20,1)))+Pipeline!$U$21*Pipeline!$D$21*MIN(1,MAX(0,(76-Pipeline!$E$21+1)/MAX(Pipeline!$F$21,1)))+Pipeline!$U$22*Pipeline!$D$22*MIN(1,MAX(0,(76-Pipeline!$E$22+1)/MAX(Pipeline!$F$22,1))))/Hipótesis!$D$17</f>
        <v>981.19600502923</v>
      </c>
      <c r="CA18" s="119" t="n">
        <f aca="false">(Pipeline!$U$16*Pipeline!$D$16*MIN(1,MAX(0,(77-Pipeline!$E$16+1)/MAX(Pipeline!$F$16,1)))+Pipeline!$U$17*Pipeline!$D$17*MIN(1,MAX(0,(77-Pipeline!$E$17+1)/MAX(Pipeline!$F$17,1)))+Pipeline!$U$18*Pipeline!$D$18*MIN(1,MAX(0,(77-Pipeline!$E$18+1)/MAX(Pipeline!$F$18,1)))+Pipeline!$U$19*Pipeline!$D$19*MIN(1,MAX(0,(77-Pipeline!$E$19+1)/MAX(Pipeline!$F$19,1)))+Pipeline!$U$20*Pipeline!$D$20*MIN(1,MAX(0,(77-Pipeline!$E$20+1)/MAX(Pipeline!$F$20,1)))+Pipeline!$U$21*Pipeline!$D$21*MIN(1,MAX(0,(77-Pipeline!$E$21+1)/MAX(Pipeline!$F$21,1)))+Pipeline!$U$22*Pipeline!$D$22*MIN(1,MAX(0,(77-Pipeline!$E$22+1)/MAX(Pipeline!$F$22,1))))/Hipótesis!$D$17</f>
        <v>981.19600502923</v>
      </c>
      <c r="CB18" s="119" t="n">
        <f aca="false">(Pipeline!$U$16*Pipeline!$D$16*MIN(1,MAX(0,(78-Pipeline!$E$16+1)/MAX(Pipeline!$F$16,1)))+Pipeline!$U$17*Pipeline!$D$17*MIN(1,MAX(0,(78-Pipeline!$E$17+1)/MAX(Pipeline!$F$17,1)))+Pipeline!$U$18*Pipeline!$D$18*MIN(1,MAX(0,(78-Pipeline!$E$18+1)/MAX(Pipeline!$F$18,1)))+Pipeline!$U$19*Pipeline!$D$19*MIN(1,MAX(0,(78-Pipeline!$E$19+1)/MAX(Pipeline!$F$19,1)))+Pipeline!$U$20*Pipeline!$D$20*MIN(1,MAX(0,(78-Pipeline!$E$20+1)/MAX(Pipeline!$F$20,1)))+Pipeline!$U$21*Pipeline!$D$21*MIN(1,MAX(0,(78-Pipeline!$E$21+1)/MAX(Pipeline!$F$21,1)))+Pipeline!$U$22*Pipeline!$D$22*MIN(1,MAX(0,(78-Pipeline!$E$22+1)/MAX(Pipeline!$F$22,1))))/Hipótesis!$D$17</f>
        <v>981.19600502923</v>
      </c>
      <c r="CC18" s="119" t="n">
        <f aca="false">(Pipeline!$U$16*Pipeline!$D$16*MIN(1,MAX(0,(79-Pipeline!$E$16+1)/MAX(Pipeline!$F$16,1)))+Pipeline!$U$17*Pipeline!$D$17*MIN(1,MAX(0,(79-Pipeline!$E$17+1)/MAX(Pipeline!$F$17,1)))+Pipeline!$U$18*Pipeline!$D$18*MIN(1,MAX(0,(79-Pipeline!$E$18+1)/MAX(Pipeline!$F$18,1)))+Pipeline!$U$19*Pipeline!$D$19*MIN(1,MAX(0,(79-Pipeline!$E$19+1)/MAX(Pipeline!$F$19,1)))+Pipeline!$U$20*Pipeline!$D$20*MIN(1,MAX(0,(79-Pipeline!$E$20+1)/MAX(Pipeline!$F$20,1)))+Pipeline!$U$21*Pipeline!$D$21*MIN(1,MAX(0,(79-Pipeline!$E$21+1)/MAX(Pipeline!$F$21,1)))+Pipeline!$U$22*Pipeline!$D$22*MIN(1,MAX(0,(79-Pipeline!$E$22+1)/MAX(Pipeline!$F$22,1))))/Hipótesis!$D$17</f>
        <v>981.19600502923</v>
      </c>
      <c r="CD18" s="119" t="n">
        <f aca="false">(Pipeline!$U$16*Pipeline!$D$16*MIN(1,MAX(0,(80-Pipeline!$E$16+1)/MAX(Pipeline!$F$16,1)))+Pipeline!$U$17*Pipeline!$D$17*MIN(1,MAX(0,(80-Pipeline!$E$17+1)/MAX(Pipeline!$F$17,1)))+Pipeline!$U$18*Pipeline!$D$18*MIN(1,MAX(0,(80-Pipeline!$E$18+1)/MAX(Pipeline!$F$18,1)))+Pipeline!$U$19*Pipeline!$D$19*MIN(1,MAX(0,(80-Pipeline!$E$19+1)/MAX(Pipeline!$F$19,1)))+Pipeline!$U$20*Pipeline!$D$20*MIN(1,MAX(0,(80-Pipeline!$E$20+1)/MAX(Pipeline!$F$20,1)))+Pipeline!$U$21*Pipeline!$D$21*MIN(1,MAX(0,(80-Pipeline!$E$21+1)/MAX(Pipeline!$F$21,1)))+Pipeline!$U$22*Pipeline!$D$22*MIN(1,MAX(0,(80-Pipeline!$E$22+1)/MAX(Pipeline!$F$22,1))))/Hipótesis!$D$17</f>
        <v>981.19600502923</v>
      </c>
      <c r="CE18" s="119" t="n">
        <f aca="false">(Pipeline!$U$16*Pipeline!$D$16*MIN(1,MAX(0,(81-Pipeline!$E$16+1)/MAX(Pipeline!$F$16,1)))+Pipeline!$U$17*Pipeline!$D$17*MIN(1,MAX(0,(81-Pipeline!$E$17+1)/MAX(Pipeline!$F$17,1)))+Pipeline!$U$18*Pipeline!$D$18*MIN(1,MAX(0,(81-Pipeline!$E$18+1)/MAX(Pipeline!$F$18,1)))+Pipeline!$U$19*Pipeline!$D$19*MIN(1,MAX(0,(81-Pipeline!$E$19+1)/MAX(Pipeline!$F$19,1)))+Pipeline!$U$20*Pipeline!$D$20*MIN(1,MAX(0,(81-Pipeline!$E$20+1)/MAX(Pipeline!$F$20,1)))+Pipeline!$U$21*Pipeline!$D$21*MIN(1,MAX(0,(81-Pipeline!$E$21+1)/MAX(Pipeline!$F$21,1)))+Pipeline!$U$22*Pipeline!$D$22*MIN(1,MAX(0,(81-Pipeline!$E$22+1)/MAX(Pipeline!$F$22,1))))/Hipótesis!$D$17</f>
        <v>981.19600502923</v>
      </c>
      <c r="CF18" s="119" t="n">
        <f aca="false">(Pipeline!$U$16*Pipeline!$D$16*MIN(1,MAX(0,(82-Pipeline!$E$16+1)/MAX(Pipeline!$F$16,1)))+Pipeline!$U$17*Pipeline!$D$17*MIN(1,MAX(0,(82-Pipeline!$E$17+1)/MAX(Pipeline!$F$17,1)))+Pipeline!$U$18*Pipeline!$D$18*MIN(1,MAX(0,(82-Pipeline!$E$18+1)/MAX(Pipeline!$F$18,1)))+Pipeline!$U$19*Pipeline!$D$19*MIN(1,MAX(0,(82-Pipeline!$E$19+1)/MAX(Pipeline!$F$19,1)))+Pipeline!$U$20*Pipeline!$D$20*MIN(1,MAX(0,(82-Pipeline!$E$20+1)/MAX(Pipeline!$F$20,1)))+Pipeline!$U$21*Pipeline!$D$21*MIN(1,MAX(0,(82-Pipeline!$E$21+1)/MAX(Pipeline!$F$21,1)))+Pipeline!$U$22*Pipeline!$D$22*MIN(1,MAX(0,(82-Pipeline!$E$22+1)/MAX(Pipeline!$F$22,1))))/Hipótesis!$D$17</f>
        <v>981.19600502923</v>
      </c>
      <c r="CG18" s="119" t="n">
        <f aca="false">(Pipeline!$U$16*Pipeline!$D$16*MIN(1,MAX(0,(83-Pipeline!$E$16+1)/MAX(Pipeline!$F$16,1)))+Pipeline!$U$17*Pipeline!$D$17*MIN(1,MAX(0,(83-Pipeline!$E$17+1)/MAX(Pipeline!$F$17,1)))+Pipeline!$U$18*Pipeline!$D$18*MIN(1,MAX(0,(83-Pipeline!$E$18+1)/MAX(Pipeline!$F$18,1)))+Pipeline!$U$19*Pipeline!$D$19*MIN(1,MAX(0,(83-Pipeline!$E$19+1)/MAX(Pipeline!$F$19,1)))+Pipeline!$U$20*Pipeline!$D$20*MIN(1,MAX(0,(83-Pipeline!$E$20+1)/MAX(Pipeline!$F$20,1)))+Pipeline!$U$21*Pipeline!$D$21*MIN(1,MAX(0,(83-Pipeline!$E$21+1)/MAX(Pipeline!$F$21,1)))+Pipeline!$U$22*Pipeline!$D$22*MIN(1,MAX(0,(83-Pipeline!$E$22+1)/MAX(Pipeline!$F$22,1))))/Hipótesis!$D$17</f>
        <v>981.19600502923</v>
      </c>
      <c r="CH18" s="119" t="n">
        <f aca="false">(Pipeline!$U$16*Pipeline!$D$16*MIN(1,MAX(0,(84-Pipeline!$E$16+1)/MAX(Pipeline!$F$16,1)))+Pipeline!$U$17*Pipeline!$D$17*MIN(1,MAX(0,(84-Pipeline!$E$17+1)/MAX(Pipeline!$F$17,1)))+Pipeline!$U$18*Pipeline!$D$18*MIN(1,MAX(0,(84-Pipeline!$E$18+1)/MAX(Pipeline!$F$18,1)))+Pipeline!$U$19*Pipeline!$D$19*MIN(1,MAX(0,(84-Pipeline!$E$19+1)/MAX(Pipeline!$F$19,1)))+Pipeline!$U$20*Pipeline!$D$20*MIN(1,MAX(0,(84-Pipeline!$E$20+1)/MAX(Pipeline!$F$20,1)))+Pipeline!$U$21*Pipeline!$D$21*MIN(1,MAX(0,(84-Pipeline!$E$21+1)/MAX(Pipeline!$F$21,1)))+Pipeline!$U$22*Pipeline!$D$22*MIN(1,MAX(0,(84-Pipeline!$E$22+1)/MAX(Pipeline!$F$22,1))))/Hipótesis!$D$17</f>
        <v>981.19600502923</v>
      </c>
    </row>
    <row r="19" customFormat="false" ht="13.5" hidden="false" customHeight="true" outlineLevel="0" collapsed="false">
      <c r="A19" s="6" t="s">
        <v>527</v>
      </c>
      <c r="C19" s="109" t="n">
        <f aca="false">Pipeline!$W$16*Pipeline!$D$16*MIN(1,MAX(0,(1-Pipeline!$E$16+1)/MAX(Pipeline!$F$16,1)))+Pipeline!$W$17*Pipeline!$D$17*MIN(1,MAX(0,(1-Pipeline!$E$17+1)/MAX(Pipeline!$F$17,1)))+Pipeline!$W$18*Pipeline!$D$18*MIN(1,MAX(0,(1-Pipeline!$E$18+1)/MAX(Pipeline!$F$18,1)))+Pipeline!$W$19*Pipeline!$D$19*MIN(1,MAX(0,(1-Pipeline!$E$19+1)/MAX(Pipeline!$F$19,1)))+Pipeline!$W$20*Pipeline!$D$20*MIN(1,MAX(0,(1-Pipeline!$E$20+1)/MAX(Pipeline!$F$20,1)))+Pipeline!$W$21*Pipeline!$D$21*MIN(1,MAX(0,(1-Pipeline!$E$21+1)/MAX(Pipeline!$F$21,1)))+Pipeline!$W$22*Pipeline!$D$22*MIN(1,MAX(0,(1-Pipeline!$E$22+1)/MAX(Pipeline!$F$22,1)))</f>
        <v>106.083333333333</v>
      </c>
      <c r="D19" s="109" t="n">
        <f aca="false">Pipeline!$W$16*Pipeline!$D$16*MIN(1,MAX(0,(2-Pipeline!$E$16+1)/MAX(Pipeline!$F$16,1)))+Pipeline!$W$17*Pipeline!$D$17*MIN(1,MAX(0,(2-Pipeline!$E$17+1)/MAX(Pipeline!$F$17,1)))+Pipeline!$W$18*Pipeline!$D$18*MIN(1,MAX(0,(2-Pipeline!$E$18+1)/MAX(Pipeline!$F$18,1)))+Pipeline!$W$19*Pipeline!$D$19*MIN(1,MAX(0,(2-Pipeline!$E$19+1)/MAX(Pipeline!$F$19,1)))+Pipeline!$W$20*Pipeline!$D$20*MIN(1,MAX(0,(2-Pipeline!$E$20+1)/MAX(Pipeline!$F$20,1)))+Pipeline!$W$21*Pipeline!$D$21*MIN(1,MAX(0,(2-Pipeline!$E$21+1)/MAX(Pipeline!$F$21,1)))+Pipeline!$W$22*Pipeline!$D$22*MIN(1,MAX(0,(2-Pipeline!$E$22+1)/MAX(Pipeline!$F$22,1)))</f>
        <v>228.59431372549</v>
      </c>
      <c r="E19" s="109" t="n">
        <f aca="false">Pipeline!$W$16*Pipeline!$D$16*MIN(1,MAX(0,(3-Pipeline!$E$16+1)/MAX(Pipeline!$F$16,1)))+Pipeline!$W$17*Pipeline!$D$17*MIN(1,MAX(0,(3-Pipeline!$E$17+1)/MAX(Pipeline!$F$17,1)))+Pipeline!$W$18*Pipeline!$D$18*MIN(1,MAX(0,(3-Pipeline!$E$18+1)/MAX(Pipeline!$F$18,1)))+Pipeline!$W$19*Pipeline!$D$19*MIN(1,MAX(0,(3-Pipeline!$E$19+1)/MAX(Pipeline!$F$19,1)))+Pipeline!$W$20*Pipeline!$D$20*MIN(1,MAX(0,(3-Pipeline!$E$20+1)/MAX(Pipeline!$F$20,1)))+Pipeline!$W$21*Pipeline!$D$21*MIN(1,MAX(0,(3-Pipeline!$E$21+1)/MAX(Pipeline!$F$21,1)))+Pipeline!$W$22*Pipeline!$D$22*MIN(1,MAX(0,(3-Pipeline!$E$22+1)/MAX(Pipeline!$F$22,1)))</f>
        <v>567.492245648259</v>
      </c>
      <c r="F19" s="109" t="n">
        <f aca="false">Pipeline!$W$16*Pipeline!$D$16*MIN(1,MAX(0,(4-Pipeline!$E$16+1)/MAX(Pipeline!$F$16,1)))+Pipeline!$W$17*Pipeline!$D$17*MIN(1,MAX(0,(4-Pipeline!$E$17+1)/MAX(Pipeline!$F$17,1)))+Pipeline!$W$18*Pipeline!$D$18*MIN(1,MAX(0,(4-Pipeline!$E$18+1)/MAX(Pipeline!$F$18,1)))+Pipeline!$W$19*Pipeline!$D$19*MIN(1,MAX(0,(4-Pipeline!$E$19+1)/MAX(Pipeline!$F$19,1)))+Pipeline!$W$20*Pipeline!$D$20*MIN(1,MAX(0,(4-Pipeline!$E$20+1)/MAX(Pipeline!$F$20,1)))+Pipeline!$W$21*Pipeline!$D$21*MIN(1,MAX(0,(4-Pipeline!$E$21+1)/MAX(Pipeline!$F$21,1)))+Pipeline!$W$22*Pipeline!$D$22*MIN(1,MAX(0,(4-Pipeline!$E$22+1)/MAX(Pipeline!$F$22,1)))</f>
        <v>800.306844237695</v>
      </c>
      <c r="G19" s="109" t="n">
        <f aca="false">Pipeline!$W$16*Pipeline!$D$16*MIN(1,MAX(0,(5-Pipeline!$E$16+1)/MAX(Pipeline!$F$16,1)))+Pipeline!$W$17*Pipeline!$D$17*MIN(1,MAX(0,(5-Pipeline!$E$17+1)/MAX(Pipeline!$F$17,1)))+Pipeline!$W$18*Pipeline!$D$18*MIN(1,MAX(0,(5-Pipeline!$E$18+1)/MAX(Pipeline!$F$18,1)))+Pipeline!$W$19*Pipeline!$D$19*MIN(1,MAX(0,(5-Pipeline!$E$19+1)/MAX(Pipeline!$F$19,1)))+Pipeline!$W$20*Pipeline!$D$20*MIN(1,MAX(0,(5-Pipeline!$E$20+1)/MAX(Pipeline!$F$20,1)))+Pipeline!$W$21*Pipeline!$D$21*MIN(1,MAX(0,(5-Pipeline!$E$21+1)/MAX(Pipeline!$F$21,1)))+Pipeline!$W$22*Pipeline!$D$22*MIN(1,MAX(0,(5-Pipeline!$E$22+1)/MAX(Pipeline!$F$22,1)))</f>
        <v>1016.69379576831</v>
      </c>
      <c r="H19" s="109" t="n">
        <f aca="false">Pipeline!$W$16*Pipeline!$D$16*MIN(1,MAX(0,(6-Pipeline!$E$16+1)/MAX(Pipeline!$F$16,1)))+Pipeline!$W$17*Pipeline!$D$17*MIN(1,MAX(0,(6-Pipeline!$E$17+1)/MAX(Pipeline!$F$17,1)))+Pipeline!$W$18*Pipeline!$D$18*MIN(1,MAX(0,(6-Pipeline!$E$18+1)/MAX(Pipeline!$F$18,1)))+Pipeline!$W$19*Pipeline!$D$19*MIN(1,MAX(0,(6-Pipeline!$E$19+1)/MAX(Pipeline!$F$19,1)))+Pipeline!$W$20*Pipeline!$D$20*MIN(1,MAX(0,(6-Pipeline!$E$20+1)/MAX(Pipeline!$F$20,1)))+Pipeline!$W$21*Pipeline!$D$21*MIN(1,MAX(0,(6-Pipeline!$E$21+1)/MAX(Pipeline!$F$21,1)))+Pipeline!$W$22*Pipeline!$D$22*MIN(1,MAX(0,(6-Pipeline!$E$22+1)/MAX(Pipeline!$F$22,1)))</f>
        <v>1421.31420318127</v>
      </c>
      <c r="I19" s="109" t="n">
        <f aca="false">Pipeline!$W$16*Pipeline!$D$16*MIN(1,MAX(0,(7-Pipeline!$E$16+1)/MAX(Pipeline!$F$16,1)))+Pipeline!$W$17*Pipeline!$D$17*MIN(1,MAX(0,(7-Pipeline!$E$17+1)/MAX(Pipeline!$F$17,1)))+Pipeline!$W$18*Pipeline!$D$18*MIN(1,MAX(0,(7-Pipeline!$E$18+1)/MAX(Pipeline!$F$18,1)))+Pipeline!$W$19*Pipeline!$D$19*MIN(1,MAX(0,(7-Pipeline!$E$19+1)/MAX(Pipeline!$F$19,1)))+Pipeline!$W$20*Pipeline!$D$20*MIN(1,MAX(0,(7-Pipeline!$E$20+1)/MAX(Pipeline!$F$20,1)))+Pipeline!$W$21*Pipeline!$D$21*MIN(1,MAX(0,(7-Pipeline!$E$21+1)/MAX(Pipeline!$F$21,1)))+Pipeline!$W$22*Pipeline!$D$22*MIN(1,MAX(0,(7-Pipeline!$E$22+1)/MAX(Pipeline!$F$22,1)))</f>
        <v>1825.93461059424</v>
      </c>
      <c r="J19" s="109" t="n">
        <f aca="false">Pipeline!$W$16*Pipeline!$D$16*MIN(1,MAX(0,(8-Pipeline!$E$16+1)/MAX(Pipeline!$F$16,1)))+Pipeline!$W$17*Pipeline!$D$17*MIN(1,MAX(0,(8-Pipeline!$E$17+1)/MAX(Pipeline!$F$17,1)))+Pipeline!$W$18*Pipeline!$D$18*MIN(1,MAX(0,(8-Pipeline!$E$18+1)/MAX(Pipeline!$F$18,1)))+Pipeline!$W$19*Pipeline!$D$19*MIN(1,MAX(0,(8-Pipeline!$E$19+1)/MAX(Pipeline!$F$19,1)))+Pipeline!$W$20*Pipeline!$D$20*MIN(1,MAX(0,(8-Pipeline!$E$20+1)/MAX(Pipeline!$F$20,1)))+Pipeline!$W$21*Pipeline!$D$21*MIN(1,MAX(0,(8-Pipeline!$E$21+1)/MAX(Pipeline!$F$21,1)))+Pipeline!$W$22*Pipeline!$D$22*MIN(1,MAX(0,(8-Pipeline!$E$22+1)/MAX(Pipeline!$F$22,1)))</f>
        <v>2230.5550180072</v>
      </c>
      <c r="K19" s="109" t="n">
        <f aca="false">Pipeline!$W$16*Pipeline!$D$16*MIN(1,MAX(0,(9-Pipeline!$E$16+1)/MAX(Pipeline!$F$16,1)))+Pipeline!$W$17*Pipeline!$D$17*MIN(1,MAX(0,(9-Pipeline!$E$17+1)/MAX(Pipeline!$F$17,1)))+Pipeline!$W$18*Pipeline!$D$18*MIN(1,MAX(0,(9-Pipeline!$E$18+1)/MAX(Pipeline!$F$18,1)))+Pipeline!$W$19*Pipeline!$D$19*MIN(1,MAX(0,(9-Pipeline!$E$19+1)/MAX(Pipeline!$F$19,1)))+Pipeline!$W$20*Pipeline!$D$20*MIN(1,MAX(0,(9-Pipeline!$E$20+1)/MAX(Pipeline!$F$20,1)))+Pipeline!$W$21*Pipeline!$D$21*MIN(1,MAX(0,(9-Pipeline!$E$21+1)/MAX(Pipeline!$F$21,1)))+Pipeline!$W$22*Pipeline!$D$22*MIN(1,MAX(0,(9-Pipeline!$E$22+1)/MAX(Pipeline!$F$22,1)))</f>
        <v>2635.17542542017</v>
      </c>
      <c r="L19" s="109" t="n">
        <f aca="false">Pipeline!$W$16*Pipeline!$D$16*MIN(1,MAX(0,(10-Pipeline!$E$16+1)/MAX(Pipeline!$F$16,1)))+Pipeline!$W$17*Pipeline!$D$17*MIN(1,MAX(0,(10-Pipeline!$E$17+1)/MAX(Pipeline!$F$17,1)))+Pipeline!$W$18*Pipeline!$D$18*MIN(1,MAX(0,(10-Pipeline!$E$18+1)/MAX(Pipeline!$F$18,1)))+Pipeline!$W$19*Pipeline!$D$19*MIN(1,MAX(0,(10-Pipeline!$E$19+1)/MAX(Pipeline!$F$19,1)))+Pipeline!$W$20*Pipeline!$D$20*MIN(1,MAX(0,(10-Pipeline!$E$20+1)/MAX(Pipeline!$F$20,1)))+Pipeline!$W$21*Pipeline!$D$21*MIN(1,MAX(0,(10-Pipeline!$E$21+1)/MAX(Pipeline!$F$21,1)))+Pipeline!$W$22*Pipeline!$D$22*MIN(1,MAX(0,(10-Pipeline!$E$22+1)/MAX(Pipeline!$F$22,1)))</f>
        <v>3039.79583283313</v>
      </c>
      <c r="M19" s="109" t="n">
        <f aca="false">Pipeline!$W$16*Pipeline!$D$16*MIN(1,MAX(0,(11-Pipeline!$E$16+1)/MAX(Pipeline!$F$16,1)))+Pipeline!$W$17*Pipeline!$D$17*MIN(1,MAX(0,(11-Pipeline!$E$17+1)/MAX(Pipeline!$F$17,1)))+Pipeline!$W$18*Pipeline!$D$18*MIN(1,MAX(0,(11-Pipeline!$E$18+1)/MAX(Pipeline!$F$18,1)))+Pipeline!$W$19*Pipeline!$D$19*MIN(1,MAX(0,(11-Pipeline!$E$19+1)/MAX(Pipeline!$F$19,1)))+Pipeline!$W$20*Pipeline!$D$20*MIN(1,MAX(0,(11-Pipeline!$E$20+1)/MAX(Pipeline!$F$20,1)))+Pipeline!$W$21*Pipeline!$D$21*MIN(1,MAX(0,(11-Pipeline!$E$21+1)/MAX(Pipeline!$F$21,1)))+Pipeline!$W$22*Pipeline!$D$22*MIN(1,MAX(0,(11-Pipeline!$E$22+1)/MAX(Pipeline!$F$22,1)))</f>
        <v>3228.02928871549</v>
      </c>
      <c r="N19" s="109" t="n">
        <f aca="false">Pipeline!$W$16*Pipeline!$D$16*MIN(1,MAX(0,(12-Pipeline!$E$16+1)/MAX(Pipeline!$F$16,1)))+Pipeline!$W$17*Pipeline!$D$17*MIN(1,MAX(0,(12-Pipeline!$E$17+1)/MAX(Pipeline!$F$17,1)))+Pipeline!$W$18*Pipeline!$D$18*MIN(1,MAX(0,(12-Pipeline!$E$18+1)/MAX(Pipeline!$F$18,1)))+Pipeline!$W$19*Pipeline!$D$19*MIN(1,MAX(0,(12-Pipeline!$E$19+1)/MAX(Pipeline!$F$19,1)))+Pipeline!$W$20*Pipeline!$D$20*MIN(1,MAX(0,(12-Pipeline!$E$20+1)/MAX(Pipeline!$F$20,1)))+Pipeline!$W$21*Pipeline!$D$21*MIN(1,MAX(0,(12-Pipeline!$E$21+1)/MAX(Pipeline!$F$21,1)))+Pipeline!$W$22*Pipeline!$D$22*MIN(1,MAX(0,(12-Pipeline!$E$22+1)/MAX(Pipeline!$F$22,1)))</f>
        <v>3690.0568622449</v>
      </c>
      <c r="O19" s="109" t="n">
        <f aca="false">Pipeline!$W$16*Pipeline!$D$16*MIN(1,MAX(0,(13-Pipeline!$E$16+1)/MAX(Pipeline!$F$16,1)))+Pipeline!$W$17*Pipeline!$D$17*MIN(1,MAX(0,(13-Pipeline!$E$17+1)/MAX(Pipeline!$F$17,1)))+Pipeline!$W$18*Pipeline!$D$18*MIN(1,MAX(0,(13-Pipeline!$E$18+1)/MAX(Pipeline!$F$18,1)))+Pipeline!$W$19*Pipeline!$D$19*MIN(1,MAX(0,(13-Pipeline!$E$19+1)/MAX(Pipeline!$F$19,1)))+Pipeline!$W$20*Pipeline!$D$20*MIN(1,MAX(0,(13-Pipeline!$E$20+1)/MAX(Pipeline!$F$20,1)))+Pipeline!$W$21*Pipeline!$D$21*MIN(1,MAX(0,(13-Pipeline!$E$21+1)/MAX(Pipeline!$F$21,1)))+Pipeline!$W$22*Pipeline!$D$22*MIN(1,MAX(0,(13-Pipeline!$E$22+1)/MAX(Pipeline!$F$22,1)))</f>
        <v>4152.08443577431</v>
      </c>
      <c r="P19" s="109" t="n">
        <f aca="false">Pipeline!$W$16*Pipeline!$D$16*MIN(1,MAX(0,(14-Pipeline!$E$16+1)/MAX(Pipeline!$F$16,1)))+Pipeline!$W$17*Pipeline!$D$17*MIN(1,MAX(0,(14-Pipeline!$E$17+1)/MAX(Pipeline!$F$17,1)))+Pipeline!$W$18*Pipeline!$D$18*MIN(1,MAX(0,(14-Pipeline!$E$18+1)/MAX(Pipeline!$F$18,1)))+Pipeline!$W$19*Pipeline!$D$19*MIN(1,MAX(0,(14-Pipeline!$E$19+1)/MAX(Pipeline!$F$19,1)))+Pipeline!$W$20*Pipeline!$D$20*MIN(1,MAX(0,(14-Pipeline!$E$20+1)/MAX(Pipeline!$F$20,1)))+Pipeline!$W$21*Pipeline!$D$21*MIN(1,MAX(0,(14-Pipeline!$E$21+1)/MAX(Pipeline!$F$21,1)))+Pipeline!$W$22*Pipeline!$D$22*MIN(1,MAX(0,(14-Pipeline!$E$22+1)/MAX(Pipeline!$F$22,1)))</f>
        <v>4535.39620048019</v>
      </c>
      <c r="Q19" s="109" t="n">
        <f aca="false">Pipeline!$W$16*Pipeline!$D$16*MIN(1,MAX(0,(15-Pipeline!$E$16+1)/MAX(Pipeline!$F$16,1)))+Pipeline!$W$17*Pipeline!$D$17*MIN(1,MAX(0,(15-Pipeline!$E$17+1)/MAX(Pipeline!$F$17,1)))+Pipeline!$W$18*Pipeline!$D$18*MIN(1,MAX(0,(15-Pipeline!$E$18+1)/MAX(Pipeline!$F$18,1)))+Pipeline!$W$19*Pipeline!$D$19*MIN(1,MAX(0,(15-Pipeline!$E$19+1)/MAX(Pipeline!$F$19,1)))+Pipeline!$W$20*Pipeline!$D$20*MIN(1,MAX(0,(15-Pipeline!$E$20+1)/MAX(Pipeline!$F$20,1)))+Pipeline!$W$21*Pipeline!$D$21*MIN(1,MAX(0,(15-Pipeline!$E$21+1)/MAX(Pipeline!$F$21,1)))+Pipeline!$W$22*Pipeline!$D$22*MIN(1,MAX(0,(15-Pipeline!$E$22+1)/MAX(Pipeline!$F$22,1)))</f>
        <v>4918.70796518607</v>
      </c>
      <c r="R19" s="109" t="n">
        <f aca="false">Pipeline!$W$16*Pipeline!$D$16*MIN(1,MAX(0,(16-Pipeline!$E$16+1)/MAX(Pipeline!$F$16,1)))+Pipeline!$W$17*Pipeline!$D$17*MIN(1,MAX(0,(16-Pipeline!$E$17+1)/MAX(Pipeline!$F$17,1)))+Pipeline!$W$18*Pipeline!$D$18*MIN(1,MAX(0,(16-Pipeline!$E$18+1)/MAX(Pipeline!$F$18,1)))+Pipeline!$W$19*Pipeline!$D$19*MIN(1,MAX(0,(16-Pipeline!$E$19+1)/MAX(Pipeline!$F$19,1)))+Pipeline!$W$20*Pipeline!$D$20*MIN(1,MAX(0,(16-Pipeline!$E$20+1)/MAX(Pipeline!$F$20,1)))+Pipeline!$W$21*Pipeline!$D$21*MIN(1,MAX(0,(16-Pipeline!$E$21+1)/MAX(Pipeline!$F$21,1)))+Pipeline!$W$22*Pipeline!$D$22*MIN(1,MAX(0,(16-Pipeline!$E$22+1)/MAX(Pipeline!$F$22,1)))</f>
        <v>5302.01972989196</v>
      </c>
      <c r="S19" s="109" t="n">
        <f aca="false">Pipeline!$W$16*Pipeline!$D$16*MIN(1,MAX(0,(17-Pipeline!$E$16+1)/MAX(Pipeline!$F$16,1)))+Pipeline!$W$17*Pipeline!$D$17*MIN(1,MAX(0,(17-Pipeline!$E$17+1)/MAX(Pipeline!$F$17,1)))+Pipeline!$W$18*Pipeline!$D$18*MIN(1,MAX(0,(17-Pipeline!$E$18+1)/MAX(Pipeline!$F$18,1)))+Pipeline!$W$19*Pipeline!$D$19*MIN(1,MAX(0,(17-Pipeline!$E$19+1)/MAX(Pipeline!$F$19,1)))+Pipeline!$W$20*Pipeline!$D$20*MIN(1,MAX(0,(17-Pipeline!$E$20+1)/MAX(Pipeline!$F$20,1)))+Pipeline!$W$21*Pipeline!$D$21*MIN(1,MAX(0,(17-Pipeline!$E$21+1)/MAX(Pipeline!$F$21,1)))+Pipeline!$W$22*Pipeline!$D$22*MIN(1,MAX(0,(17-Pipeline!$E$22+1)/MAX(Pipeline!$F$22,1)))</f>
        <v>5685.33149459784</v>
      </c>
      <c r="T19" s="109" t="n">
        <f aca="false">Pipeline!$W$16*Pipeline!$D$16*MIN(1,MAX(0,(18-Pipeline!$E$16+1)/MAX(Pipeline!$F$16,1)))+Pipeline!$W$17*Pipeline!$D$17*MIN(1,MAX(0,(18-Pipeline!$E$17+1)/MAX(Pipeline!$F$17,1)))+Pipeline!$W$18*Pipeline!$D$18*MIN(1,MAX(0,(18-Pipeline!$E$18+1)/MAX(Pipeline!$F$18,1)))+Pipeline!$W$19*Pipeline!$D$19*MIN(1,MAX(0,(18-Pipeline!$E$19+1)/MAX(Pipeline!$F$19,1)))+Pipeline!$W$20*Pipeline!$D$20*MIN(1,MAX(0,(18-Pipeline!$E$20+1)/MAX(Pipeline!$F$20,1)))+Pipeline!$W$21*Pipeline!$D$21*MIN(1,MAX(0,(18-Pipeline!$E$21+1)/MAX(Pipeline!$F$21,1)))+Pipeline!$W$22*Pipeline!$D$22*MIN(1,MAX(0,(18-Pipeline!$E$22+1)/MAX(Pipeline!$F$22,1)))</f>
        <v>6068.64325930372</v>
      </c>
      <c r="U19" s="109" t="n">
        <f aca="false">Pipeline!$W$16*Pipeline!$D$16*MIN(1,MAX(0,(19-Pipeline!$E$16+1)/MAX(Pipeline!$F$16,1)))+Pipeline!$W$17*Pipeline!$D$17*MIN(1,MAX(0,(19-Pipeline!$E$17+1)/MAX(Pipeline!$F$17,1)))+Pipeline!$W$18*Pipeline!$D$18*MIN(1,MAX(0,(19-Pipeline!$E$18+1)/MAX(Pipeline!$F$18,1)))+Pipeline!$W$19*Pipeline!$D$19*MIN(1,MAX(0,(19-Pipeline!$E$19+1)/MAX(Pipeline!$F$19,1)))+Pipeline!$W$20*Pipeline!$D$20*MIN(1,MAX(0,(19-Pipeline!$E$20+1)/MAX(Pipeline!$F$20,1)))+Pipeline!$W$21*Pipeline!$D$21*MIN(1,MAX(0,(19-Pipeline!$E$21+1)/MAX(Pipeline!$F$21,1)))+Pipeline!$W$22*Pipeline!$D$22*MIN(1,MAX(0,(19-Pipeline!$E$22+1)/MAX(Pipeline!$F$22,1)))</f>
        <v>6451.9550240096</v>
      </c>
      <c r="V19" s="109" t="n">
        <f aca="false">Pipeline!$W$16*Pipeline!$D$16*MIN(1,MAX(0,(20-Pipeline!$E$16+1)/MAX(Pipeline!$F$16,1)))+Pipeline!$W$17*Pipeline!$D$17*MIN(1,MAX(0,(20-Pipeline!$E$17+1)/MAX(Pipeline!$F$17,1)))+Pipeline!$W$18*Pipeline!$D$18*MIN(1,MAX(0,(20-Pipeline!$E$18+1)/MAX(Pipeline!$F$18,1)))+Pipeline!$W$19*Pipeline!$D$19*MIN(1,MAX(0,(20-Pipeline!$E$19+1)/MAX(Pipeline!$F$19,1)))+Pipeline!$W$20*Pipeline!$D$20*MIN(1,MAX(0,(20-Pipeline!$E$20+1)/MAX(Pipeline!$F$20,1)))+Pipeline!$W$21*Pipeline!$D$21*MIN(1,MAX(0,(20-Pipeline!$E$21+1)/MAX(Pipeline!$F$21,1)))+Pipeline!$W$22*Pipeline!$D$22*MIN(1,MAX(0,(20-Pipeline!$E$22+1)/MAX(Pipeline!$F$22,1)))</f>
        <v>6835.26678871549</v>
      </c>
      <c r="W19" s="109" t="n">
        <f aca="false">Pipeline!$W$16*Pipeline!$D$16*MIN(1,MAX(0,(21-Pipeline!$E$16+1)/MAX(Pipeline!$F$16,1)))+Pipeline!$W$17*Pipeline!$D$17*MIN(1,MAX(0,(21-Pipeline!$E$17+1)/MAX(Pipeline!$F$17,1)))+Pipeline!$W$18*Pipeline!$D$18*MIN(1,MAX(0,(21-Pipeline!$E$18+1)/MAX(Pipeline!$F$18,1)))+Pipeline!$W$19*Pipeline!$D$19*MIN(1,MAX(0,(21-Pipeline!$E$19+1)/MAX(Pipeline!$F$19,1)))+Pipeline!$W$20*Pipeline!$D$20*MIN(1,MAX(0,(21-Pipeline!$E$20+1)/MAX(Pipeline!$F$20,1)))+Pipeline!$W$21*Pipeline!$D$21*MIN(1,MAX(0,(21-Pipeline!$E$21+1)/MAX(Pipeline!$F$21,1)))+Pipeline!$W$22*Pipeline!$D$22*MIN(1,MAX(0,(21-Pipeline!$E$22+1)/MAX(Pipeline!$F$22,1)))</f>
        <v>7218.57855342137</v>
      </c>
      <c r="X19" s="109" t="n">
        <f aca="false">Pipeline!$W$16*Pipeline!$D$16*MIN(1,MAX(0,(22-Pipeline!$E$16+1)/MAX(Pipeline!$F$16,1)))+Pipeline!$W$17*Pipeline!$D$17*MIN(1,MAX(0,(22-Pipeline!$E$17+1)/MAX(Pipeline!$F$17,1)))+Pipeline!$W$18*Pipeline!$D$18*MIN(1,MAX(0,(22-Pipeline!$E$18+1)/MAX(Pipeline!$F$18,1)))+Pipeline!$W$19*Pipeline!$D$19*MIN(1,MAX(0,(22-Pipeline!$E$19+1)/MAX(Pipeline!$F$19,1)))+Pipeline!$W$20*Pipeline!$D$20*MIN(1,MAX(0,(22-Pipeline!$E$20+1)/MAX(Pipeline!$F$20,1)))+Pipeline!$W$21*Pipeline!$D$21*MIN(1,MAX(0,(22-Pipeline!$E$21+1)/MAX(Pipeline!$F$21,1)))+Pipeline!$W$22*Pipeline!$D$22*MIN(1,MAX(0,(22-Pipeline!$E$22+1)/MAX(Pipeline!$F$22,1)))</f>
        <v>7328.09620048019</v>
      </c>
      <c r="Y19" s="109" t="n">
        <f aca="false">Pipeline!$W$16*Pipeline!$D$16*MIN(1,MAX(0,(23-Pipeline!$E$16+1)/MAX(Pipeline!$F$16,1)))+Pipeline!$W$17*Pipeline!$D$17*MIN(1,MAX(0,(23-Pipeline!$E$17+1)/MAX(Pipeline!$F$17,1)))+Pipeline!$W$18*Pipeline!$D$18*MIN(1,MAX(0,(23-Pipeline!$E$18+1)/MAX(Pipeline!$F$18,1)))+Pipeline!$W$19*Pipeline!$D$19*MIN(1,MAX(0,(23-Pipeline!$E$19+1)/MAX(Pipeline!$F$19,1)))+Pipeline!$W$20*Pipeline!$D$20*MIN(1,MAX(0,(23-Pipeline!$E$20+1)/MAX(Pipeline!$F$20,1)))+Pipeline!$W$21*Pipeline!$D$21*MIN(1,MAX(0,(23-Pipeline!$E$21+1)/MAX(Pipeline!$F$21,1)))+Pipeline!$W$22*Pipeline!$D$22*MIN(1,MAX(0,(23-Pipeline!$E$22+1)/MAX(Pipeline!$F$22,1)))</f>
        <v>7437.61384753902</v>
      </c>
      <c r="Z19" s="109" t="n">
        <f aca="false">Pipeline!$W$16*Pipeline!$D$16*MIN(1,MAX(0,(24-Pipeline!$E$16+1)/MAX(Pipeline!$F$16,1)))+Pipeline!$W$17*Pipeline!$D$17*MIN(1,MAX(0,(24-Pipeline!$E$17+1)/MAX(Pipeline!$F$17,1)))+Pipeline!$W$18*Pipeline!$D$18*MIN(1,MAX(0,(24-Pipeline!$E$18+1)/MAX(Pipeline!$F$18,1)))+Pipeline!$W$19*Pipeline!$D$19*MIN(1,MAX(0,(24-Pipeline!$E$19+1)/MAX(Pipeline!$F$19,1)))+Pipeline!$W$20*Pipeline!$D$20*MIN(1,MAX(0,(24-Pipeline!$E$20+1)/MAX(Pipeline!$F$20,1)))+Pipeline!$W$21*Pipeline!$D$21*MIN(1,MAX(0,(24-Pipeline!$E$21+1)/MAX(Pipeline!$F$21,1)))+Pipeline!$W$22*Pipeline!$D$22*MIN(1,MAX(0,(24-Pipeline!$E$22+1)/MAX(Pipeline!$F$22,1)))</f>
        <v>7437.61384753902</v>
      </c>
      <c r="AA19" s="109" t="n">
        <f aca="false">Pipeline!$W$16*Pipeline!$D$16*MIN(1,MAX(0,(25-Pipeline!$E$16+1)/MAX(Pipeline!$F$16,1)))+Pipeline!$W$17*Pipeline!$D$17*MIN(1,MAX(0,(25-Pipeline!$E$17+1)/MAX(Pipeline!$F$17,1)))+Pipeline!$W$18*Pipeline!$D$18*MIN(1,MAX(0,(25-Pipeline!$E$18+1)/MAX(Pipeline!$F$18,1)))+Pipeline!$W$19*Pipeline!$D$19*MIN(1,MAX(0,(25-Pipeline!$E$19+1)/MAX(Pipeline!$F$19,1)))+Pipeline!$W$20*Pipeline!$D$20*MIN(1,MAX(0,(25-Pipeline!$E$20+1)/MAX(Pipeline!$F$20,1)))+Pipeline!$W$21*Pipeline!$D$21*MIN(1,MAX(0,(25-Pipeline!$E$21+1)/MAX(Pipeline!$F$21,1)))+Pipeline!$W$22*Pipeline!$D$22*MIN(1,MAX(0,(25-Pipeline!$E$22+1)/MAX(Pipeline!$F$22,1)))</f>
        <v>7437.61384753902</v>
      </c>
      <c r="AB19" s="109" t="n">
        <f aca="false">Pipeline!$W$16*Pipeline!$D$16*MIN(1,MAX(0,(26-Pipeline!$E$16+1)/MAX(Pipeline!$F$16,1)))+Pipeline!$W$17*Pipeline!$D$17*MIN(1,MAX(0,(26-Pipeline!$E$17+1)/MAX(Pipeline!$F$17,1)))+Pipeline!$W$18*Pipeline!$D$18*MIN(1,MAX(0,(26-Pipeline!$E$18+1)/MAX(Pipeline!$F$18,1)))+Pipeline!$W$19*Pipeline!$D$19*MIN(1,MAX(0,(26-Pipeline!$E$19+1)/MAX(Pipeline!$F$19,1)))+Pipeline!$W$20*Pipeline!$D$20*MIN(1,MAX(0,(26-Pipeline!$E$20+1)/MAX(Pipeline!$F$20,1)))+Pipeline!$W$21*Pipeline!$D$21*MIN(1,MAX(0,(26-Pipeline!$E$21+1)/MAX(Pipeline!$F$21,1)))+Pipeline!$W$22*Pipeline!$D$22*MIN(1,MAX(0,(26-Pipeline!$E$22+1)/MAX(Pipeline!$F$22,1)))</f>
        <v>7437.61384753902</v>
      </c>
      <c r="AC19" s="109" t="n">
        <f aca="false">Pipeline!$W$16*Pipeline!$D$16*MIN(1,MAX(0,(27-Pipeline!$E$16+1)/MAX(Pipeline!$F$16,1)))+Pipeline!$W$17*Pipeline!$D$17*MIN(1,MAX(0,(27-Pipeline!$E$17+1)/MAX(Pipeline!$F$17,1)))+Pipeline!$W$18*Pipeline!$D$18*MIN(1,MAX(0,(27-Pipeline!$E$18+1)/MAX(Pipeline!$F$18,1)))+Pipeline!$W$19*Pipeline!$D$19*MIN(1,MAX(0,(27-Pipeline!$E$19+1)/MAX(Pipeline!$F$19,1)))+Pipeline!$W$20*Pipeline!$D$20*MIN(1,MAX(0,(27-Pipeline!$E$20+1)/MAX(Pipeline!$F$20,1)))+Pipeline!$W$21*Pipeline!$D$21*MIN(1,MAX(0,(27-Pipeline!$E$21+1)/MAX(Pipeline!$F$21,1)))+Pipeline!$W$22*Pipeline!$D$22*MIN(1,MAX(0,(27-Pipeline!$E$22+1)/MAX(Pipeline!$F$22,1)))</f>
        <v>7437.61384753902</v>
      </c>
      <c r="AD19" s="109" t="n">
        <f aca="false">Pipeline!$W$16*Pipeline!$D$16*MIN(1,MAX(0,(28-Pipeline!$E$16+1)/MAX(Pipeline!$F$16,1)))+Pipeline!$W$17*Pipeline!$D$17*MIN(1,MAX(0,(28-Pipeline!$E$17+1)/MAX(Pipeline!$F$17,1)))+Pipeline!$W$18*Pipeline!$D$18*MIN(1,MAX(0,(28-Pipeline!$E$18+1)/MAX(Pipeline!$F$18,1)))+Pipeline!$W$19*Pipeline!$D$19*MIN(1,MAX(0,(28-Pipeline!$E$19+1)/MAX(Pipeline!$F$19,1)))+Pipeline!$W$20*Pipeline!$D$20*MIN(1,MAX(0,(28-Pipeline!$E$20+1)/MAX(Pipeline!$F$20,1)))+Pipeline!$W$21*Pipeline!$D$21*MIN(1,MAX(0,(28-Pipeline!$E$21+1)/MAX(Pipeline!$F$21,1)))+Pipeline!$W$22*Pipeline!$D$22*MIN(1,MAX(0,(28-Pipeline!$E$22+1)/MAX(Pipeline!$F$22,1)))</f>
        <v>7437.61384753902</v>
      </c>
      <c r="AE19" s="109" t="n">
        <f aca="false">Pipeline!$W$16*Pipeline!$D$16*MIN(1,MAX(0,(29-Pipeline!$E$16+1)/MAX(Pipeline!$F$16,1)))+Pipeline!$W$17*Pipeline!$D$17*MIN(1,MAX(0,(29-Pipeline!$E$17+1)/MAX(Pipeline!$F$17,1)))+Pipeline!$W$18*Pipeline!$D$18*MIN(1,MAX(0,(29-Pipeline!$E$18+1)/MAX(Pipeline!$F$18,1)))+Pipeline!$W$19*Pipeline!$D$19*MIN(1,MAX(0,(29-Pipeline!$E$19+1)/MAX(Pipeline!$F$19,1)))+Pipeline!$W$20*Pipeline!$D$20*MIN(1,MAX(0,(29-Pipeline!$E$20+1)/MAX(Pipeline!$F$20,1)))+Pipeline!$W$21*Pipeline!$D$21*MIN(1,MAX(0,(29-Pipeline!$E$21+1)/MAX(Pipeline!$F$21,1)))+Pipeline!$W$22*Pipeline!$D$22*MIN(1,MAX(0,(29-Pipeline!$E$22+1)/MAX(Pipeline!$F$22,1)))</f>
        <v>7437.61384753902</v>
      </c>
      <c r="AF19" s="109" t="n">
        <f aca="false">Pipeline!$W$16*Pipeline!$D$16*MIN(1,MAX(0,(30-Pipeline!$E$16+1)/MAX(Pipeline!$F$16,1)))+Pipeline!$W$17*Pipeline!$D$17*MIN(1,MAX(0,(30-Pipeline!$E$17+1)/MAX(Pipeline!$F$17,1)))+Pipeline!$W$18*Pipeline!$D$18*MIN(1,MAX(0,(30-Pipeline!$E$18+1)/MAX(Pipeline!$F$18,1)))+Pipeline!$W$19*Pipeline!$D$19*MIN(1,MAX(0,(30-Pipeline!$E$19+1)/MAX(Pipeline!$F$19,1)))+Pipeline!$W$20*Pipeline!$D$20*MIN(1,MAX(0,(30-Pipeline!$E$20+1)/MAX(Pipeline!$F$20,1)))+Pipeline!$W$21*Pipeline!$D$21*MIN(1,MAX(0,(30-Pipeline!$E$21+1)/MAX(Pipeline!$F$21,1)))+Pipeline!$W$22*Pipeline!$D$22*MIN(1,MAX(0,(30-Pipeline!$E$22+1)/MAX(Pipeline!$F$22,1)))</f>
        <v>7437.61384753902</v>
      </c>
      <c r="AG19" s="109" t="n">
        <f aca="false">Pipeline!$W$16*Pipeline!$D$16*MIN(1,MAX(0,(31-Pipeline!$E$16+1)/MAX(Pipeline!$F$16,1)))+Pipeline!$W$17*Pipeline!$D$17*MIN(1,MAX(0,(31-Pipeline!$E$17+1)/MAX(Pipeline!$F$17,1)))+Pipeline!$W$18*Pipeline!$D$18*MIN(1,MAX(0,(31-Pipeline!$E$18+1)/MAX(Pipeline!$F$18,1)))+Pipeline!$W$19*Pipeline!$D$19*MIN(1,MAX(0,(31-Pipeline!$E$19+1)/MAX(Pipeline!$F$19,1)))+Pipeline!$W$20*Pipeline!$D$20*MIN(1,MAX(0,(31-Pipeline!$E$20+1)/MAX(Pipeline!$F$20,1)))+Pipeline!$W$21*Pipeline!$D$21*MIN(1,MAX(0,(31-Pipeline!$E$21+1)/MAX(Pipeline!$F$21,1)))+Pipeline!$W$22*Pipeline!$D$22*MIN(1,MAX(0,(31-Pipeline!$E$22+1)/MAX(Pipeline!$F$22,1)))</f>
        <v>7437.61384753902</v>
      </c>
      <c r="AH19" s="109" t="n">
        <f aca="false">Pipeline!$W$16*Pipeline!$D$16*MIN(1,MAX(0,(32-Pipeline!$E$16+1)/MAX(Pipeline!$F$16,1)))+Pipeline!$W$17*Pipeline!$D$17*MIN(1,MAX(0,(32-Pipeline!$E$17+1)/MAX(Pipeline!$F$17,1)))+Pipeline!$W$18*Pipeline!$D$18*MIN(1,MAX(0,(32-Pipeline!$E$18+1)/MAX(Pipeline!$F$18,1)))+Pipeline!$W$19*Pipeline!$D$19*MIN(1,MAX(0,(32-Pipeline!$E$19+1)/MAX(Pipeline!$F$19,1)))+Pipeline!$W$20*Pipeline!$D$20*MIN(1,MAX(0,(32-Pipeline!$E$20+1)/MAX(Pipeline!$F$20,1)))+Pipeline!$W$21*Pipeline!$D$21*MIN(1,MAX(0,(32-Pipeline!$E$21+1)/MAX(Pipeline!$F$21,1)))+Pipeline!$W$22*Pipeline!$D$22*MIN(1,MAX(0,(32-Pipeline!$E$22+1)/MAX(Pipeline!$F$22,1)))</f>
        <v>7437.61384753902</v>
      </c>
      <c r="AI19" s="109" t="n">
        <f aca="false">Pipeline!$W$16*Pipeline!$D$16*MIN(1,MAX(0,(33-Pipeline!$E$16+1)/MAX(Pipeline!$F$16,1)))+Pipeline!$W$17*Pipeline!$D$17*MIN(1,MAX(0,(33-Pipeline!$E$17+1)/MAX(Pipeline!$F$17,1)))+Pipeline!$W$18*Pipeline!$D$18*MIN(1,MAX(0,(33-Pipeline!$E$18+1)/MAX(Pipeline!$F$18,1)))+Pipeline!$W$19*Pipeline!$D$19*MIN(1,MAX(0,(33-Pipeline!$E$19+1)/MAX(Pipeline!$F$19,1)))+Pipeline!$W$20*Pipeline!$D$20*MIN(1,MAX(0,(33-Pipeline!$E$20+1)/MAX(Pipeline!$F$20,1)))+Pipeline!$W$21*Pipeline!$D$21*MIN(1,MAX(0,(33-Pipeline!$E$21+1)/MAX(Pipeline!$F$21,1)))+Pipeline!$W$22*Pipeline!$D$22*MIN(1,MAX(0,(33-Pipeline!$E$22+1)/MAX(Pipeline!$F$22,1)))</f>
        <v>7437.61384753902</v>
      </c>
      <c r="AJ19" s="109" t="n">
        <f aca="false">Pipeline!$W$16*Pipeline!$D$16*MIN(1,MAX(0,(34-Pipeline!$E$16+1)/MAX(Pipeline!$F$16,1)))+Pipeline!$W$17*Pipeline!$D$17*MIN(1,MAX(0,(34-Pipeline!$E$17+1)/MAX(Pipeline!$F$17,1)))+Pipeline!$W$18*Pipeline!$D$18*MIN(1,MAX(0,(34-Pipeline!$E$18+1)/MAX(Pipeline!$F$18,1)))+Pipeline!$W$19*Pipeline!$D$19*MIN(1,MAX(0,(34-Pipeline!$E$19+1)/MAX(Pipeline!$F$19,1)))+Pipeline!$W$20*Pipeline!$D$20*MIN(1,MAX(0,(34-Pipeline!$E$20+1)/MAX(Pipeline!$F$20,1)))+Pipeline!$W$21*Pipeline!$D$21*MIN(1,MAX(0,(34-Pipeline!$E$21+1)/MAX(Pipeline!$F$21,1)))+Pipeline!$W$22*Pipeline!$D$22*MIN(1,MAX(0,(34-Pipeline!$E$22+1)/MAX(Pipeline!$F$22,1)))</f>
        <v>7437.61384753902</v>
      </c>
      <c r="AK19" s="109" t="n">
        <f aca="false">Pipeline!$W$16*Pipeline!$D$16*MIN(1,MAX(0,(35-Pipeline!$E$16+1)/MAX(Pipeline!$F$16,1)))+Pipeline!$W$17*Pipeline!$D$17*MIN(1,MAX(0,(35-Pipeline!$E$17+1)/MAX(Pipeline!$F$17,1)))+Pipeline!$W$18*Pipeline!$D$18*MIN(1,MAX(0,(35-Pipeline!$E$18+1)/MAX(Pipeline!$F$18,1)))+Pipeline!$W$19*Pipeline!$D$19*MIN(1,MAX(0,(35-Pipeline!$E$19+1)/MAX(Pipeline!$F$19,1)))+Pipeline!$W$20*Pipeline!$D$20*MIN(1,MAX(0,(35-Pipeline!$E$20+1)/MAX(Pipeline!$F$20,1)))+Pipeline!$W$21*Pipeline!$D$21*MIN(1,MAX(0,(35-Pipeline!$E$21+1)/MAX(Pipeline!$F$21,1)))+Pipeline!$W$22*Pipeline!$D$22*MIN(1,MAX(0,(35-Pipeline!$E$22+1)/MAX(Pipeline!$F$22,1)))</f>
        <v>7437.61384753902</v>
      </c>
      <c r="AL19" s="109" t="n">
        <f aca="false">Pipeline!$W$16*Pipeline!$D$16*MIN(1,MAX(0,(36-Pipeline!$E$16+1)/MAX(Pipeline!$F$16,1)))+Pipeline!$W$17*Pipeline!$D$17*MIN(1,MAX(0,(36-Pipeline!$E$17+1)/MAX(Pipeline!$F$17,1)))+Pipeline!$W$18*Pipeline!$D$18*MIN(1,MAX(0,(36-Pipeline!$E$18+1)/MAX(Pipeline!$F$18,1)))+Pipeline!$W$19*Pipeline!$D$19*MIN(1,MAX(0,(36-Pipeline!$E$19+1)/MAX(Pipeline!$F$19,1)))+Pipeline!$W$20*Pipeline!$D$20*MIN(1,MAX(0,(36-Pipeline!$E$20+1)/MAX(Pipeline!$F$20,1)))+Pipeline!$W$21*Pipeline!$D$21*MIN(1,MAX(0,(36-Pipeline!$E$21+1)/MAX(Pipeline!$F$21,1)))+Pipeline!$W$22*Pipeline!$D$22*MIN(1,MAX(0,(36-Pipeline!$E$22+1)/MAX(Pipeline!$F$22,1)))</f>
        <v>7437.61384753902</v>
      </c>
      <c r="AM19" s="109" t="n">
        <f aca="false">Pipeline!$W$16*Pipeline!$D$16*MIN(1,MAX(0,(37-Pipeline!$E$16+1)/MAX(Pipeline!$F$16,1)))+Pipeline!$W$17*Pipeline!$D$17*MIN(1,MAX(0,(37-Pipeline!$E$17+1)/MAX(Pipeline!$F$17,1)))+Pipeline!$W$18*Pipeline!$D$18*MIN(1,MAX(0,(37-Pipeline!$E$18+1)/MAX(Pipeline!$F$18,1)))+Pipeline!$W$19*Pipeline!$D$19*MIN(1,MAX(0,(37-Pipeline!$E$19+1)/MAX(Pipeline!$F$19,1)))+Pipeline!$W$20*Pipeline!$D$20*MIN(1,MAX(0,(37-Pipeline!$E$20+1)/MAX(Pipeline!$F$20,1)))+Pipeline!$W$21*Pipeline!$D$21*MIN(1,MAX(0,(37-Pipeline!$E$21+1)/MAX(Pipeline!$F$21,1)))+Pipeline!$W$22*Pipeline!$D$22*MIN(1,MAX(0,(37-Pipeline!$E$22+1)/MAX(Pipeline!$F$22,1)))</f>
        <v>7437.61384753902</v>
      </c>
      <c r="AN19" s="109" t="n">
        <f aca="false">Pipeline!$W$16*Pipeline!$D$16*MIN(1,MAX(0,(38-Pipeline!$E$16+1)/MAX(Pipeline!$F$16,1)))+Pipeline!$W$17*Pipeline!$D$17*MIN(1,MAX(0,(38-Pipeline!$E$17+1)/MAX(Pipeline!$F$17,1)))+Pipeline!$W$18*Pipeline!$D$18*MIN(1,MAX(0,(38-Pipeline!$E$18+1)/MAX(Pipeline!$F$18,1)))+Pipeline!$W$19*Pipeline!$D$19*MIN(1,MAX(0,(38-Pipeline!$E$19+1)/MAX(Pipeline!$F$19,1)))+Pipeline!$W$20*Pipeline!$D$20*MIN(1,MAX(0,(38-Pipeline!$E$20+1)/MAX(Pipeline!$F$20,1)))+Pipeline!$W$21*Pipeline!$D$21*MIN(1,MAX(0,(38-Pipeline!$E$21+1)/MAX(Pipeline!$F$21,1)))+Pipeline!$W$22*Pipeline!$D$22*MIN(1,MAX(0,(38-Pipeline!$E$22+1)/MAX(Pipeline!$F$22,1)))</f>
        <v>7437.61384753902</v>
      </c>
      <c r="AO19" s="109" t="n">
        <f aca="false">Pipeline!$W$16*Pipeline!$D$16*MIN(1,MAX(0,(39-Pipeline!$E$16+1)/MAX(Pipeline!$F$16,1)))+Pipeline!$W$17*Pipeline!$D$17*MIN(1,MAX(0,(39-Pipeline!$E$17+1)/MAX(Pipeline!$F$17,1)))+Pipeline!$W$18*Pipeline!$D$18*MIN(1,MAX(0,(39-Pipeline!$E$18+1)/MAX(Pipeline!$F$18,1)))+Pipeline!$W$19*Pipeline!$D$19*MIN(1,MAX(0,(39-Pipeline!$E$19+1)/MAX(Pipeline!$F$19,1)))+Pipeline!$W$20*Pipeline!$D$20*MIN(1,MAX(0,(39-Pipeline!$E$20+1)/MAX(Pipeline!$F$20,1)))+Pipeline!$W$21*Pipeline!$D$21*MIN(1,MAX(0,(39-Pipeline!$E$21+1)/MAX(Pipeline!$F$21,1)))+Pipeline!$W$22*Pipeline!$D$22*MIN(1,MAX(0,(39-Pipeline!$E$22+1)/MAX(Pipeline!$F$22,1)))</f>
        <v>7437.61384753902</v>
      </c>
      <c r="AP19" s="109" t="n">
        <f aca="false">Pipeline!$W$16*Pipeline!$D$16*MIN(1,MAX(0,(40-Pipeline!$E$16+1)/MAX(Pipeline!$F$16,1)))+Pipeline!$W$17*Pipeline!$D$17*MIN(1,MAX(0,(40-Pipeline!$E$17+1)/MAX(Pipeline!$F$17,1)))+Pipeline!$W$18*Pipeline!$D$18*MIN(1,MAX(0,(40-Pipeline!$E$18+1)/MAX(Pipeline!$F$18,1)))+Pipeline!$W$19*Pipeline!$D$19*MIN(1,MAX(0,(40-Pipeline!$E$19+1)/MAX(Pipeline!$F$19,1)))+Pipeline!$W$20*Pipeline!$D$20*MIN(1,MAX(0,(40-Pipeline!$E$20+1)/MAX(Pipeline!$F$20,1)))+Pipeline!$W$21*Pipeline!$D$21*MIN(1,MAX(0,(40-Pipeline!$E$21+1)/MAX(Pipeline!$F$21,1)))+Pipeline!$W$22*Pipeline!$D$22*MIN(1,MAX(0,(40-Pipeline!$E$22+1)/MAX(Pipeline!$F$22,1)))</f>
        <v>7437.61384753902</v>
      </c>
      <c r="AQ19" s="109" t="n">
        <f aca="false">Pipeline!$W$16*Pipeline!$D$16*MIN(1,MAX(0,(41-Pipeline!$E$16+1)/MAX(Pipeline!$F$16,1)))+Pipeline!$W$17*Pipeline!$D$17*MIN(1,MAX(0,(41-Pipeline!$E$17+1)/MAX(Pipeline!$F$17,1)))+Pipeline!$W$18*Pipeline!$D$18*MIN(1,MAX(0,(41-Pipeline!$E$18+1)/MAX(Pipeline!$F$18,1)))+Pipeline!$W$19*Pipeline!$D$19*MIN(1,MAX(0,(41-Pipeline!$E$19+1)/MAX(Pipeline!$F$19,1)))+Pipeline!$W$20*Pipeline!$D$20*MIN(1,MAX(0,(41-Pipeline!$E$20+1)/MAX(Pipeline!$F$20,1)))+Pipeline!$W$21*Pipeline!$D$21*MIN(1,MAX(0,(41-Pipeline!$E$21+1)/MAX(Pipeline!$F$21,1)))+Pipeline!$W$22*Pipeline!$D$22*MIN(1,MAX(0,(41-Pipeline!$E$22+1)/MAX(Pipeline!$F$22,1)))</f>
        <v>7437.61384753902</v>
      </c>
      <c r="AR19" s="109" t="n">
        <f aca="false">Pipeline!$W$16*Pipeline!$D$16*MIN(1,MAX(0,(42-Pipeline!$E$16+1)/MAX(Pipeline!$F$16,1)))+Pipeline!$W$17*Pipeline!$D$17*MIN(1,MAX(0,(42-Pipeline!$E$17+1)/MAX(Pipeline!$F$17,1)))+Pipeline!$W$18*Pipeline!$D$18*MIN(1,MAX(0,(42-Pipeline!$E$18+1)/MAX(Pipeline!$F$18,1)))+Pipeline!$W$19*Pipeline!$D$19*MIN(1,MAX(0,(42-Pipeline!$E$19+1)/MAX(Pipeline!$F$19,1)))+Pipeline!$W$20*Pipeline!$D$20*MIN(1,MAX(0,(42-Pipeline!$E$20+1)/MAX(Pipeline!$F$20,1)))+Pipeline!$W$21*Pipeline!$D$21*MIN(1,MAX(0,(42-Pipeline!$E$21+1)/MAX(Pipeline!$F$21,1)))+Pipeline!$W$22*Pipeline!$D$22*MIN(1,MAX(0,(42-Pipeline!$E$22+1)/MAX(Pipeline!$F$22,1)))</f>
        <v>7437.61384753902</v>
      </c>
      <c r="AS19" s="109" t="n">
        <f aca="false">Pipeline!$W$16*Pipeline!$D$16*MIN(1,MAX(0,(43-Pipeline!$E$16+1)/MAX(Pipeline!$F$16,1)))+Pipeline!$W$17*Pipeline!$D$17*MIN(1,MAX(0,(43-Pipeline!$E$17+1)/MAX(Pipeline!$F$17,1)))+Pipeline!$W$18*Pipeline!$D$18*MIN(1,MAX(0,(43-Pipeline!$E$18+1)/MAX(Pipeline!$F$18,1)))+Pipeline!$W$19*Pipeline!$D$19*MIN(1,MAX(0,(43-Pipeline!$E$19+1)/MAX(Pipeline!$F$19,1)))+Pipeline!$W$20*Pipeline!$D$20*MIN(1,MAX(0,(43-Pipeline!$E$20+1)/MAX(Pipeline!$F$20,1)))+Pipeline!$W$21*Pipeline!$D$21*MIN(1,MAX(0,(43-Pipeline!$E$21+1)/MAX(Pipeline!$F$21,1)))+Pipeline!$W$22*Pipeline!$D$22*MIN(1,MAX(0,(43-Pipeline!$E$22+1)/MAX(Pipeline!$F$22,1)))</f>
        <v>7437.61384753902</v>
      </c>
      <c r="AT19" s="109" t="n">
        <f aca="false">Pipeline!$W$16*Pipeline!$D$16*MIN(1,MAX(0,(44-Pipeline!$E$16+1)/MAX(Pipeline!$F$16,1)))+Pipeline!$W$17*Pipeline!$D$17*MIN(1,MAX(0,(44-Pipeline!$E$17+1)/MAX(Pipeline!$F$17,1)))+Pipeline!$W$18*Pipeline!$D$18*MIN(1,MAX(0,(44-Pipeline!$E$18+1)/MAX(Pipeline!$F$18,1)))+Pipeline!$W$19*Pipeline!$D$19*MIN(1,MAX(0,(44-Pipeline!$E$19+1)/MAX(Pipeline!$F$19,1)))+Pipeline!$W$20*Pipeline!$D$20*MIN(1,MAX(0,(44-Pipeline!$E$20+1)/MAX(Pipeline!$F$20,1)))+Pipeline!$W$21*Pipeline!$D$21*MIN(1,MAX(0,(44-Pipeline!$E$21+1)/MAX(Pipeline!$F$21,1)))+Pipeline!$W$22*Pipeline!$D$22*MIN(1,MAX(0,(44-Pipeline!$E$22+1)/MAX(Pipeline!$F$22,1)))</f>
        <v>7437.61384753902</v>
      </c>
      <c r="AU19" s="109" t="n">
        <f aca="false">Pipeline!$W$16*Pipeline!$D$16*MIN(1,MAX(0,(45-Pipeline!$E$16+1)/MAX(Pipeline!$F$16,1)))+Pipeline!$W$17*Pipeline!$D$17*MIN(1,MAX(0,(45-Pipeline!$E$17+1)/MAX(Pipeline!$F$17,1)))+Pipeline!$W$18*Pipeline!$D$18*MIN(1,MAX(0,(45-Pipeline!$E$18+1)/MAX(Pipeline!$F$18,1)))+Pipeline!$W$19*Pipeline!$D$19*MIN(1,MAX(0,(45-Pipeline!$E$19+1)/MAX(Pipeline!$F$19,1)))+Pipeline!$W$20*Pipeline!$D$20*MIN(1,MAX(0,(45-Pipeline!$E$20+1)/MAX(Pipeline!$F$20,1)))+Pipeline!$W$21*Pipeline!$D$21*MIN(1,MAX(0,(45-Pipeline!$E$21+1)/MAX(Pipeline!$F$21,1)))+Pipeline!$W$22*Pipeline!$D$22*MIN(1,MAX(0,(45-Pipeline!$E$22+1)/MAX(Pipeline!$F$22,1)))</f>
        <v>7437.61384753902</v>
      </c>
      <c r="AV19" s="109" t="n">
        <f aca="false">Pipeline!$W$16*Pipeline!$D$16*MIN(1,MAX(0,(46-Pipeline!$E$16+1)/MAX(Pipeline!$F$16,1)))+Pipeline!$W$17*Pipeline!$D$17*MIN(1,MAX(0,(46-Pipeline!$E$17+1)/MAX(Pipeline!$F$17,1)))+Pipeline!$W$18*Pipeline!$D$18*MIN(1,MAX(0,(46-Pipeline!$E$18+1)/MAX(Pipeline!$F$18,1)))+Pipeline!$W$19*Pipeline!$D$19*MIN(1,MAX(0,(46-Pipeline!$E$19+1)/MAX(Pipeline!$F$19,1)))+Pipeline!$W$20*Pipeline!$D$20*MIN(1,MAX(0,(46-Pipeline!$E$20+1)/MAX(Pipeline!$F$20,1)))+Pipeline!$W$21*Pipeline!$D$21*MIN(1,MAX(0,(46-Pipeline!$E$21+1)/MAX(Pipeline!$F$21,1)))+Pipeline!$W$22*Pipeline!$D$22*MIN(1,MAX(0,(46-Pipeline!$E$22+1)/MAX(Pipeline!$F$22,1)))</f>
        <v>7437.61384753902</v>
      </c>
      <c r="AW19" s="109" t="n">
        <f aca="false">Pipeline!$W$16*Pipeline!$D$16*MIN(1,MAX(0,(47-Pipeline!$E$16+1)/MAX(Pipeline!$F$16,1)))+Pipeline!$W$17*Pipeline!$D$17*MIN(1,MAX(0,(47-Pipeline!$E$17+1)/MAX(Pipeline!$F$17,1)))+Pipeline!$W$18*Pipeline!$D$18*MIN(1,MAX(0,(47-Pipeline!$E$18+1)/MAX(Pipeline!$F$18,1)))+Pipeline!$W$19*Pipeline!$D$19*MIN(1,MAX(0,(47-Pipeline!$E$19+1)/MAX(Pipeline!$F$19,1)))+Pipeline!$W$20*Pipeline!$D$20*MIN(1,MAX(0,(47-Pipeline!$E$20+1)/MAX(Pipeline!$F$20,1)))+Pipeline!$W$21*Pipeline!$D$21*MIN(1,MAX(0,(47-Pipeline!$E$21+1)/MAX(Pipeline!$F$21,1)))+Pipeline!$W$22*Pipeline!$D$22*MIN(1,MAX(0,(47-Pipeline!$E$22+1)/MAX(Pipeline!$F$22,1)))</f>
        <v>7437.61384753902</v>
      </c>
      <c r="AX19" s="109" t="n">
        <f aca="false">Pipeline!$W$16*Pipeline!$D$16*MIN(1,MAX(0,(48-Pipeline!$E$16+1)/MAX(Pipeline!$F$16,1)))+Pipeline!$W$17*Pipeline!$D$17*MIN(1,MAX(0,(48-Pipeline!$E$17+1)/MAX(Pipeline!$F$17,1)))+Pipeline!$W$18*Pipeline!$D$18*MIN(1,MAX(0,(48-Pipeline!$E$18+1)/MAX(Pipeline!$F$18,1)))+Pipeline!$W$19*Pipeline!$D$19*MIN(1,MAX(0,(48-Pipeline!$E$19+1)/MAX(Pipeline!$F$19,1)))+Pipeline!$W$20*Pipeline!$D$20*MIN(1,MAX(0,(48-Pipeline!$E$20+1)/MAX(Pipeline!$F$20,1)))+Pipeline!$W$21*Pipeline!$D$21*MIN(1,MAX(0,(48-Pipeline!$E$21+1)/MAX(Pipeline!$F$21,1)))+Pipeline!$W$22*Pipeline!$D$22*MIN(1,MAX(0,(48-Pipeline!$E$22+1)/MAX(Pipeline!$F$22,1)))</f>
        <v>7437.61384753902</v>
      </c>
      <c r="AY19" s="109" t="n">
        <f aca="false">Pipeline!$W$16*Pipeline!$D$16*MIN(1,MAX(0,(49-Pipeline!$E$16+1)/MAX(Pipeline!$F$16,1)))+Pipeline!$W$17*Pipeline!$D$17*MIN(1,MAX(0,(49-Pipeline!$E$17+1)/MAX(Pipeline!$F$17,1)))+Pipeline!$W$18*Pipeline!$D$18*MIN(1,MAX(0,(49-Pipeline!$E$18+1)/MAX(Pipeline!$F$18,1)))+Pipeline!$W$19*Pipeline!$D$19*MIN(1,MAX(0,(49-Pipeline!$E$19+1)/MAX(Pipeline!$F$19,1)))+Pipeline!$W$20*Pipeline!$D$20*MIN(1,MAX(0,(49-Pipeline!$E$20+1)/MAX(Pipeline!$F$20,1)))+Pipeline!$W$21*Pipeline!$D$21*MIN(1,MAX(0,(49-Pipeline!$E$21+1)/MAX(Pipeline!$F$21,1)))+Pipeline!$W$22*Pipeline!$D$22*MIN(1,MAX(0,(49-Pipeline!$E$22+1)/MAX(Pipeline!$F$22,1)))</f>
        <v>7437.61384753902</v>
      </c>
      <c r="AZ19" s="109" t="n">
        <f aca="false">Pipeline!$W$16*Pipeline!$D$16*MIN(1,MAX(0,(50-Pipeline!$E$16+1)/MAX(Pipeline!$F$16,1)))+Pipeline!$W$17*Pipeline!$D$17*MIN(1,MAX(0,(50-Pipeline!$E$17+1)/MAX(Pipeline!$F$17,1)))+Pipeline!$W$18*Pipeline!$D$18*MIN(1,MAX(0,(50-Pipeline!$E$18+1)/MAX(Pipeline!$F$18,1)))+Pipeline!$W$19*Pipeline!$D$19*MIN(1,MAX(0,(50-Pipeline!$E$19+1)/MAX(Pipeline!$F$19,1)))+Pipeline!$W$20*Pipeline!$D$20*MIN(1,MAX(0,(50-Pipeline!$E$20+1)/MAX(Pipeline!$F$20,1)))+Pipeline!$W$21*Pipeline!$D$21*MIN(1,MAX(0,(50-Pipeline!$E$21+1)/MAX(Pipeline!$F$21,1)))+Pipeline!$W$22*Pipeline!$D$22*MIN(1,MAX(0,(50-Pipeline!$E$22+1)/MAX(Pipeline!$F$22,1)))</f>
        <v>7437.61384753902</v>
      </c>
      <c r="BA19" s="109" t="n">
        <f aca="false">Pipeline!$W$16*Pipeline!$D$16*MIN(1,MAX(0,(51-Pipeline!$E$16+1)/MAX(Pipeline!$F$16,1)))+Pipeline!$W$17*Pipeline!$D$17*MIN(1,MAX(0,(51-Pipeline!$E$17+1)/MAX(Pipeline!$F$17,1)))+Pipeline!$W$18*Pipeline!$D$18*MIN(1,MAX(0,(51-Pipeline!$E$18+1)/MAX(Pipeline!$F$18,1)))+Pipeline!$W$19*Pipeline!$D$19*MIN(1,MAX(0,(51-Pipeline!$E$19+1)/MAX(Pipeline!$F$19,1)))+Pipeline!$W$20*Pipeline!$D$20*MIN(1,MAX(0,(51-Pipeline!$E$20+1)/MAX(Pipeline!$F$20,1)))+Pipeline!$W$21*Pipeline!$D$21*MIN(1,MAX(0,(51-Pipeline!$E$21+1)/MAX(Pipeline!$F$21,1)))+Pipeline!$W$22*Pipeline!$D$22*MIN(1,MAX(0,(51-Pipeline!$E$22+1)/MAX(Pipeline!$F$22,1)))</f>
        <v>7437.61384753902</v>
      </c>
      <c r="BB19" s="109" t="n">
        <f aca="false">Pipeline!$W$16*Pipeline!$D$16*MIN(1,MAX(0,(52-Pipeline!$E$16+1)/MAX(Pipeline!$F$16,1)))+Pipeline!$W$17*Pipeline!$D$17*MIN(1,MAX(0,(52-Pipeline!$E$17+1)/MAX(Pipeline!$F$17,1)))+Pipeline!$W$18*Pipeline!$D$18*MIN(1,MAX(0,(52-Pipeline!$E$18+1)/MAX(Pipeline!$F$18,1)))+Pipeline!$W$19*Pipeline!$D$19*MIN(1,MAX(0,(52-Pipeline!$E$19+1)/MAX(Pipeline!$F$19,1)))+Pipeline!$W$20*Pipeline!$D$20*MIN(1,MAX(0,(52-Pipeline!$E$20+1)/MAX(Pipeline!$F$20,1)))+Pipeline!$W$21*Pipeline!$D$21*MIN(1,MAX(0,(52-Pipeline!$E$21+1)/MAX(Pipeline!$F$21,1)))+Pipeline!$W$22*Pipeline!$D$22*MIN(1,MAX(0,(52-Pipeline!$E$22+1)/MAX(Pipeline!$F$22,1)))</f>
        <v>7437.61384753902</v>
      </c>
      <c r="BC19" s="109" t="n">
        <f aca="false">Pipeline!$W$16*Pipeline!$D$16*MIN(1,MAX(0,(53-Pipeline!$E$16+1)/MAX(Pipeline!$F$16,1)))+Pipeline!$W$17*Pipeline!$D$17*MIN(1,MAX(0,(53-Pipeline!$E$17+1)/MAX(Pipeline!$F$17,1)))+Pipeline!$W$18*Pipeline!$D$18*MIN(1,MAX(0,(53-Pipeline!$E$18+1)/MAX(Pipeline!$F$18,1)))+Pipeline!$W$19*Pipeline!$D$19*MIN(1,MAX(0,(53-Pipeline!$E$19+1)/MAX(Pipeline!$F$19,1)))+Pipeline!$W$20*Pipeline!$D$20*MIN(1,MAX(0,(53-Pipeline!$E$20+1)/MAX(Pipeline!$F$20,1)))+Pipeline!$W$21*Pipeline!$D$21*MIN(1,MAX(0,(53-Pipeline!$E$21+1)/MAX(Pipeline!$F$21,1)))+Pipeline!$W$22*Pipeline!$D$22*MIN(1,MAX(0,(53-Pipeline!$E$22+1)/MAX(Pipeline!$F$22,1)))</f>
        <v>7437.61384753902</v>
      </c>
      <c r="BD19" s="109" t="n">
        <f aca="false">Pipeline!$W$16*Pipeline!$D$16*MIN(1,MAX(0,(54-Pipeline!$E$16+1)/MAX(Pipeline!$F$16,1)))+Pipeline!$W$17*Pipeline!$D$17*MIN(1,MAX(0,(54-Pipeline!$E$17+1)/MAX(Pipeline!$F$17,1)))+Pipeline!$W$18*Pipeline!$D$18*MIN(1,MAX(0,(54-Pipeline!$E$18+1)/MAX(Pipeline!$F$18,1)))+Pipeline!$W$19*Pipeline!$D$19*MIN(1,MAX(0,(54-Pipeline!$E$19+1)/MAX(Pipeline!$F$19,1)))+Pipeline!$W$20*Pipeline!$D$20*MIN(1,MAX(0,(54-Pipeline!$E$20+1)/MAX(Pipeline!$F$20,1)))+Pipeline!$W$21*Pipeline!$D$21*MIN(1,MAX(0,(54-Pipeline!$E$21+1)/MAX(Pipeline!$F$21,1)))+Pipeline!$W$22*Pipeline!$D$22*MIN(1,MAX(0,(54-Pipeline!$E$22+1)/MAX(Pipeline!$F$22,1)))</f>
        <v>7437.61384753902</v>
      </c>
      <c r="BE19" s="109" t="n">
        <f aca="false">Pipeline!$W$16*Pipeline!$D$16*MIN(1,MAX(0,(55-Pipeline!$E$16+1)/MAX(Pipeline!$F$16,1)))+Pipeline!$W$17*Pipeline!$D$17*MIN(1,MAX(0,(55-Pipeline!$E$17+1)/MAX(Pipeline!$F$17,1)))+Pipeline!$W$18*Pipeline!$D$18*MIN(1,MAX(0,(55-Pipeline!$E$18+1)/MAX(Pipeline!$F$18,1)))+Pipeline!$W$19*Pipeline!$D$19*MIN(1,MAX(0,(55-Pipeline!$E$19+1)/MAX(Pipeline!$F$19,1)))+Pipeline!$W$20*Pipeline!$D$20*MIN(1,MAX(0,(55-Pipeline!$E$20+1)/MAX(Pipeline!$F$20,1)))+Pipeline!$W$21*Pipeline!$D$21*MIN(1,MAX(0,(55-Pipeline!$E$21+1)/MAX(Pipeline!$F$21,1)))+Pipeline!$W$22*Pipeline!$D$22*MIN(1,MAX(0,(55-Pipeline!$E$22+1)/MAX(Pipeline!$F$22,1)))</f>
        <v>7437.61384753902</v>
      </c>
      <c r="BF19" s="109" t="n">
        <f aca="false">Pipeline!$W$16*Pipeline!$D$16*MIN(1,MAX(0,(56-Pipeline!$E$16+1)/MAX(Pipeline!$F$16,1)))+Pipeline!$W$17*Pipeline!$D$17*MIN(1,MAX(0,(56-Pipeline!$E$17+1)/MAX(Pipeline!$F$17,1)))+Pipeline!$W$18*Pipeline!$D$18*MIN(1,MAX(0,(56-Pipeline!$E$18+1)/MAX(Pipeline!$F$18,1)))+Pipeline!$W$19*Pipeline!$D$19*MIN(1,MAX(0,(56-Pipeline!$E$19+1)/MAX(Pipeline!$F$19,1)))+Pipeline!$W$20*Pipeline!$D$20*MIN(1,MAX(0,(56-Pipeline!$E$20+1)/MAX(Pipeline!$F$20,1)))+Pipeline!$W$21*Pipeline!$D$21*MIN(1,MAX(0,(56-Pipeline!$E$21+1)/MAX(Pipeline!$F$21,1)))+Pipeline!$W$22*Pipeline!$D$22*MIN(1,MAX(0,(56-Pipeline!$E$22+1)/MAX(Pipeline!$F$22,1)))</f>
        <v>7437.61384753902</v>
      </c>
      <c r="BG19" s="109" t="n">
        <f aca="false">Pipeline!$W$16*Pipeline!$D$16*MIN(1,MAX(0,(57-Pipeline!$E$16+1)/MAX(Pipeline!$F$16,1)))+Pipeline!$W$17*Pipeline!$D$17*MIN(1,MAX(0,(57-Pipeline!$E$17+1)/MAX(Pipeline!$F$17,1)))+Pipeline!$W$18*Pipeline!$D$18*MIN(1,MAX(0,(57-Pipeline!$E$18+1)/MAX(Pipeline!$F$18,1)))+Pipeline!$W$19*Pipeline!$D$19*MIN(1,MAX(0,(57-Pipeline!$E$19+1)/MAX(Pipeline!$F$19,1)))+Pipeline!$W$20*Pipeline!$D$20*MIN(1,MAX(0,(57-Pipeline!$E$20+1)/MAX(Pipeline!$F$20,1)))+Pipeline!$W$21*Pipeline!$D$21*MIN(1,MAX(0,(57-Pipeline!$E$21+1)/MAX(Pipeline!$F$21,1)))+Pipeline!$W$22*Pipeline!$D$22*MIN(1,MAX(0,(57-Pipeline!$E$22+1)/MAX(Pipeline!$F$22,1)))</f>
        <v>7437.61384753902</v>
      </c>
      <c r="BH19" s="109" t="n">
        <f aca="false">Pipeline!$W$16*Pipeline!$D$16*MIN(1,MAX(0,(58-Pipeline!$E$16+1)/MAX(Pipeline!$F$16,1)))+Pipeline!$W$17*Pipeline!$D$17*MIN(1,MAX(0,(58-Pipeline!$E$17+1)/MAX(Pipeline!$F$17,1)))+Pipeline!$W$18*Pipeline!$D$18*MIN(1,MAX(0,(58-Pipeline!$E$18+1)/MAX(Pipeline!$F$18,1)))+Pipeline!$W$19*Pipeline!$D$19*MIN(1,MAX(0,(58-Pipeline!$E$19+1)/MAX(Pipeline!$F$19,1)))+Pipeline!$W$20*Pipeline!$D$20*MIN(1,MAX(0,(58-Pipeline!$E$20+1)/MAX(Pipeline!$F$20,1)))+Pipeline!$W$21*Pipeline!$D$21*MIN(1,MAX(0,(58-Pipeline!$E$21+1)/MAX(Pipeline!$F$21,1)))+Pipeline!$W$22*Pipeline!$D$22*MIN(1,MAX(0,(58-Pipeline!$E$22+1)/MAX(Pipeline!$F$22,1)))</f>
        <v>7437.61384753902</v>
      </c>
      <c r="BI19" s="109" t="n">
        <f aca="false">Pipeline!$W$16*Pipeline!$D$16*MIN(1,MAX(0,(59-Pipeline!$E$16+1)/MAX(Pipeline!$F$16,1)))+Pipeline!$W$17*Pipeline!$D$17*MIN(1,MAX(0,(59-Pipeline!$E$17+1)/MAX(Pipeline!$F$17,1)))+Pipeline!$W$18*Pipeline!$D$18*MIN(1,MAX(0,(59-Pipeline!$E$18+1)/MAX(Pipeline!$F$18,1)))+Pipeline!$W$19*Pipeline!$D$19*MIN(1,MAX(0,(59-Pipeline!$E$19+1)/MAX(Pipeline!$F$19,1)))+Pipeline!$W$20*Pipeline!$D$20*MIN(1,MAX(0,(59-Pipeline!$E$20+1)/MAX(Pipeline!$F$20,1)))+Pipeline!$W$21*Pipeline!$D$21*MIN(1,MAX(0,(59-Pipeline!$E$21+1)/MAX(Pipeline!$F$21,1)))+Pipeline!$W$22*Pipeline!$D$22*MIN(1,MAX(0,(59-Pipeline!$E$22+1)/MAX(Pipeline!$F$22,1)))</f>
        <v>7437.61384753902</v>
      </c>
      <c r="BJ19" s="109" t="n">
        <f aca="false">Pipeline!$W$16*Pipeline!$D$16*MIN(1,MAX(0,(60-Pipeline!$E$16+1)/MAX(Pipeline!$F$16,1)))+Pipeline!$W$17*Pipeline!$D$17*MIN(1,MAX(0,(60-Pipeline!$E$17+1)/MAX(Pipeline!$F$17,1)))+Pipeline!$W$18*Pipeline!$D$18*MIN(1,MAX(0,(60-Pipeline!$E$18+1)/MAX(Pipeline!$F$18,1)))+Pipeline!$W$19*Pipeline!$D$19*MIN(1,MAX(0,(60-Pipeline!$E$19+1)/MAX(Pipeline!$F$19,1)))+Pipeline!$W$20*Pipeline!$D$20*MIN(1,MAX(0,(60-Pipeline!$E$20+1)/MAX(Pipeline!$F$20,1)))+Pipeline!$W$21*Pipeline!$D$21*MIN(1,MAX(0,(60-Pipeline!$E$21+1)/MAX(Pipeline!$F$21,1)))+Pipeline!$W$22*Pipeline!$D$22*MIN(1,MAX(0,(60-Pipeline!$E$22+1)/MAX(Pipeline!$F$22,1)))</f>
        <v>7437.61384753902</v>
      </c>
      <c r="BK19" s="109" t="n">
        <f aca="false">Pipeline!$W$16*Pipeline!$D$16*MIN(1,MAX(0,(61-Pipeline!$E$16+1)/MAX(Pipeline!$F$16,1)))+Pipeline!$W$17*Pipeline!$D$17*MIN(1,MAX(0,(61-Pipeline!$E$17+1)/MAX(Pipeline!$F$17,1)))+Pipeline!$W$18*Pipeline!$D$18*MIN(1,MAX(0,(61-Pipeline!$E$18+1)/MAX(Pipeline!$F$18,1)))+Pipeline!$W$19*Pipeline!$D$19*MIN(1,MAX(0,(61-Pipeline!$E$19+1)/MAX(Pipeline!$F$19,1)))+Pipeline!$W$20*Pipeline!$D$20*MIN(1,MAX(0,(61-Pipeline!$E$20+1)/MAX(Pipeline!$F$20,1)))+Pipeline!$W$21*Pipeline!$D$21*MIN(1,MAX(0,(61-Pipeline!$E$21+1)/MAX(Pipeline!$F$21,1)))+Pipeline!$W$22*Pipeline!$D$22*MIN(1,MAX(0,(61-Pipeline!$E$22+1)/MAX(Pipeline!$F$22,1)))</f>
        <v>7437.61384753902</v>
      </c>
      <c r="BL19" s="109" t="n">
        <f aca="false">Pipeline!$W$16*Pipeline!$D$16*MIN(1,MAX(0,(62-Pipeline!$E$16+1)/MAX(Pipeline!$F$16,1)))+Pipeline!$W$17*Pipeline!$D$17*MIN(1,MAX(0,(62-Pipeline!$E$17+1)/MAX(Pipeline!$F$17,1)))+Pipeline!$W$18*Pipeline!$D$18*MIN(1,MAX(0,(62-Pipeline!$E$18+1)/MAX(Pipeline!$F$18,1)))+Pipeline!$W$19*Pipeline!$D$19*MIN(1,MAX(0,(62-Pipeline!$E$19+1)/MAX(Pipeline!$F$19,1)))+Pipeline!$W$20*Pipeline!$D$20*MIN(1,MAX(0,(62-Pipeline!$E$20+1)/MAX(Pipeline!$F$20,1)))+Pipeline!$W$21*Pipeline!$D$21*MIN(1,MAX(0,(62-Pipeline!$E$21+1)/MAX(Pipeline!$F$21,1)))+Pipeline!$W$22*Pipeline!$D$22*MIN(1,MAX(0,(62-Pipeline!$E$22+1)/MAX(Pipeline!$F$22,1)))</f>
        <v>7437.61384753902</v>
      </c>
      <c r="BM19" s="109" t="n">
        <f aca="false">Pipeline!$W$16*Pipeline!$D$16*MIN(1,MAX(0,(63-Pipeline!$E$16+1)/MAX(Pipeline!$F$16,1)))+Pipeline!$W$17*Pipeline!$D$17*MIN(1,MAX(0,(63-Pipeline!$E$17+1)/MAX(Pipeline!$F$17,1)))+Pipeline!$W$18*Pipeline!$D$18*MIN(1,MAX(0,(63-Pipeline!$E$18+1)/MAX(Pipeline!$F$18,1)))+Pipeline!$W$19*Pipeline!$D$19*MIN(1,MAX(0,(63-Pipeline!$E$19+1)/MAX(Pipeline!$F$19,1)))+Pipeline!$W$20*Pipeline!$D$20*MIN(1,MAX(0,(63-Pipeline!$E$20+1)/MAX(Pipeline!$F$20,1)))+Pipeline!$W$21*Pipeline!$D$21*MIN(1,MAX(0,(63-Pipeline!$E$21+1)/MAX(Pipeline!$F$21,1)))+Pipeline!$W$22*Pipeline!$D$22*MIN(1,MAX(0,(63-Pipeline!$E$22+1)/MAX(Pipeline!$F$22,1)))</f>
        <v>7437.61384753902</v>
      </c>
      <c r="BN19" s="109" t="n">
        <f aca="false">Pipeline!$W$16*Pipeline!$D$16*MIN(1,MAX(0,(64-Pipeline!$E$16+1)/MAX(Pipeline!$F$16,1)))+Pipeline!$W$17*Pipeline!$D$17*MIN(1,MAX(0,(64-Pipeline!$E$17+1)/MAX(Pipeline!$F$17,1)))+Pipeline!$W$18*Pipeline!$D$18*MIN(1,MAX(0,(64-Pipeline!$E$18+1)/MAX(Pipeline!$F$18,1)))+Pipeline!$W$19*Pipeline!$D$19*MIN(1,MAX(0,(64-Pipeline!$E$19+1)/MAX(Pipeline!$F$19,1)))+Pipeline!$W$20*Pipeline!$D$20*MIN(1,MAX(0,(64-Pipeline!$E$20+1)/MAX(Pipeline!$F$20,1)))+Pipeline!$W$21*Pipeline!$D$21*MIN(1,MAX(0,(64-Pipeline!$E$21+1)/MAX(Pipeline!$F$21,1)))+Pipeline!$W$22*Pipeline!$D$22*MIN(1,MAX(0,(64-Pipeline!$E$22+1)/MAX(Pipeline!$F$22,1)))</f>
        <v>7437.61384753902</v>
      </c>
      <c r="BO19" s="109" t="n">
        <f aca="false">Pipeline!$W$16*Pipeline!$D$16*MIN(1,MAX(0,(65-Pipeline!$E$16+1)/MAX(Pipeline!$F$16,1)))+Pipeline!$W$17*Pipeline!$D$17*MIN(1,MAX(0,(65-Pipeline!$E$17+1)/MAX(Pipeline!$F$17,1)))+Pipeline!$W$18*Pipeline!$D$18*MIN(1,MAX(0,(65-Pipeline!$E$18+1)/MAX(Pipeline!$F$18,1)))+Pipeline!$W$19*Pipeline!$D$19*MIN(1,MAX(0,(65-Pipeline!$E$19+1)/MAX(Pipeline!$F$19,1)))+Pipeline!$W$20*Pipeline!$D$20*MIN(1,MAX(0,(65-Pipeline!$E$20+1)/MAX(Pipeline!$F$20,1)))+Pipeline!$W$21*Pipeline!$D$21*MIN(1,MAX(0,(65-Pipeline!$E$21+1)/MAX(Pipeline!$F$21,1)))+Pipeline!$W$22*Pipeline!$D$22*MIN(1,MAX(0,(65-Pipeline!$E$22+1)/MAX(Pipeline!$F$22,1)))</f>
        <v>7437.61384753902</v>
      </c>
      <c r="BP19" s="109" t="n">
        <f aca="false">Pipeline!$W$16*Pipeline!$D$16*MIN(1,MAX(0,(66-Pipeline!$E$16+1)/MAX(Pipeline!$F$16,1)))+Pipeline!$W$17*Pipeline!$D$17*MIN(1,MAX(0,(66-Pipeline!$E$17+1)/MAX(Pipeline!$F$17,1)))+Pipeline!$W$18*Pipeline!$D$18*MIN(1,MAX(0,(66-Pipeline!$E$18+1)/MAX(Pipeline!$F$18,1)))+Pipeline!$W$19*Pipeline!$D$19*MIN(1,MAX(0,(66-Pipeline!$E$19+1)/MAX(Pipeline!$F$19,1)))+Pipeline!$W$20*Pipeline!$D$20*MIN(1,MAX(0,(66-Pipeline!$E$20+1)/MAX(Pipeline!$F$20,1)))+Pipeline!$W$21*Pipeline!$D$21*MIN(1,MAX(0,(66-Pipeline!$E$21+1)/MAX(Pipeline!$F$21,1)))+Pipeline!$W$22*Pipeline!$D$22*MIN(1,MAX(0,(66-Pipeline!$E$22+1)/MAX(Pipeline!$F$22,1)))</f>
        <v>7437.61384753902</v>
      </c>
      <c r="BQ19" s="109" t="n">
        <f aca="false">Pipeline!$W$16*Pipeline!$D$16*MIN(1,MAX(0,(67-Pipeline!$E$16+1)/MAX(Pipeline!$F$16,1)))+Pipeline!$W$17*Pipeline!$D$17*MIN(1,MAX(0,(67-Pipeline!$E$17+1)/MAX(Pipeline!$F$17,1)))+Pipeline!$W$18*Pipeline!$D$18*MIN(1,MAX(0,(67-Pipeline!$E$18+1)/MAX(Pipeline!$F$18,1)))+Pipeline!$W$19*Pipeline!$D$19*MIN(1,MAX(0,(67-Pipeline!$E$19+1)/MAX(Pipeline!$F$19,1)))+Pipeline!$W$20*Pipeline!$D$20*MIN(1,MAX(0,(67-Pipeline!$E$20+1)/MAX(Pipeline!$F$20,1)))+Pipeline!$W$21*Pipeline!$D$21*MIN(1,MAX(0,(67-Pipeline!$E$21+1)/MAX(Pipeline!$F$21,1)))+Pipeline!$W$22*Pipeline!$D$22*MIN(1,MAX(0,(67-Pipeline!$E$22+1)/MAX(Pipeline!$F$22,1)))</f>
        <v>7437.61384753902</v>
      </c>
      <c r="BR19" s="109" t="n">
        <f aca="false">Pipeline!$W$16*Pipeline!$D$16*MIN(1,MAX(0,(68-Pipeline!$E$16+1)/MAX(Pipeline!$F$16,1)))+Pipeline!$W$17*Pipeline!$D$17*MIN(1,MAX(0,(68-Pipeline!$E$17+1)/MAX(Pipeline!$F$17,1)))+Pipeline!$W$18*Pipeline!$D$18*MIN(1,MAX(0,(68-Pipeline!$E$18+1)/MAX(Pipeline!$F$18,1)))+Pipeline!$W$19*Pipeline!$D$19*MIN(1,MAX(0,(68-Pipeline!$E$19+1)/MAX(Pipeline!$F$19,1)))+Pipeline!$W$20*Pipeline!$D$20*MIN(1,MAX(0,(68-Pipeline!$E$20+1)/MAX(Pipeline!$F$20,1)))+Pipeline!$W$21*Pipeline!$D$21*MIN(1,MAX(0,(68-Pipeline!$E$21+1)/MAX(Pipeline!$F$21,1)))+Pipeline!$W$22*Pipeline!$D$22*MIN(1,MAX(0,(68-Pipeline!$E$22+1)/MAX(Pipeline!$F$22,1)))</f>
        <v>7437.61384753902</v>
      </c>
      <c r="BS19" s="109" t="n">
        <f aca="false">Pipeline!$W$16*Pipeline!$D$16*MIN(1,MAX(0,(69-Pipeline!$E$16+1)/MAX(Pipeline!$F$16,1)))+Pipeline!$W$17*Pipeline!$D$17*MIN(1,MAX(0,(69-Pipeline!$E$17+1)/MAX(Pipeline!$F$17,1)))+Pipeline!$W$18*Pipeline!$D$18*MIN(1,MAX(0,(69-Pipeline!$E$18+1)/MAX(Pipeline!$F$18,1)))+Pipeline!$W$19*Pipeline!$D$19*MIN(1,MAX(0,(69-Pipeline!$E$19+1)/MAX(Pipeline!$F$19,1)))+Pipeline!$W$20*Pipeline!$D$20*MIN(1,MAX(0,(69-Pipeline!$E$20+1)/MAX(Pipeline!$F$20,1)))+Pipeline!$W$21*Pipeline!$D$21*MIN(1,MAX(0,(69-Pipeline!$E$21+1)/MAX(Pipeline!$F$21,1)))+Pipeline!$W$22*Pipeline!$D$22*MIN(1,MAX(0,(69-Pipeline!$E$22+1)/MAX(Pipeline!$F$22,1)))</f>
        <v>7437.61384753902</v>
      </c>
      <c r="BT19" s="109" t="n">
        <f aca="false">Pipeline!$W$16*Pipeline!$D$16*MIN(1,MAX(0,(70-Pipeline!$E$16+1)/MAX(Pipeline!$F$16,1)))+Pipeline!$W$17*Pipeline!$D$17*MIN(1,MAX(0,(70-Pipeline!$E$17+1)/MAX(Pipeline!$F$17,1)))+Pipeline!$W$18*Pipeline!$D$18*MIN(1,MAX(0,(70-Pipeline!$E$18+1)/MAX(Pipeline!$F$18,1)))+Pipeline!$W$19*Pipeline!$D$19*MIN(1,MAX(0,(70-Pipeline!$E$19+1)/MAX(Pipeline!$F$19,1)))+Pipeline!$W$20*Pipeline!$D$20*MIN(1,MAX(0,(70-Pipeline!$E$20+1)/MAX(Pipeline!$F$20,1)))+Pipeline!$W$21*Pipeline!$D$21*MIN(1,MAX(0,(70-Pipeline!$E$21+1)/MAX(Pipeline!$F$21,1)))+Pipeline!$W$22*Pipeline!$D$22*MIN(1,MAX(0,(70-Pipeline!$E$22+1)/MAX(Pipeline!$F$22,1)))</f>
        <v>7437.61384753902</v>
      </c>
      <c r="BU19" s="109" t="n">
        <f aca="false">Pipeline!$W$16*Pipeline!$D$16*MIN(1,MAX(0,(71-Pipeline!$E$16+1)/MAX(Pipeline!$F$16,1)))+Pipeline!$W$17*Pipeline!$D$17*MIN(1,MAX(0,(71-Pipeline!$E$17+1)/MAX(Pipeline!$F$17,1)))+Pipeline!$W$18*Pipeline!$D$18*MIN(1,MAX(0,(71-Pipeline!$E$18+1)/MAX(Pipeline!$F$18,1)))+Pipeline!$W$19*Pipeline!$D$19*MIN(1,MAX(0,(71-Pipeline!$E$19+1)/MAX(Pipeline!$F$19,1)))+Pipeline!$W$20*Pipeline!$D$20*MIN(1,MAX(0,(71-Pipeline!$E$20+1)/MAX(Pipeline!$F$20,1)))+Pipeline!$W$21*Pipeline!$D$21*MIN(1,MAX(0,(71-Pipeline!$E$21+1)/MAX(Pipeline!$F$21,1)))+Pipeline!$W$22*Pipeline!$D$22*MIN(1,MAX(0,(71-Pipeline!$E$22+1)/MAX(Pipeline!$F$22,1)))</f>
        <v>7437.61384753902</v>
      </c>
      <c r="BV19" s="109" t="n">
        <f aca="false">Pipeline!$W$16*Pipeline!$D$16*MIN(1,MAX(0,(72-Pipeline!$E$16+1)/MAX(Pipeline!$F$16,1)))+Pipeline!$W$17*Pipeline!$D$17*MIN(1,MAX(0,(72-Pipeline!$E$17+1)/MAX(Pipeline!$F$17,1)))+Pipeline!$W$18*Pipeline!$D$18*MIN(1,MAX(0,(72-Pipeline!$E$18+1)/MAX(Pipeline!$F$18,1)))+Pipeline!$W$19*Pipeline!$D$19*MIN(1,MAX(0,(72-Pipeline!$E$19+1)/MAX(Pipeline!$F$19,1)))+Pipeline!$W$20*Pipeline!$D$20*MIN(1,MAX(0,(72-Pipeline!$E$20+1)/MAX(Pipeline!$F$20,1)))+Pipeline!$W$21*Pipeline!$D$21*MIN(1,MAX(0,(72-Pipeline!$E$21+1)/MAX(Pipeline!$F$21,1)))+Pipeline!$W$22*Pipeline!$D$22*MIN(1,MAX(0,(72-Pipeline!$E$22+1)/MAX(Pipeline!$F$22,1)))</f>
        <v>7437.61384753902</v>
      </c>
      <c r="BW19" s="109" t="n">
        <f aca="false">Pipeline!$W$16*Pipeline!$D$16*MIN(1,MAX(0,(73-Pipeline!$E$16+1)/MAX(Pipeline!$F$16,1)))+Pipeline!$W$17*Pipeline!$D$17*MIN(1,MAX(0,(73-Pipeline!$E$17+1)/MAX(Pipeline!$F$17,1)))+Pipeline!$W$18*Pipeline!$D$18*MIN(1,MAX(0,(73-Pipeline!$E$18+1)/MAX(Pipeline!$F$18,1)))+Pipeline!$W$19*Pipeline!$D$19*MIN(1,MAX(0,(73-Pipeline!$E$19+1)/MAX(Pipeline!$F$19,1)))+Pipeline!$W$20*Pipeline!$D$20*MIN(1,MAX(0,(73-Pipeline!$E$20+1)/MAX(Pipeline!$F$20,1)))+Pipeline!$W$21*Pipeline!$D$21*MIN(1,MAX(0,(73-Pipeline!$E$21+1)/MAX(Pipeline!$F$21,1)))+Pipeline!$W$22*Pipeline!$D$22*MIN(1,MAX(0,(73-Pipeline!$E$22+1)/MAX(Pipeline!$F$22,1)))</f>
        <v>7437.61384753902</v>
      </c>
      <c r="BX19" s="109" t="n">
        <f aca="false">Pipeline!$W$16*Pipeline!$D$16*MIN(1,MAX(0,(74-Pipeline!$E$16+1)/MAX(Pipeline!$F$16,1)))+Pipeline!$W$17*Pipeline!$D$17*MIN(1,MAX(0,(74-Pipeline!$E$17+1)/MAX(Pipeline!$F$17,1)))+Pipeline!$W$18*Pipeline!$D$18*MIN(1,MAX(0,(74-Pipeline!$E$18+1)/MAX(Pipeline!$F$18,1)))+Pipeline!$W$19*Pipeline!$D$19*MIN(1,MAX(0,(74-Pipeline!$E$19+1)/MAX(Pipeline!$F$19,1)))+Pipeline!$W$20*Pipeline!$D$20*MIN(1,MAX(0,(74-Pipeline!$E$20+1)/MAX(Pipeline!$F$20,1)))+Pipeline!$W$21*Pipeline!$D$21*MIN(1,MAX(0,(74-Pipeline!$E$21+1)/MAX(Pipeline!$F$21,1)))+Pipeline!$W$22*Pipeline!$D$22*MIN(1,MAX(0,(74-Pipeline!$E$22+1)/MAX(Pipeline!$F$22,1)))</f>
        <v>7437.61384753902</v>
      </c>
      <c r="BY19" s="109" t="n">
        <f aca="false">Pipeline!$W$16*Pipeline!$D$16*MIN(1,MAX(0,(75-Pipeline!$E$16+1)/MAX(Pipeline!$F$16,1)))+Pipeline!$W$17*Pipeline!$D$17*MIN(1,MAX(0,(75-Pipeline!$E$17+1)/MAX(Pipeline!$F$17,1)))+Pipeline!$W$18*Pipeline!$D$18*MIN(1,MAX(0,(75-Pipeline!$E$18+1)/MAX(Pipeline!$F$18,1)))+Pipeline!$W$19*Pipeline!$D$19*MIN(1,MAX(0,(75-Pipeline!$E$19+1)/MAX(Pipeline!$F$19,1)))+Pipeline!$W$20*Pipeline!$D$20*MIN(1,MAX(0,(75-Pipeline!$E$20+1)/MAX(Pipeline!$F$20,1)))+Pipeline!$W$21*Pipeline!$D$21*MIN(1,MAX(0,(75-Pipeline!$E$21+1)/MAX(Pipeline!$F$21,1)))+Pipeline!$W$22*Pipeline!$D$22*MIN(1,MAX(0,(75-Pipeline!$E$22+1)/MAX(Pipeline!$F$22,1)))</f>
        <v>7437.61384753902</v>
      </c>
      <c r="BZ19" s="109" t="n">
        <f aca="false">Pipeline!$W$16*Pipeline!$D$16*MIN(1,MAX(0,(76-Pipeline!$E$16+1)/MAX(Pipeline!$F$16,1)))+Pipeline!$W$17*Pipeline!$D$17*MIN(1,MAX(0,(76-Pipeline!$E$17+1)/MAX(Pipeline!$F$17,1)))+Pipeline!$W$18*Pipeline!$D$18*MIN(1,MAX(0,(76-Pipeline!$E$18+1)/MAX(Pipeline!$F$18,1)))+Pipeline!$W$19*Pipeline!$D$19*MIN(1,MAX(0,(76-Pipeline!$E$19+1)/MAX(Pipeline!$F$19,1)))+Pipeline!$W$20*Pipeline!$D$20*MIN(1,MAX(0,(76-Pipeline!$E$20+1)/MAX(Pipeline!$F$20,1)))+Pipeline!$W$21*Pipeline!$D$21*MIN(1,MAX(0,(76-Pipeline!$E$21+1)/MAX(Pipeline!$F$21,1)))+Pipeline!$W$22*Pipeline!$D$22*MIN(1,MAX(0,(76-Pipeline!$E$22+1)/MAX(Pipeline!$F$22,1)))</f>
        <v>7437.61384753902</v>
      </c>
      <c r="CA19" s="109" t="n">
        <f aca="false">Pipeline!$W$16*Pipeline!$D$16*MIN(1,MAX(0,(77-Pipeline!$E$16+1)/MAX(Pipeline!$F$16,1)))+Pipeline!$W$17*Pipeline!$D$17*MIN(1,MAX(0,(77-Pipeline!$E$17+1)/MAX(Pipeline!$F$17,1)))+Pipeline!$W$18*Pipeline!$D$18*MIN(1,MAX(0,(77-Pipeline!$E$18+1)/MAX(Pipeline!$F$18,1)))+Pipeline!$W$19*Pipeline!$D$19*MIN(1,MAX(0,(77-Pipeline!$E$19+1)/MAX(Pipeline!$F$19,1)))+Pipeline!$W$20*Pipeline!$D$20*MIN(1,MAX(0,(77-Pipeline!$E$20+1)/MAX(Pipeline!$F$20,1)))+Pipeline!$W$21*Pipeline!$D$21*MIN(1,MAX(0,(77-Pipeline!$E$21+1)/MAX(Pipeline!$F$21,1)))+Pipeline!$W$22*Pipeline!$D$22*MIN(1,MAX(0,(77-Pipeline!$E$22+1)/MAX(Pipeline!$F$22,1)))</f>
        <v>7437.61384753902</v>
      </c>
      <c r="CB19" s="109" t="n">
        <f aca="false">Pipeline!$W$16*Pipeline!$D$16*MIN(1,MAX(0,(78-Pipeline!$E$16+1)/MAX(Pipeline!$F$16,1)))+Pipeline!$W$17*Pipeline!$D$17*MIN(1,MAX(0,(78-Pipeline!$E$17+1)/MAX(Pipeline!$F$17,1)))+Pipeline!$W$18*Pipeline!$D$18*MIN(1,MAX(0,(78-Pipeline!$E$18+1)/MAX(Pipeline!$F$18,1)))+Pipeline!$W$19*Pipeline!$D$19*MIN(1,MAX(0,(78-Pipeline!$E$19+1)/MAX(Pipeline!$F$19,1)))+Pipeline!$W$20*Pipeline!$D$20*MIN(1,MAX(0,(78-Pipeline!$E$20+1)/MAX(Pipeline!$F$20,1)))+Pipeline!$W$21*Pipeline!$D$21*MIN(1,MAX(0,(78-Pipeline!$E$21+1)/MAX(Pipeline!$F$21,1)))+Pipeline!$W$22*Pipeline!$D$22*MIN(1,MAX(0,(78-Pipeline!$E$22+1)/MAX(Pipeline!$F$22,1)))</f>
        <v>7437.61384753902</v>
      </c>
      <c r="CC19" s="109" t="n">
        <f aca="false">Pipeline!$W$16*Pipeline!$D$16*MIN(1,MAX(0,(79-Pipeline!$E$16+1)/MAX(Pipeline!$F$16,1)))+Pipeline!$W$17*Pipeline!$D$17*MIN(1,MAX(0,(79-Pipeline!$E$17+1)/MAX(Pipeline!$F$17,1)))+Pipeline!$W$18*Pipeline!$D$18*MIN(1,MAX(0,(79-Pipeline!$E$18+1)/MAX(Pipeline!$F$18,1)))+Pipeline!$W$19*Pipeline!$D$19*MIN(1,MAX(0,(79-Pipeline!$E$19+1)/MAX(Pipeline!$F$19,1)))+Pipeline!$W$20*Pipeline!$D$20*MIN(1,MAX(0,(79-Pipeline!$E$20+1)/MAX(Pipeline!$F$20,1)))+Pipeline!$W$21*Pipeline!$D$21*MIN(1,MAX(0,(79-Pipeline!$E$21+1)/MAX(Pipeline!$F$21,1)))+Pipeline!$W$22*Pipeline!$D$22*MIN(1,MAX(0,(79-Pipeline!$E$22+1)/MAX(Pipeline!$F$22,1)))</f>
        <v>7437.61384753902</v>
      </c>
      <c r="CD19" s="109" t="n">
        <f aca="false">Pipeline!$W$16*Pipeline!$D$16*MIN(1,MAX(0,(80-Pipeline!$E$16+1)/MAX(Pipeline!$F$16,1)))+Pipeline!$W$17*Pipeline!$D$17*MIN(1,MAX(0,(80-Pipeline!$E$17+1)/MAX(Pipeline!$F$17,1)))+Pipeline!$W$18*Pipeline!$D$18*MIN(1,MAX(0,(80-Pipeline!$E$18+1)/MAX(Pipeline!$F$18,1)))+Pipeline!$W$19*Pipeline!$D$19*MIN(1,MAX(0,(80-Pipeline!$E$19+1)/MAX(Pipeline!$F$19,1)))+Pipeline!$W$20*Pipeline!$D$20*MIN(1,MAX(0,(80-Pipeline!$E$20+1)/MAX(Pipeline!$F$20,1)))+Pipeline!$W$21*Pipeline!$D$21*MIN(1,MAX(0,(80-Pipeline!$E$21+1)/MAX(Pipeline!$F$21,1)))+Pipeline!$W$22*Pipeline!$D$22*MIN(1,MAX(0,(80-Pipeline!$E$22+1)/MAX(Pipeline!$F$22,1)))</f>
        <v>7437.61384753902</v>
      </c>
      <c r="CE19" s="109" t="n">
        <f aca="false">Pipeline!$W$16*Pipeline!$D$16*MIN(1,MAX(0,(81-Pipeline!$E$16+1)/MAX(Pipeline!$F$16,1)))+Pipeline!$W$17*Pipeline!$D$17*MIN(1,MAX(0,(81-Pipeline!$E$17+1)/MAX(Pipeline!$F$17,1)))+Pipeline!$W$18*Pipeline!$D$18*MIN(1,MAX(0,(81-Pipeline!$E$18+1)/MAX(Pipeline!$F$18,1)))+Pipeline!$W$19*Pipeline!$D$19*MIN(1,MAX(0,(81-Pipeline!$E$19+1)/MAX(Pipeline!$F$19,1)))+Pipeline!$W$20*Pipeline!$D$20*MIN(1,MAX(0,(81-Pipeline!$E$20+1)/MAX(Pipeline!$F$20,1)))+Pipeline!$W$21*Pipeline!$D$21*MIN(1,MAX(0,(81-Pipeline!$E$21+1)/MAX(Pipeline!$F$21,1)))+Pipeline!$W$22*Pipeline!$D$22*MIN(1,MAX(0,(81-Pipeline!$E$22+1)/MAX(Pipeline!$F$22,1)))</f>
        <v>7437.61384753902</v>
      </c>
      <c r="CF19" s="109" t="n">
        <f aca="false">Pipeline!$W$16*Pipeline!$D$16*MIN(1,MAX(0,(82-Pipeline!$E$16+1)/MAX(Pipeline!$F$16,1)))+Pipeline!$W$17*Pipeline!$D$17*MIN(1,MAX(0,(82-Pipeline!$E$17+1)/MAX(Pipeline!$F$17,1)))+Pipeline!$W$18*Pipeline!$D$18*MIN(1,MAX(0,(82-Pipeline!$E$18+1)/MAX(Pipeline!$F$18,1)))+Pipeline!$W$19*Pipeline!$D$19*MIN(1,MAX(0,(82-Pipeline!$E$19+1)/MAX(Pipeline!$F$19,1)))+Pipeline!$W$20*Pipeline!$D$20*MIN(1,MAX(0,(82-Pipeline!$E$20+1)/MAX(Pipeline!$F$20,1)))+Pipeline!$W$21*Pipeline!$D$21*MIN(1,MAX(0,(82-Pipeline!$E$21+1)/MAX(Pipeline!$F$21,1)))+Pipeline!$W$22*Pipeline!$D$22*MIN(1,MAX(0,(82-Pipeline!$E$22+1)/MAX(Pipeline!$F$22,1)))</f>
        <v>7437.61384753902</v>
      </c>
      <c r="CG19" s="109" t="n">
        <f aca="false">Pipeline!$W$16*Pipeline!$D$16*MIN(1,MAX(0,(83-Pipeline!$E$16+1)/MAX(Pipeline!$F$16,1)))+Pipeline!$W$17*Pipeline!$D$17*MIN(1,MAX(0,(83-Pipeline!$E$17+1)/MAX(Pipeline!$F$17,1)))+Pipeline!$W$18*Pipeline!$D$18*MIN(1,MAX(0,(83-Pipeline!$E$18+1)/MAX(Pipeline!$F$18,1)))+Pipeline!$W$19*Pipeline!$D$19*MIN(1,MAX(0,(83-Pipeline!$E$19+1)/MAX(Pipeline!$F$19,1)))+Pipeline!$W$20*Pipeline!$D$20*MIN(1,MAX(0,(83-Pipeline!$E$20+1)/MAX(Pipeline!$F$20,1)))+Pipeline!$W$21*Pipeline!$D$21*MIN(1,MAX(0,(83-Pipeline!$E$21+1)/MAX(Pipeline!$F$21,1)))+Pipeline!$W$22*Pipeline!$D$22*MIN(1,MAX(0,(83-Pipeline!$E$22+1)/MAX(Pipeline!$F$22,1)))</f>
        <v>7437.61384753902</v>
      </c>
      <c r="CH19" s="109" t="n">
        <f aca="false">Pipeline!$W$16*Pipeline!$D$16*MIN(1,MAX(0,(84-Pipeline!$E$16+1)/MAX(Pipeline!$F$16,1)))+Pipeline!$W$17*Pipeline!$D$17*MIN(1,MAX(0,(84-Pipeline!$E$17+1)/MAX(Pipeline!$F$17,1)))+Pipeline!$W$18*Pipeline!$D$18*MIN(1,MAX(0,(84-Pipeline!$E$18+1)/MAX(Pipeline!$F$18,1)))+Pipeline!$W$19*Pipeline!$D$19*MIN(1,MAX(0,(84-Pipeline!$E$19+1)/MAX(Pipeline!$F$19,1)))+Pipeline!$W$20*Pipeline!$D$20*MIN(1,MAX(0,(84-Pipeline!$E$20+1)/MAX(Pipeline!$F$20,1)))+Pipeline!$W$21*Pipeline!$D$21*MIN(1,MAX(0,(84-Pipeline!$E$21+1)/MAX(Pipeline!$F$21,1)))+Pipeline!$W$22*Pipeline!$D$22*MIN(1,MAX(0,(84-Pipeline!$E$22+1)/MAX(Pipeline!$F$22,1)))</f>
        <v>7437.61384753902</v>
      </c>
    </row>
    <row r="20" customFormat="false" ht="13.5" hidden="false" customHeight="true" outlineLevel="0" collapsed="false">
      <c r="A20" s="6" t="s">
        <v>528</v>
      </c>
      <c r="C20" s="119" t="n">
        <f aca="false">Pipeline!$S$16*Pipeline!$D$16*MIN(1,MAX(0,(1-Pipeline!$E$16+1)/MAX(Pipeline!$F$16,1)))+Pipeline!$S$17*Pipeline!$D$17*MIN(1,MAX(0,(1-Pipeline!$E$17+1)/MAX(Pipeline!$F$17,1)))+Pipeline!$S$18*Pipeline!$D$18*MIN(1,MAX(0,(1-Pipeline!$E$18+1)/MAX(Pipeline!$F$18,1)))+Pipeline!$S$19*Pipeline!$D$19*MIN(1,MAX(0,(1-Pipeline!$E$19+1)/MAX(Pipeline!$F$19,1)))+Pipeline!$S$20*Pipeline!$D$20*MIN(1,MAX(0,(1-Pipeline!$E$20+1)/MAX(Pipeline!$F$20,1)))+Pipeline!$S$21*Pipeline!$D$21*MIN(1,MAX(0,(1-Pipeline!$E$21+1)/MAX(Pipeline!$F$21,1)))+Pipeline!$S$22*Pipeline!$D$22*MIN(1,MAX(0,(1-Pipeline!$E$22+1)/MAX(Pipeline!$F$22,1)))</f>
        <v>12.3975</v>
      </c>
      <c r="D20" s="119" t="n">
        <f aca="false">Pipeline!$S$16*Pipeline!$D$16*MIN(1,MAX(0,(2-Pipeline!$E$16+1)/MAX(Pipeline!$F$16,1)))+Pipeline!$S$17*Pipeline!$D$17*MIN(1,MAX(0,(2-Pipeline!$E$17+1)/MAX(Pipeline!$F$17,1)))+Pipeline!$S$18*Pipeline!$D$18*MIN(1,MAX(0,(2-Pipeline!$E$18+1)/MAX(Pipeline!$F$18,1)))+Pipeline!$S$19*Pipeline!$D$19*MIN(1,MAX(0,(2-Pipeline!$E$19+1)/MAX(Pipeline!$F$19,1)))+Pipeline!$S$20*Pipeline!$D$20*MIN(1,MAX(0,(2-Pipeline!$E$20+1)/MAX(Pipeline!$F$20,1)))+Pipeline!$S$21*Pipeline!$D$21*MIN(1,MAX(0,(2-Pipeline!$E$21+1)/MAX(Pipeline!$F$21,1)))+Pipeline!$S$22*Pipeline!$D$22*MIN(1,MAX(0,(2-Pipeline!$E$22+1)/MAX(Pipeline!$F$22,1)))</f>
        <v>27.405</v>
      </c>
      <c r="E20" s="119" t="n">
        <f aca="false">Pipeline!$S$16*Pipeline!$D$16*MIN(1,MAX(0,(3-Pipeline!$E$16+1)/MAX(Pipeline!$F$16,1)))+Pipeline!$S$17*Pipeline!$D$17*MIN(1,MAX(0,(3-Pipeline!$E$17+1)/MAX(Pipeline!$F$17,1)))+Pipeline!$S$18*Pipeline!$D$18*MIN(1,MAX(0,(3-Pipeline!$E$18+1)/MAX(Pipeline!$F$18,1)))+Pipeline!$S$19*Pipeline!$D$19*MIN(1,MAX(0,(3-Pipeline!$E$19+1)/MAX(Pipeline!$F$19,1)))+Pipeline!$S$20*Pipeline!$D$20*MIN(1,MAX(0,(3-Pipeline!$E$20+1)/MAX(Pipeline!$F$20,1)))+Pipeline!$S$21*Pipeline!$D$21*MIN(1,MAX(0,(3-Pipeline!$E$21+1)/MAX(Pipeline!$F$21,1)))+Pipeline!$S$22*Pipeline!$D$22*MIN(1,MAX(0,(3-Pipeline!$E$22+1)/MAX(Pipeline!$F$22,1)))</f>
        <v>75.69</v>
      </c>
      <c r="F20" s="119" t="n">
        <f aca="false">Pipeline!$S$16*Pipeline!$D$16*MIN(1,MAX(0,(4-Pipeline!$E$16+1)/MAX(Pipeline!$F$16,1)))+Pipeline!$S$17*Pipeline!$D$17*MIN(1,MAX(0,(4-Pipeline!$E$17+1)/MAX(Pipeline!$F$17,1)))+Pipeline!$S$18*Pipeline!$D$18*MIN(1,MAX(0,(4-Pipeline!$E$18+1)/MAX(Pipeline!$F$18,1)))+Pipeline!$S$19*Pipeline!$D$19*MIN(1,MAX(0,(4-Pipeline!$E$19+1)/MAX(Pipeline!$F$19,1)))+Pipeline!$S$20*Pipeline!$D$20*MIN(1,MAX(0,(4-Pipeline!$E$20+1)/MAX(Pipeline!$F$20,1)))+Pipeline!$S$21*Pipeline!$D$21*MIN(1,MAX(0,(4-Pipeline!$E$21+1)/MAX(Pipeline!$F$21,1)))+Pipeline!$S$22*Pipeline!$D$22*MIN(1,MAX(0,(4-Pipeline!$E$22+1)/MAX(Pipeline!$F$22,1)))</f>
        <v>111.5775</v>
      </c>
      <c r="G20" s="119" t="n">
        <f aca="false">Pipeline!$S$16*Pipeline!$D$16*MIN(1,MAX(0,(5-Pipeline!$E$16+1)/MAX(Pipeline!$F$16,1)))+Pipeline!$S$17*Pipeline!$D$17*MIN(1,MAX(0,(5-Pipeline!$E$17+1)/MAX(Pipeline!$F$17,1)))+Pipeline!$S$18*Pipeline!$D$18*MIN(1,MAX(0,(5-Pipeline!$E$18+1)/MAX(Pipeline!$F$18,1)))+Pipeline!$S$19*Pipeline!$D$19*MIN(1,MAX(0,(5-Pipeline!$E$19+1)/MAX(Pipeline!$F$19,1)))+Pipeline!$S$20*Pipeline!$D$20*MIN(1,MAX(0,(5-Pipeline!$E$20+1)/MAX(Pipeline!$F$20,1)))+Pipeline!$S$21*Pipeline!$D$21*MIN(1,MAX(0,(5-Pipeline!$E$21+1)/MAX(Pipeline!$F$21,1)))+Pipeline!$S$22*Pipeline!$D$22*MIN(1,MAX(0,(5-Pipeline!$E$22+1)/MAX(Pipeline!$F$22,1)))</f>
        <v>144.855</v>
      </c>
      <c r="H20" s="119" t="n">
        <f aca="false">Pipeline!$S$16*Pipeline!$D$16*MIN(1,MAX(0,(6-Pipeline!$E$16+1)/MAX(Pipeline!$F$16,1)))+Pipeline!$S$17*Pipeline!$D$17*MIN(1,MAX(0,(6-Pipeline!$E$17+1)/MAX(Pipeline!$F$17,1)))+Pipeline!$S$18*Pipeline!$D$18*MIN(1,MAX(0,(6-Pipeline!$E$18+1)/MAX(Pipeline!$F$18,1)))+Pipeline!$S$19*Pipeline!$D$19*MIN(1,MAX(0,(6-Pipeline!$E$19+1)/MAX(Pipeline!$F$19,1)))+Pipeline!$S$20*Pipeline!$D$20*MIN(1,MAX(0,(6-Pipeline!$E$20+1)/MAX(Pipeline!$F$20,1)))+Pipeline!$S$21*Pipeline!$D$21*MIN(1,MAX(0,(6-Pipeline!$E$21+1)/MAX(Pipeline!$F$21,1)))+Pipeline!$S$22*Pipeline!$D$22*MIN(1,MAX(0,(6-Pipeline!$E$22+1)/MAX(Pipeline!$F$22,1)))</f>
        <v>208.03875</v>
      </c>
      <c r="I20" s="119" t="n">
        <f aca="false">Pipeline!$S$16*Pipeline!$D$16*MIN(1,MAX(0,(7-Pipeline!$E$16+1)/MAX(Pipeline!$F$16,1)))+Pipeline!$S$17*Pipeline!$D$17*MIN(1,MAX(0,(7-Pipeline!$E$17+1)/MAX(Pipeline!$F$17,1)))+Pipeline!$S$18*Pipeline!$D$18*MIN(1,MAX(0,(7-Pipeline!$E$18+1)/MAX(Pipeline!$F$18,1)))+Pipeline!$S$19*Pipeline!$D$19*MIN(1,MAX(0,(7-Pipeline!$E$19+1)/MAX(Pipeline!$F$19,1)))+Pipeline!$S$20*Pipeline!$D$20*MIN(1,MAX(0,(7-Pipeline!$E$20+1)/MAX(Pipeline!$F$20,1)))+Pipeline!$S$21*Pipeline!$D$21*MIN(1,MAX(0,(7-Pipeline!$E$21+1)/MAX(Pipeline!$F$21,1)))+Pipeline!$S$22*Pipeline!$D$22*MIN(1,MAX(0,(7-Pipeline!$E$22+1)/MAX(Pipeline!$F$22,1)))</f>
        <v>271.2225</v>
      </c>
      <c r="J20" s="119" t="n">
        <f aca="false">Pipeline!$S$16*Pipeline!$D$16*MIN(1,MAX(0,(8-Pipeline!$E$16+1)/MAX(Pipeline!$F$16,1)))+Pipeline!$S$17*Pipeline!$D$17*MIN(1,MAX(0,(8-Pipeline!$E$17+1)/MAX(Pipeline!$F$17,1)))+Pipeline!$S$18*Pipeline!$D$18*MIN(1,MAX(0,(8-Pipeline!$E$18+1)/MAX(Pipeline!$F$18,1)))+Pipeline!$S$19*Pipeline!$D$19*MIN(1,MAX(0,(8-Pipeline!$E$19+1)/MAX(Pipeline!$F$19,1)))+Pipeline!$S$20*Pipeline!$D$20*MIN(1,MAX(0,(8-Pipeline!$E$20+1)/MAX(Pipeline!$F$20,1)))+Pipeline!$S$21*Pipeline!$D$21*MIN(1,MAX(0,(8-Pipeline!$E$21+1)/MAX(Pipeline!$F$21,1)))+Pipeline!$S$22*Pipeline!$D$22*MIN(1,MAX(0,(8-Pipeline!$E$22+1)/MAX(Pipeline!$F$22,1)))</f>
        <v>334.40625</v>
      </c>
      <c r="K20" s="119" t="n">
        <f aca="false">Pipeline!$S$16*Pipeline!$D$16*MIN(1,MAX(0,(9-Pipeline!$E$16+1)/MAX(Pipeline!$F$16,1)))+Pipeline!$S$17*Pipeline!$D$17*MIN(1,MAX(0,(9-Pipeline!$E$17+1)/MAX(Pipeline!$F$17,1)))+Pipeline!$S$18*Pipeline!$D$18*MIN(1,MAX(0,(9-Pipeline!$E$18+1)/MAX(Pipeline!$F$18,1)))+Pipeline!$S$19*Pipeline!$D$19*MIN(1,MAX(0,(9-Pipeline!$E$19+1)/MAX(Pipeline!$F$19,1)))+Pipeline!$S$20*Pipeline!$D$20*MIN(1,MAX(0,(9-Pipeline!$E$20+1)/MAX(Pipeline!$F$20,1)))+Pipeline!$S$21*Pipeline!$D$21*MIN(1,MAX(0,(9-Pipeline!$E$21+1)/MAX(Pipeline!$F$21,1)))+Pipeline!$S$22*Pipeline!$D$22*MIN(1,MAX(0,(9-Pipeline!$E$22+1)/MAX(Pipeline!$F$22,1)))</f>
        <v>397.59</v>
      </c>
      <c r="L20" s="119" t="n">
        <f aca="false">Pipeline!$S$16*Pipeline!$D$16*MIN(1,MAX(0,(10-Pipeline!$E$16+1)/MAX(Pipeline!$F$16,1)))+Pipeline!$S$17*Pipeline!$D$17*MIN(1,MAX(0,(10-Pipeline!$E$17+1)/MAX(Pipeline!$F$17,1)))+Pipeline!$S$18*Pipeline!$D$18*MIN(1,MAX(0,(10-Pipeline!$E$18+1)/MAX(Pipeline!$F$18,1)))+Pipeline!$S$19*Pipeline!$D$19*MIN(1,MAX(0,(10-Pipeline!$E$19+1)/MAX(Pipeline!$F$19,1)))+Pipeline!$S$20*Pipeline!$D$20*MIN(1,MAX(0,(10-Pipeline!$E$20+1)/MAX(Pipeline!$F$20,1)))+Pipeline!$S$21*Pipeline!$D$21*MIN(1,MAX(0,(10-Pipeline!$E$21+1)/MAX(Pipeline!$F$21,1)))+Pipeline!$S$22*Pipeline!$D$22*MIN(1,MAX(0,(10-Pipeline!$E$22+1)/MAX(Pipeline!$F$22,1)))</f>
        <v>460.77375</v>
      </c>
      <c r="M20" s="119" t="n">
        <f aca="false">Pipeline!$S$16*Pipeline!$D$16*MIN(1,MAX(0,(11-Pipeline!$E$16+1)/MAX(Pipeline!$F$16,1)))+Pipeline!$S$17*Pipeline!$D$17*MIN(1,MAX(0,(11-Pipeline!$E$17+1)/MAX(Pipeline!$F$17,1)))+Pipeline!$S$18*Pipeline!$D$18*MIN(1,MAX(0,(11-Pipeline!$E$18+1)/MAX(Pipeline!$F$18,1)))+Pipeline!$S$19*Pipeline!$D$19*MIN(1,MAX(0,(11-Pipeline!$E$19+1)/MAX(Pipeline!$F$19,1)))+Pipeline!$S$20*Pipeline!$D$20*MIN(1,MAX(0,(11-Pipeline!$E$20+1)/MAX(Pipeline!$F$20,1)))+Pipeline!$S$21*Pipeline!$D$21*MIN(1,MAX(0,(11-Pipeline!$E$21+1)/MAX(Pipeline!$F$21,1)))+Pipeline!$S$22*Pipeline!$D$22*MIN(1,MAX(0,(11-Pipeline!$E$22+1)/MAX(Pipeline!$F$22,1)))</f>
        <v>490.68</v>
      </c>
      <c r="N20" s="119" t="n">
        <f aca="false">Pipeline!$S$16*Pipeline!$D$16*MIN(1,MAX(0,(12-Pipeline!$E$16+1)/MAX(Pipeline!$F$16,1)))+Pipeline!$S$17*Pipeline!$D$17*MIN(1,MAX(0,(12-Pipeline!$E$17+1)/MAX(Pipeline!$F$17,1)))+Pipeline!$S$18*Pipeline!$D$18*MIN(1,MAX(0,(12-Pipeline!$E$18+1)/MAX(Pipeline!$F$18,1)))+Pipeline!$S$19*Pipeline!$D$19*MIN(1,MAX(0,(12-Pipeline!$E$19+1)/MAX(Pipeline!$F$19,1)))+Pipeline!$S$20*Pipeline!$D$20*MIN(1,MAX(0,(12-Pipeline!$E$20+1)/MAX(Pipeline!$F$20,1)))+Pipeline!$S$21*Pipeline!$D$21*MIN(1,MAX(0,(12-Pipeline!$E$21+1)/MAX(Pipeline!$F$21,1)))+Pipeline!$S$22*Pipeline!$D$22*MIN(1,MAX(0,(12-Pipeline!$E$22+1)/MAX(Pipeline!$F$22,1)))</f>
        <v>564.08625</v>
      </c>
      <c r="O20" s="119" t="n">
        <f aca="false">Pipeline!$S$16*Pipeline!$D$16*MIN(1,MAX(0,(13-Pipeline!$E$16+1)/MAX(Pipeline!$F$16,1)))+Pipeline!$S$17*Pipeline!$D$17*MIN(1,MAX(0,(13-Pipeline!$E$17+1)/MAX(Pipeline!$F$17,1)))+Pipeline!$S$18*Pipeline!$D$18*MIN(1,MAX(0,(13-Pipeline!$E$18+1)/MAX(Pipeline!$F$18,1)))+Pipeline!$S$19*Pipeline!$D$19*MIN(1,MAX(0,(13-Pipeline!$E$19+1)/MAX(Pipeline!$F$19,1)))+Pipeline!$S$20*Pipeline!$D$20*MIN(1,MAX(0,(13-Pipeline!$E$20+1)/MAX(Pipeline!$F$20,1)))+Pipeline!$S$21*Pipeline!$D$21*MIN(1,MAX(0,(13-Pipeline!$E$21+1)/MAX(Pipeline!$F$21,1)))+Pipeline!$S$22*Pipeline!$D$22*MIN(1,MAX(0,(13-Pipeline!$E$22+1)/MAX(Pipeline!$F$22,1)))</f>
        <v>637.4925</v>
      </c>
      <c r="P20" s="119" t="n">
        <f aca="false">Pipeline!$S$16*Pipeline!$D$16*MIN(1,MAX(0,(14-Pipeline!$E$16+1)/MAX(Pipeline!$F$16,1)))+Pipeline!$S$17*Pipeline!$D$17*MIN(1,MAX(0,(14-Pipeline!$E$17+1)/MAX(Pipeline!$F$17,1)))+Pipeline!$S$18*Pipeline!$D$18*MIN(1,MAX(0,(14-Pipeline!$E$18+1)/MAX(Pipeline!$F$18,1)))+Pipeline!$S$19*Pipeline!$D$19*MIN(1,MAX(0,(14-Pipeline!$E$19+1)/MAX(Pipeline!$F$19,1)))+Pipeline!$S$20*Pipeline!$D$20*MIN(1,MAX(0,(14-Pipeline!$E$20+1)/MAX(Pipeline!$F$20,1)))+Pipeline!$S$21*Pipeline!$D$21*MIN(1,MAX(0,(14-Pipeline!$E$21+1)/MAX(Pipeline!$F$21,1)))+Pipeline!$S$22*Pipeline!$D$22*MIN(1,MAX(0,(14-Pipeline!$E$22+1)/MAX(Pipeline!$F$22,1)))</f>
        <v>698.3925</v>
      </c>
      <c r="Q20" s="119" t="n">
        <f aca="false">Pipeline!$S$16*Pipeline!$D$16*MIN(1,MAX(0,(15-Pipeline!$E$16+1)/MAX(Pipeline!$F$16,1)))+Pipeline!$S$17*Pipeline!$D$17*MIN(1,MAX(0,(15-Pipeline!$E$17+1)/MAX(Pipeline!$F$17,1)))+Pipeline!$S$18*Pipeline!$D$18*MIN(1,MAX(0,(15-Pipeline!$E$18+1)/MAX(Pipeline!$F$18,1)))+Pipeline!$S$19*Pipeline!$D$19*MIN(1,MAX(0,(15-Pipeline!$E$19+1)/MAX(Pipeline!$F$19,1)))+Pipeline!$S$20*Pipeline!$D$20*MIN(1,MAX(0,(15-Pipeline!$E$20+1)/MAX(Pipeline!$F$20,1)))+Pipeline!$S$21*Pipeline!$D$21*MIN(1,MAX(0,(15-Pipeline!$E$21+1)/MAX(Pipeline!$F$21,1)))+Pipeline!$S$22*Pipeline!$D$22*MIN(1,MAX(0,(15-Pipeline!$E$22+1)/MAX(Pipeline!$F$22,1)))</f>
        <v>759.2925</v>
      </c>
      <c r="R20" s="119" t="n">
        <f aca="false">Pipeline!$S$16*Pipeline!$D$16*MIN(1,MAX(0,(16-Pipeline!$E$16+1)/MAX(Pipeline!$F$16,1)))+Pipeline!$S$17*Pipeline!$D$17*MIN(1,MAX(0,(16-Pipeline!$E$17+1)/MAX(Pipeline!$F$17,1)))+Pipeline!$S$18*Pipeline!$D$18*MIN(1,MAX(0,(16-Pipeline!$E$18+1)/MAX(Pipeline!$F$18,1)))+Pipeline!$S$19*Pipeline!$D$19*MIN(1,MAX(0,(16-Pipeline!$E$19+1)/MAX(Pipeline!$F$19,1)))+Pipeline!$S$20*Pipeline!$D$20*MIN(1,MAX(0,(16-Pipeline!$E$20+1)/MAX(Pipeline!$F$20,1)))+Pipeline!$S$21*Pipeline!$D$21*MIN(1,MAX(0,(16-Pipeline!$E$21+1)/MAX(Pipeline!$F$21,1)))+Pipeline!$S$22*Pipeline!$D$22*MIN(1,MAX(0,(16-Pipeline!$E$22+1)/MAX(Pipeline!$F$22,1)))</f>
        <v>820.1925</v>
      </c>
      <c r="S20" s="119" t="n">
        <f aca="false">Pipeline!$S$16*Pipeline!$D$16*MIN(1,MAX(0,(17-Pipeline!$E$16+1)/MAX(Pipeline!$F$16,1)))+Pipeline!$S$17*Pipeline!$D$17*MIN(1,MAX(0,(17-Pipeline!$E$17+1)/MAX(Pipeline!$F$17,1)))+Pipeline!$S$18*Pipeline!$D$18*MIN(1,MAX(0,(17-Pipeline!$E$18+1)/MAX(Pipeline!$F$18,1)))+Pipeline!$S$19*Pipeline!$D$19*MIN(1,MAX(0,(17-Pipeline!$E$19+1)/MAX(Pipeline!$F$19,1)))+Pipeline!$S$20*Pipeline!$D$20*MIN(1,MAX(0,(17-Pipeline!$E$20+1)/MAX(Pipeline!$F$20,1)))+Pipeline!$S$21*Pipeline!$D$21*MIN(1,MAX(0,(17-Pipeline!$E$21+1)/MAX(Pipeline!$F$21,1)))+Pipeline!$S$22*Pipeline!$D$22*MIN(1,MAX(0,(17-Pipeline!$E$22+1)/MAX(Pipeline!$F$22,1)))</f>
        <v>881.0925</v>
      </c>
      <c r="T20" s="119" t="n">
        <f aca="false">Pipeline!$S$16*Pipeline!$D$16*MIN(1,MAX(0,(18-Pipeline!$E$16+1)/MAX(Pipeline!$F$16,1)))+Pipeline!$S$17*Pipeline!$D$17*MIN(1,MAX(0,(18-Pipeline!$E$17+1)/MAX(Pipeline!$F$17,1)))+Pipeline!$S$18*Pipeline!$D$18*MIN(1,MAX(0,(18-Pipeline!$E$18+1)/MAX(Pipeline!$F$18,1)))+Pipeline!$S$19*Pipeline!$D$19*MIN(1,MAX(0,(18-Pipeline!$E$19+1)/MAX(Pipeline!$F$19,1)))+Pipeline!$S$20*Pipeline!$D$20*MIN(1,MAX(0,(18-Pipeline!$E$20+1)/MAX(Pipeline!$F$20,1)))+Pipeline!$S$21*Pipeline!$D$21*MIN(1,MAX(0,(18-Pipeline!$E$21+1)/MAX(Pipeline!$F$21,1)))+Pipeline!$S$22*Pipeline!$D$22*MIN(1,MAX(0,(18-Pipeline!$E$22+1)/MAX(Pipeline!$F$22,1)))</f>
        <v>941.9925</v>
      </c>
      <c r="U20" s="119" t="n">
        <f aca="false">Pipeline!$S$16*Pipeline!$D$16*MIN(1,MAX(0,(19-Pipeline!$E$16+1)/MAX(Pipeline!$F$16,1)))+Pipeline!$S$17*Pipeline!$D$17*MIN(1,MAX(0,(19-Pipeline!$E$17+1)/MAX(Pipeline!$F$17,1)))+Pipeline!$S$18*Pipeline!$D$18*MIN(1,MAX(0,(19-Pipeline!$E$18+1)/MAX(Pipeline!$F$18,1)))+Pipeline!$S$19*Pipeline!$D$19*MIN(1,MAX(0,(19-Pipeline!$E$19+1)/MAX(Pipeline!$F$19,1)))+Pipeline!$S$20*Pipeline!$D$20*MIN(1,MAX(0,(19-Pipeline!$E$20+1)/MAX(Pipeline!$F$20,1)))+Pipeline!$S$21*Pipeline!$D$21*MIN(1,MAX(0,(19-Pipeline!$E$21+1)/MAX(Pipeline!$F$21,1)))+Pipeline!$S$22*Pipeline!$D$22*MIN(1,MAX(0,(19-Pipeline!$E$22+1)/MAX(Pipeline!$F$22,1)))</f>
        <v>1002.8925</v>
      </c>
      <c r="V20" s="119" t="n">
        <f aca="false">Pipeline!$S$16*Pipeline!$D$16*MIN(1,MAX(0,(20-Pipeline!$E$16+1)/MAX(Pipeline!$F$16,1)))+Pipeline!$S$17*Pipeline!$D$17*MIN(1,MAX(0,(20-Pipeline!$E$17+1)/MAX(Pipeline!$F$17,1)))+Pipeline!$S$18*Pipeline!$D$18*MIN(1,MAX(0,(20-Pipeline!$E$18+1)/MAX(Pipeline!$F$18,1)))+Pipeline!$S$19*Pipeline!$D$19*MIN(1,MAX(0,(20-Pipeline!$E$19+1)/MAX(Pipeline!$F$19,1)))+Pipeline!$S$20*Pipeline!$D$20*MIN(1,MAX(0,(20-Pipeline!$E$20+1)/MAX(Pipeline!$F$20,1)))+Pipeline!$S$21*Pipeline!$D$21*MIN(1,MAX(0,(20-Pipeline!$E$21+1)/MAX(Pipeline!$F$21,1)))+Pipeline!$S$22*Pipeline!$D$22*MIN(1,MAX(0,(20-Pipeline!$E$22+1)/MAX(Pipeline!$F$22,1)))</f>
        <v>1063.7925</v>
      </c>
      <c r="W20" s="119" t="n">
        <f aca="false">Pipeline!$S$16*Pipeline!$D$16*MIN(1,MAX(0,(21-Pipeline!$E$16+1)/MAX(Pipeline!$F$16,1)))+Pipeline!$S$17*Pipeline!$D$17*MIN(1,MAX(0,(21-Pipeline!$E$17+1)/MAX(Pipeline!$F$17,1)))+Pipeline!$S$18*Pipeline!$D$18*MIN(1,MAX(0,(21-Pipeline!$E$18+1)/MAX(Pipeline!$F$18,1)))+Pipeline!$S$19*Pipeline!$D$19*MIN(1,MAX(0,(21-Pipeline!$E$19+1)/MAX(Pipeline!$F$19,1)))+Pipeline!$S$20*Pipeline!$D$20*MIN(1,MAX(0,(21-Pipeline!$E$20+1)/MAX(Pipeline!$F$20,1)))+Pipeline!$S$21*Pipeline!$D$21*MIN(1,MAX(0,(21-Pipeline!$E$21+1)/MAX(Pipeline!$F$21,1)))+Pipeline!$S$22*Pipeline!$D$22*MIN(1,MAX(0,(21-Pipeline!$E$22+1)/MAX(Pipeline!$F$22,1)))</f>
        <v>1124.6925</v>
      </c>
      <c r="X20" s="119" t="n">
        <f aca="false">Pipeline!$S$16*Pipeline!$D$16*MIN(1,MAX(0,(22-Pipeline!$E$16+1)/MAX(Pipeline!$F$16,1)))+Pipeline!$S$17*Pipeline!$D$17*MIN(1,MAX(0,(22-Pipeline!$E$17+1)/MAX(Pipeline!$F$17,1)))+Pipeline!$S$18*Pipeline!$D$18*MIN(1,MAX(0,(22-Pipeline!$E$18+1)/MAX(Pipeline!$F$18,1)))+Pipeline!$S$19*Pipeline!$D$19*MIN(1,MAX(0,(22-Pipeline!$E$19+1)/MAX(Pipeline!$F$19,1)))+Pipeline!$S$20*Pipeline!$D$20*MIN(1,MAX(0,(22-Pipeline!$E$20+1)/MAX(Pipeline!$F$20,1)))+Pipeline!$S$21*Pipeline!$D$21*MIN(1,MAX(0,(22-Pipeline!$E$21+1)/MAX(Pipeline!$F$21,1)))+Pipeline!$S$22*Pipeline!$D$22*MIN(1,MAX(0,(22-Pipeline!$E$22+1)/MAX(Pipeline!$F$22,1)))</f>
        <v>1142.0925</v>
      </c>
      <c r="Y20" s="119" t="n">
        <f aca="false">Pipeline!$S$16*Pipeline!$D$16*MIN(1,MAX(0,(23-Pipeline!$E$16+1)/MAX(Pipeline!$F$16,1)))+Pipeline!$S$17*Pipeline!$D$17*MIN(1,MAX(0,(23-Pipeline!$E$17+1)/MAX(Pipeline!$F$17,1)))+Pipeline!$S$18*Pipeline!$D$18*MIN(1,MAX(0,(23-Pipeline!$E$18+1)/MAX(Pipeline!$F$18,1)))+Pipeline!$S$19*Pipeline!$D$19*MIN(1,MAX(0,(23-Pipeline!$E$19+1)/MAX(Pipeline!$F$19,1)))+Pipeline!$S$20*Pipeline!$D$20*MIN(1,MAX(0,(23-Pipeline!$E$20+1)/MAX(Pipeline!$F$20,1)))+Pipeline!$S$21*Pipeline!$D$21*MIN(1,MAX(0,(23-Pipeline!$E$21+1)/MAX(Pipeline!$F$21,1)))+Pipeline!$S$22*Pipeline!$D$22*MIN(1,MAX(0,(23-Pipeline!$E$22+1)/MAX(Pipeline!$F$22,1)))</f>
        <v>1159.4925</v>
      </c>
      <c r="Z20" s="119" t="n">
        <f aca="false">Pipeline!$S$16*Pipeline!$D$16*MIN(1,MAX(0,(24-Pipeline!$E$16+1)/MAX(Pipeline!$F$16,1)))+Pipeline!$S$17*Pipeline!$D$17*MIN(1,MAX(0,(24-Pipeline!$E$17+1)/MAX(Pipeline!$F$17,1)))+Pipeline!$S$18*Pipeline!$D$18*MIN(1,MAX(0,(24-Pipeline!$E$18+1)/MAX(Pipeline!$F$18,1)))+Pipeline!$S$19*Pipeline!$D$19*MIN(1,MAX(0,(24-Pipeline!$E$19+1)/MAX(Pipeline!$F$19,1)))+Pipeline!$S$20*Pipeline!$D$20*MIN(1,MAX(0,(24-Pipeline!$E$20+1)/MAX(Pipeline!$F$20,1)))+Pipeline!$S$21*Pipeline!$D$21*MIN(1,MAX(0,(24-Pipeline!$E$21+1)/MAX(Pipeline!$F$21,1)))+Pipeline!$S$22*Pipeline!$D$22*MIN(1,MAX(0,(24-Pipeline!$E$22+1)/MAX(Pipeline!$F$22,1)))</f>
        <v>1159.4925</v>
      </c>
      <c r="AA20" s="119" t="n">
        <f aca="false">Pipeline!$S$16*Pipeline!$D$16*MIN(1,MAX(0,(25-Pipeline!$E$16+1)/MAX(Pipeline!$F$16,1)))+Pipeline!$S$17*Pipeline!$D$17*MIN(1,MAX(0,(25-Pipeline!$E$17+1)/MAX(Pipeline!$F$17,1)))+Pipeline!$S$18*Pipeline!$D$18*MIN(1,MAX(0,(25-Pipeline!$E$18+1)/MAX(Pipeline!$F$18,1)))+Pipeline!$S$19*Pipeline!$D$19*MIN(1,MAX(0,(25-Pipeline!$E$19+1)/MAX(Pipeline!$F$19,1)))+Pipeline!$S$20*Pipeline!$D$20*MIN(1,MAX(0,(25-Pipeline!$E$20+1)/MAX(Pipeline!$F$20,1)))+Pipeline!$S$21*Pipeline!$D$21*MIN(1,MAX(0,(25-Pipeline!$E$21+1)/MAX(Pipeline!$F$21,1)))+Pipeline!$S$22*Pipeline!$D$22*MIN(1,MAX(0,(25-Pipeline!$E$22+1)/MAX(Pipeline!$F$22,1)))</f>
        <v>1159.4925</v>
      </c>
      <c r="AB20" s="119" t="n">
        <f aca="false">Pipeline!$S$16*Pipeline!$D$16*MIN(1,MAX(0,(26-Pipeline!$E$16+1)/MAX(Pipeline!$F$16,1)))+Pipeline!$S$17*Pipeline!$D$17*MIN(1,MAX(0,(26-Pipeline!$E$17+1)/MAX(Pipeline!$F$17,1)))+Pipeline!$S$18*Pipeline!$D$18*MIN(1,MAX(0,(26-Pipeline!$E$18+1)/MAX(Pipeline!$F$18,1)))+Pipeline!$S$19*Pipeline!$D$19*MIN(1,MAX(0,(26-Pipeline!$E$19+1)/MAX(Pipeline!$F$19,1)))+Pipeline!$S$20*Pipeline!$D$20*MIN(1,MAX(0,(26-Pipeline!$E$20+1)/MAX(Pipeline!$F$20,1)))+Pipeline!$S$21*Pipeline!$D$21*MIN(1,MAX(0,(26-Pipeline!$E$21+1)/MAX(Pipeline!$F$21,1)))+Pipeline!$S$22*Pipeline!$D$22*MIN(1,MAX(0,(26-Pipeline!$E$22+1)/MAX(Pipeline!$F$22,1)))</f>
        <v>1159.4925</v>
      </c>
      <c r="AC20" s="119" t="n">
        <f aca="false">Pipeline!$S$16*Pipeline!$D$16*MIN(1,MAX(0,(27-Pipeline!$E$16+1)/MAX(Pipeline!$F$16,1)))+Pipeline!$S$17*Pipeline!$D$17*MIN(1,MAX(0,(27-Pipeline!$E$17+1)/MAX(Pipeline!$F$17,1)))+Pipeline!$S$18*Pipeline!$D$18*MIN(1,MAX(0,(27-Pipeline!$E$18+1)/MAX(Pipeline!$F$18,1)))+Pipeline!$S$19*Pipeline!$D$19*MIN(1,MAX(0,(27-Pipeline!$E$19+1)/MAX(Pipeline!$F$19,1)))+Pipeline!$S$20*Pipeline!$D$20*MIN(1,MAX(0,(27-Pipeline!$E$20+1)/MAX(Pipeline!$F$20,1)))+Pipeline!$S$21*Pipeline!$D$21*MIN(1,MAX(0,(27-Pipeline!$E$21+1)/MAX(Pipeline!$F$21,1)))+Pipeline!$S$22*Pipeline!$D$22*MIN(1,MAX(0,(27-Pipeline!$E$22+1)/MAX(Pipeline!$F$22,1)))</f>
        <v>1159.4925</v>
      </c>
      <c r="AD20" s="119" t="n">
        <f aca="false">Pipeline!$S$16*Pipeline!$D$16*MIN(1,MAX(0,(28-Pipeline!$E$16+1)/MAX(Pipeline!$F$16,1)))+Pipeline!$S$17*Pipeline!$D$17*MIN(1,MAX(0,(28-Pipeline!$E$17+1)/MAX(Pipeline!$F$17,1)))+Pipeline!$S$18*Pipeline!$D$18*MIN(1,MAX(0,(28-Pipeline!$E$18+1)/MAX(Pipeline!$F$18,1)))+Pipeline!$S$19*Pipeline!$D$19*MIN(1,MAX(0,(28-Pipeline!$E$19+1)/MAX(Pipeline!$F$19,1)))+Pipeline!$S$20*Pipeline!$D$20*MIN(1,MAX(0,(28-Pipeline!$E$20+1)/MAX(Pipeline!$F$20,1)))+Pipeline!$S$21*Pipeline!$D$21*MIN(1,MAX(0,(28-Pipeline!$E$21+1)/MAX(Pipeline!$F$21,1)))+Pipeline!$S$22*Pipeline!$D$22*MIN(1,MAX(0,(28-Pipeline!$E$22+1)/MAX(Pipeline!$F$22,1)))</f>
        <v>1159.4925</v>
      </c>
      <c r="AE20" s="119" t="n">
        <f aca="false">Pipeline!$S$16*Pipeline!$D$16*MIN(1,MAX(0,(29-Pipeline!$E$16+1)/MAX(Pipeline!$F$16,1)))+Pipeline!$S$17*Pipeline!$D$17*MIN(1,MAX(0,(29-Pipeline!$E$17+1)/MAX(Pipeline!$F$17,1)))+Pipeline!$S$18*Pipeline!$D$18*MIN(1,MAX(0,(29-Pipeline!$E$18+1)/MAX(Pipeline!$F$18,1)))+Pipeline!$S$19*Pipeline!$D$19*MIN(1,MAX(0,(29-Pipeline!$E$19+1)/MAX(Pipeline!$F$19,1)))+Pipeline!$S$20*Pipeline!$D$20*MIN(1,MAX(0,(29-Pipeline!$E$20+1)/MAX(Pipeline!$F$20,1)))+Pipeline!$S$21*Pipeline!$D$21*MIN(1,MAX(0,(29-Pipeline!$E$21+1)/MAX(Pipeline!$F$21,1)))+Pipeline!$S$22*Pipeline!$D$22*MIN(1,MAX(0,(29-Pipeline!$E$22+1)/MAX(Pipeline!$F$22,1)))</f>
        <v>1159.4925</v>
      </c>
      <c r="AF20" s="119" t="n">
        <f aca="false">Pipeline!$S$16*Pipeline!$D$16*MIN(1,MAX(0,(30-Pipeline!$E$16+1)/MAX(Pipeline!$F$16,1)))+Pipeline!$S$17*Pipeline!$D$17*MIN(1,MAX(0,(30-Pipeline!$E$17+1)/MAX(Pipeline!$F$17,1)))+Pipeline!$S$18*Pipeline!$D$18*MIN(1,MAX(0,(30-Pipeline!$E$18+1)/MAX(Pipeline!$F$18,1)))+Pipeline!$S$19*Pipeline!$D$19*MIN(1,MAX(0,(30-Pipeline!$E$19+1)/MAX(Pipeline!$F$19,1)))+Pipeline!$S$20*Pipeline!$D$20*MIN(1,MAX(0,(30-Pipeline!$E$20+1)/MAX(Pipeline!$F$20,1)))+Pipeline!$S$21*Pipeline!$D$21*MIN(1,MAX(0,(30-Pipeline!$E$21+1)/MAX(Pipeline!$F$21,1)))+Pipeline!$S$22*Pipeline!$D$22*MIN(1,MAX(0,(30-Pipeline!$E$22+1)/MAX(Pipeline!$F$22,1)))</f>
        <v>1159.4925</v>
      </c>
      <c r="AG20" s="119" t="n">
        <f aca="false">Pipeline!$S$16*Pipeline!$D$16*MIN(1,MAX(0,(31-Pipeline!$E$16+1)/MAX(Pipeline!$F$16,1)))+Pipeline!$S$17*Pipeline!$D$17*MIN(1,MAX(0,(31-Pipeline!$E$17+1)/MAX(Pipeline!$F$17,1)))+Pipeline!$S$18*Pipeline!$D$18*MIN(1,MAX(0,(31-Pipeline!$E$18+1)/MAX(Pipeline!$F$18,1)))+Pipeline!$S$19*Pipeline!$D$19*MIN(1,MAX(0,(31-Pipeline!$E$19+1)/MAX(Pipeline!$F$19,1)))+Pipeline!$S$20*Pipeline!$D$20*MIN(1,MAX(0,(31-Pipeline!$E$20+1)/MAX(Pipeline!$F$20,1)))+Pipeline!$S$21*Pipeline!$D$21*MIN(1,MAX(0,(31-Pipeline!$E$21+1)/MAX(Pipeline!$F$21,1)))+Pipeline!$S$22*Pipeline!$D$22*MIN(1,MAX(0,(31-Pipeline!$E$22+1)/MAX(Pipeline!$F$22,1)))</f>
        <v>1159.4925</v>
      </c>
      <c r="AH20" s="119" t="n">
        <f aca="false">Pipeline!$S$16*Pipeline!$D$16*MIN(1,MAX(0,(32-Pipeline!$E$16+1)/MAX(Pipeline!$F$16,1)))+Pipeline!$S$17*Pipeline!$D$17*MIN(1,MAX(0,(32-Pipeline!$E$17+1)/MAX(Pipeline!$F$17,1)))+Pipeline!$S$18*Pipeline!$D$18*MIN(1,MAX(0,(32-Pipeline!$E$18+1)/MAX(Pipeline!$F$18,1)))+Pipeline!$S$19*Pipeline!$D$19*MIN(1,MAX(0,(32-Pipeline!$E$19+1)/MAX(Pipeline!$F$19,1)))+Pipeline!$S$20*Pipeline!$D$20*MIN(1,MAX(0,(32-Pipeline!$E$20+1)/MAX(Pipeline!$F$20,1)))+Pipeline!$S$21*Pipeline!$D$21*MIN(1,MAX(0,(32-Pipeline!$E$21+1)/MAX(Pipeline!$F$21,1)))+Pipeline!$S$22*Pipeline!$D$22*MIN(1,MAX(0,(32-Pipeline!$E$22+1)/MAX(Pipeline!$F$22,1)))</f>
        <v>1159.4925</v>
      </c>
      <c r="AI20" s="119" t="n">
        <f aca="false">Pipeline!$S$16*Pipeline!$D$16*MIN(1,MAX(0,(33-Pipeline!$E$16+1)/MAX(Pipeline!$F$16,1)))+Pipeline!$S$17*Pipeline!$D$17*MIN(1,MAX(0,(33-Pipeline!$E$17+1)/MAX(Pipeline!$F$17,1)))+Pipeline!$S$18*Pipeline!$D$18*MIN(1,MAX(0,(33-Pipeline!$E$18+1)/MAX(Pipeline!$F$18,1)))+Pipeline!$S$19*Pipeline!$D$19*MIN(1,MAX(0,(33-Pipeline!$E$19+1)/MAX(Pipeline!$F$19,1)))+Pipeline!$S$20*Pipeline!$D$20*MIN(1,MAX(0,(33-Pipeline!$E$20+1)/MAX(Pipeline!$F$20,1)))+Pipeline!$S$21*Pipeline!$D$21*MIN(1,MAX(0,(33-Pipeline!$E$21+1)/MAX(Pipeline!$F$21,1)))+Pipeline!$S$22*Pipeline!$D$22*MIN(1,MAX(0,(33-Pipeline!$E$22+1)/MAX(Pipeline!$F$22,1)))</f>
        <v>1159.4925</v>
      </c>
      <c r="AJ20" s="119" t="n">
        <f aca="false">Pipeline!$S$16*Pipeline!$D$16*MIN(1,MAX(0,(34-Pipeline!$E$16+1)/MAX(Pipeline!$F$16,1)))+Pipeline!$S$17*Pipeline!$D$17*MIN(1,MAX(0,(34-Pipeline!$E$17+1)/MAX(Pipeline!$F$17,1)))+Pipeline!$S$18*Pipeline!$D$18*MIN(1,MAX(0,(34-Pipeline!$E$18+1)/MAX(Pipeline!$F$18,1)))+Pipeline!$S$19*Pipeline!$D$19*MIN(1,MAX(0,(34-Pipeline!$E$19+1)/MAX(Pipeline!$F$19,1)))+Pipeline!$S$20*Pipeline!$D$20*MIN(1,MAX(0,(34-Pipeline!$E$20+1)/MAX(Pipeline!$F$20,1)))+Pipeline!$S$21*Pipeline!$D$21*MIN(1,MAX(0,(34-Pipeline!$E$21+1)/MAX(Pipeline!$F$21,1)))+Pipeline!$S$22*Pipeline!$D$22*MIN(1,MAX(0,(34-Pipeline!$E$22+1)/MAX(Pipeline!$F$22,1)))</f>
        <v>1159.4925</v>
      </c>
      <c r="AK20" s="119" t="n">
        <f aca="false">Pipeline!$S$16*Pipeline!$D$16*MIN(1,MAX(0,(35-Pipeline!$E$16+1)/MAX(Pipeline!$F$16,1)))+Pipeline!$S$17*Pipeline!$D$17*MIN(1,MAX(0,(35-Pipeline!$E$17+1)/MAX(Pipeline!$F$17,1)))+Pipeline!$S$18*Pipeline!$D$18*MIN(1,MAX(0,(35-Pipeline!$E$18+1)/MAX(Pipeline!$F$18,1)))+Pipeline!$S$19*Pipeline!$D$19*MIN(1,MAX(0,(35-Pipeline!$E$19+1)/MAX(Pipeline!$F$19,1)))+Pipeline!$S$20*Pipeline!$D$20*MIN(1,MAX(0,(35-Pipeline!$E$20+1)/MAX(Pipeline!$F$20,1)))+Pipeline!$S$21*Pipeline!$D$21*MIN(1,MAX(0,(35-Pipeline!$E$21+1)/MAX(Pipeline!$F$21,1)))+Pipeline!$S$22*Pipeline!$D$22*MIN(1,MAX(0,(35-Pipeline!$E$22+1)/MAX(Pipeline!$F$22,1)))</f>
        <v>1159.4925</v>
      </c>
      <c r="AL20" s="119" t="n">
        <f aca="false">Pipeline!$S$16*Pipeline!$D$16*MIN(1,MAX(0,(36-Pipeline!$E$16+1)/MAX(Pipeline!$F$16,1)))+Pipeline!$S$17*Pipeline!$D$17*MIN(1,MAX(0,(36-Pipeline!$E$17+1)/MAX(Pipeline!$F$17,1)))+Pipeline!$S$18*Pipeline!$D$18*MIN(1,MAX(0,(36-Pipeline!$E$18+1)/MAX(Pipeline!$F$18,1)))+Pipeline!$S$19*Pipeline!$D$19*MIN(1,MAX(0,(36-Pipeline!$E$19+1)/MAX(Pipeline!$F$19,1)))+Pipeline!$S$20*Pipeline!$D$20*MIN(1,MAX(0,(36-Pipeline!$E$20+1)/MAX(Pipeline!$F$20,1)))+Pipeline!$S$21*Pipeline!$D$21*MIN(1,MAX(0,(36-Pipeline!$E$21+1)/MAX(Pipeline!$F$21,1)))+Pipeline!$S$22*Pipeline!$D$22*MIN(1,MAX(0,(36-Pipeline!$E$22+1)/MAX(Pipeline!$F$22,1)))</f>
        <v>1159.4925</v>
      </c>
      <c r="AM20" s="119" t="n">
        <f aca="false">Pipeline!$S$16*Pipeline!$D$16*MIN(1,MAX(0,(37-Pipeline!$E$16+1)/MAX(Pipeline!$F$16,1)))+Pipeline!$S$17*Pipeline!$D$17*MIN(1,MAX(0,(37-Pipeline!$E$17+1)/MAX(Pipeline!$F$17,1)))+Pipeline!$S$18*Pipeline!$D$18*MIN(1,MAX(0,(37-Pipeline!$E$18+1)/MAX(Pipeline!$F$18,1)))+Pipeline!$S$19*Pipeline!$D$19*MIN(1,MAX(0,(37-Pipeline!$E$19+1)/MAX(Pipeline!$F$19,1)))+Pipeline!$S$20*Pipeline!$D$20*MIN(1,MAX(0,(37-Pipeline!$E$20+1)/MAX(Pipeline!$F$20,1)))+Pipeline!$S$21*Pipeline!$D$21*MIN(1,MAX(0,(37-Pipeline!$E$21+1)/MAX(Pipeline!$F$21,1)))+Pipeline!$S$22*Pipeline!$D$22*MIN(1,MAX(0,(37-Pipeline!$E$22+1)/MAX(Pipeline!$F$22,1)))</f>
        <v>1159.4925</v>
      </c>
      <c r="AN20" s="119" t="n">
        <f aca="false">Pipeline!$S$16*Pipeline!$D$16*MIN(1,MAX(0,(38-Pipeline!$E$16+1)/MAX(Pipeline!$F$16,1)))+Pipeline!$S$17*Pipeline!$D$17*MIN(1,MAX(0,(38-Pipeline!$E$17+1)/MAX(Pipeline!$F$17,1)))+Pipeline!$S$18*Pipeline!$D$18*MIN(1,MAX(0,(38-Pipeline!$E$18+1)/MAX(Pipeline!$F$18,1)))+Pipeline!$S$19*Pipeline!$D$19*MIN(1,MAX(0,(38-Pipeline!$E$19+1)/MAX(Pipeline!$F$19,1)))+Pipeline!$S$20*Pipeline!$D$20*MIN(1,MAX(0,(38-Pipeline!$E$20+1)/MAX(Pipeline!$F$20,1)))+Pipeline!$S$21*Pipeline!$D$21*MIN(1,MAX(0,(38-Pipeline!$E$21+1)/MAX(Pipeline!$F$21,1)))+Pipeline!$S$22*Pipeline!$D$22*MIN(1,MAX(0,(38-Pipeline!$E$22+1)/MAX(Pipeline!$F$22,1)))</f>
        <v>1159.4925</v>
      </c>
      <c r="AO20" s="119" t="n">
        <f aca="false">Pipeline!$S$16*Pipeline!$D$16*MIN(1,MAX(0,(39-Pipeline!$E$16+1)/MAX(Pipeline!$F$16,1)))+Pipeline!$S$17*Pipeline!$D$17*MIN(1,MAX(0,(39-Pipeline!$E$17+1)/MAX(Pipeline!$F$17,1)))+Pipeline!$S$18*Pipeline!$D$18*MIN(1,MAX(0,(39-Pipeline!$E$18+1)/MAX(Pipeline!$F$18,1)))+Pipeline!$S$19*Pipeline!$D$19*MIN(1,MAX(0,(39-Pipeline!$E$19+1)/MAX(Pipeline!$F$19,1)))+Pipeline!$S$20*Pipeline!$D$20*MIN(1,MAX(0,(39-Pipeline!$E$20+1)/MAX(Pipeline!$F$20,1)))+Pipeline!$S$21*Pipeline!$D$21*MIN(1,MAX(0,(39-Pipeline!$E$21+1)/MAX(Pipeline!$F$21,1)))+Pipeline!$S$22*Pipeline!$D$22*MIN(1,MAX(0,(39-Pipeline!$E$22+1)/MAX(Pipeline!$F$22,1)))</f>
        <v>1159.4925</v>
      </c>
      <c r="AP20" s="119" t="n">
        <f aca="false">Pipeline!$S$16*Pipeline!$D$16*MIN(1,MAX(0,(40-Pipeline!$E$16+1)/MAX(Pipeline!$F$16,1)))+Pipeline!$S$17*Pipeline!$D$17*MIN(1,MAX(0,(40-Pipeline!$E$17+1)/MAX(Pipeline!$F$17,1)))+Pipeline!$S$18*Pipeline!$D$18*MIN(1,MAX(0,(40-Pipeline!$E$18+1)/MAX(Pipeline!$F$18,1)))+Pipeline!$S$19*Pipeline!$D$19*MIN(1,MAX(0,(40-Pipeline!$E$19+1)/MAX(Pipeline!$F$19,1)))+Pipeline!$S$20*Pipeline!$D$20*MIN(1,MAX(0,(40-Pipeline!$E$20+1)/MAX(Pipeline!$F$20,1)))+Pipeline!$S$21*Pipeline!$D$21*MIN(1,MAX(0,(40-Pipeline!$E$21+1)/MAX(Pipeline!$F$21,1)))+Pipeline!$S$22*Pipeline!$D$22*MIN(1,MAX(0,(40-Pipeline!$E$22+1)/MAX(Pipeline!$F$22,1)))</f>
        <v>1159.4925</v>
      </c>
      <c r="AQ20" s="119" t="n">
        <f aca="false">Pipeline!$S$16*Pipeline!$D$16*MIN(1,MAX(0,(41-Pipeline!$E$16+1)/MAX(Pipeline!$F$16,1)))+Pipeline!$S$17*Pipeline!$D$17*MIN(1,MAX(0,(41-Pipeline!$E$17+1)/MAX(Pipeline!$F$17,1)))+Pipeline!$S$18*Pipeline!$D$18*MIN(1,MAX(0,(41-Pipeline!$E$18+1)/MAX(Pipeline!$F$18,1)))+Pipeline!$S$19*Pipeline!$D$19*MIN(1,MAX(0,(41-Pipeline!$E$19+1)/MAX(Pipeline!$F$19,1)))+Pipeline!$S$20*Pipeline!$D$20*MIN(1,MAX(0,(41-Pipeline!$E$20+1)/MAX(Pipeline!$F$20,1)))+Pipeline!$S$21*Pipeline!$D$21*MIN(1,MAX(0,(41-Pipeline!$E$21+1)/MAX(Pipeline!$F$21,1)))+Pipeline!$S$22*Pipeline!$D$22*MIN(1,MAX(0,(41-Pipeline!$E$22+1)/MAX(Pipeline!$F$22,1)))</f>
        <v>1159.4925</v>
      </c>
      <c r="AR20" s="119" t="n">
        <f aca="false">Pipeline!$S$16*Pipeline!$D$16*MIN(1,MAX(0,(42-Pipeline!$E$16+1)/MAX(Pipeline!$F$16,1)))+Pipeline!$S$17*Pipeline!$D$17*MIN(1,MAX(0,(42-Pipeline!$E$17+1)/MAX(Pipeline!$F$17,1)))+Pipeline!$S$18*Pipeline!$D$18*MIN(1,MAX(0,(42-Pipeline!$E$18+1)/MAX(Pipeline!$F$18,1)))+Pipeline!$S$19*Pipeline!$D$19*MIN(1,MAX(0,(42-Pipeline!$E$19+1)/MAX(Pipeline!$F$19,1)))+Pipeline!$S$20*Pipeline!$D$20*MIN(1,MAX(0,(42-Pipeline!$E$20+1)/MAX(Pipeline!$F$20,1)))+Pipeline!$S$21*Pipeline!$D$21*MIN(1,MAX(0,(42-Pipeline!$E$21+1)/MAX(Pipeline!$F$21,1)))+Pipeline!$S$22*Pipeline!$D$22*MIN(1,MAX(0,(42-Pipeline!$E$22+1)/MAX(Pipeline!$F$22,1)))</f>
        <v>1159.4925</v>
      </c>
      <c r="AS20" s="119" t="n">
        <f aca="false">Pipeline!$S$16*Pipeline!$D$16*MIN(1,MAX(0,(43-Pipeline!$E$16+1)/MAX(Pipeline!$F$16,1)))+Pipeline!$S$17*Pipeline!$D$17*MIN(1,MAX(0,(43-Pipeline!$E$17+1)/MAX(Pipeline!$F$17,1)))+Pipeline!$S$18*Pipeline!$D$18*MIN(1,MAX(0,(43-Pipeline!$E$18+1)/MAX(Pipeline!$F$18,1)))+Pipeline!$S$19*Pipeline!$D$19*MIN(1,MAX(0,(43-Pipeline!$E$19+1)/MAX(Pipeline!$F$19,1)))+Pipeline!$S$20*Pipeline!$D$20*MIN(1,MAX(0,(43-Pipeline!$E$20+1)/MAX(Pipeline!$F$20,1)))+Pipeline!$S$21*Pipeline!$D$21*MIN(1,MAX(0,(43-Pipeline!$E$21+1)/MAX(Pipeline!$F$21,1)))+Pipeline!$S$22*Pipeline!$D$22*MIN(1,MAX(0,(43-Pipeline!$E$22+1)/MAX(Pipeline!$F$22,1)))</f>
        <v>1159.4925</v>
      </c>
      <c r="AT20" s="119" t="n">
        <f aca="false">Pipeline!$S$16*Pipeline!$D$16*MIN(1,MAX(0,(44-Pipeline!$E$16+1)/MAX(Pipeline!$F$16,1)))+Pipeline!$S$17*Pipeline!$D$17*MIN(1,MAX(0,(44-Pipeline!$E$17+1)/MAX(Pipeline!$F$17,1)))+Pipeline!$S$18*Pipeline!$D$18*MIN(1,MAX(0,(44-Pipeline!$E$18+1)/MAX(Pipeline!$F$18,1)))+Pipeline!$S$19*Pipeline!$D$19*MIN(1,MAX(0,(44-Pipeline!$E$19+1)/MAX(Pipeline!$F$19,1)))+Pipeline!$S$20*Pipeline!$D$20*MIN(1,MAX(0,(44-Pipeline!$E$20+1)/MAX(Pipeline!$F$20,1)))+Pipeline!$S$21*Pipeline!$D$21*MIN(1,MAX(0,(44-Pipeline!$E$21+1)/MAX(Pipeline!$F$21,1)))+Pipeline!$S$22*Pipeline!$D$22*MIN(1,MAX(0,(44-Pipeline!$E$22+1)/MAX(Pipeline!$F$22,1)))</f>
        <v>1159.4925</v>
      </c>
      <c r="AU20" s="119" t="n">
        <f aca="false">Pipeline!$S$16*Pipeline!$D$16*MIN(1,MAX(0,(45-Pipeline!$E$16+1)/MAX(Pipeline!$F$16,1)))+Pipeline!$S$17*Pipeline!$D$17*MIN(1,MAX(0,(45-Pipeline!$E$17+1)/MAX(Pipeline!$F$17,1)))+Pipeline!$S$18*Pipeline!$D$18*MIN(1,MAX(0,(45-Pipeline!$E$18+1)/MAX(Pipeline!$F$18,1)))+Pipeline!$S$19*Pipeline!$D$19*MIN(1,MAX(0,(45-Pipeline!$E$19+1)/MAX(Pipeline!$F$19,1)))+Pipeline!$S$20*Pipeline!$D$20*MIN(1,MAX(0,(45-Pipeline!$E$20+1)/MAX(Pipeline!$F$20,1)))+Pipeline!$S$21*Pipeline!$D$21*MIN(1,MAX(0,(45-Pipeline!$E$21+1)/MAX(Pipeline!$F$21,1)))+Pipeline!$S$22*Pipeline!$D$22*MIN(1,MAX(0,(45-Pipeline!$E$22+1)/MAX(Pipeline!$F$22,1)))</f>
        <v>1159.4925</v>
      </c>
      <c r="AV20" s="119" t="n">
        <f aca="false">Pipeline!$S$16*Pipeline!$D$16*MIN(1,MAX(0,(46-Pipeline!$E$16+1)/MAX(Pipeline!$F$16,1)))+Pipeline!$S$17*Pipeline!$D$17*MIN(1,MAX(0,(46-Pipeline!$E$17+1)/MAX(Pipeline!$F$17,1)))+Pipeline!$S$18*Pipeline!$D$18*MIN(1,MAX(0,(46-Pipeline!$E$18+1)/MAX(Pipeline!$F$18,1)))+Pipeline!$S$19*Pipeline!$D$19*MIN(1,MAX(0,(46-Pipeline!$E$19+1)/MAX(Pipeline!$F$19,1)))+Pipeline!$S$20*Pipeline!$D$20*MIN(1,MAX(0,(46-Pipeline!$E$20+1)/MAX(Pipeline!$F$20,1)))+Pipeline!$S$21*Pipeline!$D$21*MIN(1,MAX(0,(46-Pipeline!$E$21+1)/MAX(Pipeline!$F$21,1)))+Pipeline!$S$22*Pipeline!$D$22*MIN(1,MAX(0,(46-Pipeline!$E$22+1)/MAX(Pipeline!$F$22,1)))</f>
        <v>1159.4925</v>
      </c>
      <c r="AW20" s="119" t="n">
        <f aca="false">Pipeline!$S$16*Pipeline!$D$16*MIN(1,MAX(0,(47-Pipeline!$E$16+1)/MAX(Pipeline!$F$16,1)))+Pipeline!$S$17*Pipeline!$D$17*MIN(1,MAX(0,(47-Pipeline!$E$17+1)/MAX(Pipeline!$F$17,1)))+Pipeline!$S$18*Pipeline!$D$18*MIN(1,MAX(0,(47-Pipeline!$E$18+1)/MAX(Pipeline!$F$18,1)))+Pipeline!$S$19*Pipeline!$D$19*MIN(1,MAX(0,(47-Pipeline!$E$19+1)/MAX(Pipeline!$F$19,1)))+Pipeline!$S$20*Pipeline!$D$20*MIN(1,MAX(0,(47-Pipeline!$E$20+1)/MAX(Pipeline!$F$20,1)))+Pipeline!$S$21*Pipeline!$D$21*MIN(1,MAX(0,(47-Pipeline!$E$21+1)/MAX(Pipeline!$F$21,1)))+Pipeline!$S$22*Pipeline!$D$22*MIN(1,MAX(0,(47-Pipeline!$E$22+1)/MAX(Pipeline!$F$22,1)))</f>
        <v>1159.4925</v>
      </c>
      <c r="AX20" s="119" t="n">
        <f aca="false">Pipeline!$S$16*Pipeline!$D$16*MIN(1,MAX(0,(48-Pipeline!$E$16+1)/MAX(Pipeline!$F$16,1)))+Pipeline!$S$17*Pipeline!$D$17*MIN(1,MAX(0,(48-Pipeline!$E$17+1)/MAX(Pipeline!$F$17,1)))+Pipeline!$S$18*Pipeline!$D$18*MIN(1,MAX(0,(48-Pipeline!$E$18+1)/MAX(Pipeline!$F$18,1)))+Pipeline!$S$19*Pipeline!$D$19*MIN(1,MAX(0,(48-Pipeline!$E$19+1)/MAX(Pipeline!$F$19,1)))+Pipeline!$S$20*Pipeline!$D$20*MIN(1,MAX(0,(48-Pipeline!$E$20+1)/MAX(Pipeline!$F$20,1)))+Pipeline!$S$21*Pipeline!$D$21*MIN(1,MAX(0,(48-Pipeline!$E$21+1)/MAX(Pipeline!$F$21,1)))+Pipeline!$S$22*Pipeline!$D$22*MIN(1,MAX(0,(48-Pipeline!$E$22+1)/MAX(Pipeline!$F$22,1)))</f>
        <v>1159.4925</v>
      </c>
      <c r="AY20" s="119" t="n">
        <f aca="false">Pipeline!$S$16*Pipeline!$D$16*MIN(1,MAX(0,(49-Pipeline!$E$16+1)/MAX(Pipeline!$F$16,1)))+Pipeline!$S$17*Pipeline!$D$17*MIN(1,MAX(0,(49-Pipeline!$E$17+1)/MAX(Pipeline!$F$17,1)))+Pipeline!$S$18*Pipeline!$D$18*MIN(1,MAX(0,(49-Pipeline!$E$18+1)/MAX(Pipeline!$F$18,1)))+Pipeline!$S$19*Pipeline!$D$19*MIN(1,MAX(0,(49-Pipeline!$E$19+1)/MAX(Pipeline!$F$19,1)))+Pipeline!$S$20*Pipeline!$D$20*MIN(1,MAX(0,(49-Pipeline!$E$20+1)/MAX(Pipeline!$F$20,1)))+Pipeline!$S$21*Pipeline!$D$21*MIN(1,MAX(0,(49-Pipeline!$E$21+1)/MAX(Pipeline!$F$21,1)))+Pipeline!$S$22*Pipeline!$D$22*MIN(1,MAX(0,(49-Pipeline!$E$22+1)/MAX(Pipeline!$F$22,1)))</f>
        <v>1159.4925</v>
      </c>
      <c r="AZ20" s="119" t="n">
        <f aca="false">Pipeline!$S$16*Pipeline!$D$16*MIN(1,MAX(0,(50-Pipeline!$E$16+1)/MAX(Pipeline!$F$16,1)))+Pipeline!$S$17*Pipeline!$D$17*MIN(1,MAX(0,(50-Pipeline!$E$17+1)/MAX(Pipeline!$F$17,1)))+Pipeline!$S$18*Pipeline!$D$18*MIN(1,MAX(0,(50-Pipeline!$E$18+1)/MAX(Pipeline!$F$18,1)))+Pipeline!$S$19*Pipeline!$D$19*MIN(1,MAX(0,(50-Pipeline!$E$19+1)/MAX(Pipeline!$F$19,1)))+Pipeline!$S$20*Pipeline!$D$20*MIN(1,MAX(0,(50-Pipeline!$E$20+1)/MAX(Pipeline!$F$20,1)))+Pipeline!$S$21*Pipeline!$D$21*MIN(1,MAX(0,(50-Pipeline!$E$21+1)/MAX(Pipeline!$F$21,1)))+Pipeline!$S$22*Pipeline!$D$22*MIN(1,MAX(0,(50-Pipeline!$E$22+1)/MAX(Pipeline!$F$22,1)))</f>
        <v>1159.4925</v>
      </c>
      <c r="BA20" s="119" t="n">
        <f aca="false">Pipeline!$S$16*Pipeline!$D$16*MIN(1,MAX(0,(51-Pipeline!$E$16+1)/MAX(Pipeline!$F$16,1)))+Pipeline!$S$17*Pipeline!$D$17*MIN(1,MAX(0,(51-Pipeline!$E$17+1)/MAX(Pipeline!$F$17,1)))+Pipeline!$S$18*Pipeline!$D$18*MIN(1,MAX(0,(51-Pipeline!$E$18+1)/MAX(Pipeline!$F$18,1)))+Pipeline!$S$19*Pipeline!$D$19*MIN(1,MAX(0,(51-Pipeline!$E$19+1)/MAX(Pipeline!$F$19,1)))+Pipeline!$S$20*Pipeline!$D$20*MIN(1,MAX(0,(51-Pipeline!$E$20+1)/MAX(Pipeline!$F$20,1)))+Pipeline!$S$21*Pipeline!$D$21*MIN(1,MAX(0,(51-Pipeline!$E$21+1)/MAX(Pipeline!$F$21,1)))+Pipeline!$S$22*Pipeline!$D$22*MIN(1,MAX(0,(51-Pipeline!$E$22+1)/MAX(Pipeline!$F$22,1)))</f>
        <v>1159.4925</v>
      </c>
      <c r="BB20" s="119" t="n">
        <f aca="false">Pipeline!$S$16*Pipeline!$D$16*MIN(1,MAX(0,(52-Pipeline!$E$16+1)/MAX(Pipeline!$F$16,1)))+Pipeline!$S$17*Pipeline!$D$17*MIN(1,MAX(0,(52-Pipeline!$E$17+1)/MAX(Pipeline!$F$17,1)))+Pipeline!$S$18*Pipeline!$D$18*MIN(1,MAX(0,(52-Pipeline!$E$18+1)/MAX(Pipeline!$F$18,1)))+Pipeline!$S$19*Pipeline!$D$19*MIN(1,MAX(0,(52-Pipeline!$E$19+1)/MAX(Pipeline!$F$19,1)))+Pipeline!$S$20*Pipeline!$D$20*MIN(1,MAX(0,(52-Pipeline!$E$20+1)/MAX(Pipeline!$F$20,1)))+Pipeline!$S$21*Pipeline!$D$21*MIN(1,MAX(0,(52-Pipeline!$E$21+1)/MAX(Pipeline!$F$21,1)))+Pipeline!$S$22*Pipeline!$D$22*MIN(1,MAX(0,(52-Pipeline!$E$22+1)/MAX(Pipeline!$F$22,1)))</f>
        <v>1159.4925</v>
      </c>
      <c r="BC20" s="119" t="n">
        <f aca="false">Pipeline!$S$16*Pipeline!$D$16*MIN(1,MAX(0,(53-Pipeline!$E$16+1)/MAX(Pipeline!$F$16,1)))+Pipeline!$S$17*Pipeline!$D$17*MIN(1,MAX(0,(53-Pipeline!$E$17+1)/MAX(Pipeline!$F$17,1)))+Pipeline!$S$18*Pipeline!$D$18*MIN(1,MAX(0,(53-Pipeline!$E$18+1)/MAX(Pipeline!$F$18,1)))+Pipeline!$S$19*Pipeline!$D$19*MIN(1,MAX(0,(53-Pipeline!$E$19+1)/MAX(Pipeline!$F$19,1)))+Pipeline!$S$20*Pipeline!$D$20*MIN(1,MAX(0,(53-Pipeline!$E$20+1)/MAX(Pipeline!$F$20,1)))+Pipeline!$S$21*Pipeline!$D$21*MIN(1,MAX(0,(53-Pipeline!$E$21+1)/MAX(Pipeline!$F$21,1)))+Pipeline!$S$22*Pipeline!$D$22*MIN(1,MAX(0,(53-Pipeline!$E$22+1)/MAX(Pipeline!$F$22,1)))</f>
        <v>1159.4925</v>
      </c>
      <c r="BD20" s="119" t="n">
        <f aca="false">Pipeline!$S$16*Pipeline!$D$16*MIN(1,MAX(0,(54-Pipeline!$E$16+1)/MAX(Pipeline!$F$16,1)))+Pipeline!$S$17*Pipeline!$D$17*MIN(1,MAX(0,(54-Pipeline!$E$17+1)/MAX(Pipeline!$F$17,1)))+Pipeline!$S$18*Pipeline!$D$18*MIN(1,MAX(0,(54-Pipeline!$E$18+1)/MAX(Pipeline!$F$18,1)))+Pipeline!$S$19*Pipeline!$D$19*MIN(1,MAX(0,(54-Pipeline!$E$19+1)/MAX(Pipeline!$F$19,1)))+Pipeline!$S$20*Pipeline!$D$20*MIN(1,MAX(0,(54-Pipeline!$E$20+1)/MAX(Pipeline!$F$20,1)))+Pipeline!$S$21*Pipeline!$D$21*MIN(1,MAX(0,(54-Pipeline!$E$21+1)/MAX(Pipeline!$F$21,1)))+Pipeline!$S$22*Pipeline!$D$22*MIN(1,MAX(0,(54-Pipeline!$E$22+1)/MAX(Pipeline!$F$22,1)))</f>
        <v>1159.4925</v>
      </c>
      <c r="BE20" s="119" t="n">
        <f aca="false">Pipeline!$S$16*Pipeline!$D$16*MIN(1,MAX(0,(55-Pipeline!$E$16+1)/MAX(Pipeline!$F$16,1)))+Pipeline!$S$17*Pipeline!$D$17*MIN(1,MAX(0,(55-Pipeline!$E$17+1)/MAX(Pipeline!$F$17,1)))+Pipeline!$S$18*Pipeline!$D$18*MIN(1,MAX(0,(55-Pipeline!$E$18+1)/MAX(Pipeline!$F$18,1)))+Pipeline!$S$19*Pipeline!$D$19*MIN(1,MAX(0,(55-Pipeline!$E$19+1)/MAX(Pipeline!$F$19,1)))+Pipeline!$S$20*Pipeline!$D$20*MIN(1,MAX(0,(55-Pipeline!$E$20+1)/MAX(Pipeline!$F$20,1)))+Pipeline!$S$21*Pipeline!$D$21*MIN(1,MAX(0,(55-Pipeline!$E$21+1)/MAX(Pipeline!$F$21,1)))+Pipeline!$S$22*Pipeline!$D$22*MIN(1,MAX(0,(55-Pipeline!$E$22+1)/MAX(Pipeline!$F$22,1)))</f>
        <v>1159.4925</v>
      </c>
      <c r="BF20" s="119" t="n">
        <f aca="false">Pipeline!$S$16*Pipeline!$D$16*MIN(1,MAX(0,(56-Pipeline!$E$16+1)/MAX(Pipeline!$F$16,1)))+Pipeline!$S$17*Pipeline!$D$17*MIN(1,MAX(0,(56-Pipeline!$E$17+1)/MAX(Pipeline!$F$17,1)))+Pipeline!$S$18*Pipeline!$D$18*MIN(1,MAX(0,(56-Pipeline!$E$18+1)/MAX(Pipeline!$F$18,1)))+Pipeline!$S$19*Pipeline!$D$19*MIN(1,MAX(0,(56-Pipeline!$E$19+1)/MAX(Pipeline!$F$19,1)))+Pipeline!$S$20*Pipeline!$D$20*MIN(1,MAX(0,(56-Pipeline!$E$20+1)/MAX(Pipeline!$F$20,1)))+Pipeline!$S$21*Pipeline!$D$21*MIN(1,MAX(0,(56-Pipeline!$E$21+1)/MAX(Pipeline!$F$21,1)))+Pipeline!$S$22*Pipeline!$D$22*MIN(1,MAX(0,(56-Pipeline!$E$22+1)/MAX(Pipeline!$F$22,1)))</f>
        <v>1159.4925</v>
      </c>
      <c r="BG20" s="119" t="n">
        <f aca="false">Pipeline!$S$16*Pipeline!$D$16*MIN(1,MAX(0,(57-Pipeline!$E$16+1)/MAX(Pipeline!$F$16,1)))+Pipeline!$S$17*Pipeline!$D$17*MIN(1,MAX(0,(57-Pipeline!$E$17+1)/MAX(Pipeline!$F$17,1)))+Pipeline!$S$18*Pipeline!$D$18*MIN(1,MAX(0,(57-Pipeline!$E$18+1)/MAX(Pipeline!$F$18,1)))+Pipeline!$S$19*Pipeline!$D$19*MIN(1,MAX(0,(57-Pipeline!$E$19+1)/MAX(Pipeline!$F$19,1)))+Pipeline!$S$20*Pipeline!$D$20*MIN(1,MAX(0,(57-Pipeline!$E$20+1)/MAX(Pipeline!$F$20,1)))+Pipeline!$S$21*Pipeline!$D$21*MIN(1,MAX(0,(57-Pipeline!$E$21+1)/MAX(Pipeline!$F$21,1)))+Pipeline!$S$22*Pipeline!$D$22*MIN(1,MAX(0,(57-Pipeline!$E$22+1)/MAX(Pipeline!$F$22,1)))</f>
        <v>1159.4925</v>
      </c>
      <c r="BH20" s="119" t="n">
        <f aca="false">Pipeline!$S$16*Pipeline!$D$16*MIN(1,MAX(0,(58-Pipeline!$E$16+1)/MAX(Pipeline!$F$16,1)))+Pipeline!$S$17*Pipeline!$D$17*MIN(1,MAX(0,(58-Pipeline!$E$17+1)/MAX(Pipeline!$F$17,1)))+Pipeline!$S$18*Pipeline!$D$18*MIN(1,MAX(0,(58-Pipeline!$E$18+1)/MAX(Pipeline!$F$18,1)))+Pipeline!$S$19*Pipeline!$D$19*MIN(1,MAX(0,(58-Pipeline!$E$19+1)/MAX(Pipeline!$F$19,1)))+Pipeline!$S$20*Pipeline!$D$20*MIN(1,MAX(0,(58-Pipeline!$E$20+1)/MAX(Pipeline!$F$20,1)))+Pipeline!$S$21*Pipeline!$D$21*MIN(1,MAX(0,(58-Pipeline!$E$21+1)/MAX(Pipeline!$F$21,1)))+Pipeline!$S$22*Pipeline!$D$22*MIN(1,MAX(0,(58-Pipeline!$E$22+1)/MAX(Pipeline!$F$22,1)))</f>
        <v>1159.4925</v>
      </c>
      <c r="BI20" s="119" t="n">
        <f aca="false">Pipeline!$S$16*Pipeline!$D$16*MIN(1,MAX(0,(59-Pipeline!$E$16+1)/MAX(Pipeline!$F$16,1)))+Pipeline!$S$17*Pipeline!$D$17*MIN(1,MAX(0,(59-Pipeline!$E$17+1)/MAX(Pipeline!$F$17,1)))+Pipeline!$S$18*Pipeline!$D$18*MIN(1,MAX(0,(59-Pipeline!$E$18+1)/MAX(Pipeline!$F$18,1)))+Pipeline!$S$19*Pipeline!$D$19*MIN(1,MAX(0,(59-Pipeline!$E$19+1)/MAX(Pipeline!$F$19,1)))+Pipeline!$S$20*Pipeline!$D$20*MIN(1,MAX(0,(59-Pipeline!$E$20+1)/MAX(Pipeline!$F$20,1)))+Pipeline!$S$21*Pipeline!$D$21*MIN(1,MAX(0,(59-Pipeline!$E$21+1)/MAX(Pipeline!$F$21,1)))+Pipeline!$S$22*Pipeline!$D$22*MIN(1,MAX(0,(59-Pipeline!$E$22+1)/MAX(Pipeline!$F$22,1)))</f>
        <v>1159.4925</v>
      </c>
      <c r="BJ20" s="119" t="n">
        <f aca="false">Pipeline!$S$16*Pipeline!$D$16*MIN(1,MAX(0,(60-Pipeline!$E$16+1)/MAX(Pipeline!$F$16,1)))+Pipeline!$S$17*Pipeline!$D$17*MIN(1,MAX(0,(60-Pipeline!$E$17+1)/MAX(Pipeline!$F$17,1)))+Pipeline!$S$18*Pipeline!$D$18*MIN(1,MAX(0,(60-Pipeline!$E$18+1)/MAX(Pipeline!$F$18,1)))+Pipeline!$S$19*Pipeline!$D$19*MIN(1,MAX(0,(60-Pipeline!$E$19+1)/MAX(Pipeline!$F$19,1)))+Pipeline!$S$20*Pipeline!$D$20*MIN(1,MAX(0,(60-Pipeline!$E$20+1)/MAX(Pipeline!$F$20,1)))+Pipeline!$S$21*Pipeline!$D$21*MIN(1,MAX(0,(60-Pipeline!$E$21+1)/MAX(Pipeline!$F$21,1)))+Pipeline!$S$22*Pipeline!$D$22*MIN(1,MAX(0,(60-Pipeline!$E$22+1)/MAX(Pipeline!$F$22,1)))</f>
        <v>1159.4925</v>
      </c>
      <c r="BK20" s="119" t="n">
        <f aca="false">Pipeline!$S$16*Pipeline!$D$16*MIN(1,MAX(0,(61-Pipeline!$E$16+1)/MAX(Pipeline!$F$16,1)))+Pipeline!$S$17*Pipeline!$D$17*MIN(1,MAX(0,(61-Pipeline!$E$17+1)/MAX(Pipeline!$F$17,1)))+Pipeline!$S$18*Pipeline!$D$18*MIN(1,MAX(0,(61-Pipeline!$E$18+1)/MAX(Pipeline!$F$18,1)))+Pipeline!$S$19*Pipeline!$D$19*MIN(1,MAX(0,(61-Pipeline!$E$19+1)/MAX(Pipeline!$F$19,1)))+Pipeline!$S$20*Pipeline!$D$20*MIN(1,MAX(0,(61-Pipeline!$E$20+1)/MAX(Pipeline!$F$20,1)))+Pipeline!$S$21*Pipeline!$D$21*MIN(1,MAX(0,(61-Pipeline!$E$21+1)/MAX(Pipeline!$F$21,1)))+Pipeline!$S$22*Pipeline!$D$22*MIN(1,MAX(0,(61-Pipeline!$E$22+1)/MAX(Pipeline!$F$22,1)))</f>
        <v>1159.4925</v>
      </c>
      <c r="BL20" s="119" t="n">
        <f aca="false">Pipeline!$S$16*Pipeline!$D$16*MIN(1,MAX(0,(62-Pipeline!$E$16+1)/MAX(Pipeline!$F$16,1)))+Pipeline!$S$17*Pipeline!$D$17*MIN(1,MAX(0,(62-Pipeline!$E$17+1)/MAX(Pipeline!$F$17,1)))+Pipeline!$S$18*Pipeline!$D$18*MIN(1,MAX(0,(62-Pipeline!$E$18+1)/MAX(Pipeline!$F$18,1)))+Pipeline!$S$19*Pipeline!$D$19*MIN(1,MAX(0,(62-Pipeline!$E$19+1)/MAX(Pipeline!$F$19,1)))+Pipeline!$S$20*Pipeline!$D$20*MIN(1,MAX(0,(62-Pipeline!$E$20+1)/MAX(Pipeline!$F$20,1)))+Pipeline!$S$21*Pipeline!$D$21*MIN(1,MAX(0,(62-Pipeline!$E$21+1)/MAX(Pipeline!$F$21,1)))+Pipeline!$S$22*Pipeline!$D$22*MIN(1,MAX(0,(62-Pipeline!$E$22+1)/MAX(Pipeline!$F$22,1)))</f>
        <v>1159.4925</v>
      </c>
      <c r="BM20" s="119" t="n">
        <f aca="false">Pipeline!$S$16*Pipeline!$D$16*MIN(1,MAX(0,(63-Pipeline!$E$16+1)/MAX(Pipeline!$F$16,1)))+Pipeline!$S$17*Pipeline!$D$17*MIN(1,MAX(0,(63-Pipeline!$E$17+1)/MAX(Pipeline!$F$17,1)))+Pipeline!$S$18*Pipeline!$D$18*MIN(1,MAX(0,(63-Pipeline!$E$18+1)/MAX(Pipeline!$F$18,1)))+Pipeline!$S$19*Pipeline!$D$19*MIN(1,MAX(0,(63-Pipeline!$E$19+1)/MAX(Pipeline!$F$19,1)))+Pipeline!$S$20*Pipeline!$D$20*MIN(1,MAX(0,(63-Pipeline!$E$20+1)/MAX(Pipeline!$F$20,1)))+Pipeline!$S$21*Pipeline!$D$21*MIN(1,MAX(0,(63-Pipeline!$E$21+1)/MAX(Pipeline!$F$21,1)))+Pipeline!$S$22*Pipeline!$D$22*MIN(1,MAX(0,(63-Pipeline!$E$22+1)/MAX(Pipeline!$F$22,1)))</f>
        <v>1159.4925</v>
      </c>
      <c r="BN20" s="119" t="n">
        <f aca="false">Pipeline!$S$16*Pipeline!$D$16*MIN(1,MAX(0,(64-Pipeline!$E$16+1)/MAX(Pipeline!$F$16,1)))+Pipeline!$S$17*Pipeline!$D$17*MIN(1,MAX(0,(64-Pipeline!$E$17+1)/MAX(Pipeline!$F$17,1)))+Pipeline!$S$18*Pipeline!$D$18*MIN(1,MAX(0,(64-Pipeline!$E$18+1)/MAX(Pipeline!$F$18,1)))+Pipeline!$S$19*Pipeline!$D$19*MIN(1,MAX(0,(64-Pipeline!$E$19+1)/MAX(Pipeline!$F$19,1)))+Pipeline!$S$20*Pipeline!$D$20*MIN(1,MAX(0,(64-Pipeline!$E$20+1)/MAX(Pipeline!$F$20,1)))+Pipeline!$S$21*Pipeline!$D$21*MIN(1,MAX(0,(64-Pipeline!$E$21+1)/MAX(Pipeline!$F$21,1)))+Pipeline!$S$22*Pipeline!$D$22*MIN(1,MAX(0,(64-Pipeline!$E$22+1)/MAX(Pipeline!$F$22,1)))</f>
        <v>1159.4925</v>
      </c>
      <c r="BO20" s="119" t="n">
        <f aca="false">Pipeline!$S$16*Pipeline!$D$16*MIN(1,MAX(0,(65-Pipeline!$E$16+1)/MAX(Pipeline!$F$16,1)))+Pipeline!$S$17*Pipeline!$D$17*MIN(1,MAX(0,(65-Pipeline!$E$17+1)/MAX(Pipeline!$F$17,1)))+Pipeline!$S$18*Pipeline!$D$18*MIN(1,MAX(0,(65-Pipeline!$E$18+1)/MAX(Pipeline!$F$18,1)))+Pipeline!$S$19*Pipeline!$D$19*MIN(1,MAX(0,(65-Pipeline!$E$19+1)/MAX(Pipeline!$F$19,1)))+Pipeline!$S$20*Pipeline!$D$20*MIN(1,MAX(0,(65-Pipeline!$E$20+1)/MAX(Pipeline!$F$20,1)))+Pipeline!$S$21*Pipeline!$D$21*MIN(1,MAX(0,(65-Pipeline!$E$21+1)/MAX(Pipeline!$F$21,1)))+Pipeline!$S$22*Pipeline!$D$22*MIN(1,MAX(0,(65-Pipeline!$E$22+1)/MAX(Pipeline!$F$22,1)))</f>
        <v>1159.4925</v>
      </c>
      <c r="BP20" s="119" t="n">
        <f aca="false">Pipeline!$S$16*Pipeline!$D$16*MIN(1,MAX(0,(66-Pipeline!$E$16+1)/MAX(Pipeline!$F$16,1)))+Pipeline!$S$17*Pipeline!$D$17*MIN(1,MAX(0,(66-Pipeline!$E$17+1)/MAX(Pipeline!$F$17,1)))+Pipeline!$S$18*Pipeline!$D$18*MIN(1,MAX(0,(66-Pipeline!$E$18+1)/MAX(Pipeline!$F$18,1)))+Pipeline!$S$19*Pipeline!$D$19*MIN(1,MAX(0,(66-Pipeline!$E$19+1)/MAX(Pipeline!$F$19,1)))+Pipeline!$S$20*Pipeline!$D$20*MIN(1,MAX(0,(66-Pipeline!$E$20+1)/MAX(Pipeline!$F$20,1)))+Pipeline!$S$21*Pipeline!$D$21*MIN(1,MAX(0,(66-Pipeline!$E$21+1)/MAX(Pipeline!$F$21,1)))+Pipeline!$S$22*Pipeline!$D$22*MIN(1,MAX(0,(66-Pipeline!$E$22+1)/MAX(Pipeline!$F$22,1)))</f>
        <v>1159.4925</v>
      </c>
      <c r="BQ20" s="119" t="n">
        <f aca="false">Pipeline!$S$16*Pipeline!$D$16*MIN(1,MAX(0,(67-Pipeline!$E$16+1)/MAX(Pipeline!$F$16,1)))+Pipeline!$S$17*Pipeline!$D$17*MIN(1,MAX(0,(67-Pipeline!$E$17+1)/MAX(Pipeline!$F$17,1)))+Pipeline!$S$18*Pipeline!$D$18*MIN(1,MAX(0,(67-Pipeline!$E$18+1)/MAX(Pipeline!$F$18,1)))+Pipeline!$S$19*Pipeline!$D$19*MIN(1,MAX(0,(67-Pipeline!$E$19+1)/MAX(Pipeline!$F$19,1)))+Pipeline!$S$20*Pipeline!$D$20*MIN(1,MAX(0,(67-Pipeline!$E$20+1)/MAX(Pipeline!$F$20,1)))+Pipeline!$S$21*Pipeline!$D$21*MIN(1,MAX(0,(67-Pipeline!$E$21+1)/MAX(Pipeline!$F$21,1)))+Pipeline!$S$22*Pipeline!$D$22*MIN(1,MAX(0,(67-Pipeline!$E$22+1)/MAX(Pipeline!$F$22,1)))</f>
        <v>1159.4925</v>
      </c>
      <c r="BR20" s="119" t="n">
        <f aca="false">Pipeline!$S$16*Pipeline!$D$16*MIN(1,MAX(0,(68-Pipeline!$E$16+1)/MAX(Pipeline!$F$16,1)))+Pipeline!$S$17*Pipeline!$D$17*MIN(1,MAX(0,(68-Pipeline!$E$17+1)/MAX(Pipeline!$F$17,1)))+Pipeline!$S$18*Pipeline!$D$18*MIN(1,MAX(0,(68-Pipeline!$E$18+1)/MAX(Pipeline!$F$18,1)))+Pipeline!$S$19*Pipeline!$D$19*MIN(1,MAX(0,(68-Pipeline!$E$19+1)/MAX(Pipeline!$F$19,1)))+Pipeline!$S$20*Pipeline!$D$20*MIN(1,MAX(0,(68-Pipeline!$E$20+1)/MAX(Pipeline!$F$20,1)))+Pipeline!$S$21*Pipeline!$D$21*MIN(1,MAX(0,(68-Pipeline!$E$21+1)/MAX(Pipeline!$F$21,1)))+Pipeline!$S$22*Pipeline!$D$22*MIN(1,MAX(0,(68-Pipeline!$E$22+1)/MAX(Pipeline!$F$22,1)))</f>
        <v>1159.4925</v>
      </c>
      <c r="BS20" s="119" t="n">
        <f aca="false">Pipeline!$S$16*Pipeline!$D$16*MIN(1,MAX(0,(69-Pipeline!$E$16+1)/MAX(Pipeline!$F$16,1)))+Pipeline!$S$17*Pipeline!$D$17*MIN(1,MAX(0,(69-Pipeline!$E$17+1)/MAX(Pipeline!$F$17,1)))+Pipeline!$S$18*Pipeline!$D$18*MIN(1,MAX(0,(69-Pipeline!$E$18+1)/MAX(Pipeline!$F$18,1)))+Pipeline!$S$19*Pipeline!$D$19*MIN(1,MAX(0,(69-Pipeline!$E$19+1)/MAX(Pipeline!$F$19,1)))+Pipeline!$S$20*Pipeline!$D$20*MIN(1,MAX(0,(69-Pipeline!$E$20+1)/MAX(Pipeline!$F$20,1)))+Pipeline!$S$21*Pipeline!$D$21*MIN(1,MAX(0,(69-Pipeline!$E$21+1)/MAX(Pipeline!$F$21,1)))+Pipeline!$S$22*Pipeline!$D$22*MIN(1,MAX(0,(69-Pipeline!$E$22+1)/MAX(Pipeline!$F$22,1)))</f>
        <v>1159.4925</v>
      </c>
      <c r="BT20" s="119" t="n">
        <f aca="false">Pipeline!$S$16*Pipeline!$D$16*MIN(1,MAX(0,(70-Pipeline!$E$16+1)/MAX(Pipeline!$F$16,1)))+Pipeline!$S$17*Pipeline!$D$17*MIN(1,MAX(0,(70-Pipeline!$E$17+1)/MAX(Pipeline!$F$17,1)))+Pipeline!$S$18*Pipeline!$D$18*MIN(1,MAX(0,(70-Pipeline!$E$18+1)/MAX(Pipeline!$F$18,1)))+Pipeline!$S$19*Pipeline!$D$19*MIN(1,MAX(0,(70-Pipeline!$E$19+1)/MAX(Pipeline!$F$19,1)))+Pipeline!$S$20*Pipeline!$D$20*MIN(1,MAX(0,(70-Pipeline!$E$20+1)/MAX(Pipeline!$F$20,1)))+Pipeline!$S$21*Pipeline!$D$21*MIN(1,MAX(0,(70-Pipeline!$E$21+1)/MAX(Pipeline!$F$21,1)))+Pipeline!$S$22*Pipeline!$D$22*MIN(1,MAX(0,(70-Pipeline!$E$22+1)/MAX(Pipeline!$F$22,1)))</f>
        <v>1159.4925</v>
      </c>
      <c r="BU20" s="119" t="n">
        <f aca="false">Pipeline!$S$16*Pipeline!$D$16*MIN(1,MAX(0,(71-Pipeline!$E$16+1)/MAX(Pipeline!$F$16,1)))+Pipeline!$S$17*Pipeline!$D$17*MIN(1,MAX(0,(71-Pipeline!$E$17+1)/MAX(Pipeline!$F$17,1)))+Pipeline!$S$18*Pipeline!$D$18*MIN(1,MAX(0,(71-Pipeline!$E$18+1)/MAX(Pipeline!$F$18,1)))+Pipeline!$S$19*Pipeline!$D$19*MIN(1,MAX(0,(71-Pipeline!$E$19+1)/MAX(Pipeline!$F$19,1)))+Pipeline!$S$20*Pipeline!$D$20*MIN(1,MAX(0,(71-Pipeline!$E$20+1)/MAX(Pipeline!$F$20,1)))+Pipeline!$S$21*Pipeline!$D$21*MIN(1,MAX(0,(71-Pipeline!$E$21+1)/MAX(Pipeline!$F$21,1)))+Pipeline!$S$22*Pipeline!$D$22*MIN(1,MAX(0,(71-Pipeline!$E$22+1)/MAX(Pipeline!$F$22,1)))</f>
        <v>1159.4925</v>
      </c>
      <c r="BV20" s="119" t="n">
        <f aca="false">Pipeline!$S$16*Pipeline!$D$16*MIN(1,MAX(0,(72-Pipeline!$E$16+1)/MAX(Pipeline!$F$16,1)))+Pipeline!$S$17*Pipeline!$D$17*MIN(1,MAX(0,(72-Pipeline!$E$17+1)/MAX(Pipeline!$F$17,1)))+Pipeline!$S$18*Pipeline!$D$18*MIN(1,MAX(0,(72-Pipeline!$E$18+1)/MAX(Pipeline!$F$18,1)))+Pipeline!$S$19*Pipeline!$D$19*MIN(1,MAX(0,(72-Pipeline!$E$19+1)/MAX(Pipeline!$F$19,1)))+Pipeline!$S$20*Pipeline!$D$20*MIN(1,MAX(0,(72-Pipeline!$E$20+1)/MAX(Pipeline!$F$20,1)))+Pipeline!$S$21*Pipeline!$D$21*MIN(1,MAX(0,(72-Pipeline!$E$21+1)/MAX(Pipeline!$F$21,1)))+Pipeline!$S$22*Pipeline!$D$22*MIN(1,MAX(0,(72-Pipeline!$E$22+1)/MAX(Pipeline!$F$22,1)))</f>
        <v>1159.4925</v>
      </c>
      <c r="BW20" s="119" t="n">
        <f aca="false">Pipeline!$S$16*Pipeline!$D$16*MIN(1,MAX(0,(73-Pipeline!$E$16+1)/MAX(Pipeline!$F$16,1)))+Pipeline!$S$17*Pipeline!$D$17*MIN(1,MAX(0,(73-Pipeline!$E$17+1)/MAX(Pipeline!$F$17,1)))+Pipeline!$S$18*Pipeline!$D$18*MIN(1,MAX(0,(73-Pipeline!$E$18+1)/MAX(Pipeline!$F$18,1)))+Pipeline!$S$19*Pipeline!$D$19*MIN(1,MAX(0,(73-Pipeline!$E$19+1)/MAX(Pipeline!$F$19,1)))+Pipeline!$S$20*Pipeline!$D$20*MIN(1,MAX(0,(73-Pipeline!$E$20+1)/MAX(Pipeline!$F$20,1)))+Pipeline!$S$21*Pipeline!$D$21*MIN(1,MAX(0,(73-Pipeline!$E$21+1)/MAX(Pipeline!$F$21,1)))+Pipeline!$S$22*Pipeline!$D$22*MIN(1,MAX(0,(73-Pipeline!$E$22+1)/MAX(Pipeline!$F$22,1)))</f>
        <v>1159.4925</v>
      </c>
      <c r="BX20" s="119" t="n">
        <f aca="false">Pipeline!$S$16*Pipeline!$D$16*MIN(1,MAX(0,(74-Pipeline!$E$16+1)/MAX(Pipeline!$F$16,1)))+Pipeline!$S$17*Pipeline!$D$17*MIN(1,MAX(0,(74-Pipeline!$E$17+1)/MAX(Pipeline!$F$17,1)))+Pipeline!$S$18*Pipeline!$D$18*MIN(1,MAX(0,(74-Pipeline!$E$18+1)/MAX(Pipeline!$F$18,1)))+Pipeline!$S$19*Pipeline!$D$19*MIN(1,MAX(0,(74-Pipeline!$E$19+1)/MAX(Pipeline!$F$19,1)))+Pipeline!$S$20*Pipeline!$D$20*MIN(1,MAX(0,(74-Pipeline!$E$20+1)/MAX(Pipeline!$F$20,1)))+Pipeline!$S$21*Pipeline!$D$21*MIN(1,MAX(0,(74-Pipeline!$E$21+1)/MAX(Pipeline!$F$21,1)))+Pipeline!$S$22*Pipeline!$D$22*MIN(1,MAX(0,(74-Pipeline!$E$22+1)/MAX(Pipeline!$F$22,1)))</f>
        <v>1159.4925</v>
      </c>
      <c r="BY20" s="119" t="n">
        <f aca="false">Pipeline!$S$16*Pipeline!$D$16*MIN(1,MAX(0,(75-Pipeline!$E$16+1)/MAX(Pipeline!$F$16,1)))+Pipeline!$S$17*Pipeline!$D$17*MIN(1,MAX(0,(75-Pipeline!$E$17+1)/MAX(Pipeline!$F$17,1)))+Pipeline!$S$18*Pipeline!$D$18*MIN(1,MAX(0,(75-Pipeline!$E$18+1)/MAX(Pipeline!$F$18,1)))+Pipeline!$S$19*Pipeline!$D$19*MIN(1,MAX(0,(75-Pipeline!$E$19+1)/MAX(Pipeline!$F$19,1)))+Pipeline!$S$20*Pipeline!$D$20*MIN(1,MAX(0,(75-Pipeline!$E$20+1)/MAX(Pipeline!$F$20,1)))+Pipeline!$S$21*Pipeline!$D$21*MIN(1,MAX(0,(75-Pipeline!$E$21+1)/MAX(Pipeline!$F$21,1)))+Pipeline!$S$22*Pipeline!$D$22*MIN(1,MAX(0,(75-Pipeline!$E$22+1)/MAX(Pipeline!$F$22,1)))</f>
        <v>1159.4925</v>
      </c>
      <c r="BZ20" s="119" t="n">
        <f aca="false">Pipeline!$S$16*Pipeline!$D$16*MIN(1,MAX(0,(76-Pipeline!$E$16+1)/MAX(Pipeline!$F$16,1)))+Pipeline!$S$17*Pipeline!$D$17*MIN(1,MAX(0,(76-Pipeline!$E$17+1)/MAX(Pipeline!$F$17,1)))+Pipeline!$S$18*Pipeline!$D$18*MIN(1,MAX(0,(76-Pipeline!$E$18+1)/MAX(Pipeline!$F$18,1)))+Pipeline!$S$19*Pipeline!$D$19*MIN(1,MAX(0,(76-Pipeline!$E$19+1)/MAX(Pipeline!$F$19,1)))+Pipeline!$S$20*Pipeline!$D$20*MIN(1,MAX(0,(76-Pipeline!$E$20+1)/MAX(Pipeline!$F$20,1)))+Pipeline!$S$21*Pipeline!$D$21*MIN(1,MAX(0,(76-Pipeline!$E$21+1)/MAX(Pipeline!$F$21,1)))+Pipeline!$S$22*Pipeline!$D$22*MIN(1,MAX(0,(76-Pipeline!$E$22+1)/MAX(Pipeline!$F$22,1)))</f>
        <v>1159.4925</v>
      </c>
      <c r="CA20" s="119" t="n">
        <f aca="false">Pipeline!$S$16*Pipeline!$D$16*MIN(1,MAX(0,(77-Pipeline!$E$16+1)/MAX(Pipeline!$F$16,1)))+Pipeline!$S$17*Pipeline!$D$17*MIN(1,MAX(0,(77-Pipeline!$E$17+1)/MAX(Pipeline!$F$17,1)))+Pipeline!$S$18*Pipeline!$D$18*MIN(1,MAX(0,(77-Pipeline!$E$18+1)/MAX(Pipeline!$F$18,1)))+Pipeline!$S$19*Pipeline!$D$19*MIN(1,MAX(0,(77-Pipeline!$E$19+1)/MAX(Pipeline!$F$19,1)))+Pipeline!$S$20*Pipeline!$D$20*MIN(1,MAX(0,(77-Pipeline!$E$20+1)/MAX(Pipeline!$F$20,1)))+Pipeline!$S$21*Pipeline!$D$21*MIN(1,MAX(0,(77-Pipeline!$E$21+1)/MAX(Pipeline!$F$21,1)))+Pipeline!$S$22*Pipeline!$D$22*MIN(1,MAX(0,(77-Pipeline!$E$22+1)/MAX(Pipeline!$F$22,1)))</f>
        <v>1159.4925</v>
      </c>
      <c r="CB20" s="119" t="n">
        <f aca="false">Pipeline!$S$16*Pipeline!$D$16*MIN(1,MAX(0,(78-Pipeline!$E$16+1)/MAX(Pipeline!$F$16,1)))+Pipeline!$S$17*Pipeline!$D$17*MIN(1,MAX(0,(78-Pipeline!$E$17+1)/MAX(Pipeline!$F$17,1)))+Pipeline!$S$18*Pipeline!$D$18*MIN(1,MAX(0,(78-Pipeline!$E$18+1)/MAX(Pipeline!$F$18,1)))+Pipeline!$S$19*Pipeline!$D$19*MIN(1,MAX(0,(78-Pipeline!$E$19+1)/MAX(Pipeline!$F$19,1)))+Pipeline!$S$20*Pipeline!$D$20*MIN(1,MAX(0,(78-Pipeline!$E$20+1)/MAX(Pipeline!$F$20,1)))+Pipeline!$S$21*Pipeline!$D$21*MIN(1,MAX(0,(78-Pipeline!$E$21+1)/MAX(Pipeline!$F$21,1)))+Pipeline!$S$22*Pipeline!$D$22*MIN(1,MAX(0,(78-Pipeline!$E$22+1)/MAX(Pipeline!$F$22,1)))</f>
        <v>1159.4925</v>
      </c>
      <c r="CC20" s="119" t="n">
        <f aca="false">Pipeline!$S$16*Pipeline!$D$16*MIN(1,MAX(0,(79-Pipeline!$E$16+1)/MAX(Pipeline!$F$16,1)))+Pipeline!$S$17*Pipeline!$D$17*MIN(1,MAX(0,(79-Pipeline!$E$17+1)/MAX(Pipeline!$F$17,1)))+Pipeline!$S$18*Pipeline!$D$18*MIN(1,MAX(0,(79-Pipeline!$E$18+1)/MAX(Pipeline!$F$18,1)))+Pipeline!$S$19*Pipeline!$D$19*MIN(1,MAX(0,(79-Pipeline!$E$19+1)/MAX(Pipeline!$F$19,1)))+Pipeline!$S$20*Pipeline!$D$20*MIN(1,MAX(0,(79-Pipeline!$E$20+1)/MAX(Pipeline!$F$20,1)))+Pipeline!$S$21*Pipeline!$D$21*MIN(1,MAX(0,(79-Pipeline!$E$21+1)/MAX(Pipeline!$F$21,1)))+Pipeline!$S$22*Pipeline!$D$22*MIN(1,MAX(0,(79-Pipeline!$E$22+1)/MAX(Pipeline!$F$22,1)))</f>
        <v>1159.4925</v>
      </c>
      <c r="CD20" s="119" t="n">
        <f aca="false">Pipeline!$S$16*Pipeline!$D$16*MIN(1,MAX(0,(80-Pipeline!$E$16+1)/MAX(Pipeline!$F$16,1)))+Pipeline!$S$17*Pipeline!$D$17*MIN(1,MAX(0,(80-Pipeline!$E$17+1)/MAX(Pipeline!$F$17,1)))+Pipeline!$S$18*Pipeline!$D$18*MIN(1,MAX(0,(80-Pipeline!$E$18+1)/MAX(Pipeline!$F$18,1)))+Pipeline!$S$19*Pipeline!$D$19*MIN(1,MAX(0,(80-Pipeline!$E$19+1)/MAX(Pipeline!$F$19,1)))+Pipeline!$S$20*Pipeline!$D$20*MIN(1,MAX(0,(80-Pipeline!$E$20+1)/MAX(Pipeline!$F$20,1)))+Pipeline!$S$21*Pipeline!$D$21*MIN(1,MAX(0,(80-Pipeline!$E$21+1)/MAX(Pipeline!$F$21,1)))+Pipeline!$S$22*Pipeline!$D$22*MIN(1,MAX(0,(80-Pipeline!$E$22+1)/MAX(Pipeline!$F$22,1)))</f>
        <v>1159.4925</v>
      </c>
      <c r="CE20" s="119" t="n">
        <f aca="false">Pipeline!$S$16*Pipeline!$D$16*MIN(1,MAX(0,(81-Pipeline!$E$16+1)/MAX(Pipeline!$F$16,1)))+Pipeline!$S$17*Pipeline!$D$17*MIN(1,MAX(0,(81-Pipeline!$E$17+1)/MAX(Pipeline!$F$17,1)))+Pipeline!$S$18*Pipeline!$D$18*MIN(1,MAX(0,(81-Pipeline!$E$18+1)/MAX(Pipeline!$F$18,1)))+Pipeline!$S$19*Pipeline!$D$19*MIN(1,MAX(0,(81-Pipeline!$E$19+1)/MAX(Pipeline!$F$19,1)))+Pipeline!$S$20*Pipeline!$D$20*MIN(1,MAX(0,(81-Pipeline!$E$20+1)/MAX(Pipeline!$F$20,1)))+Pipeline!$S$21*Pipeline!$D$21*MIN(1,MAX(0,(81-Pipeline!$E$21+1)/MAX(Pipeline!$F$21,1)))+Pipeline!$S$22*Pipeline!$D$22*MIN(1,MAX(0,(81-Pipeline!$E$22+1)/MAX(Pipeline!$F$22,1)))</f>
        <v>1159.4925</v>
      </c>
      <c r="CF20" s="119" t="n">
        <f aca="false">Pipeline!$S$16*Pipeline!$D$16*MIN(1,MAX(0,(82-Pipeline!$E$16+1)/MAX(Pipeline!$F$16,1)))+Pipeline!$S$17*Pipeline!$D$17*MIN(1,MAX(0,(82-Pipeline!$E$17+1)/MAX(Pipeline!$F$17,1)))+Pipeline!$S$18*Pipeline!$D$18*MIN(1,MAX(0,(82-Pipeline!$E$18+1)/MAX(Pipeline!$F$18,1)))+Pipeline!$S$19*Pipeline!$D$19*MIN(1,MAX(0,(82-Pipeline!$E$19+1)/MAX(Pipeline!$F$19,1)))+Pipeline!$S$20*Pipeline!$D$20*MIN(1,MAX(0,(82-Pipeline!$E$20+1)/MAX(Pipeline!$F$20,1)))+Pipeline!$S$21*Pipeline!$D$21*MIN(1,MAX(0,(82-Pipeline!$E$21+1)/MAX(Pipeline!$F$21,1)))+Pipeline!$S$22*Pipeline!$D$22*MIN(1,MAX(0,(82-Pipeline!$E$22+1)/MAX(Pipeline!$F$22,1)))</f>
        <v>1159.4925</v>
      </c>
      <c r="CG20" s="119" t="n">
        <f aca="false">Pipeline!$S$16*Pipeline!$D$16*MIN(1,MAX(0,(83-Pipeline!$E$16+1)/MAX(Pipeline!$F$16,1)))+Pipeline!$S$17*Pipeline!$D$17*MIN(1,MAX(0,(83-Pipeline!$E$17+1)/MAX(Pipeline!$F$17,1)))+Pipeline!$S$18*Pipeline!$D$18*MIN(1,MAX(0,(83-Pipeline!$E$18+1)/MAX(Pipeline!$F$18,1)))+Pipeline!$S$19*Pipeline!$D$19*MIN(1,MAX(0,(83-Pipeline!$E$19+1)/MAX(Pipeline!$F$19,1)))+Pipeline!$S$20*Pipeline!$D$20*MIN(1,MAX(0,(83-Pipeline!$E$20+1)/MAX(Pipeline!$F$20,1)))+Pipeline!$S$21*Pipeline!$D$21*MIN(1,MAX(0,(83-Pipeline!$E$21+1)/MAX(Pipeline!$F$21,1)))+Pipeline!$S$22*Pipeline!$D$22*MIN(1,MAX(0,(83-Pipeline!$E$22+1)/MAX(Pipeline!$F$22,1)))</f>
        <v>1159.4925</v>
      </c>
      <c r="CH20" s="119" t="n">
        <f aca="false">Pipeline!$S$16*Pipeline!$D$16*MIN(1,MAX(0,(84-Pipeline!$E$16+1)/MAX(Pipeline!$F$16,1)))+Pipeline!$S$17*Pipeline!$D$17*MIN(1,MAX(0,(84-Pipeline!$E$17+1)/MAX(Pipeline!$F$17,1)))+Pipeline!$S$18*Pipeline!$D$18*MIN(1,MAX(0,(84-Pipeline!$E$18+1)/MAX(Pipeline!$F$18,1)))+Pipeline!$S$19*Pipeline!$D$19*MIN(1,MAX(0,(84-Pipeline!$E$19+1)/MAX(Pipeline!$F$19,1)))+Pipeline!$S$20*Pipeline!$D$20*MIN(1,MAX(0,(84-Pipeline!$E$20+1)/MAX(Pipeline!$F$20,1)))+Pipeline!$S$21*Pipeline!$D$21*MIN(1,MAX(0,(84-Pipeline!$E$21+1)/MAX(Pipeline!$F$21,1)))+Pipeline!$S$22*Pipeline!$D$22*MIN(1,MAX(0,(84-Pipeline!$E$22+1)/MAX(Pipeline!$F$22,1)))</f>
        <v>1159.4925</v>
      </c>
    </row>
    <row r="21" customFormat="false" ht="13.5" hidden="false" customHeight="true" outlineLevel="0" collapsed="false">
      <c r="A21" s="6" t="s">
        <v>529</v>
      </c>
      <c r="C21" s="120" t="n">
        <f aca="false">IF(C18=0,1,MIN(1,C8/C18))</f>
        <v>1</v>
      </c>
      <c r="D21" s="120" t="n">
        <f aca="false">IF(D18=0,1,MIN(1,D8/D18))</f>
        <v>1</v>
      </c>
      <c r="E21" s="120" t="n">
        <f aca="false">IF(E18=0,1,MIN(1,E8/E18))</f>
        <v>1</v>
      </c>
      <c r="F21" s="120" t="n">
        <f aca="false">IF(F18=0,1,MIN(1,F8/F18))</f>
        <v>1</v>
      </c>
      <c r="G21" s="120" t="n">
        <f aca="false">IF(G18=0,1,MIN(1,G8/G18))</f>
        <v>1</v>
      </c>
      <c r="H21" s="120" t="n">
        <f aca="false">IF(H18=0,1,MIN(1,H8/H18))</f>
        <v>1</v>
      </c>
      <c r="I21" s="120" t="n">
        <f aca="false">IF(I18=0,1,MIN(1,I8/I18))</f>
        <v>1</v>
      </c>
      <c r="J21" s="120" t="n">
        <f aca="false">IF(J18=0,1,MIN(1,J8/J18))</f>
        <v>1</v>
      </c>
      <c r="K21" s="120" t="n">
        <f aca="false">IF(K18=0,1,MIN(1,K8/K18))</f>
        <v>1</v>
      </c>
      <c r="L21" s="120" t="n">
        <f aca="false">IF(L18=0,1,MIN(1,L8/L18))</f>
        <v>1</v>
      </c>
      <c r="M21" s="120" t="n">
        <f aca="false">IF(M18=0,1,MIN(1,M8/M18))</f>
        <v>1</v>
      </c>
      <c r="N21" s="120" t="n">
        <f aca="false">IF(N18=0,1,MIN(1,N8/N18))</f>
        <v>1</v>
      </c>
      <c r="O21" s="120" t="n">
        <f aca="false">IF(O18=0,1,MIN(1,O8/O18))</f>
        <v>1</v>
      </c>
      <c r="P21" s="120" t="n">
        <f aca="false">IF(P18=0,1,MIN(1,P8/P18))</f>
        <v>1</v>
      </c>
      <c r="Q21" s="120" t="n">
        <f aca="false">IF(Q18=0,1,MIN(1,Q8/Q18))</f>
        <v>1</v>
      </c>
      <c r="R21" s="120" t="n">
        <f aca="false">IF(R18=0,1,MIN(1,R8/R18))</f>
        <v>1</v>
      </c>
      <c r="S21" s="120" t="n">
        <f aca="false">IF(S18=0,1,MIN(1,S8/S18))</f>
        <v>1</v>
      </c>
      <c r="T21" s="120" t="n">
        <f aca="false">IF(T18=0,1,MIN(1,T8/T18))</f>
        <v>1</v>
      </c>
      <c r="U21" s="120" t="n">
        <f aca="false">IF(U18=0,1,MIN(1,U8/U18))</f>
        <v>1</v>
      </c>
      <c r="V21" s="120" t="n">
        <f aca="false">IF(V18=0,1,MIN(1,V8/V18))</f>
        <v>1</v>
      </c>
      <c r="W21" s="120" t="n">
        <f aca="false">IF(W18=0,1,MIN(1,W8/W18))</f>
        <v>1</v>
      </c>
      <c r="X21" s="120" t="n">
        <f aca="false">IF(X18=0,1,MIN(1,X8/X18))</f>
        <v>1</v>
      </c>
      <c r="Y21" s="120" t="n">
        <f aca="false">IF(Y18=0,1,MIN(1,Y8/Y18))</f>
        <v>1</v>
      </c>
      <c r="Z21" s="120" t="n">
        <f aca="false">IF(Z18=0,1,MIN(1,Z8/Z18))</f>
        <v>1</v>
      </c>
      <c r="AA21" s="120" t="n">
        <f aca="false">IF(AA18=0,1,MIN(1,AA8/AA18))</f>
        <v>1</v>
      </c>
      <c r="AB21" s="120" t="n">
        <f aca="false">IF(AB18=0,1,MIN(1,AB8/AB18))</f>
        <v>1</v>
      </c>
      <c r="AC21" s="120" t="n">
        <f aca="false">IF(AC18=0,1,MIN(1,AC8/AC18))</f>
        <v>1</v>
      </c>
      <c r="AD21" s="120" t="n">
        <f aca="false">IF(AD18=0,1,MIN(1,AD8/AD18))</f>
        <v>1</v>
      </c>
      <c r="AE21" s="120" t="n">
        <f aca="false">IF(AE18=0,1,MIN(1,AE8/AE18))</f>
        <v>1</v>
      </c>
      <c r="AF21" s="120" t="n">
        <f aca="false">IF(AF18=0,1,MIN(1,AF8/AF18))</f>
        <v>1</v>
      </c>
      <c r="AG21" s="120" t="n">
        <f aca="false">IF(AG18=0,1,MIN(1,AG8/AG18))</f>
        <v>1</v>
      </c>
      <c r="AH21" s="120" t="n">
        <f aca="false">IF(AH18=0,1,MIN(1,AH8/AH18))</f>
        <v>1</v>
      </c>
      <c r="AI21" s="120" t="n">
        <f aca="false">IF(AI18=0,1,MIN(1,AI8/AI18))</f>
        <v>1</v>
      </c>
      <c r="AJ21" s="120" t="n">
        <f aca="false">IF(AJ18=0,1,MIN(1,AJ8/AJ18))</f>
        <v>1</v>
      </c>
      <c r="AK21" s="120" t="n">
        <f aca="false">IF(AK18=0,1,MIN(1,AK8/AK18))</f>
        <v>1</v>
      </c>
      <c r="AL21" s="120" t="n">
        <f aca="false">IF(AL18=0,1,MIN(1,AL8/AL18))</f>
        <v>1</v>
      </c>
      <c r="AM21" s="120" t="n">
        <f aca="false">IF(AM18=0,1,MIN(1,AM8/AM18))</f>
        <v>1</v>
      </c>
      <c r="AN21" s="120" t="n">
        <f aca="false">IF(AN18=0,1,MIN(1,AN8/AN18))</f>
        <v>1</v>
      </c>
      <c r="AO21" s="120" t="n">
        <f aca="false">IF(AO18=0,1,MIN(1,AO8/AO18))</f>
        <v>1</v>
      </c>
      <c r="AP21" s="120" t="n">
        <f aca="false">IF(AP18=0,1,MIN(1,AP8/AP18))</f>
        <v>1</v>
      </c>
      <c r="AQ21" s="120" t="n">
        <f aca="false">IF(AQ18=0,1,MIN(1,AQ8/AQ18))</f>
        <v>1</v>
      </c>
      <c r="AR21" s="120" t="n">
        <f aca="false">IF(AR18=0,1,MIN(1,AR8/AR18))</f>
        <v>1</v>
      </c>
      <c r="AS21" s="120" t="n">
        <f aca="false">IF(AS18=0,1,MIN(1,AS8/AS18))</f>
        <v>1</v>
      </c>
      <c r="AT21" s="120" t="n">
        <f aca="false">IF(AT18=0,1,MIN(1,AT8/AT18))</f>
        <v>1</v>
      </c>
      <c r="AU21" s="120" t="n">
        <f aca="false">IF(AU18=0,1,MIN(1,AU8/AU18))</f>
        <v>1</v>
      </c>
      <c r="AV21" s="120" t="n">
        <f aca="false">IF(AV18=0,1,MIN(1,AV8/AV18))</f>
        <v>1</v>
      </c>
      <c r="AW21" s="120" t="n">
        <f aca="false">IF(AW18=0,1,MIN(1,AW8/AW18))</f>
        <v>1</v>
      </c>
      <c r="AX21" s="120" t="n">
        <f aca="false">IF(AX18=0,1,MIN(1,AX8/AX18))</f>
        <v>1</v>
      </c>
      <c r="AY21" s="120" t="n">
        <f aca="false">IF(AY18=0,1,MIN(1,AY8/AY18))</f>
        <v>1</v>
      </c>
      <c r="AZ21" s="120" t="n">
        <f aca="false">IF(AZ18=0,1,MIN(1,AZ8/AZ18))</f>
        <v>1</v>
      </c>
      <c r="BA21" s="120" t="n">
        <f aca="false">IF(BA18=0,1,MIN(1,BA8/BA18))</f>
        <v>1</v>
      </c>
      <c r="BB21" s="120" t="n">
        <f aca="false">IF(BB18=0,1,MIN(1,BB8/BB18))</f>
        <v>1</v>
      </c>
      <c r="BC21" s="120" t="n">
        <f aca="false">IF(BC18=0,1,MIN(1,BC8/BC18))</f>
        <v>1</v>
      </c>
      <c r="BD21" s="120" t="n">
        <f aca="false">IF(BD18=0,1,MIN(1,BD8/BD18))</f>
        <v>1</v>
      </c>
      <c r="BE21" s="120" t="n">
        <f aca="false">IF(BE18=0,1,MIN(1,BE8/BE18))</f>
        <v>1</v>
      </c>
      <c r="BF21" s="120" t="n">
        <f aca="false">IF(BF18=0,1,MIN(1,BF8/BF18))</f>
        <v>1</v>
      </c>
      <c r="BG21" s="120" t="n">
        <f aca="false">IF(BG18=0,1,MIN(1,BG8/BG18))</f>
        <v>1</v>
      </c>
      <c r="BH21" s="120" t="n">
        <f aca="false">IF(BH18=0,1,MIN(1,BH8/BH18))</f>
        <v>1</v>
      </c>
      <c r="BI21" s="120" t="n">
        <f aca="false">IF(BI18=0,1,MIN(1,BI8/BI18))</f>
        <v>1</v>
      </c>
      <c r="BJ21" s="120" t="n">
        <f aca="false">IF(BJ18=0,1,MIN(1,BJ8/BJ18))</f>
        <v>1</v>
      </c>
      <c r="BK21" s="120" t="n">
        <f aca="false">IF(BK18=0,1,MIN(1,BK8/BK18))</f>
        <v>1</v>
      </c>
      <c r="BL21" s="120" t="n">
        <f aca="false">IF(BL18=0,1,MIN(1,BL8/BL18))</f>
        <v>1</v>
      </c>
      <c r="BM21" s="120" t="n">
        <f aca="false">IF(BM18=0,1,MIN(1,BM8/BM18))</f>
        <v>1</v>
      </c>
      <c r="BN21" s="120" t="n">
        <f aca="false">IF(BN18=0,1,MIN(1,BN8/BN18))</f>
        <v>1</v>
      </c>
      <c r="BO21" s="120" t="n">
        <f aca="false">IF(BO18=0,1,MIN(1,BO8/BO18))</f>
        <v>1</v>
      </c>
      <c r="BP21" s="120" t="n">
        <f aca="false">IF(BP18=0,1,MIN(1,BP8/BP18))</f>
        <v>1</v>
      </c>
      <c r="BQ21" s="120" t="n">
        <f aca="false">IF(BQ18=0,1,MIN(1,BQ8/BQ18))</f>
        <v>1</v>
      </c>
      <c r="BR21" s="120" t="n">
        <f aca="false">IF(BR18=0,1,MIN(1,BR8/BR18))</f>
        <v>1</v>
      </c>
      <c r="BS21" s="120" t="n">
        <f aca="false">IF(BS18=0,1,MIN(1,BS8/BS18))</f>
        <v>1</v>
      </c>
      <c r="BT21" s="120" t="n">
        <f aca="false">IF(BT18=0,1,MIN(1,BT8/BT18))</f>
        <v>1</v>
      </c>
      <c r="BU21" s="120" t="n">
        <f aca="false">IF(BU18=0,1,MIN(1,BU8/BU18))</f>
        <v>1</v>
      </c>
      <c r="BV21" s="120" t="n">
        <f aca="false">IF(BV18=0,1,MIN(1,BV8/BV18))</f>
        <v>1</v>
      </c>
      <c r="BW21" s="120" t="n">
        <f aca="false">IF(BW18=0,1,MIN(1,BW8/BW18))</f>
        <v>1</v>
      </c>
      <c r="BX21" s="120" t="n">
        <f aca="false">IF(BX18=0,1,MIN(1,BX8/BX18))</f>
        <v>1</v>
      </c>
      <c r="BY21" s="120" t="n">
        <f aca="false">IF(BY18=0,1,MIN(1,BY8/BY18))</f>
        <v>1</v>
      </c>
      <c r="BZ21" s="120" t="n">
        <f aca="false">IF(BZ18=0,1,MIN(1,BZ8/BZ18))</f>
        <v>1</v>
      </c>
      <c r="CA21" s="120" t="n">
        <f aca="false">IF(CA18=0,1,MIN(1,CA8/CA18))</f>
        <v>1</v>
      </c>
      <c r="CB21" s="120" t="n">
        <f aca="false">IF(CB18=0,1,MIN(1,CB8/CB18))</f>
        <v>1</v>
      </c>
      <c r="CC21" s="120" t="n">
        <f aca="false">IF(CC18=0,1,MIN(1,CC8/CC18))</f>
        <v>1</v>
      </c>
      <c r="CD21" s="120" t="n">
        <f aca="false">IF(CD18=0,1,MIN(1,CD8/CD18))</f>
        <v>1</v>
      </c>
      <c r="CE21" s="120" t="n">
        <f aca="false">IF(CE18=0,1,MIN(1,CE8/CE18))</f>
        <v>1</v>
      </c>
      <c r="CF21" s="120" t="n">
        <f aca="false">IF(CF18=0,1,MIN(1,CF8/CF18))</f>
        <v>1</v>
      </c>
      <c r="CG21" s="120" t="n">
        <f aca="false">IF(CG18=0,1,MIN(1,CG8/CG18))</f>
        <v>1</v>
      </c>
      <c r="CH21" s="120" t="n">
        <f aca="false">IF(CH18=0,1,MIN(1,CH8/CH18))</f>
        <v>1</v>
      </c>
    </row>
    <row r="22" customFormat="false" ht="13.5" hidden="false" customHeight="true" outlineLevel="0" collapsed="false">
      <c r="A22" s="6" t="s">
        <v>530</v>
      </c>
      <c r="C22" s="120" t="n">
        <f aca="false">MIN(Hipótesis!$D$32,Hipótesis!$D$31+(Hipótesis!$D$32-Hipótesis!$D$31)*MAX(0,1-Hipótesis!$D$29)/Hipótesis!$D$33)</f>
        <v>0</v>
      </c>
      <c r="D22" s="120" t="n">
        <f aca="false">MIN(Hipótesis!$D$32,Hipótesis!$D$31+(Hipótesis!$D$32-Hipótesis!$D$31)*MAX(0,2-Hipótesis!$D$29)/Hipótesis!$D$33)</f>
        <v>0</v>
      </c>
      <c r="E22" s="120" t="n">
        <f aca="false">MIN(Hipótesis!$D$32,Hipótesis!$D$31+(Hipótesis!$D$32-Hipótesis!$D$31)*MAX(0,3-Hipótesis!$D$29)/Hipótesis!$D$33)</f>
        <v>0</v>
      </c>
      <c r="F22" s="120" t="n">
        <f aca="false">MIN(Hipótesis!$D$32,Hipótesis!$D$31+(Hipótesis!$D$32-Hipótesis!$D$31)*MAX(0,4-Hipótesis!$D$29)/Hipótesis!$D$33)</f>
        <v>0</v>
      </c>
      <c r="G22" s="120" t="n">
        <f aca="false">MIN(Hipótesis!$D$32,Hipótesis!$D$31+(Hipótesis!$D$32-Hipótesis!$D$31)*MAX(0,5-Hipótesis!$D$29)/Hipótesis!$D$33)</f>
        <v>0</v>
      </c>
      <c r="H22" s="120" t="n">
        <f aca="false">MIN(Hipótesis!$D$32,Hipótesis!$D$31+(Hipótesis!$D$32-Hipótesis!$D$31)*MAX(0,6-Hipótesis!$D$29)/Hipótesis!$D$33)</f>
        <v>0</v>
      </c>
      <c r="I22" s="120" t="n">
        <f aca="false">MIN(Hipótesis!$D$32,Hipótesis!$D$31+(Hipótesis!$D$32-Hipótesis!$D$31)*MAX(0,7-Hipótesis!$D$29)/Hipótesis!$D$33)</f>
        <v>0.0152777777777778</v>
      </c>
      <c r="J22" s="120" t="n">
        <f aca="false">MIN(Hipótesis!$D$32,Hipótesis!$D$31+(Hipótesis!$D$32-Hipótesis!$D$31)*MAX(0,8-Hipótesis!$D$29)/Hipótesis!$D$33)</f>
        <v>0.0305555555555556</v>
      </c>
      <c r="K22" s="120" t="n">
        <f aca="false">MIN(Hipótesis!$D$32,Hipótesis!$D$31+(Hipótesis!$D$32-Hipótesis!$D$31)*MAX(0,9-Hipótesis!$D$29)/Hipótesis!$D$33)</f>
        <v>0.0458333333333333</v>
      </c>
      <c r="L22" s="120" t="n">
        <f aca="false">MIN(Hipótesis!$D$32,Hipótesis!$D$31+(Hipótesis!$D$32-Hipótesis!$D$31)*MAX(0,10-Hipótesis!$D$29)/Hipótesis!$D$33)</f>
        <v>0.0611111111111111</v>
      </c>
      <c r="M22" s="120" t="n">
        <f aca="false">MIN(Hipótesis!$D$32,Hipótesis!$D$31+(Hipótesis!$D$32-Hipótesis!$D$31)*MAX(0,11-Hipótesis!$D$29)/Hipótesis!$D$33)</f>
        <v>0.0763888888888889</v>
      </c>
      <c r="N22" s="120" t="n">
        <f aca="false">MIN(Hipótesis!$D$32,Hipótesis!$D$31+(Hipótesis!$D$32-Hipótesis!$D$31)*MAX(0,12-Hipótesis!$D$29)/Hipótesis!$D$33)</f>
        <v>0.0916666666666667</v>
      </c>
      <c r="O22" s="120" t="n">
        <f aca="false">MIN(Hipótesis!$D$32,Hipótesis!$D$31+(Hipótesis!$D$32-Hipótesis!$D$31)*MAX(0,13-Hipótesis!$D$29)/Hipótesis!$D$33)</f>
        <v>0.106944444444444</v>
      </c>
      <c r="P22" s="120" t="n">
        <f aca="false">MIN(Hipótesis!$D$32,Hipótesis!$D$31+(Hipótesis!$D$32-Hipótesis!$D$31)*MAX(0,14-Hipótesis!$D$29)/Hipótesis!$D$33)</f>
        <v>0.122222222222222</v>
      </c>
      <c r="Q22" s="120" t="n">
        <f aca="false">MIN(Hipótesis!$D$32,Hipótesis!$D$31+(Hipótesis!$D$32-Hipótesis!$D$31)*MAX(0,15-Hipótesis!$D$29)/Hipótesis!$D$33)</f>
        <v>0.1375</v>
      </c>
      <c r="R22" s="120" t="n">
        <f aca="false">MIN(Hipótesis!$D$32,Hipótesis!$D$31+(Hipótesis!$D$32-Hipótesis!$D$31)*MAX(0,16-Hipótesis!$D$29)/Hipótesis!$D$33)</f>
        <v>0.152777777777778</v>
      </c>
      <c r="S22" s="120" t="n">
        <f aca="false">MIN(Hipótesis!$D$32,Hipótesis!$D$31+(Hipótesis!$D$32-Hipótesis!$D$31)*MAX(0,17-Hipótesis!$D$29)/Hipótesis!$D$33)</f>
        <v>0.168055555555556</v>
      </c>
      <c r="T22" s="120" t="n">
        <f aca="false">MIN(Hipótesis!$D$32,Hipótesis!$D$31+(Hipótesis!$D$32-Hipótesis!$D$31)*MAX(0,18-Hipótesis!$D$29)/Hipótesis!$D$33)</f>
        <v>0.183333333333333</v>
      </c>
      <c r="U22" s="120" t="n">
        <f aca="false">MIN(Hipótesis!$D$32,Hipótesis!$D$31+(Hipótesis!$D$32-Hipótesis!$D$31)*MAX(0,19-Hipótesis!$D$29)/Hipótesis!$D$33)</f>
        <v>0.198611111111111</v>
      </c>
      <c r="V22" s="120" t="n">
        <f aca="false">MIN(Hipótesis!$D$32,Hipótesis!$D$31+(Hipótesis!$D$32-Hipótesis!$D$31)*MAX(0,20-Hipótesis!$D$29)/Hipótesis!$D$33)</f>
        <v>0.213888888888889</v>
      </c>
      <c r="W22" s="120" t="n">
        <f aca="false">MIN(Hipótesis!$D$32,Hipótesis!$D$31+(Hipótesis!$D$32-Hipótesis!$D$31)*MAX(0,21-Hipótesis!$D$29)/Hipótesis!$D$33)</f>
        <v>0.229166666666667</v>
      </c>
      <c r="X22" s="120" t="n">
        <f aca="false">MIN(Hipótesis!$D$32,Hipótesis!$D$31+(Hipótesis!$D$32-Hipótesis!$D$31)*MAX(0,22-Hipótesis!$D$29)/Hipótesis!$D$33)</f>
        <v>0.244444444444444</v>
      </c>
      <c r="Y22" s="120" t="n">
        <f aca="false">MIN(Hipótesis!$D$32,Hipótesis!$D$31+(Hipótesis!$D$32-Hipótesis!$D$31)*MAX(0,23-Hipótesis!$D$29)/Hipótesis!$D$33)</f>
        <v>0.259722222222222</v>
      </c>
      <c r="Z22" s="120" t="n">
        <f aca="false">MIN(Hipótesis!$D$32,Hipótesis!$D$31+(Hipótesis!$D$32-Hipótesis!$D$31)*MAX(0,24-Hipótesis!$D$29)/Hipótesis!$D$33)</f>
        <v>0.275</v>
      </c>
      <c r="AA22" s="120" t="n">
        <f aca="false">MIN(Hipótesis!$D$32,Hipótesis!$D$31+(Hipótesis!$D$32-Hipótesis!$D$31)*MAX(0,25-Hipótesis!$D$29)/Hipótesis!$D$33)</f>
        <v>0.290277777777778</v>
      </c>
      <c r="AB22" s="120" t="n">
        <f aca="false">MIN(Hipótesis!$D$32,Hipótesis!$D$31+(Hipótesis!$D$32-Hipótesis!$D$31)*MAX(0,26-Hipótesis!$D$29)/Hipótesis!$D$33)</f>
        <v>0.305555555555556</v>
      </c>
      <c r="AC22" s="120" t="n">
        <f aca="false">MIN(Hipótesis!$D$32,Hipótesis!$D$31+(Hipótesis!$D$32-Hipótesis!$D$31)*MAX(0,27-Hipótesis!$D$29)/Hipótesis!$D$33)</f>
        <v>0.320833333333333</v>
      </c>
      <c r="AD22" s="120" t="n">
        <f aca="false">MIN(Hipótesis!$D$32,Hipótesis!$D$31+(Hipótesis!$D$32-Hipótesis!$D$31)*MAX(0,28-Hipótesis!$D$29)/Hipótesis!$D$33)</f>
        <v>0.336111111111111</v>
      </c>
      <c r="AE22" s="120" t="n">
        <f aca="false">MIN(Hipótesis!$D$32,Hipótesis!$D$31+(Hipótesis!$D$32-Hipótesis!$D$31)*MAX(0,29-Hipótesis!$D$29)/Hipótesis!$D$33)</f>
        <v>0.351388888888889</v>
      </c>
      <c r="AF22" s="120" t="n">
        <f aca="false">MIN(Hipótesis!$D$32,Hipótesis!$D$31+(Hipótesis!$D$32-Hipótesis!$D$31)*MAX(0,30-Hipótesis!$D$29)/Hipótesis!$D$33)</f>
        <v>0.366666666666667</v>
      </c>
      <c r="AG22" s="120" t="n">
        <f aca="false">MIN(Hipótesis!$D$32,Hipótesis!$D$31+(Hipótesis!$D$32-Hipótesis!$D$31)*MAX(0,31-Hipótesis!$D$29)/Hipótesis!$D$33)</f>
        <v>0.381944444444445</v>
      </c>
      <c r="AH22" s="120" t="n">
        <f aca="false">MIN(Hipótesis!$D$32,Hipótesis!$D$31+(Hipótesis!$D$32-Hipótesis!$D$31)*MAX(0,32-Hipótesis!$D$29)/Hipótesis!$D$33)</f>
        <v>0.397222222222222</v>
      </c>
      <c r="AI22" s="120" t="n">
        <f aca="false">MIN(Hipótesis!$D$32,Hipótesis!$D$31+(Hipótesis!$D$32-Hipótesis!$D$31)*MAX(0,33-Hipótesis!$D$29)/Hipótesis!$D$33)</f>
        <v>0.4125</v>
      </c>
      <c r="AJ22" s="120" t="n">
        <f aca="false">MIN(Hipótesis!$D$32,Hipótesis!$D$31+(Hipótesis!$D$32-Hipótesis!$D$31)*MAX(0,34-Hipótesis!$D$29)/Hipótesis!$D$33)</f>
        <v>0.427777777777778</v>
      </c>
      <c r="AK22" s="120" t="n">
        <f aca="false">MIN(Hipótesis!$D$32,Hipótesis!$D$31+(Hipótesis!$D$32-Hipótesis!$D$31)*MAX(0,35-Hipótesis!$D$29)/Hipótesis!$D$33)</f>
        <v>0.443055555555556</v>
      </c>
      <c r="AL22" s="120" t="n">
        <f aca="false">MIN(Hipótesis!$D$32,Hipótesis!$D$31+(Hipótesis!$D$32-Hipótesis!$D$31)*MAX(0,36-Hipótesis!$D$29)/Hipótesis!$D$33)</f>
        <v>0.458333333333333</v>
      </c>
      <c r="AM22" s="120" t="n">
        <f aca="false">MIN(Hipótesis!$D$32,Hipótesis!$D$31+(Hipótesis!$D$32-Hipótesis!$D$31)*MAX(0,37-Hipótesis!$D$29)/Hipótesis!$D$33)</f>
        <v>0.473611111111111</v>
      </c>
      <c r="AN22" s="120" t="n">
        <f aca="false">MIN(Hipótesis!$D$32,Hipótesis!$D$31+(Hipótesis!$D$32-Hipótesis!$D$31)*MAX(0,38-Hipótesis!$D$29)/Hipótesis!$D$33)</f>
        <v>0.488888888888889</v>
      </c>
      <c r="AO22" s="120" t="n">
        <f aca="false">MIN(Hipótesis!$D$32,Hipótesis!$D$31+(Hipótesis!$D$32-Hipótesis!$D$31)*MAX(0,39-Hipótesis!$D$29)/Hipótesis!$D$33)</f>
        <v>0.504166666666667</v>
      </c>
      <c r="AP22" s="120" t="n">
        <f aca="false">MIN(Hipótesis!$D$32,Hipótesis!$D$31+(Hipótesis!$D$32-Hipótesis!$D$31)*MAX(0,40-Hipótesis!$D$29)/Hipótesis!$D$33)</f>
        <v>0.519444444444445</v>
      </c>
      <c r="AQ22" s="120" t="n">
        <f aca="false">MIN(Hipótesis!$D$32,Hipótesis!$D$31+(Hipótesis!$D$32-Hipótesis!$D$31)*MAX(0,41-Hipótesis!$D$29)/Hipótesis!$D$33)</f>
        <v>0.534722222222222</v>
      </c>
      <c r="AR22" s="120" t="n">
        <f aca="false">MIN(Hipótesis!$D$32,Hipótesis!$D$31+(Hipótesis!$D$32-Hipótesis!$D$31)*MAX(0,42-Hipótesis!$D$29)/Hipótesis!$D$33)</f>
        <v>0.55</v>
      </c>
      <c r="AS22" s="120" t="n">
        <f aca="false">MIN(Hipótesis!$D$32,Hipótesis!$D$31+(Hipótesis!$D$32-Hipótesis!$D$31)*MAX(0,43-Hipótesis!$D$29)/Hipótesis!$D$33)</f>
        <v>0.55</v>
      </c>
      <c r="AT22" s="120" t="n">
        <f aca="false">MIN(Hipótesis!$D$32,Hipótesis!$D$31+(Hipótesis!$D$32-Hipótesis!$D$31)*MAX(0,44-Hipótesis!$D$29)/Hipótesis!$D$33)</f>
        <v>0.55</v>
      </c>
      <c r="AU22" s="120" t="n">
        <f aca="false">MIN(Hipótesis!$D$32,Hipótesis!$D$31+(Hipótesis!$D$32-Hipótesis!$D$31)*MAX(0,45-Hipótesis!$D$29)/Hipótesis!$D$33)</f>
        <v>0.55</v>
      </c>
      <c r="AV22" s="120" t="n">
        <f aca="false">MIN(Hipótesis!$D$32,Hipótesis!$D$31+(Hipótesis!$D$32-Hipótesis!$D$31)*MAX(0,46-Hipótesis!$D$29)/Hipótesis!$D$33)</f>
        <v>0.55</v>
      </c>
      <c r="AW22" s="120" t="n">
        <f aca="false">MIN(Hipótesis!$D$32,Hipótesis!$D$31+(Hipótesis!$D$32-Hipótesis!$D$31)*MAX(0,47-Hipótesis!$D$29)/Hipótesis!$D$33)</f>
        <v>0.55</v>
      </c>
      <c r="AX22" s="120" t="n">
        <f aca="false">MIN(Hipótesis!$D$32,Hipótesis!$D$31+(Hipótesis!$D$32-Hipótesis!$D$31)*MAX(0,48-Hipótesis!$D$29)/Hipótesis!$D$33)</f>
        <v>0.55</v>
      </c>
      <c r="AY22" s="120" t="n">
        <f aca="false">MIN(Hipótesis!$D$32,Hipótesis!$D$31+(Hipótesis!$D$32-Hipótesis!$D$31)*MAX(0,49-Hipótesis!$D$29)/Hipótesis!$D$33)</f>
        <v>0.55</v>
      </c>
      <c r="AZ22" s="120" t="n">
        <f aca="false">MIN(Hipótesis!$D$32,Hipótesis!$D$31+(Hipótesis!$D$32-Hipótesis!$D$31)*MAX(0,50-Hipótesis!$D$29)/Hipótesis!$D$33)</f>
        <v>0.55</v>
      </c>
      <c r="BA22" s="120" t="n">
        <f aca="false">MIN(Hipótesis!$D$32,Hipótesis!$D$31+(Hipótesis!$D$32-Hipótesis!$D$31)*MAX(0,51-Hipótesis!$D$29)/Hipótesis!$D$33)</f>
        <v>0.55</v>
      </c>
      <c r="BB22" s="120" t="n">
        <f aca="false">MIN(Hipótesis!$D$32,Hipótesis!$D$31+(Hipótesis!$D$32-Hipótesis!$D$31)*MAX(0,52-Hipótesis!$D$29)/Hipótesis!$D$33)</f>
        <v>0.55</v>
      </c>
      <c r="BC22" s="120" t="n">
        <f aca="false">MIN(Hipótesis!$D$32,Hipótesis!$D$31+(Hipótesis!$D$32-Hipótesis!$D$31)*MAX(0,53-Hipótesis!$D$29)/Hipótesis!$D$33)</f>
        <v>0.55</v>
      </c>
      <c r="BD22" s="120" t="n">
        <f aca="false">MIN(Hipótesis!$D$32,Hipótesis!$D$31+(Hipótesis!$D$32-Hipótesis!$D$31)*MAX(0,54-Hipótesis!$D$29)/Hipótesis!$D$33)</f>
        <v>0.55</v>
      </c>
      <c r="BE22" s="120" t="n">
        <f aca="false">MIN(Hipótesis!$D$32,Hipótesis!$D$31+(Hipótesis!$D$32-Hipótesis!$D$31)*MAX(0,55-Hipótesis!$D$29)/Hipótesis!$D$33)</f>
        <v>0.55</v>
      </c>
      <c r="BF22" s="120" t="n">
        <f aca="false">MIN(Hipótesis!$D$32,Hipótesis!$D$31+(Hipótesis!$D$32-Hipótesis!$D$31)*MAX(0,56-Hipótesis!$D$29)/Hipótesis!$D$33)</f>
        <v>0.55</v>
      </c>
      <c r="BG22" s="120" t="n">
        <f aca="false">MIN(Hipótesis!$D$32,Hipótesis!$D$31+(Hipótesis!$D$32-Hipótesis!$D$31)*MAX(0,57-Hipótesis!$D$29)/Hipótesis!$D$33)</f>
        <v>0.55</v>
      </c>
      <c r="BH22" s="120" t="n">
        <f aca="false">MIN(Hipótesis!$D$32,Hipótesis!$D$31+(Hipótesis!$D$32-Hipótesis!$D$31)*MAX(0,58-Hipótesis!$D$29)/Hipótesis!$D$33)</f>
        <v>0.55</v>
      </c>
      <c r="BI22" s="120" t="n">
        <f aca="false">MIN(Hipótesis!$D$32,Hipótesis!$D$31+(Hipótesis!$D$32-Hipótesis!$D$31)*MAX(0,59-Hipótesis!$D$29)/Hipótesis!$D$33)</f>
        <v>0.55</v>
      </c>
      <c r="BJ22" s="120" t="n">
        <f aca="false">MIN(Hipótesis!$D$32,Hipótesis!$D$31+(Hipótesis!$D$32-Hipótesis!$D$31)*MAX(0,60-Hipótesis!$D$29)/Hipótesis!$D$33)</f>
        <v>0.55</v>
      </c>
      <c r="BK22" s="120" t="n">
        <f aca="false">MIN(Hipótesis!$D$32,Hipótesis!$D$31+(Hipótesis!$D$32-Hipótesis!$D$31)*MAX(0,61-Hipótesis!$D$29)/Hipótesis!$D$33)</f>
        <v>0.55</v>
      </c>
      <c r="BL22" s="120" t="n">
        <f aca="false">MIN(Hipótesis!$D$32,Hipótesis!$D$31+(Hipótesis!$D$32-Hipótesis!$D$31)*MAX(0,62-Hipótesis!$D$29)/Hipótesis!$D$33)</f>
        <v>0.55</v>
      </c>
      <c r="BM22" s="120" t="n">
        <f aca="false">MIN(Hipótesis!$D$32,Hipótesis!$D$31+(Hipótesis!$D$32-Hipótesis!$D$31)*MAX(0,63-Hipótesis!$D$29)/Hipótesis!$D$33)</f>
        <v>0.55</v>
      </c>
      <c r="BN22" s="120" t="n">
        <f aca="false">MIN(Hipótesis!$D$32,Hipótesis!$D$31+(Hipótesis!$D$32-Hipótesis!$D$31)*MAX(0,64-Hipótesis!$D$29)/Hipótesis!$D$33)</f>
        <v>0.55</v>
      </c>
      <c r="BO22" s="120" t="n">
        <f aca="false">MIN(Hipótesis!$D$32,Hipótesis!$D$31+(Hipótesis!$D$32-Hipótesis!$D$31)*MAX(0,65-Hipótesis!$D$29)/Hipótesis!$D$33)</f>
        <v>0.55</v>
      </c>
      <c r="BP22" s="120" t="n">
        <f aca="false">MIN(Hipótesis!$D$32,Hipótesis!$D$31+(Hipótesis!$D$32-Hipótesis!$D$31)*MAX(0,66-Hipótesis!$D$29)/Hipótesis!$D$33)</f>
        <v>0.55</v>
      </c>
      <c r="BQ22" s="120" t="n">
        <f aca="false">MIN(Hipótesis!$D$32,Hipótesis!$D$31+(Hipótesis!$D$32-Hipótesis!$D$31)*MAX(0,67-Hipótesis!$D$29)/Hipótesis!$D$33)</f>
        <v>0.55</v>
      </c>
      <c r="BR22" s="120" t="n">
        <f aca="false">MIN(Hipótesis!$D$32,Hipótesis!$D$31+(Hipótesis!$D$32-Hipótesis!$D$31)*MAX(0,68-Hipótesis!$D$29)/Hipótesis!$D$33)</f>
        <v>0.55</v>
      </c>
      <c r="BS22" s="120" t="n">
        <f aca="false">MIN(Hipótesis!$D$32,Hipótesis!$D$31+(Hipótesis!$D$32-Hipótesis!$D$31)*MAX(0,69-Hipótesis!$D$29)/Hipótesis!$D$33)</f>
        <v>0.55</v>
      </c>
      <c r="BT22" s="120" t="n">
        <f aca="false">MIN(Hipótesis!$D$32,Hipótesis!$D$31+(Hipótesis!$D$32-Hipótesis!$D$31)*MAX(0,70-Hipótesis!$D$29)/Hipótesis!$D$33)</f>
        <v>0.55</v>
      </c>
      <c r="BU22" s="120" t="n">
        <f aca="false">MIN(Hipótesis!$D$32,Hipótesis!$D$31+(Hipótesis!$D$32-Hipótesis!$D$31)*MAX(0,71-Hipótesis!$D$29)/Hipótesis!$D$33)</f>
        <v>0.55</v>
      </c>
      <c r="BV22" s="120" t="n">
        <f aca="false">MIN(Hipótesis!$D$32,Hipótesis!$D$31+(Hipótesis!$D$32-Hipótesis!$D$31)*MAX(0,72-Hipótesis!$D$29)/Hipótesis!$D$33)</f>
        <v>0.55</v>
      </c>
      <c r="BW22" s="120" t="n">
        <f aca="false">MIN(Hipótesis!$D$32,Hipótesis!$D$31+(Hipótesis!$D$32-Hipótesis!$D$31)*MAX(0,73-Hipótesis!$D$29)/Hipótesis!$D$33)</f>
        <v>0.55</v>
      </c>
      <c r="BX22" s="120" t="n">
        <f aca="false">MIN(Hipótesis!$D$32,Hipótesis!$D$31+(Hipótesis!$D$32-Hipótesis!$D$31)*MAX(0,74-Hipótesis!$D$29)/Hipótesis!$D$33)</f>
        <v>0.55</v>
      </c>
      <c r="BY22" s="120" t="n">
        <f aca="false">MIN(Hipótesis!$D$32,Hipótesis!$D$31+(Hipótesis!$D$32-Hipótesis!$D$31)*MAX(0,75-Hipótesis!$D$29)/Hipótesis!$D$33)</f>
        <v>0.55</v>
      </c>
      <c r="BZ22" s="120" t="n">
        <f aca="false">MIN(Hipótesis!$D$32,Hipótesis!$D$31+(Hipótesis!$D$32-Hipótesis!$D$31)*MAX(0,76-Hipótesis!$D$29)/Hipótesis!$D$33)</f>
        <v>0.55</v>
      </c>
      <c r="CA22" s="120" t="n">
        <f aca="false">MIN(Hipótesis!$D$32,Hipótesis!$D$31+(Hipótesis!$D$32-Hipótesis!$D$31)*MAX(0,77-Hipótesis!$D$29)/Hipótesis!$D$33)</f>
        <v>0.55</v>
      </c>
      <c r="CB22" s="120" t="n">
        <f aca="false">MIN(Hipótesis!$D$32,Hipótesis!$D$31+(Hipótesis!$D$32-Hipótesis!$D$31)*MAX(0,78-Hipótesis!$D$29)/Hipótesis!$D$33)</f>
        <v>0.55</v>
      </c>
      <c r="CC22" s="120" t="n">
        <f aca="false">MIN(Hipótesis!$D$32,Hipótesis!$D$31+(Hipótesis!$D$32-Hipótesis!$D$31)*MAX(0,79-Hipótesis!$D$29)/Hipótesis!$D$33)</f>
        <v>0.55</v>
      </c>
      <c r="CD22" s="120" t="n">
        <f aca="false">MIN(Hipótesis!$D$32,Hipótesis!$D$31+(Hipótesis!$D$32-Hipótesis!$D$31)*MAX(0,80-Hipótesis!$D$29)/Hipótesis!$D$33)</f>
        <v>0.55</v>
      </c>
      <c r="CE22" s="120" t="n">
        <f aca="false">MIN(Hipótesis!$D$32,Hipótesis!$D$31+(Hipótesis!$D$32-Hipótesis!$D$31)*MAX(0,81-Hipótesis!$D$29)/Hipótesis!$D$33)</f>
        <v>0.55</v>
      </c>
      <c r="CF22" s="120" t="n">
        <f aca="false">MIN(Hipótesis!$D$32,Hipótesis!$D$31+(Hipótesis!$D$32-Hipótesis!$D$31)*MAX(0,82-Hipótesis!$D$29)/Hipótesis!$D$33)</f>
        <v>0.55</v>
      </c>
      <c r="CG22" s="120" t="n">
        <f aca="false">MIN(Hipótesis!$D$32,Hipótesis!$D$31+(Hipótesis!$D$32-Hipótesis!$D$31)*MAX(0,83-Hipótesis!$D$29)/Hipótesis!$D$33)</f>
        <v>0.55</v>
      </c>
      <c r="CH22" s="120" t="n">
        <f aca="false">MIN(Hipótesis!$D$32,Hipótesis!$D$31+(Hipótesis!$D$32-Hipótesis!$D$31)*MAX(0,84-Hipótesis!$D$29)/Hipótesis!$D$33)</f>
        <v>0.55</v>
      </c>
    </row>
    <row r="23" customFormat="false" ht="13.5" hidden="false" customHeight="true" outlineLevel="0" collapsed="false">
      <c r="A23" s="6" t="s">
        <v>531</v>
      </c>
      <c r="C23" s="110" t="n">
        <f aca="false">MAX(0,MIN(C8*C22,C8-C18*C21))</f>
        <v>0</v>
      </c>
      <c r="D23" s="110" t="n">
        <f aca="false">MAX(0,MIN(D8*D22,D8-D18*D21))</f>
        <v>0</v>
      </c>
      <c r="E23" s="110" t="n">
        <f aca="false">MAX(0,MIN(E8*E22,E8-E18*E21))</f>
        <v>0</v>
      </c>
      <c r="F23" s="110" t="n">
        <f aca="false">MAX(0,MIN(F8*F22,F8-F18*F21))</f>
        <v>0</v>
      </c>
      <c r="G23" s="110" t="n">
        <f aca="false">MAX(0,MIN(G8*G22,G8-G18*G21))</f>
        <v>0</v>
      </c>
      <c r="H23" s="110" t="n">
        <f aca="false">MAX(0,MIN(H8*H22,H8-H18*H21))</f>
        <v>0</v>
      </c>
      <c r="I23" s="110" t="n">
        <f aca="false">MAX(0,MIN(I8*I22,I8-I18*I21))</f>
        <v>44</v>
      </c>
      <c r="J23" s="110" t="n">
        <f aca="false">MAX(0,MIN(J8*J22,J8-J18*J21))</f>
        <v>88</v>
      </c>
      <c r="K23" s="110" t="n">
        <f aca="false">MAX(0,MIN(K8*K22,K8-K18*K21))</f>
        <v>132</v>
      </c>
      <c r="L23" s="110" t="n">
        <f aca="false">MAX(0,MIN(L8*L22,L8-L18*L21))</f>
        <v>176</v>
      </c>
      <c r="M23" s="110" t="n">
        <f aca="false">MAX(0,MIN(M8*M22,M8-M18*M21))</f>
        <v>220</v>
      </c>
      <c r="N23" s="110" t="n">
        <f aca="false">MAX(0,MIN(N8*N22,N8-N18*N21))</f>
        <v>264</v>
      </c>
      <c r="O23" s="110" t="n">
        <f aca="false">MAX(0,MIN(O8*O22,O8-O18*O21))</f>
        <v>308</v>
      </c>
      <c r="P23" s="110" t="n">
        <f aca="false">MAX(0,MIN(P8*P22,P8-P18*P21))</f>
        <v>352</v>
      </c>
      <c r="Q23" s="110" t="n">
        <f aca="false">MAX(0,MIN(Q8*Q22,Q8-Q18*Q21))</f>
        <v>396</v>
      </c>
      <c r="R23" s="110" t="n">
        <f aca="false">MAX(0,MIN(R8*R22,R8-R18*R21))</f>
        <v>440</v>
      </c>
      <c r="S23" s="110" t="n">
        <f aca="false">MAX(0,MIN(S8*S22,S8-S18*S21))</f>
        <v>484</v>
      </c>
      <c r="T23" s="110" t="n">
        <f aca="false">MAX(0,MIN(T8*T22,T8-T18*T21))</f>
        <v>528</v>
      </c>
      <c r="U23" s="110" t="n">
        <f aca="false">MAX(0,MIN(U8*U22,U8-U18*U21))</f>
        <v>572</v>
      </c>
      <c r="V23" s="110" t="n">
        <f aca="false">MAX(0,MIN(V8*V22,V8-V18*V21))</f>
        <v>616</v>
      </c>
      <c r="W23" s="110" t="n">
        <f aca="false">MAX(0,MIN(W8*W22,W8-W18*W21))</f>
        <v>660</v>
      </c>
      <c r="X23" s="110" t="n">
        <f aca="false">MAX(0,MIN(X8*X22,X8-X18*X21))</f>
        <v>704</v>
      </c>
      <c r="Y23" s="110" t="n">
        <f aca="false">MAX(0,MIN(Y8*Y22,Y8-Y18*Y21))</f>
        <v>748</v>
      </c>
      <c r="Z23" s="110" t="n">
        <f aca="false">MAX(0,MIN(Z8*Z22,Z8-Z18*Z21))</f>
        <v>792</v>
      </c>
      <c r="AA23" s="110" t="n">
        <f aca="false">MAX(0,MIN(AA8*AA22,AA8-AA18*AA21))</f>
        <v>836</v>
      </c>
      <c r="AB23" s="110" t="n">
        <f aca="false">MAX(0,MIN(AB8*AB22,AB8-AB18*AB21))</f>
        <v>880</v>
      </c>
      <c r="AC23" s="110" t="n">
        <f aca="false">MAX(0,MIN(AC8*AC22,AC8-AC18*AC21))</f>
        <v>924</v>
      </c>
      <c r="AD23" s="110" t="n">
        <f aca="false">MAX(0,MIN(AD8*AD22,AD8-AD18*AD21))</f>
        <v>968</v>
      </c>
      <c r="AE23" s="110" t="n">
        <f aca="false">MAX(0,MIN(AE8*AE22,AE8-AE18*AE21))</f>
        <v>1012</v>
      </c>
      <c r="AF23" s="110" t="n">
        <f aca="false">MAX(0,MIN(AF8*AF22,AF8-AF18*AF21))</f>
        <v>1056</v>
      </c>
      <c r="AG23" s="110" t="n">
        <f aca="false">MAX(0,MIN(AG8*AG22,AG8-AG18*AG21))</f>
        <v>1100</v>
      </c>
      <c r="AH23" s="110" t="n">
        <f aca="false">MAX(0,MIN(AH8*AH22,AH8-AH18*AH21))</f>
        <v>1144</v>
      </c>
      <c r="AI23" s="110" t="n">
        <f aca="false">MAX(0,MIN(AI8*AI22,AI8-AI18*AI21))</f>
        <v>1188</v>
      </c>
      <c r="AJ23" s="110" t="n">
        <f aca="false">MAX(0,MIN(AJ8*AJ22,AJ8-AJ18*AJ21))</f>
        <v>1232</v>
      </c>
      <c r="AK23" s="110" t="n">
        <f aca="false">MAX(0,MIN(AK8*AK22,AK8-AK18*AK21))</f>
        <v>1276</v>
      </c>
      <c r="AL23" s="110" t="n">
        <f aca="false">MAX(0,MIN(AL8*AL22,AL8-AL18*AL21))</f>
        <v>1320</v>
      </c>
      <c r="AM23" s="110" t="n">
        <f aca="false">MAX(0,MIN(AM8*AM22,AM8-AM18*AM21))</f>
        <v>1364</v>
      </c>
      <c r="AN23" s="110" t="n">
        <f aca="false">MAX(0,MIN(AN8*AN22,AN8-AN18*AN21))</f>
        <v>1408</v>
      </c>
      <c r="AO23" s="110" t="n">
        <f aca="false">MAX(0,MIN(AO8*AO22,AO8-AO18*AO21))</f>
        <v>1452</v>
      </c>
      <c r="AP23" s="110" t="n">
        <f aca="false">MAX(0,MIN(AP8*AP22,AP8-AP18*AP21))</f>
        <v>1496</v>
      </c>
      <c r="AQ23" s="110" t="n">
        <f aca="false">MAX(0,MIN(AQ8*AQ22,AQ8-AQ18*AQ21))</f>
        <v>1540</v>
      </c>
      <c r="AR23" s="110" t="n">
        <f aca="false">MAX(0,MIN(AR8*AR22,AR8-AR18*AR21))</f>
        <v>1584</v>
      </c>
      <c r="AS23" s="110" t="n">
        <f aca="false">MAX(0,MIN(AS8*AS22,AS8-AS18*AS21))</f>
        <v>1584</v>
      </c>
      <c r="AT23" s="110" t="n">
        <f aca="false">MAX(0,MIN(AT8*AT22,AT8-AT18*AT21))</f>
        <v>1584</v>
      </c>
      <c r="AU23" s="110" t="n">
        <f aca="false">MAX(0,MIN(AU8*AU22,AU8-AU18*AU21))</f>
        <v>1584</v>
      </c>
      <c r="AV23" s="110" t="n">
        <f aca="false">MAX(0,MIN(AV8*AV22,AV8-AV18*AV21))</f>
        <v>1584</v>
      </c>
      <c r="AW23" s="110" t="n">
        <f aca="false">MAX(0,MIN(AW8*AW22,AW8-AW18*AW21))</f>
        <v>1584</v>
      </c>
      <c r="AX23" s="110" t="n">
        <f aca="false">MAX(0,MIN(AX8*AX22,AX8-AX18*AX21))</f>
        <v>1584</v>
      </c>
      <c r="AY23" s="110" t="n">
        <f aca="false">MAX(0,MIN(AY8*AY22,AY8-AY18*AY21))</f>
        <v>1584</v>
      </c>
      <c r="AZ23" s="110" t="n">
        <f aca="false">MAX(0,MIN(AZ8*AZ22,AZ8-AZ18*AZ21))</f>
        <v>1584</v>
      </c>
      <c r="BA23" s="110" t="n">
        <f aca="false">MAX(0,MIN(BA8*BA22,BA8-BA18*BA21))</f>
        <v>1584</v>
      </c>
      <c r="BB23" s="110" t="n">
        <f aca="false">MAX(0,MIN(BB8*BB22,BB8-BB18*BB21))</f>
        <v>1584</v>
      </c>
      <c r="BC23" s="110" t="n">
        <f aca="false">MAX(0,MIN(BC8*BC22,BC8-BC18*BC21))</f>
        <v>1584</v>
      </c>
      <c r="BD23" s="110" t="n">
        <f aca="false">MAX(0,MIN(BD8*BD22,BD8-BD18*BD21))</f>
        <v>1584</v>
      </c>
      <c r="BE23" s="110" t="n">
        <f aca="false">MAX(0,MIN(BE8*BE22,BE8-BE18*BE21))</f>
        <v>1584</v>
      </c>
      <c r="BF23" s="110" t="n">
        <f aca="false">MAX(0,MIN(BF8*BF22,BF8-BF18*BF21))</f>
        <v>1584</v>
      </c>
      <c r="BG23" s="110" t="n">
        <f aca="false">MAX(0,MIN(BG8*BG22,BG8-BG18*BG21))</f>
        <v>1584</v>
      </c>
      <c r="BH23" s="110" t="n">
        <f aca="false">MAX(0,MIN(BH8*BH22,BH8-BH18*BH21))</f>
        <v>1584</v>
      </c>
      <c r="BI23" s="110" t="n">
        <f aca="false">MAX(0,MIN(BI8*BI22,BI8-BI18*BI21))</f>
        <v>1584</v>
      </c>
      <c r="BJ23" s="110" t="n">
        <f aca="false">MAX(0,MIN(BJ8*BJ22,BJ8-BJ18*BJ21))</f>
        <v>1584</v>
      </c>
      <c r="BK23" s="110" t="n">
        <f aca="false">MAX(0,MIN(BK8*BK22,BK8-BK18*BK21))</f>
        <v>1584</v>
      </c>
      <c r="BL23" s="110" t="n">
        <f aca="false">MAX(0,MIN(BL8*BL22,BL8-BL18*BL21))</f>
        <v>1584</v>
      </c>
      <c r="BM23" s="110" t="n">
        <f aca="false">MAX(0,MIN(BM8*BM22,BM8-BM18*BM21))</f>
        <v>1584</v>
      </c>
      <c r="BN23" s="110" t="n">
        <f aca="false">MAX(0,MIN(BN8*BN22,BN8-BN18*BN21))</f>
        <v>1584</v>
      </c>
      <c r="BO23" s="110" t="n">
        <f aca="false">MAX(0,MIN(BO8*BO22,BO8-BO18*BO21))</f>
        <v>1584</v>
      </c>
      <c r="BP23" s="110" t="n">
        <f aca="false">MAX(0,MIN(BP8*BP22,BP8-BP18*BP21))</f>
        <v>1584</v>
      </c>
      <c r="BQ23" s="110" t="n">
        <f aca="false">MAX(0,MIN(BQ8*BQ22,BQ8-BQ18*BQ21))</f>
        <v>1584</v>
      </c>
      <c r="BR23" s="110" t="n">
        <f aca="false">MAX(0,MIN(BR8*BR22,BR8-BR18*BR21))</f>
        <v>1584</v>
      </c>
      <c r="BS23" s="110" t="n">
        <f aca="false">MAX(0,MIN(BS8*BS22,BS8-BS18*BS21))</f>
        <v>1584</v>
      </c>
      <c r="BT23" s="110" t="n">
        <f aca="false">MAX(0,MIN(BT8*BT22,BT8-BT18*BT21))</f>
        <v>1584</v>
      </c>
      <c r="BU23" s="110" t="n">
        <f aca="false">MAX(0,MIN(BU8*BU22,BU8-BU18*BU21))</f>
        <v>1584</v>
      </c>
      <c r="BV23" s="110" t="n">
        <f aca="false">MAX(0,MIN(BV8*BV22,BV8-BV18*BV21))</f>
        <v>1584</v>
      </c>
      <c r="BW23" s="110" t="n">
        <f aca="false">MAX(0,MIN(BW8*BW22,BW8-BW18*BW21))</f>
        <v>1584</v>
      </c>
      <c r="BX23" s="110" t="n">
        <f aca="false">MAX(0,MIN(BX8*BX22,BX8-BX18*BX21))</f>
        <v>1584</v>
      </c>
      <c r="BY23" s="110" t="n">
        <f aca="false">MAX(0,MIN(BY8*BY22,BY8-BY18*BY21))</f>
        <v>1584</v>
      </c>
      <c r="BZ23" s="110" t="n">
        <f aca="false">MAX(0,MIN(BZ8*BZ22,BZ8-BZ18*BZ21))</f>
        <v>1584</v>
      </c>
      <c r="CA23" s="110" t="n">
        <f aca="false">MAX(0,MIN(CA8*CA22,CA8-CA18*CA21))</f>
        <v>1584</v>
      </c>
      <c r="CB23" s="110" t="n">
        <f aca="false">MAX(0,MIN(CB8*CB22,CB8-CB18*CB21))</f>
        <v>1584</v>
      </c>
      <c r="CC23" s="110" t="n">
        <f aca="false">MAX(0,MIN(CC8*CC22,CC8-CC18*CC21))</f>
        <v>1584</v>
      </c>
      <c r="CD23" s="110" t="n">
        <f aca="false">MAX(0,MIN(CD8*CD22,CD8-CD18*CD21))</f>
        <v>1584</v>
      </c>
      <c r="CE23" s="110" t="n">
        <f aca="false">MAX(0,MIN(CE8*CE22,CE8-CE18*CE21))</f>
        <v>1584</v>
      </c>
      <c r="CF23" s="110" t="n">
        <f aca="false">MAX(0,MIN(CF8*CF22,CF8-CF18*CF21))</f>
        <v>1584</v>
      </c>
      <c r="CG23" s="110" t="n">
        <f aca="false">MAX(0,MIN(CG8*CG22,CG8-CG18*CG21))</f>
        <v>1584</v>
      </c>
      <c r="CH23" s="110" t="n">
        <f aca="false">MAX(0,MIN(CH8*CH22,CH8-CH18*CH21))</f>
        <v>1584</v>
      </c>
    </row>
    <row r="24" customFormat="false" ht="13.5" hidden="false" customHeight="true" outlineLevel="0" collapsed="false">
      <c r="A24" s="22" t="s">
        <v>532</v>
      </c>
      <c r="C24" s="110" t="n">
        <f aca="false">C18*C21+C23</f>
        <v>40.2339469647162</v>
      </c>
      <c r="D24" s="110" t="n">
        <f aca="false">D18*D21+D23</f>
        <v>82.3352799370899</v>
      </c>
      <c r="E24" s="110" t="n">
        <f aca="false">E18*E21+E23</f>
        <v>155.435557112391</v>
      </c>
      <c r="F24" s="110" t="n">
        <f aca="false">F18*F21+F23</f>
        <v>188.301887322976</v>
      </c>
      <c r="G24" s="110" t="n">
        <f aca="false">G18*G21+G23</f>
        <v>219.300831525904</v>
      </c>
      <c r="H24" s="110" t="n">
        <f aca="false">H18*H21+H23</f>
        <v>271.696907066574</v>
      </c>
      <c r="I24" s="110" t="n">
        <f aca="false">I18*I21+I23</f>
        <v>368.092982607244</v>
      </c>
      <c r="J24" s="110" t="n">
        <f aca="false">J18*J21+J23</f>
        <v>464.489058147914</v>
      </c>
      <c r="K24" s="110" t="n">
        <f aca="false">K18*K21+K23</f>
        <v>560.885133688584</v>
      </c>
      <c r="L24" s="110" t="n">
        <f aca="false">L18*L21+L23</f>
        <v>657.281209229254</v>
      </c>
      <c r="M24" s="110" t="n">
        <f aca="false">M18*M21+M23</f>
        <v>722.678340566996</v>
      </c>
      <c r="N24" s="110" t="n">
        <f aca="false">N18*N21+N23</f>
        <v>819.198572032363</v>
      </c>
      <c r="O24" s="110" t="n">
        <f aca="false">O18*O21+O23</f>
        <v>915.71880349773</v>
      </c>
      <c r="P24" s="110" t="n">
        <f aca="false">P18*P21+P23</f>
        <v>1003.29114367641</v>
      </c>
      <c r="Q24" s="110" t="n">
        <f aca="false">Q18*Q21+Q23</f>
        <v>1090.86348385508</v>
      </c>
      <c r="R24" s="110" t="n">
        <f aca="false">R18*R21+R23</f>
        <v>1178.43582403376</v>
      </c>
      <c r="S24" s="110" t="n">
        <f aca="false">S18*S21+S23</f>
        <v>1266.00816421243</v>
      </c>
      <c r="T24" s="110" t="n">
        <f aca="false">T18*T21+T23</f>
        <v>1353.58050439111</v>
      </c>
      <c r="U24" s="110" t="n">
        <f aca="false">U18*U21+U23</f>
        <v>1441.15284456978</v>
      </c>
      <c r="V24" s="110" t="n">
        <f aca="false">V18*V21+V23</f>
        <v>1528.72518474846</v>
      </c>
      <c r="W24" s="110" t="n">
        <f aca="false">W18*W21+W23</f>
        <v>1616.29752492713</v>
      </c>
      <c r="X24" s="110" t="n">
        <f aca="false">X18*X21+X23</f>
        <v>1672.74676497818</v>
      </c>
      <c r="Y24" s="110" t="n">
        <f aca="false">Y18*Y21+Y23</f>
        <v>1729.19600502923</v>
      </c>
      <c r="Z24" s="110" t="n">
        <f aca="false">Z18*Z21+Z23</f>
        <v>1773.19600502923</v>
      </c>
      <c r="AA24" s="110" t="n">
        <f aca="false">AA18*AA21+AA23</f>
        <v>1817.19600502923</v>
      </c>
      <c r="AB24" s="110" t="n">
        <f aca="false">AB18*AB21+AB23</f>
        <v>1861.19600502923</v>
      </c>
      <c r="AC24" s="110" t="n">
        <f aca="false">AC18*AC21+AC23</f>
        <v>1905.19600502923</v>
      </c>
      <c r="AD24" s="110" t="n">
        <f aca="false">AD18*AD21+AD23</f>
        <v>1949.19600502923</v>
      </c>
      <c r="AE24" s="110" t="n">
        <f aca="false">AE18*AE21+AE23</f>
        <v>1993.19600502923</v>
      </c>
      <c r="AF24" s="110" t="n">
        <f aca="false">AF18*AF21+AF23</f>
        <v>2037.19600502923</v>
      </c>
      <c r="AG24" s="110" t="n">
        <f aca="false">AG18*AG21+AG23</f>
        <v>2081.19600502923</v>
      </c>
      <c r="AH24" s="110" t="n">
        <f aca="false">AH18*AH21+AH23</f>
        <v>2125.19600502923</v>
      </c>
      <c r="AI24" s="110" t="n">
        <f aca="false">AI18*AI21+AI23</f>
        <v>2169.19600502923</v>
      </c>
      <c r="AJ24" s="110" t="n">
        <f aca="false">AJ18*AJ21+AJ23</f>
        <v>2213.19600502923</v>
      </c>
      <c r="AK24" s="110" t="n">
        <f aca="false">AK18*AK21+AK23</f>
        <v>2257.19600502923</v>
      </c>
      <c r="AL24" s="110" t="n">
        <f aca="false">AL18*AL21+AL23</f>
        <v>2301.19600502923</v>
      </c>
      <c r="AM24" s="110" t="n">
        <f aca="false">AM18*AM21+AM23</f>
        <v>2345.19600502923</v>
      </c>
      <c r="AN24" s="110" t="n">
        <f aca="false">AN18*AN21+AN23</f>
        <v>2389.19600502923</v>
      </c>
      <c r="AO24" s="110" t="n">
        <f aca="false">AO18*AO21+AO23</f>
        <v>2433.19600502923</v>
      </c>
      <c r="AP24" s="110" t="n">
        <f aca="false">AP18*AP21+AP23</f>
        <v>2477.19600502923</v>
      </c>
      <c r="AQ24" s="110" t="n">
        <f aca="false">AQ18*AQ21+AQ23</f>
        <v>2521.19600502923</v>
      </c>
      <c r="AR24" s="110" t="n">
        <f aca="false">AR18*AR21+AR23</f>
        <v>2565.19600502923</v>
      </c>
      <c r="AS24" s="110" t="n">
        <f aca="false">AS18*AS21+AS23</f>
        <v>2565.19600502923</v>
      </c>
      <c r="AT24" s="110" t="n">
        <f aca="false">AT18*AT21+AT23</f>
        <v>2565.19600502923</v>
      </c>
      <c r="AU24" s="110" t="n">
        <f aca="false">AU18*AU21+AU23</f>
        <v>2565.19600502923</v>
      </c>
      <c r="AV24" s="110" t="n">
        <f aca="false">AV18*AV21+AV23</f>
        <v>2565.19600502923</v>
      </c>
      <c r="AW24" s="110" t="n">
        <f aca="false">AW18*AW21+AW23</f>
        <v>2565.19600502923</v>
      </c>
      <c r="AX24" s="110" t="n">
        <f aca="false">AX18*AX21+AX23</f>
        <v>2565.19600502923</v>
      </c>
      <c r="AY24" s="110" t="n">
        <f aca="false">AY18*AY21+AY23</f>
        <v>2565.19600502923</v>
      </c>
      <c r="AZ24" s="110" t="n">
        <f aca="false">AZ18*AZ21+AZ23</f>
        <v>2565.19600502923</v>
      </c>
      <c r="BA24" s="110" t="n">
        <f aca="false">BA18*BA21+BA23</f>
        <v>2565.19600502923</v>
      </c>
      <c r="BB24" s="110" t="n">
        <f aca="false">BB18*BB21+BB23</f>
        <v>2565.19600502923</v>
      </c>
      <c r="BC24" s="110" t="n">
        <f aca="false">BC18*BC21+BC23</f>
        <v>2565.19600502923</v>
      </c>
      <c r="BD24" s="110" t="n">
        <f aca="false">BD18*BD21+BD23</f>
        <v>2565.19600502923</v>
      </c>
      <c r="BE24" s="110" t="n">
        <f aca="false">BE18*BE21+BE23</f>
        <v>2565.19600502923</v>
      </c>
      <c r="BF24" s="110" t="n">
        <f aca="false">BF18*BF21+BF23</f>
        <v>2565.19600502923</v>
      </c>
      <c r="BG24" s="110" t="n">
        <f aca="false">BG18*BG21+BG23</f>
        <v>2565.19600502923</v>
      </c>
      <c r="BH24" s="110" t="n">
        <f aca="false">BH18*BH21+BH23</f>
        <v>2565.19600502923</v>
      </c>
      <c r="BI24" s="110" t="n">
        <f aca="false">BI18*BI21+BI23</f>
        <v>2565.19600502923</v>
      </c>
      <c r="BJ24" s="110" t="n">
        <f aca="false">BJ18*BJ21+BJ23</f>
        <v>2565.19600502923</v>
      </c>
      <c r="BK24" s="110" t="n">
        <f aca="false">BK18*BK21+BK23</f>
        <v>2565.19600502923</v>
      </c>
      <c r="BL24" s="110" t="n">
        <f aca="false">BL18*BL21+BL23</f>
        <v>2565.19600502923</v>
      </c>
      <c r="BM24" s="110" t="n">
        <f aca="false">BM18*BM21+BM23</f>
        <v>2565.19600502923</v>
      </c>
      <c r="BN24" s="110" t="n">
        <f aca="false">BN18*BN21+BN23</f>
        <v>2565.19600502923</v>
      </c>
      <c r="BO24" s="110" t="n">
        <f aca="false">BO18*BO21+BO23</f>
        <v>2565.19600502923</v>
      </c>
      <c r="BP24" s="110" t="n">
        <f aca="false">BP18*BP21+BP23</f>
        <v>2565.19600502923</v>
      </c>
      <c r="BQ24" s="110" t="n">
        <f aca="false">BQ18*BQ21+BQ23</f>
        <v>2565.19600502923</v>
      </c>
      <c r="BR24" s="110" t="n">
        <f aca="false">BR18*BR21+BR23</f>
        <v>2565.19600502923</v>
      </c>
      <c r="BS24" s="110" t="n">
        <f aca="false">BS18*BS21+BS23</f>
        <v>2565.19600502923</v>
      </c>
      <c r="BT24" s="110" t="n">
        <f aca="false">BT18*BT21+BT23</f>
        <v>2565.19600502923</v>
      </c>
      <c r="BU24" s="110" t="n">
        <f aca="false">BU18*BU21+BU23</f>
        <v>2565.19600502923</v>
      </c>
      <c r="BV24" s="110" t="n">
        <f aca="false">BV18*BV21+BV23</f>
        <v>2565.19600502923</v>
      </c>
      <c r="BW24" s="110" t="n">
        <f aca="false">BW18*BW21+BW23</f>
        <v>2565.19600502923</v>
      </c>
      <c r="BX24" s="110" t="n">
        <f aca="false">BX18*BX21+BX23</f>
        <v>2565.19600502923</v>
      </c>
      <c r="BY24" s="110" t="n">
        <f aca="false">BY18*BY21+BY23</f>
        <v>2565.19600502923</v>
      </c>
      <c r="BZ24" s="110" t="n">
        <f aca="false">BZ18*BZ21+BZ23</f>
        <v>2565.19600502923</v>
      </c>
      <c r="CA24" s="110" t="n">
        <f aca="false">CA18*CA21+CA23</f>
        <v>2565.19600502923</v>
      </c>
      <c r="CB24" s="110" t="n">
        <f aca="false">CB18*CB21+CB23</f>
        <v>2565.19600502923</v>
      </c>
      <c r="CC24" s="110" t="n">
        <f aca="false">CC18*CC21+CC23</f>
        <v>2565.19600502923</v>
      </c>
      <c r="CD24" s="110" t="n">
        <f aca="false">CD18*CD21+CD23</f>
        <v>2565.19600502923</v>
      </c>
      <c r="CE24" s="110" t="n">
        <f aca="false">CE18*CE21+CE23</f>
        <v>2565.19600502923</v>
      </c>
      <c r="CF24" s="110" t="n">
        <f aca="false">CF18*CF21+CF23</f>
        <v>2565.19600502923</v>
      </c>
      <c r="CG24" s="110" t="n">
        <f aca="false">CG18*CG21+CG23</f>
        <v>2565.19600502923</v>
      </c>
      <c r="CH24" s="110" t="n">
        <f aca="false">CH18*CH21+CH23</f>
        <v>2565.19600502923</v>
      </c>
    </row>
    <row r="25" customFormat="false" ht="13.5" hidden="false" customHeight="true" outlineLevel="0" collapsed="false">
      <c r="A25" s="6" t="s">
        <v>533</v>
      </c>
      <c r="C25" s="120" t="n">
        <f aca="false">IFERROR(C24/C8,0)</f>
        <v>0.0419103614215794</v>
      </c>
      <c r="D25" s="120" t="n">
        <f aca="false">IFERROR(D24/D8,0)</f>
        <v>0.0571772777340902</v>
      </c>
      <c r="E25" s="120" t="n">
        <f aca="false">IFERROR(E24/E8,0)</f>
        <v>0.0809560193293705</v>
      </c>
      <c r="F25" s="120" t="n">
        <f aca="false">IFERROR(F24/F8,0)</f>
        <v>0.0784591197179069</v>
      </c>
      <c r="G25" s="120" t="n">
        <f aca="false">IFERROR(G24/G8,0)</f>
        <v>0.0761461220576056</v>
      </c>
      <c r="H25" s="120" t="n">
        <f aca="false">IFERROR(H24/H8,0)</f>
        <v>0.0943392038425605</v>
      </c>
      <c r="I25" s="120" t="n">
        <f aca="false">IFERROR(I24/I8,0)</f>
        <v>0.127810063405293</v>
      </c>
      <c r="J25" s="120" t="n">
        <f aca="false">IFERROR(J24/J8,0)</f>
        <v>0.161280922968026</v>
      </c>
      <c r="K25" s="120" t="n">
        <f aca="false">IFERROR(K24/K8,0)</f>
        <v>0.194751782530758</v>
      </c>
      <c r="L25" s="120" t="n">
        <f aca="false">IFERROR(L24/L8,0)</f>
        <v>0.228222642093491</v>
      </c>
      <c r="M25" s="120" t="n">
        <f aca="false">IFERROR(M24/M8,0)</f>
        <v>0.25092997936354</v>
      </c>
      <c r="N25" s="120" t="n">
        <f aca="false">IFERROR(N24/N8,0)</f>
        <v>0.284443948622348</v>
      </c>
      <c r="O25" s="120" t="n">
        <f aca="false">IFERROR(O24/O8,0)</f>
        <v>0.317957917881156</v>
      </c>
      <c r="P25" s="120" t="n">
        <f aca="false">IFERROR(P24/P8,0)</f>
        <v>0.348364980443196</v>
      </c>
      <c r="Q25" s="120" t="n">
        <f aca="false">IFERROR(Q24/Q8,0)</f>
        <v>0.378772043005236</v>
      </c>
      <c r="R25" s="120" t="n">
        <f aca="false">IFERROR(R24/R8,0)</f>
        <v>0.409179105567276</v>
      </c>
      <c r="S25" s="120" t="n">
        <f aca="false">IFERROR(S24/S8,0)</f>
        <v>0.439586168129316</v>
      </c>
      <c r="T25" s="120" t="n">
        <f aca="false">IFERROR(T24/T8,0)</f>
        <v>0.469993230691356</v>
      </c>
      <c r="U25" s="120" t="n">
        <f aca="false">IFERROR(U24/U8,0)</f>
        <v>0.500400293253396</v>
      </c>
      <c r="V25" s="120" t="n">
        <f aca="false">IFERROR(V24/V8,0)</f>
        <v>0.530807355815436</v>
      </c>
      <c r="W25" s="120" t="n">
        <f aca="false">IFERROR(W24/W8,0)</f>
        <v>0.561214418377476</v>
      </c>
      <c r="X25" s="120" t="n">
        <f aca="false">IFERROR(X24/X8,0)</f>
        <v>0.580814848950757</v>
      </c>
      <c r="Y25" s="120" t="n">
        <f aca="false">IFERROR(Y24/Y8,0)</f>
        <v>0.600415279524038</v>
      </c>
      <c r="Z25" s="120" t="n">
        <f aca="false">IFERROR(Z24/Z8,0)</f>
        <v>0.615693057301816</v>
      </c>
      <c r="AA25" s="120" t="n">
        <f aca="false">IFERROR(AA24/AA8,0)</f>
        <v>0.630970835079594</v>
      </c>
      <c r="AB25" s="120" t="n">
        <f aca="false">IFERROR(AB24/AB8,0)</f>
        <v>0.646248612857372</v>
      </c>
      <c r="AC25" s="120" t="n">
        <f aca="false">IFERROR(AC24/AC8,0)</f>
        <v>0.66152639063515</v>
      </c>
      <c r="AD25" s="120" t="n">
        <f aca="false">IFERROR(AD24/AD8,0)</f>
        <v>0.676804168412927</v>
      </c>
      <c r="AE25" s="120" t="n">
        <f aca="false">IFERROR(AE24/AE8,0)</f>
        <v>0.692081946190705</v>
      </c>
      <c r="AF25" s="120" t="n">
        <f aca="false">IFERROR(AF24/AF8,0)</f>
        <v>0.707359723968483</v>
      </c>
      <c r="AG25" s="120" t="n">
        <f aca="false">IFERROR(AG24/AG8,0)</f>
        <v>0.722637501746261</v>
      </c>
      <c r="AH25" s="120" t="n">
        <f aca="false">IFERROR(AH24/AH8,0)</f>
        <v>0.737915279524038</v>
      </c>
      <c r="AI25" s="120" t="n">
        <f aca="false">IFERROR(AI24/AI8,0)</f>
        <v>0.753193057301816</v>
      </c>
      <c r="AJ25" s="120" t="n">
        <f aca="false">IFERROR(AJ24/AJ8,0)</f>
        <v>0.768470835079594</v>
      </c>
      <c r="AK25" s="120" t="n">
        <f aca="false">IFERROR(AK24/AK8,0)</f>
        <v>0.783748612857372</v>
      </c>
      <c r="AL25" s="120" t="n">
        <f aca="false">IFERROR(AL24/AL8,0)</f>
        <v>0.79902639063515</v>
      </c>
      <c r="AM25" s="120" t="n">
        <f aca="false">IFERROR(AM24/AM8,0)</f>
        <v>0.814304168412927</v>
      </c>
      <c r="AN25" s="120" t="n">
        <f aca="false">IFERROR(AN24/AN8,0)</f>
        <v>0.829581946190705</v>
      </c>
      <c r="AO25" s="120" t="n">
        <f aca="false">IFERROR(AO24/AO8,0)</f>
        <v>0.844859723968483</v>
      </c>
      <c r="AP25" s="120" t="n">
        <f aca="false">IFERROR(AP24/AP8,0)</f>
        <v>0.860137501746261</v>
      </c>
      <c r="AQ25" s="120" t="n">
        <f aca="false">IFERROR(AQ24/AQ8,0)</f>
        <v>0.875415279524038</v>
      </c>
      <c r="AR25" s="120" t="n">
        <f aca="false">IFERROR(AR24/AR8,0)</f>
        <v>0.890693057301816</v>
      </c>
      <c r="AS25" s="120" t="n">
        <f aca="false">IFERROR(AS24/AS8,0)</f>
        <v>0.890693057301816</v>
      </c>
      <c r="AT25" s="120" t="n">
        <f aca="false">IFERROR(AT24/AT8,0)</f>
        <v>0.890693057301816</v>
      </c>
      <c r="AU25" s="120" t="n">
        <f aca="false">IFERROR(AU24/AU8,0)</f>
        <v>0.890693057301816</v>
      </c>
      <c r="AV25" s="120" t="n">
        <f aca="false">IFERROR(AV24/AV8,0)</f>
        <v>0.890693057301816</v>
      </c>
      <c r="AW25" s="120" t="n">
        <f aca="false">IFERROR(AW24/AW8,0)</f>
        <v>0.890693057301816</v>
      </c>
      <c r="AX25" s="120" t="n">
        <f aca="false">IFERROR(AX24/AX8,0)</f>
        <v>0.890693057301816</v>
      </c>
      <c r="AY25" s="120" t="n">
        <f aca="false">IFERROR(AY24/AY8,0)</f>
        <v>0.890693057301816</v>
      </c>
      <c r="AZ25" s="120" t="n">
        <f aca="false">IFERROR(AZ24/AZ8,0)</f>
        <v>0.890693057301816</v>
      </c>
      <c r="BA25" s="120" t="n">
        <f aca="false">IFERROR(BA24/BA8,0)</f>
        <v>0.890693057301816</v>
      </c>
      <c r="BB25" s="120" t="n">
        <f aca="false">IFERROR(BB24/BB8,0)</f>
        <v>0.890693057301816</v>
      </c>
      <c r="BC25" s="120" t="n">
        <f aca="false">IFERROR(BC24/BC8,0)</f>
        <v>0.890693057301816</v>
      </c>
      <c r="BD25" s="120" t="n">
        <f aca="false">IFERROR(BD24/BD8,0)</f>
        <v>0.890693057301816</v>
      </c>
      <c r="BE25" s="120" t="n">
        <f aca="false">IFERROR(BE24/BE8,0)</f>
        <v>0.890693057301816</v>
      </c>
      <c r="BF25" s="120" t="n">
        <f aca="false">IFERROR(BF24/BF8,0)</f>
        <v>0.890693057301816</v>
      </c>
      <c r="BG25" s="120" t="n">
        <f aca="false">IFERROR(BG24/BG8,0)</f>
        <v>0.890693057301816</v>
      </c>
      <c r="BH25" s="120" t="n">
        <f aca="false">IFERROR(BH24/BH8,0)</f>
        <v>0.890693057301816</v>
      </c>
      <c r="BI25" s="120" t="n">
        <f aca="false">IFERROR(BI24/BI8,0)</f>
        <v>0.890693057301816</v>
      </c>
      <c r="BJ25" s="120" t="n">
        <f aca="false">IFERROR(BJ24/BJ8,0)</f>
        <v>0.890693057301816</v>
      </c>
      <c r="BK25" s="120" t="n">
        <f aca="false">IFERROR(BK24/BK8,0)</f>
        <v>0.890693057301816</v>
      </c>
      <c r="BL25" s="120" t="n">
        <f aca="false">IFERROR(BL24/BL8,0)</f>
        <v>0.890693057301816</v>
      </c>
      <c r="BM25" s="120" t="n">
        <f aca="false">IFERROR(BM24/BM8,0)</f>
        <v>0.890693057301816</v>
      </c>
      <c r="BN25" s="120" t="n">
        <f aca="false">IFERROR(BN24/BN8,0)</f>
        <v>0.890693057301816</v>
      </c>
      <c r="BO25" s="120" t="n">
        <f aca="false">IFERROR(BO24/BO8,0)</f>
        <v>0.890693057301816</v>
      </c>
      <c r="BP25" s="120" t="n">
        <f aca="false">IFERROR(BP24/BP8,0)</f>
        <v>0.890693057301816</v>
      </c>
      <c r="BQ25" s="120" t="n">
        <f aca="false">IFERROR(BQ24/BQ8,0)</f>
        <v>0.890693057301816</v>
      </c>
      <c r="BR25" s="120" t="n">
        <f aca="false">IFERROR(BR24/BR8,0)</f>
        <v>0.890693057301816</v>
      </c>
      <c r="BS25" s="120" t="n">
        <f aca="false">IFERROR(BS24/BS8,0)</f>
        <v>0.890693057301816</v>
      </c>
      <c r="BT25" s="120" t="n">
        <f aca="false">IFERROR(BT24/BT8,0)</f>
        <v>0.890693057301816</v>
      </c>
      <c r="BU25" s="120" t="n">
        <f aca="false">IFERROR(BU24/BU8,0)</f>
        <v>0.890693057301816</v>
      </c>
      <c r="BV25" s="120" t="n">
        <f aca="false">IFERROR(BV24/BV8,0)</f>
        <v>0.890693057301816</v>
      </c>
      <c r="BW25" s="120" t="n">
        <f aca="false">IFERROR(BW24/BW8,0)</f>
        <v>0.890693057301816</v>
      </c>
      <c r="BX25" s="120" t="n">
        <f aca="false">IFERROR(BX24/BX8,0)</f>
        <v>0.890693057301816</v>
      </c>
      <c r="BY25" s="120" t="n">
        <f aca="false">IFERROR(BY24/BY8,0)</f>
        <v>0.890693057301816</v>
      </c>
      <c r="BZ25" s="120" t="n">
        <f aca="false">IFERROR(BZ24/BZ8,0)</f>
        <v>0.890693057301816</v>
      </c>
      <c r="CA25" s="120" t="n">
        <f aca="false">IFERROR(CA24/CA8,0)</f>
        <v>0.890693057301816</v>
      </c>
      <c r="CB25" s="120" t="n">
        <f aca="false">IFERROR(CB24/CB8,0)</f>
        <v>0.890693057301816</v>
      </c>
      <c r="CC25" s="120" t="n">
        <f aca="false">IFERROR(CC24/CC8,0)</f>
        <v>0.890693057301816</v>
      </c>
      <c r="CD25" s="120" t="n">
        <f aca="false">IFERROR(CD24/CD8,0)</f>
        <v>0.890693057301816</v>
      </c>
      <c r="CE25" s="120" t="n">
        <f aca="false">IFERROR(CE24/CE8,0)</f>
        <v>0.890693057301816</v>
      </c>
      <c r="CF25" s="120" t="n">
        <f aca="false">IFERROR(CF24/CF8,0)</f>
        <v>0.890693057301816</v>
      </c>
      <c r="CG25" s="120" t="n">
        <f aca="false">IFERROR(CG24/CG8,0)</f>
        <v>0.890693057301816</v>
      </c>
      <c r="CH25" s="120" t="n">
        <f aca="false">IFERROR(CH24/CH8,0)</f>
        <v>0.890693057301816</v>
      </c>
    </row>
    <row r="26" customFormat="false" ht="13.5" hidden="false" customHeight="true" outlineLevel="0" collapsed="false">
      <c r="A26" s="6" t="s">
        <v>262</v>
      </c>
      <c r="C26" s="110" t="n">
        <f aca="false">C20*C21+C23*Hipótesis!$D$23</f>
        <v>12.3975</v>
      </c>
      <c r="D26" s="110" t="n">
        <f aca="false">D20*D21+D23*Hipótesis!$D$23</f>
        <v>27.405</v>
      </c>
      <c r="E26" s="110" t="n">
        <f aca="false">E20*E21+E23*Hipótesis!$D$23</f>
        <v>75.69</v>
      </c>
      <c r="F26" s="110" t="n">
        <f aca="false">F20*F21+F23*Hipótesis!$D$23</f>
        <v>111.5775</v>
      </c>
      <c r="G26" s="110" t="n">
        <f aca="false">G20*G21+G23*Hipótesis!$D$23</f>
        <v>144.855</v>
      </c>
      <c r="H26" s="110" t="n">
        <f aca="false">H20*H21+H23*Hipótesis!$D$23</f>
        <v>208.03875</v>
      </c>
      <c r="I26" s="110" t="n">
        <f aca="false">I20*I21+I23*Hipótesis!$D$23</f>
        <v>325.651287891892</v>
      </c>
      <c r="J26" s="110" t="n">
        <f aca="false">J20*J21+J23*Hipótesis!$D$23</f>
        <v>443.263825783784</v>
      </c>
      <c r="K26" s="110" t="n">
        <f aca="false">K20*K21+K23*Hipótesis!$D$23</f>
        <v>560.876363675676</v>
      </c>
      <c r="L26" s="110" t="n">
        <f aca="false">L20*L21+L23*Hipótesis!$D$23</f>
        <v>678.488901567568</v>
      </c>
      <c r="M26" s="110" t="n">
        <f aca="false">M20*M21+M23*Hipótesis!$D$23</f>
        <v>762.82393945946</v>
      </c>
      <c r="N26" s="110" t="n">
        <f aca="false">N20*N21+N23*Hipótesis!$D$23</f>
        <v>890.658977351351</v>
      </c>
      <c r="O26" s="110" t="n">
        <f aca="false">O20*O21+O23*Hipótesis!$D$23</f>
        <v>1018.49401524324</v>
      </c>
      <c r="P26" s="110" t="n">
        <f aca="false">P20*P21+P23*Hipótesis!$D$23</f>
        <v>1133.82280313514</v>
      </c>
      <c r="Q26" s="110" t="n">
        <f aca="false">Q20*Q21+Q23*Hipótesis!$D$23</f>
        <v>1249.15159102703</v>
      </c>
      <c r="R26" s="110" t="n">
        <f aca="false">R20*R21+R23*Hipótesis!$D$23</f>
        <v>1364.48037891892</v>
      </c>
      <c r="S26" s="110" t="n">
        <f aca="false">S20*S21+S23*Hipótesis!$D$23</f>
        <v>1479.80916681081</v>
      </c>
      <c r="T26" s="110" t="n">
        <f aca="false">T20*T21+T23*Hipótesis!$D$23</f>
        <v>1595.1379547027</v>
      </c>
      <c r="U26" s="110" t="n">
        <f aca="false">U20*U21+U23*Hipótesis!$D$23</f>
        <v>1710.46674259459</v>
      </c>
      <c r="V26" s="110" t="n">
        <f aca="false">V20*V21+V23*Hipótesis!$D$23</f>
        <v>1825.79553048649</v>
      </c>
      <c r="W26" s="110" t="n">
        <f aca="false">W20*W21+W23*Hipótesis!$D$23</f>
        <v>1941.12431837838</v>
      </c>
      <c r="X26" s="110" t="n">
        <f aca="false">X20*X21+X23*Hipótesis!$D$23</f>
        <v>2012.95310627027</v>
      </c>
      <c r="Y26" s="110" t="n">
        <f aca="false">Y20*Y21+Y23*Hipótesis!$D$23</f>
        <v>2084.78189416216</v>
      </c>
      <c r="Z26" s="110" t="n">
        <f aca="false">Z20*Z21+Z23*Hipótesis!$D$23</f>
        <v>2139.21068205405</v>
      </c>
      <c r="AA26" s="110" t="n">
        <f aca="false">AA20*AA21+AA23*Hipótesis!$D$23</f>
        <v>2193.63946994595</v>
      </c>
      <c r="AB26" s="110" t="n">
        <f aca="false">AB20*AB21+AB23*Hipótesis!$D$23</f>
        <v>2248.06825783784</v>
      </c>
      <c r="AC26" s="110" t="n">
        <f aca="false">AC20*AC21+AC23*Hipótesis!$D$23</f>
        <v>2302.49704572973</v>
      </c>
      <c r="AD26" s="110" t="n">
        <f aca="false">AD20*AD21+AD23*Hipótesis!$D$23</f>
        <v>2356.92583362162</v>
      </c>
      <c r="AE26" s="110" t="n">
        <f aca="false">AE20*AE21+AE23*Hipótesis!$D$23</f>
        <v>2411.35462151351</v>
      </c>
      <c r="AF26" s="110" t="n">
        <f aca="false">AF20*AF21+AF23*Hipótesis!$D$23</f>
        <v>2465.78340940541</v>
      </c>
      <c r="AG26" s="110" t="n">
        <f aca="false">AG20*AG21+AG23*Hipótesis!$D$23</f>
        <v>2520.2121972973</v>
      </c>
      <c r="AH26" s="110" t="n">
        <f aca="false">AH20*AH21+AH23*Hipótesis!$D$23</f>
        <v>2574.64098518919</v>
      </c>
      <c r="AI26" s="110" t="n">
        <f aca="false">AI20*AI21+AI23*Hipótesis!$D$23</f>
        <v>2629.06977308108</v>
      </c>
      <c r="AJ26" s="110" t="n">
        <f aca="false">AJ20*AJ21+AJ23*Hipótesis!$D$23</f>
        <v>2683.49856097297</v>
      </c>
      <c r="AK26" s="110" t="n">
        <f aca="false">AK20*AK21+AK23*Hipótesis!$D$23</f>
        <v>2737.92734886487</v>
      </c>
      <c r="AL26" s="110" t="n">
        <f aca="false">AL20*AL21+AL23*Hipótesis!$D$23</f>
        <v>2792.35613675676</v>
      </c>
      <c r="AM26" s="110" t="n">
        <f aca="false">AM20*AM21+AM23*Hipótesis!$D$23</f>
        <v>2846.78492464865</v>
      </c>
      <c r="AN26" s="110" t="n">
        <f aca="false">AN20*AN21+AN23*Hipótesis!$D$23</f>
        <v>2901.21371254054</v>
      </c>
      <c r="AO26" s="110" t="n">
        <f aca="false">AO20*AO21+AO23*Hipótesis!$D$23</f>
        <v>2955.64250043243</v>
      </c>
      <c r="AP26" s="110" t="n">
        <f aca="false">AP20*AP21+AP23*Hipótesis!$D$23</f>
        <v>3010.07128832433</v>
      </c>
      <c r="AQ26" s="110" t="n">
        <f aca="false">AQ20*AQ21+AQ23*Hipótesis!$D$23</f>
        <v>3064.50007621622</v>
      </c>
      <c r="AR26" s="110" t="n">
        <f aca="false">AR20*AR21+AR23*Hipótesis!$D$23</f>
        <v>3118.92886410811</v>
      </c>
      <c r="AS26" s="110" t="n">
        <f aca="false">AS20*AS21+AS23*Hipótesis!$D$23</f>
        <v>3118.92886410811</v>
      </c>
      <c r="AT26" s="110" t="n">
        <f aca="false">AT20*AT21+AT23*Hipótesis!$D$23</f>
        <v>3118.92886410811</v>
      </c>
      <c r="AU26" s="110" t="n">
        <f aca="false">AU20*AU21+AU23*Hipótesis!$D$23</f>
        <v>3118.92886410811</v>
      </c>
      <c r="AV26" s="110" t="n">
        <f aca="false">AV20*AV21+AV23*Hipótesis!$D$23</f>
        <v>3118.92886410811</v>
      </c>
      <c r="AW26" s="110" t="n">
        <f aca="false">AW20*AW21+AW23*Hipótesis!$D$23</f>
        <v>3118.92886410811</v>
      </c>
      <c r="AX26" s="110" t="n">
        <f aca="false">AX20*AX21+AX23*Hipótesis!$D$23</f>
        <v>3118.92886410811</v>
      </c>
      <c r="AY26" s="110" t="n">
        <f aca="false">AY20*AY21+AY23*Hipótesis!$D$23</f>
        <v>3118.92886410811</v>
      </c>
      <c r="AZ26" s="110" t="n">
        <f aca="false">AZ20*AZ21+AZ23*Hipótesis!$D$23</f>
        <v>3118.92886410811</v>
      </c>
      <c r="BA26" s="110" t="n">
        <f aca="false">BA20*BA21+BA23*Hipótesis!$D$23</f>
        <v>3118.92886410811</v>
      </c>
      <c r="BB26" s="110" t="n">
        <f aca="false">BB20*BB21+BB23*Hipótesis!$D$23</f>
        <v>3118.92886410811</v>
      </c>
      <c r="BC26" s="110" t="n">
        <f aca="false">BC20*BC21+BC23*Hipótesis!$D$23</f>
        <v>3118.92886410811</v>
      </c>
      <c r="BD26" s="110" t="n">
        <f aca="false">BD20*BD21+BD23*Hipótesis!$D$23</f>
        <v>3118.92886410811</v>
      </c>
      <c r="BE26" s="110" t="n">
        <f aca="false">BE20*BE21+BE23*Hipótesis!$D$23</f>
        <v>3118.92886410811</v>
      </c>
      <c r="BF26" s="110" t="n">
        <f aca="false">BF20*BF21+BF23*Hipótesis!$D$23</f>
        <v>3118.92886410811</v>
      </c>
      <c r="BG26" s="110" t="n">
        <f aca="false">BG20*BG21+BG23*Hipótesis!$D$23</f>
        <v>3118.92886410811</v>
      </c>
      <c r="BH26" s="110" t="n">
        <f aca="false">BH20*BH21+BH23*Hipótesis!$D$23</f>
        <v>3118.92886410811</v>
      </c>
      <c r="BI26" s="110" t="n">
        <f aca="false">BI20*BI21+BI23*Hipótesis!$D$23</f>
        <v>3118.92886410811</v>
      </c>
      <c r="BJ26" s="110" t="n">
        <f aca="false">BJ20*BJ21+BJ23*Hipótesis!$D$23</f>
        <v>3118.92886410811</v>
      </c>
      <c r="BK26" s="110" t="n">
        <f aca="false">BK20*BK21+BK23*Hipótesis!$D$23</f>
        <v>3118.92886410811</v>
      </c>
      <c r="BL26" s="110" t="n">
        <f aca="false">BL20*BL21+BL23*Hipótesis!$D$23</f>
        <v>3118.92886410811</v>
      </c>
      <c r="BM26" s="110" t="n">
        <f aca="false">BM20*BM21+BM23*Hipótesis!$D$23</f>
        <v>3118.92886410811</v>
      </c>
      <c r="BN26" s="110" t="n">
        <f aca="false">BN20*BN21+BN23*Hipótesis!$D$23</f>
        <v>3118.92886410811</v>
      </c>
      <c r="BO26" s="110" t="n">
        <f aca="false">BO20*BO21+BO23*Hipótesis!$D$23</f>
        <v>3118.92886410811</v>
      </c>
      <c r="BP26" s="110" t="n">
        <f aca="false">BP20*BP21+BP23*Hipótesis!$D$23</f>
        <v>3118.92886410811</v>
      </c>
      <c r="BQ26" s="110" t="n">
        <f aca="false">BQ20*BQ21+BQ23*Hipótesis!$D$23</f>
        <v>3118.92886410811</v>
      </c>
      <c r="BR26" s="110" t="n">
        <f aca="false">BR20*BR21+BR23*Hipótesis!$D$23</f>
        <v>3118.92886410811</v>
      </c>
      <c r="BS26" s="110" t="n">
        <f aca="false">BS20*BS21+BS23*Hipótesis!$D$23</f>
        <v>3118.92886410811</v>
      </c>
      <c r="BT26" s="110" t="n">
        <f aca="false">BT20*BT21+BT23*Hipótesis!$D$23</f>
        <v>3118.92886410811</v>
      </c>
      <c r="BU26" s="110" t="n">
        <f aca="false">BU20*BU21+BU23*Hipótesis!$D$23</f>
        <v>3118.92886410811</v>
      </c>
      <c r="BV26" s="110" t="n">
        <f aca="false">BV20*BV21+BV23*Hipótesis!$D$23</f>
        <v>3118.92886410811</v>
      </c>
      <c r="BW26" s="110" t="n">
        <f aca="false">BW20*BW21+BW23*Hipótesis!$D$23</f>
        <v>3118.92886410811</v>
      </c>
      <c r="BX26" s="110" t="n">
        <f aca="false">BX20*BX21+BX23*Hipótesis!$D$23</f>
        <v>3118.92886410811</v>
      </c>
      <c r="BY26" s="110" t="n">
        <f aca="false">BY20*BY21+BY23*Hipótesis!$D$23</f>
        <v>3118.92886410811</v>
      </c>
      <c r="BZ26" s="110" t="n">
        <f aca="false">BZ20*BZ21+BZ23*Hipótesis!$D$23</f>
        <v>3118.92886410811</v>
      </c>
      <c r="CA26" s="110" t="n">
        <f aca="false">CA20*CA21+CA23*Hipótesis!$D$23</f>
        <v>3118.92886410811</v>
      </c>
      <c r="CB26" s="110" t="n">
        <f aca="false">CB20*CB21+CB23*Hipótesis!$D$23</f>
        <v>3118.92886410811</v>
      </c>
      <c r="CC26" s="110" t="n">
        <f aca="false">CC20*CC21+CC23*Hipótesis!$D$23</f>
        <v>3118.92886410811</v>
      </c>
      <c r="CD26" s="110" t="n">
        <f aca="false">CD20*CD21+CD23*Hipótesis!$D$23</f>
        <v>3118.92886410811</v>
      </c>
      <c r="CE26" s="110" t="n">
        <f aca="false">CE20*CE21+CE23*Hipótesis!$D$23</f>
        <v>3118.92886410811</v>
      </c>
      <c r="CF26" s="110" t="n">
        <f aca="false">CF20*CF21+CF23*Hipótesis!$D$23</f>
        <v>3118.92886410811</v>
      </c>
      <c r="CG26" s="110" t="n">
        <f aca="false">CG20*CG21+CG23*Hipótesis!$D$23</f>
        <v>3118.92886410811</v>
      </c>
      <c r="CH26" s="110" t="n">
        <f aca="false">CH20*CH21+CH23*Hipótesis!$D$23</f>
        <v>3118.92886410811</v>
      </c>
    </row>
    <row r="27" customFormat="false" ht="13.5" hidden="false" customHeight="true" outlineLevel="0" collapsed="false">
      <c r="A27" s="6" t="s">
        <v>447</v>
      </c>
      <c r="C27" s="110" t="n">
        <f aca="false">C17*C21+C23*Hipótesis!$D$24</f>
        <v>102.916666666667</v>
      </c>
      <c r="D27" s="110" t="n">
        <f aca="false">D17*D21+D23*Hipótesis!$D$24</f>
        <v>221.186274509804</v>
      </c>
      <c r="E27" s="110" t="n">
        <f aca="false">E17*E21+E23*Hipótesis!$D$24</f>
        <v>538.868509903962</v>
      </c>
      <c r="F27" s="110" t="n">
        <f aca="false">F17*F21+F23*Hipótesis!$D$24</f>
        <v>753.634078631453</v>
      </c>
      <c r="G27" s="110" t="n">
        <f aca="false">G17*G21+G23*Hipótesis!$D$24</f>
        <v>953.046706182473</v>
      </c>
      <c r="H27" s="110" t="n">
        <f aca="false">H17*H21+H23*Hipótesis!$D$24</f>
        <v>1328.37845138055</v>
      </c>
      <c r="I27" s="110" t="n">
        <f aca="false">I17*I21+I23*Hipótesis!$D$24</f>
        <v>2005.22973711917</v>
      </c>
      <c r="J27" s="110" t="n">
        <f aca="false">J17*J21+J23*Hipótesis!$D$24</f>
        <v>2682.08102285779</v>
      </c>
      <c r="K27" s="110" t="n">
        <f aca="false">K17*K21+K23*Hipótesis!$D$24</f>
        <v>3358.93230859641</v>
      </c>
      <c r="L27" s="110" t="n">
        <f aca="false">L17*L21+L23*Hipótesis!$D$24</f>
        <v>4035.78359433503</v>
      </c>
      <c r="M27" s="110" t="n">
        <f aca="false">M17*M21+M23*Hipótesis!$D$24</f>
        <v>4513.22225252263</v>
      </c>
      <c r="N27" s="110" t="n">
        <f aca="false">N17*N21+N23*Hipótesis!$D$24</f>
        <v>5246.54326365141</v>
      </c>
      <c r="O27" s="110" t="n">
        <f aca="false">O17*O21+O23*Hipótesis!$D$24</f>
        <v>5979.86427478018</v>
      </c>
      <c r="P27" s="110" t="n">
        <f aca="false">P17*P21+P23*Hipótesis!$D$24</f>
        <v>6639.61910943837</v>
      </c>
      <c r="Q27" s="110" t="n">
        <f aca="false">Q17*Q21+Q23*Hipótesis!$D$24</f>
        <v>7299.37394409656</v>
      </c>
      <c r="R27" s="110" t="n">
        <f aca="false">R17*R21+R23*Hipótesis!$D$24</f>
        <v>7959.12877875475</v>
      </c>
      <c r="S27" s="110" t="n">
        <f aca="false">S17*S21+S23*Hipótesis!$D$24</f>
        <v>8618.88361341293</v>
      </c>
      <c r="T27" s="110" t="n">
        <f aca="false">T17*T21+T23*Hipótesis!$D$24</f>
        <v>9278.63844807112</v>
      </c>
      <c r="U27" s="110" t="n">
        <f aca="false">U17*U21+U23*Hipótesis!$D$24</f>
        <v>9938.39328272931</v>
      </c>
      <c r="V27" s="110" t="n">
        <f aca="false">V17*V21+V23*Hipótesis!$D$24</f>
        <v>10598.1481173875</v>
      </c>
      <c r="W27" s="110" t="n">
        <f aca="false">W17*W21+W23*Hipótesis!$D$24</f>
        <v>11257.9029520457</v>
      </c>
      <c r="X27" s="110" t="n">
        <f aca="false">X17*X21+X23*Hipótesis!$D$24</f>
        <v>11661.7754337627</v>
      </c>
      <c r="Y27" s="110" t="n">
        <f aca="false">Y17*Y21+Y23*Hipótesis!$D$24</f>
        <v>12065.6479154797</v>
      </c>
      <c r="Z27" s="110" t="n">
        <f aca="false">Z17*Z21+Z23*Hipótesis!$D$24</f>
        <v>12367.1674560202</v>
      </c>
      <c r="AA27" s="110" t="n">
        <f aca="false">AA17*AA21+AA23*Hipótesis!$D$24</f>
        <v>12668.6869965608</v>
      </c>
      <c r="AB27" s="110" t="n">
        <f aca="false">AB17*AB21+AB23*Hipótesis!$D$24</f>
        <v>12970.2065371013</v>
      </c>
      <c r="AC27" s="110" t="n">
        <f aca="false">AC17*AC21+AC23*Hipótesis!$D$24</f>
        <v>13271.7260776419</v>
      </c>
      <c r="AD27" s="110" t="n">
        <f aca="false">AD17*AD21+AD23*Hipótesis!$D$24</f>
        <v>13573.2456181824</v>
      </c>
      <c r="AE27" s="110" t="n">
        <f aca="false">AE17*AE21+AE23*Hipótesis!$D$24</f>
        <v>13874.7651587229</v>
      </c>
      <c r="AF27" s="110" t="n">
        <f aca="false">AF17*AF21+AF23*Hipótesis!$D$24</f>
        <v>14176.2846992635</v>
      </c>
      <c r="AG27" s="110" t="n">
        <f aca="false">AG17*AG21+AG23*Hipótesis!$D$24</f>
        <v>14477.804239804</v>
      </c>
      <c r="AH27" s="110" t="n">
        <f aca="false">AH17*AH21+AH23*Hipótesis!$D$24</f>
        <v>14779.3237803446</v>
      </c>
      <c r="AI27" s="110" t="n">
        <f aca="false">AI17*AI21+AI23*Hipótesis!$D$24</f>
        <v>15080.8433208851</v>
      </c>
      <c r="AJ27" s="110" t="n">
        <f aca="false">AJ17*AJ21+AJ23*Hipótesis!$D$24</f>
        <v>15382.3628614257</v>
      </c>
      <c r="AK27" s="110" t="n">
        <f aca="false">AK17*AK21+AK23*Hipótesis!$D$24</f>
        <v>15683.8824019662</v>
      </c>
      <c r="AL27" s="110" t="n">
        <f aca="false">AL17*AL21+AL23*Hipótesis!$D$24</f>
        <v>15985.4019425067</v>
      </c>
      <c r="AM27" s="110" t="n">
        <f aca="false">AM17*AM21+AM23*Hipótesis!$D$24</f>
        <v>16286.9214830473</v>
      </c>
      <c r="AN27" s="110" t="n">
        <f aca="false">AN17*AN21+AN23*Hipótesis!$D$24</f>
        <v>16588.4410235878</v>
      </c>
      <c r="AO27" s="110" t="n">
        <f aca="false">AO17*AO21+AO23*Hipótesis!$D$24</f>
        <v>16889.9605641284</v>
      </c>
      <c r="AP27" s="110" t="n">
        <f aca="false">AP17*AP21+AP23*Hipótesis!$D$24</f>
        <v>17191.4801046689</v>
      </c>
      <c r="AQ27" s="110" t="n">
        <f aca="false">AQ17*AQ21+AQ23*Hipótesis!$D$24</f>
        <v>17492.9996452094</v>
      </c>
      <c r="AR27" s="110" t="n">
        <f aca="false">AR17*AR21+AR23*Hipótesis!$D$24</f>
        <v>17794.51918575</v>
      </c>
      <c r="AS27" s="110" t="n">
        <f aca="false">AS17*AS21+AS23*Hipótesis!$D$24</f>
        <v>17794.51918575</v>
      </c>
      <c r="AT27" s="110" t="n">
        <f aca="false">AT17*AT21+AT23*Hipótesis!$D$24</f>
        <v>17794.51918575</v>
      </c>
      <c r="AU27" s="110" t="n">
        <f aca="false">AU17*AU21+AU23*Hipótesis!$D$24</f>
        <v>17794.51918575</v>
      </c>
      <c r="AV27" s="110" t="n">
        <f aca="false">AV17*AV21+AV23*Hipótesis!$D$24</f>
        <v>17794.51918575</v>
      </c>
      <c r="AW27" s="110" t="n">
        <f aca="false">AW17*AW21+AW23*Hipótesis!$D$24</f>
        <v>17794.51918575</v>
      </c>
      <c r="AX27" s="110" t="n">
        <f aca="false">AX17*AX21+AX23*Hipótesis!$D$24</f>
        <v>17794.51918575</v>
      </c>
      <c r="AY27" s="110" t="n">
        <f aca="false">AY17*AY21+AY23*Hipótesis!$D$24</f>
        <v>17794.51918575</v>
      </c>
      <c r="AZ27" s="110" t="n">
        <f aca="false">AZ17*AZ21+AZ23*Hipótesis!$D$24</f>
        <v>17794.51918575</v>
      </c>
      <c r="BA27" s="110" t="n">
        <f aca="false">BA17*BA21+BA23*Hipótesis!$D$24</f>
        <v>17794.51918575</v>
      </c>
      <c r="BB27" s="110" t="n">
        <f aca="false">BB17*BB21+BB23*Hipótesis!$D$24</f>
        <v>17794.51918575</v>
      </c>
      <c r="BC27" s="110" t="n">
        <f aca="false">BC17*BC21+BC23*Hipótesis!$D$24</f>
        <v>17794.51918575</v>
      </c>
      <c r="BD27" s="110" t="n">
        <f aca="false">BD17*BD21+BD23*Hipótesis!$D$24</f>
        <v>17794.51918575</v>
      </c>
      <c r="BE27" s="110" t="n">
        <f aca="false">BE17*BE21+BE23*Hipótesis!$D$24</f>
        <v>17794.51918575</v>
      </c>
      <c r="BF27" s="110" t="n">
        <f aca="false">BF17*BF21+BF23*Hipótesis!$D$24</f>
        <v>17794.51918575</v>
      </c>
      <c r="BG27" s="110" t="n">
        <f aca="false">BG17*BG21+BG23*Hipótesis!$D$24</f>
        <v>17794.51918575</v>
      </c>
      <c r="BH27" s="110" t="n">
        <f aca="false">BH17*BH21+BH23*Hipótesis!$D$24</f>
        <v>17794.51918575</v>
      </c>
      <c r="BI27" s="110" t="n">
        <f aca="false">BI17*BI21+BI23*Hipótesis!$D$24</f>
        <v>17794.51918575</v>
      </c>
      <c r="BJ27" s="110" t="n">
        <f aca="false">BJ17*BJ21+BJ23*Hipótesis!$D$24</f>
        <v>17794.51918575</v>
      </c>
      <c r="BK27" s="110" t="n">
        <f aca="false">BK17*BK21+BK23*Hipótesis!$D$24</f>
        <v>17794.51918575</v>
      </c>
      <c r="BL27" s="110" t="n">
        <f aca="false">BL17*BL21+BL23*Hipótesis!$D$24</f>
        <v>17794.51918575</v>
      </c>
      <c r="BM27" s="110" t="n">
        <f aca="false">BM17*BM21+BM23*Hipótesis!$D$24</f>
        <v>17794.51918575</v>
      </c>
      <c r="BN27" s="110" t="n">
        <f aca="false">BN17*BN21+BN23*Hipótesis!$D$24</f>
        <v>17794.51918575</v>
      </c>
      <c r="BO27" s="110" t="n">
        <f aca="false">BO17*BO21+BO23*Hipótesis!$D$24</f>
        <v>17794.51918575</v>
      </c>
      <c r="BP27" s="110" t="n">
        <f aca="false">BP17*BP21+BP23*Hipótesis!$D$24</f>
        <v>17794.51918575</v>
      </c>
      <c r="BQ27" s="110" t="n">
        <f aca="false">BQ17*BQ21+BQ23*Hipótesis!$D$24</f>
        <v>17794.51918575</v>
      </c>
      <c r="BR27" s="110" t="n">
        <f aca="false">BR17*BR21+BR23*Hipótesis!$D$24</f>
        <v>17794.51918575</v>
      </c>
      <c r="BS27" s="110" t="n">
        <f aca="false">BS17*BS21+BS23*Hipótesis!$D$24</f>
        <v>17794.51918575</v>
      </c>
      <c r="BT27" s="110" t="n">
        <f aca="false">BT17*BT21+BT23*Hipótesis!$D$24</f>
        <v>17794.51918575</v>
      </c>
      <c r="BU27" s="110" t="n">
        <f aca="false">BU17*BU21+BU23*Hipótesis!$D$24</f>
        <v>17794.51918575</v>
      </c>
      <c r="BV27" s="110" t="n">
        <f aca="false">BV17*BV21+BV23*Hipótesis!$D$24</f>
        <v>17794.51918575</v>
      </c>
      <c r="BW27" s="110" t="n">
        <f aca="false">BW17*BW21+BW23*Hipótesis!$D$24</f>
        <v>17794.51918575</v>
      </c>
      <c r="BX27" s="110" t="n">
        <f aca="false">BX17*BX21+BX23*Hipótesis!$D$24</f>
        <v>17794.51918575</v>
      </c>
      <c r="BY27" s="110" t="n">
        <f aca="false">BY17*BY21+BY23*Hipótesis!$D$24</f>
        <v>17794.51918575</v>
      </c>
      <c r="BZ27" s="110" t="n">
        <f aca="false">BZ17*BZ21+BZ23*Hipótesis!$D$24</f>
        <v>17794.51918575</v>
      </c>
      <c r="CA27" s="110" t="n">
        <f aca="false">CA17*CA21+CA23*Hipótesis!$D$24</f>
        <v>17794.51918575</v>
      </c>
      <c r="CB27" s="110" t="n">
        <f aca="false">CB17*CB21+CB23*Hipótesis!$D$24</f>
        <v>17794.51918575</v>
      </c>
      <c r="CC27" s="110" t="n">
        <f aca="false">CC17*CC21+CC23*Hipótesis!$D$24</f>
        <v>17794.51918575</v>
      </c>
      <c r="CD27" s="110" t="n">
        <f aca="false">CD17*CD21+CD23*Hipótesis!$D$24</f>
        <v>17794.51918575</v>
      </c>
      <c r="CE27" s="110" t="n">
        <f aca="false">CE17*CE21+CE23*Hipótesis!$D$24</f>
        <v>17794.51918575</v>
      </c>
      <c r="CF27" s="110" t="n">
        <f aca="false">CF17*CF21+CF23*Hipótesis!$D$24</f>
        <v>17794.51918575</v>
      </c>
      <c r="CG27" s="110" t="n">
        <f aca="false">CG17*CG21+CG23*Hipótesis!$D$24</f>
        <v>17794.51918575</v>
      </c>
      <c r="CH27" s="110" t="n">
        <f aca="false">CH17*CH21+CH23*Hipótesis!$D$24</f>
        <v>17794.51918575</v>
      </c>
    </row>
    <row r="28" customFormat="false" ht="13.5" hidden="false" customHeight="true" outlineLevel="0" collapsed="false">
      <c r="A28" s="6" t="s">
        <v>534</v>
      </c>
      <c r="C28" s="110" t="n">
        <f aca="false">C27*Producto!$D$9/60</f>
        <v>5.14583333333333</v>
      </c>
      <c r="D28" s="110" t="n">
        <f aca="false">D27*Producto!$D$9/60</f>
        <v>11.0593137254902</v>
      </c>
      <c r="E28" s="110" t="n">
        <f aca="false">E27*Producto!$D$9/60</f>
        <v>26.9434254951981</v>
      </c>
      <c r="F28" s="110" t="n">
        <f aca="false">F27*Producto!$D$9/60</f>
        <v>37.6817039315726</v>
      </c>
      <c r="G28" s="110" t="n">
        <f aca="false">G27*Producto!$D$9/60</f>
        <v>47.6523353091236</v>
      </c>
      <c r="H28" s="110" t="n">
        <f aca="false">H27*Producto!$D$9/60</f>
        <v>66.4189225690276</v>
      </c>
      <c r="I28" s="110" t="n">
        <f aca="false">I27*Producto!$D$9/60</f>
        <v>100.261486855959</v>
      </c>
      <c r="J28" s="110" t="n">
        <f aca="false">J27*Producto!$D$9/60</f>
        <v>134.10405114289</v>
      </c>
      <c r="K28" s="110" t="n">
        <f aca="false">K27*Producto!$D$9/60</f>
        <v>167.946615429821</v>
      </c>
      <c r="L28" s="110" t="n">
        <f aca="false">L27*Producto!$D$9/60</f>
        <v>201.789179716752</v>
      </c>
      <c r="M28" s="110" t="n">
        <f aca="false">M27*Producto!$D$9/60</f>
        <v>225.661112626132</v>
      </c>
      <c r="N28" s="110" t="n">
        <f aca="false">N27*Producto!$D$9/60</f>
        <v>262.32716318257</v>
      </c>
      <c r="O28" s="110" t="n">
        <f aca="false">O27*Producto!$D$9/60</f>
        <v>298.993213739009</v>
      </c>
      <c r="P28" s="110" t="n">
        <f aca="false">P27*Producto!$D$9/60</f>
        <v>331.980955471919</v>
      </c>
      <c r="Q28" s="110" t="n">
        <f aca="false">Q27*Producto!$D$9/60</f>
        <v>364.968697204828</v>
      </c>
      <c r="R28" s="110" t="n">
        <f aca="false">R27*Producto!$D$9/60</f>
        <v>397.956438937737</v>
      </c>
      <c r="S28" s="110" t="n">
        <f aca="false">S27*Producto!$D$9/60</f>
        <v>430.944180670647</v>
      </c>
      <c r="T28" s="110" t="n">
        <f aca="false">T27*Producto!$D$9/60</f>
        <v>463.931922403556</v>
      </c>
      <c r="U28" s="110" t="n">
        <f aca="false">U27*Producto!$D$9/60</f>
        <v>496.919664136465</v>
      </c>
      <c r="V28" s="110" t="n">
        <f aca="false">V27*Producto!$D$9/60</f>
        <v>529.907405869375</v>
      </c>
      <c r="W28" s="110" t="n">
        <f aca="false">W27*Producto!$D$9/60</f>
        <v>562.895147602284</v>
      </c>
      <c r="X28" s="110" t="n">
        <f aca="false">X27*Producto!$D$9/60</f>
        <v>583.088771688135</v>
      </c>
      <c r="Y28" s="110" t="n">
        <f aca="false">Y27*Producto!$D$9/60</f>
        <v>603.282395773985</v>
      </c>
      <c r="Z28" s="110" t="n">
        <f aca="false">Z27*Producto!$D$9/60</f>
        <v>618.358372801012</v>
      </c>
      <c r="AA28" s="110" t="n">
        <f aca="false">AA27*Producto!$D$9/60</f>
        <v>633.434349828039</v>
      </c>
      <c r="AB28" s="110" t="n">
        <f aca="false">AB27*Producto!$D$9/60</f>
        <v>648.510326855066</v>
      </c>
      <c r="AC28" s="110" t="n">
        <f aca="false">AC27*Producto!$D$9/60</f>
        <v>663.586303882093</v>
      </c>
      <c r="AD28" s="110" t="n">
        <f aca="false">AD27*Producto!$D$9/60</f>
        <v>678.662280909121</v>
      </c>
      <c r="AE28" s="110" t="n">
        <f aca="false">AE27*Producto!$D$9/60</f>
        <v>693.738257936147</v>
      </c>
      <c r="AF28" s="110" t="n">
        <f aca="false">AF27*Producto!$D$9/60</f>
        <v>708.814234963174</v>
      </c>
      <c r="AG28" s="110" t="n">
        <f aca="false">AG27*Producto!$D$9/60</f>
        <v>723.890211990202</v>
      </c>
      <c r="AH28" s="110" t="n">
        <f aca="false">AH27*Producto!$D$9/60</f>
        <v>738.966189017229</v>
      </c>
      <c r="AI28" s="110" t="n">
        <f aca="false">AI27*Producto!$D$9/60</f>
        <v>754.042166044256</v>
      </c>
      <c r="AJ28" s="110" t="n">
        <f aca="false">AJ27*Producto!$D$9/60</f>
        <v>769.118143071283</v>
      </c>
      <c r="AK28" s="110" t="n">
        <f aca="false">AK27*Producto!$D$9/60</f>
        <v>784.19412009831</v>
      </c>
      <c r="AL28" s="110" t="n">
        <f aca="false">AL27*Producto!$D$9/60</f>
        <v>799.270097125337</v>
      </c>
      <c r="AM28" s="110" t="n">
        <f aca="false">AM27*Producto!$D$9/60</f>
        <v>814.346074152364</v>
      </c>
      <c r="AN28" s="110" t="n">
        <f aca="false">AN27*Producto!$D$9/60</f>
        <v>829.422051179391</v>
      </c>
      <c r="AO28" s="110" t="n">
        <f aca="false">AO27*Producto!$D$9/60</f>
        <v>844.498028206418</v>
      </c>
      <c r="AP28" s="110" t="n">
        <f aca="false">AP27*Producto!$D$9/60</f>
        <v>859.574005233445</v>
      </c>
      <c r="AQ28" s="110" t="n">
        <f aca="false">AQ27*Producto!$D$9/60</f>
        <v>874.649982260472</v>
      </c>
      <c r="AR28" s="110" t="n">
        <f aca="false">AR27*Producto!$D$9/60</f>
        <v>889.725959287499</v>
      </c>
      <c r="AS28" s="110" t="n">
        <f aca="false">AS27*Producto!$D$9/60</f>
        <v>889.725959287499</v>
      </c>
      <c r="AT28" s="110" t="n">
        <f aca="false">AT27*Producto!$D$9/60</f>
        <v>889.725959287499</v>
      </c>
      <c r="AU28" s="110" t="n">
        <f aca="false">AU27*Producto!$D$9/60</f>
        <v>889.725959287499</v>
      </c>
      <c r="AV28" s="110" t="n">
        <f aca="false">AV27*Producto!$D$9/60</f>
        <v>889.725959287499</v>
      </c>
      <c r="AW28" s="110" t="n">
        <f aca="false">AW27*Producto!$D$9/60</f>
        <v>889.725959287499</v>
      </c>
      <c r="AX28" s="110" t="n">
        <f aca="false">AX27*Producto!$D$9/60</f>
        <v>889.725959287499</v>
      </c>
      <c r="AY28" s="110" t="n">
        <f aca="false">AY27*Producto!$D$9/60</f>
        <v>889.725959287499</v>
      </c>
      <c r="AZ28" s="110" t="n">
        <f aca="false">AZ27*Producto!$D$9/60</f>
        <v>889.725959287499</v>
      </c>
      <c r="BA28" s="110" t="n">
        <f aca="false">BA27*Producto!$D$9/60</f>
        <v>889.725959287499</v>
      </c>
      <c r="BB28" s="110" t="n">
        <f aca="false">BB27*Producto!$D$9/60</f>
        <v>889.725959287499</v>
      </c>
      <c r="BC28" s="110" t="n">
        <f aca="false">BC27*Producto!$D$9/60</f>
        <v>889.725959287499</v>
      </c>
      <c r="BD28" s="110" t="n">
        <f aca="false">BD27*Producto!$D$9/60</f>
        <v>889.725959287499</v>
      </c>
      <c r="BE28" s="110" t="n">
        <f aca="false">BE27*Producto!$D$9/60</f>
        <v>889.725959287499</v>
      </c>
      <c r="BF28" s="110" t="n">
        <f aca="false">BF27*Producto!$D$9/60</f>
        <v>889.725959287499</v>
      </c>
      <c r="BG28" s="110" t="n">
        <f aca="false">BG27*Producto!$D$9/60</f>
        <v>889.725959287499</v>
      </c>
      <c r="BH28" s="110" t="n">
        <f aca="false">BH27*Producto!$D$9/60</f>
        <v>889.725959287499</v>
      </c>
      <c r="BI28" s="110" t="n">
        <f aca="false">BI27*Producto!$D$9/60</f>
        <v>889.725959287499</v>
      </c>
      <c r="BJ28" s="110" t="n">
        <f aca="false">BJ27*Producto!$D$9/60</f>
        <v>889.725959287499</v>
      </c>
      <c r="BK28" s="110" t="n">
        <f aca="false">BK27*Producto!$D$9/60</f>
        <v>889.725959287499</v>
      </c>
      <c r="BL28" s="110" t="n">
        <f aca="false">BL27*Producto!$D$9/60</f>
        <v>889.725959287499</v>
      </c>
      <c r="BM28" s="110" t="n">
        <f aca="false">BM27*Producto!$D$9/60</f>
        <v>889.725959287499</v>
      </c>
      <c r="BN28" s="110" t="n">
        <f aca="false">BN27*Producto!$D$9/60</f>
        <v>889.725959287499</v>
      </c>
      <c r="BO28" s="110" t="n">
        <f aca="false">BO27*Producto!$D$9/60</f>
        <v>889.725959287499</v>
      </c>
      <c r="BP28" s="110" t="n">
        <f aca="false">BP27*Producto!$D$9/60</f>
        <v>889.725959287499</v>
      </c>
      <c r="BQ28" s="110" t="n">
        <f aca="false">BQ27*Producto!$D$9/60</f>
        <v>889.725959287499</v>
      </c>
      <c r="BR28" s="110" t="n">
        <f aca="false">BR27*Producto!$D$9/60</f>
        <v>889.725959287499</v>
      </c>
      <c r="BS28" s="110" t="n">
        <f aca="false">BS27*Producto!$D$9/60</f>
        <v>889.725959287499</v>
      </c>
      <c r="BT28" s="110" t="n">
        <f aca="false">BT27*Producto!$D$9/60</f>
        <v>889.725959287499</v>
      </c>
      <c r="BU28" s="110" t="n">
        <f aca="false">BU27*Producto!$D$9/60</f>
        <v>889.725959287499</v>
      </c>
      <c r="BV28" s="110" t="n">
        <f aca="false">BV27*Producto!$D$9/60</f>
        <v>889.725959287499</v>
      </c>
      <c r="BW28" s="110" t="n">
        <f aca="false">BW27*Producto!$D$9/60</f>
        <v>889.725959287499</v>
      </c>
      <c r="BX28" s="110" t="n">
        <f aca="false">BX27*Producto!$D$9/60</f>
        <v>889.725959287499</v>
      </c>
      <c r="BY28" s="110" t="n">
        <f aca="false">BY27*Producto!$D$9/60</f>
        <v>889.725959287499</v>
      </c>
      <c r="BZ28" s="110" t="n">
        <f aca="false">BZ27*Producto!$D$9/60</f>
        <v>889.725959287499</v>
      </c>
      <c r="CA28" s="110" t="n">
        <f aca="false">CA27*Producto!$D$9/60</f>
        <v>889.725959287499</v>
      </c>
      <c r="CB28" s="110" t="n">
        <f aca="false">CB27*Producto!$D$9/60</f>
        <v>889.725959287499</v>
      </c>
      <c r="CC28" s="110" t="n">
        <f aca="false">CC27*Producto!$D$9/60</f>
        <v>889.725959287499</v>
      </c>
      <c r="CD28" s="110" t="n">
        <f aca="false">CD27*Producto!$D$9/60</f>
        <v>889.725959287499</v>
      </c>
      <c r="CE28" s="110" t="n">
        <f aca="false">CE27*Producto!$D$9/60</f>
        <v>889.725959287499</v>
      </c>
      <c r="CF28" s="110" t="n">
        <f aca="false">CF27*Producto!$D$9/60</f>
        <v>889.725959287499</v>
      </c>
      <c r="CG28" s="110" t="n">
        <f aca="false">CG27*Producto!$D$9/60</f>
        <v>889.725959287499</v>
      </c>
      <c r="CH28" s="110" t="n">
        <f aca="false">CH27*Producto!$D$9/60</f>
        <v>889.725959287499</v>
      </c>
    </row>
    <row r="29" customFormat="false" ht="13.5" hidden="false" customHeight="true" outlineLevel="0" collapsed="false">
      <c r="A29" s="6" t="s">
        <v>535</v>
      </c>
      <c r="C29" s="110" t="n">
        <f aca="false">SUMPRODUCT((Hipótesis!$D$48:$D$53&lt;=1)*(Hipótesis!$B$48:$B$53)*(Hipótesis!$F$48:$F$53))</f>
        <v>320</v>
      </c>
      <c r="D29" s="110" t="n">
        <f aca="false">SUMPRODUCT((Hipótesis!$D$48:$D$53&lt;=2)*(Hipótesis!$B$48:$B$53)*(Hipótesis!$F$48:$F$53))</f>
        <v>320</v>
      </c>
      <c r="E29" s="110" t="n">
        <f aca="false">SUMPRODUCT((Hipótesis!$D$48:$D$53&lt;=3)*(Hipótesis!$B$48:$B$53)*(Hipótesis!$F$48:$F$53))</f>
        <v>320</v>
      </c>
      <c r="F29" s="110" t="n">
        <f aca="false">SUMPRODUCT((Hipótesis!$D$48:$D$53&lt;=4)*(Hipótesis!$B$48:$B$53)*(Hipótesis!$F$48:$F$53))</f>
        <v>320</v>
      </c>
      <c r="G29" s="110" t="n">
        <f aca="false">SUMPRODUCT((Hipótesis!$D$48:$D$53&lt;=5)*(Hipótesis!$B$48:$B$53)*(Hipótesis!$F$48:$F$53))</f>
        <v>320</v>
      </c>
      <c r="H29" s="110" t="n">
        <f aca="false">SUMPRODUCT((Hipótesis!$D$48:$D$53&lt;=6)*(Hipótesis!$B$48:$B$53)*(Hipótesis!$F$48:$F$53))</f>
        <v>320</v>
      </c>
      <c r="I29" s="110" t="n">
        <f aca="false">SUMPRODUCT((Hipótesis!$D$48:$D$53&lt;=7)*(Hipótesis!$B$48:$B$53)*(Hipótesis!$F$48:$F$53))</f>
        <v>320</v>
      </c>
      <c r="J29" s="110" t="n">
        <f aca="false">SUMPRODUCT((Hipótesis!$D$48:$D$53&lt;=8)*(Hipótesis!$B$48:$B$53)*(Hipótesis!$F$48:$F$53))</f>
        <v>320</v>
      </c>
      <c r="K29" s="110" t="n">
        <f aca="false">SUMPRODUCT((Hipótesis!$D$48:$D$53&lt;=9)*(Hipótesis!$B$48:$B$53)*(Hipótesis!$F$48:$F$53))</f>
        <v>320</v>
      </c>
      <c r="L29" s="110" t="n">
        <f aca="false">SUMPRODUCT((Hipótesis!$D$48:$D$53&lt;=10)*(Hipótesis!$B$48:$B$53)*(Hipótesis!$F$48:$F$53))</f>
        <v>320</v>
      </c>
      <c r="M29" s="110" t="n">
        <f aca="false">SUMPRODUCT((Hipótesis!$D$48:$D$53&lt;=11)*(Hipótesis!$B$48:$B$53)*(Hipótesis!$F$48:$F$53))</f>
        <v>320</v>
      </c>
      <c r="N29" s="110" t="n">
        <f aca="false">SUMPRODUCT((Hipótesis!$D$48:$D$53&lt;=12)*(Hipótesis!$B$48:$B$53)*(Hipótesis!$F$48:$F$53))</f>
        <v>320</v>
      </c>
      <c r="O29" s="110" t="n">
        <f aca="false">SUMPRODUCT((Hipótesis!$D$48:$D$53&lt;=13)*(Hipótesis!$B$48:$B$53)*(Hipótesis!$F$48:$F$53))</f>
        <v>320</v>
      </c>
      <c r="P29" s="110" t="n">
        <f aca="false">SUMPRODUCT((Hipótesis!$D$48:$D$53&lt;=14)*(Hipótesis!$B$48:$B$53)*(Hipótesis!$F$48:$F$53))</f>
        <v>320</v>
      </c>
      <c r="Q29" s="110" t="n">
        <f aca="false">SUMPRODUCT((Hipótesis!$D$48:$D$53&lt;=15)*(Hipótesis!$B$48:$B$53)*(Hipótesis!$F$48:$F$53))</f>
        <v>320</v>
      </c>
      <c r="R29" s="110" t="n">
        <f aca="false">SUMPRODUCT((Hipótesis!$D$48:$D$53&lt;=16)*(Hipótesis!$B$48:$B$53)*(Hipótesis!$F$48:$F$53))</f>
        <v>320</v>
      </c>
      <c r="S29" s="110" t="n">
        <f aca="false">SUMPRODUCT((Hipótesis!$D$48:$D$53&lt;=17)*(Hipótesis!$B$48:$B$53)*(Hipótesis!$F$48:$F$53))</f>
        <v>320</v>
      </c>
      <c r="T29" s="110" t="n">
        <f aca="false">SUMPRODUCT((Hipótesis!$D$48:$D$53&lt;=18)*(Hipótesis!$B$48:$B$53)*(Hipótesis!$F$48:$F$53))</f>
        <v>320</v>
      </c>
      <c r="U29" s="110" t="n">
        <f aca="false">SUMPRODUCT((Hipótesis!$D$48:$D$53&lt;=19)*(Hipótesis!$B$48:$B$53)*(Hipótesis!$F$48:$F$53))</f>
        <v>320</v>
      </c>
      <c r="V29" s="110" t="n">
        <f aca="false">SUMPRODUCT((Hipótesis!$D$48:$D$53&lt;=20)*(Hipótesis!$B$48:$B$53)*(Hipótesis!$F$48:$F$53))</f>
        <v>320</v>
      </c>
      <c r="W29" s="110" t="n">
        <f aca="false">SUMPRODUCT((Hipótesis!$D$48:$D$53&lt;=21)*(Hipótesis!$B$48:$B$53)*(Hipótesis!$F$48:$F$53))</f>
        <v>320</v>
      </c>
      <c r="X29" s="110" t="n">
        <f aca="false">SUMPRODUCT((Hipótesis!$D$48:$D$53&lt;=22)*(Hipótesis!$B$48:$B$53)*(Hipótesis!$F$48:$F$53))</f>
        <v>320</v>
      </c>
      <c r="Y29" s="110" t="n">
        <f aca="false">SUMPRODUCT((Hipótesis!$D$48:$D$53&lt;=23)*(Hipótesis!$B$48:$B$53)*(Hipótesis!$F$48:$F$53))</f>
        <v>320</v>
      </c>
      <c r="Z29" s="110" t="n">
        <f aca="false">SUMPRODUCT((Hipótesis!$D$48:$D$53&lt;=24)*(Hipótesis!$B$48:$B$53)*(Hipótesis!$F$48:$F$53))</f>
        <v>320</v>
      </c>
      <c r="AA29" s="110" t="n">
        <f aca="false">SUMPRODUCT((Hipótesis!$D$48:$D$53&lt;=25)*(Hipótesis!$B$48:$B$53)*(Hipótesis!$F$48:$F$53))</f>
        <v>320</v>
      </c>
      <c r="AB29" s="110" t="n">
        <f aca="false">SUMPRODUCT((Hipótesis!$D$48:$D$53&lt;=26)*(Hipótesis!$B$48:$B$53)*(Hipótesis!$F$48:$F$53))</f>
        <v>320</v>
      </c>
      <c r="AC29" s="110" t="n">
        <f aca="false">SUMPRODUCT((Hipótesis!$D$48:$D$53&lt;=27)*(Hipótesis!$B$48:$B$53)*(Hipótesis!$F$48:$F$53))</f>
        <v>320</v>
      </c>
      <c r="AD29" s="110" t="n">
        <f aca="false">SUMPRODUCT((Hipótesis!$D$48:$D$53&lt;=28)*(Hipótesis!$B$48:$B$53)*(Hipótesis!$F$48:$F$53))</f>
        <v>320</v>
      </c>
      <c r="AE29" s="110" t="n">
        <f aca="false">SUMPRODUCT((Hipótesis!$D$48:$D$53&lt;=29)*(Hipótesis!$B$48:$B$53)*(Hipótesis!$F$48:$F$53))</f>
        <v>320</v>
      </c>
      <c r="AF29" s="110" t="n">
        <f aca="false">SUMPRODUCT((Hipótesis!$D$48:$D$53&lt;=30)*(Hipótesis!$B$48:$B$53)*(Hipótesis!$F$48:$F$53))</f>
        <v>320</v>
      </c>
      <c r="AG29" s="110" t="n">
        <f aca="false">SUMPRODUCT((Hipótesis!$D$48:$D$53&lt;=31)*(Hipótesis!$B$48:$B$53)*(Hipótesis!$F$48:$F$53))</f>
        <v>320</v>
      </c>
      <c r="AH29" s="110" t="n">
        <f aca="false">SUMPRODUCT((Hipótesis!$D$48:$D$53&lt;=32)*(Hipótesis!$B$48:$B$53)*(Hipótesis!$F$48:$F$53))</f>
        <v>320</v>
      </c>
      <c r="AI29" s="110" t="n">
        <f aca="false">SUMPRODUCT((Hipótesis!$D$48:$D$53&lt;=33)*(Hipótesis!$B$48:$B$53)*(Hipótesis!$F$48:$F$53))</f>
        <v>320</v>
      </c>
      <c r="AJ29" s="110" t="n">
        <f aca="false">SUMPRODUCT((Hipótesis!$D$48:$D$53&lt;=34)*(Hipótesis!$B$48:$B$53)*(Hipótesis!$F$48:$F$53))</f>
        <v>320</v>
      </c>
      <c r="AK29" s="110" t="n">
        <f aca="false">SUMPRODUCT((Hipótesis!$D$48:$D$53&lt;=35)*(Hipótesis!$B$48:$B$53)*(Hipótesis!$F$48:$F$53))</f>
        <v>320</v>
      </c>
      <c r="AL29" s="110" t="n">
        <f aca="false">SUMPRODUCT((Hipótesis!$D$48:$D$53&lt;=36)*(Hipótesis!$B$48:$B$53)*(Hipótesis!$F$48:$F$53))</f>
        <v>320</v>
      </c>
      <c r="AM29" s="110" t="n">
        <f aca="false">SUMPRODUCT((Hipótesis!$D$48:$D$53&lt;=37)*(Hipótesis!$B$48:$B$53)*(Hipótesis!$F$48:$F$53))</f>
        <v>320</v>
      </c>
      <c r="AN29" s="110" t="n">
        <f aca="false">SUMPRODUCT((Hipótesis!$D$48:$D$53&lt;=38)*(Hipótesis!$B$48:$B$53)*(Hipótesis!$F$48:$F$53))</f>
        <v>320</v>
      </c>
      <c r="AO29" s="110" t="n">
        <f aca="false">SUMPRODUCT((Hipótesis!$D$48:$D$53&lt;=39)*(Hipótesis!$B$48:$B$53)*(Hipótesis!$F$48:$F$53))</f>
        <v>320</v>
      </c>
      <c r="AP29" s="110" t="n">
        <f aca="false">SUMPRODUCT((Hipótesis!$D$48:$D$53&lt;=40)*(Hipótesis!$B$48:$B$53)*(Hipótesis!$F$48:$F$53))</f>
        <v>320</v>
      </c>
      <c r="AQ29" s="110" t="n">
        <f aca="false">SUMPRODUCT((Hipótesis!$D$48:$D$53&lt;=41)*(Hipótesis!$B$48:$B$53)*(Hipótesis!$F$48:$F$53))</f>
        <v>320</v>
      </c>
      <c r="AR29" s="110" t="n">
        <f aca="false">SUMPRODUCT((Hipótesis!$D$48:$D$53&lt;=42)*(Hipótesis!$B$48:$B$53)*(Hipótesis!$F$48:$F$53))</f>
        <v>320</v>
      </c>
      <c r="AS29" s="110" t="n">
        <f aca="false">SUMPRODUCT((Hipótesis!$D$48:$D$53&lt;=43)*(Hipótesis!$B$48:$B$53)*(Hipótesis!$F$48:$F$53))</f>
        <v>320</v>
      </c>
      <c r="AT29" s="110" t="n">
        <f aca="false">SUMPRODUCT((Hipótesis!$D$48:$D$53&lt;=44)*(Hipótesis!$B$48:$B$53)*(Hipótesis!$F$48:$F$53))</f>
        <v>320</v>
      </c>
      <c r="AU29" s="110" t="n">
        <f aca="false">SUMPRODUCT((Hipótesis!$D$48:$D$53&lt;=45)*(Hipótesis!$B$48:$B$53)*(Hipótesis!$F$48:$F$53))</f>
        <v>320</v>
      </c>
      <c r="AV29" s="110" t="n">
        <f aca="false">SUMPRODUCT((Hipótesis!$D$48:$D$53&lt;=46)*(Hipótesis!$B$48:$B$53)*(Hipótesis!$F$48:$F$53))</f>
        <v>320</v>
      </c>
      <c r="AW29" s="110" t="n">
        <f aca="false">SUMPRODUCT((Hipótesis!$D$48:$D$53&lt;=47)*(Hipótesis!$B$48:$B$53)*(Hipótesis!$F$48:$F$53))</f>
        <v>320</v>
      </c>
      <c r="AX29" s="110" t="n">
        <f aca="false">SUMPRODUCT((Hipótesis!$D$48:$D$53&lt;=48)*(Hipótesis!$B$48:$B$53)*(Hipótesis!$F$48:$F$53))</f>
        <v>320</v>
      </c>
      <c r="AY29" s="110" t="n">
        <f aca="false">SUMPRODUCT((Hipótesis!$D$48:$D$53&lt;=49)*(Hipótesis!$B$48:$B$53)*(Hipótesis!$F$48:$F$53))</f>
        <v>320</v>
      </c>
      <c r="AZ29" s="110" t="n">
        <f aca="false">SUMPRODUCT((Hipótesis!$D$48:$D$53&lt;=50)*(Hipótesis!$B$48:$B$53)*(Hipótesis!$F$48:$F$53))</f>
        <v>320</v>
      </c>
      <c r="BA29" s="110" t="n">
        <f aca="false">SUMPRODUCT((Hipótesis!$D$48:$D$53&lt;=51)*(Hipótesis!$B$48:$B$53)*(Hipótesis!$F$48:$F$53))</f>
        <v>320</v>
      </c>
      <c r="BB29" s="110" t="n">
        <f aca="false">SUMPRODUCT((Hipótesis!$D$48:$D$53&lt;=52)*(Hipótesis!$B$48:$B$53)*(Hipótesis!$F$48:$F$53))</f>
        <v>320</v>
      </c>
      <c r="BC29" s="110" t="n">
        <f aca="false">SUMPRODUCT((Hipótesis!$D$48:$D$53&lt;=53)*(Hipótesis!$B$48:$B$53)*(Hipótesis!$F$48:$F$53))</f>
        <v>320</v>
      </c>
      <c r="BD29" s="110" t="n">
        <f aca="false">SUMPRODUCT((Hipótesis!$D$48:$D$53&lt;=54)*(Hipótesis!$B$48:$B$53)*(Hipótesis!$F$48:$F$53))</f>
        <v>320</v>
      </c>
      <c r="BE29" s="110" t="n">
        <f aca="false">SUMPRODUCT((Hipótesis!$D$48:$D$53&lt;=55)*(Hipótesis!$B$48:$B$53)*(Hipótesis!$F$48:$F$53))</f>
        <v>320</v>
      </c>
      <c r="BF29" s="110" t="n">
        <f aca="false">SUMPRODUCT((Hipótesis!$D$48:$D$53&lt;=56)*(Hipótesis!$B$48:$B$53)*(Hipótesis!$F$48:$F$53))</f>
        <v>320</v>
      </c>
      <c r="BG29" s="110" t="n">
        <f aca="false">SUMPRODUCT((Hipótesis!$D$48:$D$53&lt;=57)*(Hipótesis!$B$48:$B$53)*(Hipótesis!$F$48:$F$53))</f>
        <v>320</v>
      </c>
      <c r="BH29" s="110" t="n">
        <f aca="false">SUMPRODUCT((Hipótesis!$D$48:$D$53&lt;=58)*(Hipótesis!$B$48:$B$53)*(Hipótesis!$F$48:$F$53))</f>
        <v>320</v>
      </c>
      <c r="BI29" s="110" t="n">
        <f aca="false">SUMPRODUCT((Hipótesis!$D$48:$D$53&lt;=59)*(Hipótesis!$B$48:$B$53)*(Hipótesis!$F$48:$F$53))</f>
        <v>320</v>
      </c>
      <c r="BJ29" s="110" t="n">
        <f aca="false">SUMPRODUCT((Hipótesis!$D$48:$D$53&lt;=60)*(Hipótesis!$B$48:$B$53)*(Hipótesis!$F$48:$F$53))</f>
        <v>320</v>
      </c>
      <c r="BK29" s="110" t="n">
        <f aca="false">SUMPRODUCT((Hipótesis!$D$48:$D$53&lt;=61)*(Hipótesis!$B$48:$B$53)*(Hipótesis!$F$48:$F$53))</f>
        <v>320</v>
      </c>
      <c r="BL29" s="110" t="n">
        <f aca="false">SUMPRODUCT((Hipótesis!$D$48:$D$53&lt;=62)*(Hipótesis!$B$48:$B$53)*(Hipótesis!$F$48:$F$53))</f>
        <v>320</v>
      </c>
      <c r="BM29" s="110" t="n">
        <f aca="false">SUMPRODUCT((Hipótesis!$D$48:$D$53&lt;=63)*(Hipótesis!$B$48:$B$53)*(Hipótesis!$F$48:$F$53))</f>
        <v>320</v>
      </c>
      <c r="BN29" s="110" t="n">
        <f aca="false">SUMPRODUCT((Hipótesis!$D$48:$D$53&lt;=64)*(Hipótesis!$B$48:$B$53)*(Hipótesis!$F$48:$F$53))</f>
        <v>320</v>
      </c>
      <c r="BO29" s="110" t="n">
        <f aca="false">SUMPRODUCT((Hipótesis!$D$48:$D$53&lt;=65)*(Hipótesis!$B$48:$B$53)*(Hipótesis!$F$48:$F$53))</f>
        <v>320</v>
      </c>
      <c r="BP29" s="110" t="n">
        <f aca="false">SUMPRODUCT((Hipótesis!$D$48:$D$53&lt;=66)*(Hipótesis!$B$48:$B$53)*(Hipótesis!$F$48:$F$53))</f>
        <v>320</v>
      </c>
      <c r="BQ29" s="110" t="n">
        <f aca="false">SUMPRODUCT((Hipótesis!$D$48:$D$53&lt;=67)*(Hipótesis!$B$48:$B$53)*(Hipótesis!$F$48:$F$53))</f>
        <v>320</v>
      </c>
      <c r="BR29" s="110" t="n">
        <f aca="false">SUMPRODUCT((Hipótesis!$D$48:$D$53&lt;=68)*(Hipótesis!$B$48:$B$53)*(Hipótesis!$F$48:$F$53))</f>
        <v>320</v>
      </c>
      <c r="BS29" s="110" t="n">
        <f aca="false">SUMPRODUCT((Hipótesis!$D$48:$D$53&lt;=69)*(Hipótesis!$B$48:$B$53)*(Hipótesis!$F$48:$F$53))</f>
        <v>320</v>
      </c>
      <c r="BT29" s="110" t="n">
        <f aca="false">SUMPRODUCT((Hipótesis!$D$48:$D$53&lt;=70)*(Hipótesis!$B$48:$B$53)*(Hipótesis!$F$48:$F$53))</f>
        <v>320</v>
      </c>
      <c r="BU29" s="110" t="n">
        <f aca="false">SUMPRODUCT((Hipótesis!$D$48:$D$53&lt;=71)*(Hipótesis!$B$48:$B$53)*(Hipótesis!$F$48:$F$53))</f>
        <v>320</v>
      </c>
      <c r="BV29" s="110" t="n">
        <f aca="false">SUMPRODUCT((Hipótesis!$D$48:$D$53&lt;=72)*(Hipótesis!$B$48:$B$53)*(Hipótesis!$F$48:$F$53))</f>
        <v>320</v>
      </c>
      <c r="BW29" s="110" t="n">
        <f aca="false">SUMPRODUCT((Hipótesis!$D$48:$D$53&lt;=73)*(Hipótesis!$B$48:$B$53)*(Hipótesis!$F$48:$F$53))</f>
        <v>320</v>
      </c>
      <c r="BX29" s="110" t="n">
        <f aca="false">SUMPRODUCT((Hipótesis!$D$48:$D$53&lt;=74)*(Hipótesis!$B$48:$B$53)*(Hipótesis!$F$48:$F$53))</f>
        <v>320</v>
      </c>
      <c r="BY29" s="110" t="n">
        <f aca="false">SUMPRODUCT((Hipótesis!$D$48:$D$53&lt;=75)*(Hipótesis!$B$48:$B$53)*(Hipótesis!$F$48:$F$53))</f>
        <v>320</v>
      </c>
      <c r="BZ29" s="110" t="n">
        <f aca="false">SUMPRODUCT((Hipótesis!$D$48:$D$53&lt;=76)*(Hipótesis!$B$48:$B$53)*(Hipótesis!$F$48:$F$53))</f>
        <v>320</v>
      </c>
      <c r="CA29" s="110" t="n">
        <f aca="false">SUMPRODUCT((Hipótesis!$D$48:$D$53&lt;=77)*(Hipótesis!$B$48:$B$53)*(Hipótesis!$F$48:$F$53))</f>
        <v>320</v>
      </c>
      <c r="CB29" s="110" t="n">
        <f aca="false">SUMPRODUCT((Hipótesis!$D$48:$D$53&lt;=78)*(Hipótesis!$B$48:$B$53)*(Hipótesis!$F$48:$F$53))</f>
        <v>320</v>
      </c>
      <c r="CC29" s="110" t="n">
        <f aca="false">SUMPRODUCT((Hipótesis!$D$48:$D$53&lt;=79)*(Hipótesis!$B$48:$B$53)*(Hipótesis!$F$48:$F$53))</f>
        <v>320</v>
      </c>
      <c r="CD29" s="110" t="n">
        <f aca="false">SUMPRODUCT((Hipótesis!$D$48:$D$53&lt;=80)*(Hipótesis!$B$48:$B$53)*(Hipótesis!$F$48:$F$53))</f>
        <v>320</v>
      </c>
      <c r="CE29" s="110" t="n">
        <f aca="false">SUMPRODUCT((Hipótesis!$D$48:$D$53&lt;=81)*(Hipótesis!$B$48:$B$53)*(Hipótesis!$F$48:$F$53))</f>
        <v>320</v>
      </c>
      <c r="CF29" s="110" t="n">
        <f aca="false">SUMPRODUCT((Hipótesis!$D$48:$D$53&lt;=82)*(Hipótesis!$B$48:$B$53)*(Hipótesis!$F$48:$F$53))</f>
        <v>320</v>
      </c>
      <c r="CG29" s="110" t="n">
        <f aca="false">SUMPRODUCT((Hipótesis!$D$48:$D$53&lt;=83)*(Hipótesis!$B$48:$B$53)*(Hipótesis!$F$48:$F$53))</f>
        <v>320</v>
      </c>
      <c r="CH29" s="110" t="n">
        <f aca="false">SUMPRODUCT((Hipótesis!$D$48:$D$53&lt;=84)*(Hipótesis!$B$48:$B$53)*(Hipótesis!$F$48:$F$53))</f>
        <v>320</v>
      </c>
    </row>
    <row r="30" customFormat="false" ht="13.5" hidden="false" customHeight="true" outlineLevel="0" collapsed="false">
      <c r="A30" s="22" t="s">
        <v>536</v>
      </c>
      <c r="C30" s="110" t="n">
        <f aca="false">ROUNDUP(MAX(0,C28-C29)/Hipótesis!$D$63,0)</f>
        <v>0</v>
      </c>
      <c r="D30" s="110" t="n">
        <f aca="false">ROUNDUP(MAX(0,D28-D29)/Hipótesis!$D$63,0)</f>
        <v>0</v>
      </c>
      <c r="E30" s="110" t="n">
        <f aca="false">ROUNDUP(MAX(0,E28-E29)/Hipótesis!$D$63,0)</f>
        <v>0</v>
      </c>
      <c r="F30" s="110" t="n">
        <f aca="false">ROUNDUP(MAX(0,F28-F29)/Hipótesis!$D$63,0)</f>
        <v>0</v>
      </c>
      <c r="G30" s="110" t="n">
        <f aca="false">ROUNDUP(MAX(0,G28-G29)/Hipótesis!$D$63,0)</f>
        <v>0</v>
      </c>
      <c r="H30" s="110" t="n">
        <f aca="false">ROUNDUP(MAX(0,H28-H29)/Hipótesis!$D$63,0)</f>
        <v>0</v>
      </c>
      <c r="I30" s="110" t="n">
        <f aca="false">ROUNDUP(MAX(0,I28-I29)/Hipótesis!$D$63,0)</f>
        <v>0</v>
      </c>
      <c r="J30" s="110" t="n">
        <f aca="false">ROUNDUP(MAX(0,J28-J29)/Hipótesis!$D$63,0)</f>
        <v>0</v>
      </c>
      <c r="K30" s="110" t="n">
        <f aca="false">ROUNDUP(MAX(0,K28-K29)/Hipótesis!$D$63,0)</f>
        <v>0</v>
      </c>
      <c r="L30" s="110" t="n">
        <f aca="false">ROUNDUP(MAX(0,L28-L29)/Hipótesis!$D$63,0)</f>
        <v>0</v>
      </c>
      <c r="M30" s="110" t="n">
        <f aca="false">ROUNDUP(MAX(0,M28-M29)/Hipótesis!$D$63,0)</f>
        <v>0</v>
      </c>
      <c r="N30" s="110" t="n">
        <f aca="false">ROUNDUP(MAX(0,N28-N29)/Hipótesis!$D$63,0)</f>
        <v>0</v>
      </c>
      <c r="O30" s="110" t="n">
        <f aca="false">ROUNDUP(MAX(0,O28-O29)/Hipótesis!$D$63,0)</f>
        <v>0</v>
      </c>
      <c r="P30" s="110" t="n">
        <f aca="false">ROUNDUP(MAX(0,P28-P29)/Hipótesis!$D$63,0)</f>
        <v>1</v>
      </c>
      <c r="Q30" s="110" t="n">
        <f aca="false">ROUNDUP(MAX(0,Q28-Q29)/Hipótesis!$D$63,0)</f>
        <v>1</v>
      </c>
      <c r="R30" s="110" t="n">
        <f aca="false">ROUNDUP(MAX(0,R28-R29)/Hipótesis!$D$63,0)</f>
        <v>1</v>
      </c>
      <c r="S30" s="110" t="n">
        <f aca="false">ROUNDUP(MAX(0,S28-S29)/Hipótesis!$D$63,0)</f>
        <v>1</v>
      </c>
      <c r="T30" s="110" t="n">
        <f aca="false">ROUNDUP(MAX(0,T28-T29)/Hipótesis!$D$63,0)</f>
        <v>1</v>
      </c>
      <c r="U30" s="110" t="n">
        <f aca="false">ROUNDUP(MAX(0,U28-U29)/Hipótesis!$D$63,0)</f>
        <v>2</v>
      </c>
      <c r="V30" s="110" t="n">
        <f aca="false">ROUNDUP(MAX(0,V28-V29)/Hipótesis!$D$63,0)</f>
        <v>2</v>
      </c>
      <c r="W30" s="110" t="n">
        <f aca="false">ROUNDUP(MAX(0,W28-W29)/Hipótesis!$D$63,0)</f>
        <v>2</v>
      </c>
      <c r="X30" s="110" t="n">
        <f aca="false">ROUNDUP(MAX(0,X28-X29)/Hipótesis!$D$63,0)</f>
        <v>2</v>
      </c>
      <c r="Y30" s="110" t="n">
        <f aca="false">ROUNDUP(MAX(0,Y28-Y29)/Hipótesis!$D$63,0)</f>
        <v>2</v>
      </c>
      <c r="Z30" s="110" t="n">
        <f aca="false">ROUNDUP(MAX(0,Z28-Z29)/Hipótesis!$D$63,0)</f>
        <v>2</v>
      </c>
      <c r="AA30" s="110" t="n">
        <f aca="false">ROUNDUP(MAX(0,AA28-AA29)/Hipótesis!$D$63,0)</f>
        <v>2</v>
      </c>
      <c r="AB30" s="110" t="n">
        <f aca="false">ROUNDUP(MAX(0,AB28-AB29)/Hipótesis!$D$63,0)</f>
        <v>3</v>
      </c>
      <c r="AC30" s="110" t="n">
        <f aca="false">ROUNDUP(MAX(0,AC28-AC29)/Hipótesis!$D$63,0)</f>
        <v>3</v>
      </c>
      <c r="AD30" s="110" t="n">
        <f aca="false">ROUNDUP(MAX(0,AD28-AD29)/Hipótesis!$D$63,0)</f>
        <v>3</v>
      </c>
      <c r="AE30" s="110" t="n">
        <f aca="false">ROUNDUP(MAX(0,AE28-AE29)/Hipótesis!$D$63,0)</f>
        <v>3</v>
      </c>
      <c r="AF30" s="110" t="n">
        <f aca="false">ROUNDUP(MAX(0,AF28-AF29)/Hipótesis!$D$63,0)</f>
        <v>3</v>
      </c>
      <c r="AG30" s="110" t="n">
        <f aca="false">ROUNDUP(MAX(0,AG28-AG29)/Hipótesis!$D$63,0)</f>
        <v>3</v>
      </c>
      <c r="AH30" s="110" t="n">
        <f aca="false">ROUNDUP(MAX(0,AH28-AH29)/Hipótesis!$D$63,0)</f>
        <v>3</v>
      </c>
      <c r="AI30" s="110" t="n">
        <f aca="false">ROUNDUP(MAX(0,AI28-AI29)/Hipótesis!$D$63,0)</f>
        <v>3</v>
      </c>
      <c r="AJ30" s="110" t="n">
        <f aca="false">ROUNDUP(MAX(0,AJ28-AJ29)/Hipótesis!$D$63,0)</f>
        <v>3</v>
      </c>
      <c r="AK30" s="110" t="n">
        <f aca="false">ROUNDUP(MAX(0,AK28-AK29)/Hipótesis!$D$63,0)</f>
        <v>3</v>
      </c>
      <c r="AL30" s="110" t="n">
        <f aca="false">ROUNDUP(MAX(0,AL28-AL29)/Hipótesis!$D$63,0)</f>
        <v>3</v>
      </c>
      <c r="AM30" s="110" t="n">
        <f aca="false">ROUNDUP(MAX(0,AM28-AM29)/Hipótesis!$D$63,0)</f>
        <v>4</v>
      </c>
      <c r="AN30" s="110" t="n">
        <f aca="false">ROUNDUP(MAX(0,AN28-AN29)/Hipótesis!$D$63,0)</f>
        <v>4</v>
      </c>
      <c r="AO30" s="110" t="n">
        <f aca="false">ROUNDUP(MAX(0,AO28-AO29)/Hipótesis!$D$63,0)</f>
        <v>4</v>
      </c>
      <c r="AP30" s="110" t="n">
        <f aca="false">ROUNDUP(MAX(0,AP28-AP29)/Hipótesis!$D$63,0)</f>
        <v>4</v>
      </c>
      <c r="AQ30" s="110" t="n">
        <f aca="false">ROUNDUP(MAX(0,AQ28-AQ29)/Hipótesis!$D$63,0)</f>
        <v>4</v>
      </c>
      <c r="AR30" s="110" t="n">
        <f aca="false">ROUNDUP(MAX(0,AR28-AR29)/Hipótesis!$D$63,0)</f>
        <v>4</v>
      </c>
      <c r="AS30" s="110" t="n">
        <f aca="false">ROUNDUP(MAX(0,AS28-AS29)/Hipótesis!$D$63,0)</f>
        <v>4</v>
      </c>
      <c r="AT30" s="110" t="n">
        <f aca="false">ROUNDUP(MAX(0,AT28-AT29)/Hipótesis!$D$63,0)</f>
        <v>4</v>
      </c>
      <c r="AU30" s="110" t="n">
        <f aca="false">ROUNDUP(MAX(0,AU28-AU29)/Hipótesis!$D$63,0)</f>
        <v>4</v>
      </c>
      <c r="AV30" s="110" t="n">
        <f aca="false">ROUNDUP(MAX(0,AV28-AV29)/Hipótesis!$D$63,0)</f>
        <v>4</v>
      </c>
      <c r="AW30" s="110" t="n">
        <f aca="false">ROUNDUP(MAX(0,AW28-AW29)/Hipótesis!$D$63,0)</f>
        <v>4</v>
      </c>
      <c r="AX30" s="110" t="n">
        <f aca="false">ROUNDUP(MAX(0,AX28-AX29)/Hipótesis!$D$63,0)</f>
        <v>4</v>
      </c>
      <c r="AY30" s="110" t="n">
        <f aca="false">ROUNDUP(MAX(0,AY28-AY29)/Hipótesis!$D$63,0)</f>
        <v>4</v>
      </c>
      <c r="AZ30" s="110" t="n">
        <f aca="false">ROUNDUP(MAX(0,AZ28-AZ29)/Hipótesis!$D$63,0)</f>
        <v>4</v>
      </c>
      <c r="BA30" s="110" t="n">
        <f aca="false">ROUNDUP(MAX(0,BA28-BA29)/Hipótesis!$D$63,0)</f>
        <v>4</v>
      </c>
      <c r="BB30" s="110" t="n">
        <f aca="false">ROUNDUP(MAX(0,BB28-BB29)/Hipótesis!$D$63,0)</f>
        <v>4</v>
      </c>
      <c r="BC30" s="110" t="n">
        <f aca="false">ROUNDUP(MAX(0,BC28-BC29)/Hipótesis!$D$63,0)</f>
        <v>4</v>
      </c>
      <c r="BD30" s="110" t="n">
        <f aca="false">ROUNDUP(MAX(0,BD28-BD29)/Hipótesis!$D$63,0)</f>
        <v>4</v>
      </c>
      <c r="BE30" s="110" t="n">
        <f aca="false">ROUNDUP(MAX(0,BE28-BE29)/Hipótesis!$D$63,0)</f>
        <v>4</v>
      </c>
      <c r="BF30" s="110" t="n">
        <f aca="false">ROUNDUP(MAX(0,BF28-BF29)/Hipótesis!$D$63,0)</f>
        <v>4</v>
      </c>
      <c r="BG30" s="110" t="n">
        <f aca="false">ROUNDUP(MAX(0,BG28-BG29)/Hipótesis!$D$63,0)</f>
        <v>4</v>
      </c>
      <c r="BH30" s="110" t="n">
        <f aca="false">ROUNDUP(MAX(0,BH28-BH29)/Hipótesis!$D$63,0)</f>
        <v>4</v>
      </c>
      <c r="BI30" s="110" t="n">
        <f aca="false">ROUNDUP(MAX(0,BI28-BI29)/Hipótesis!$D$63,0)</f>
        <v>4</v>
      </c>
      <c r="BJ30" s="110" t="n">
        <f aca="false">ROUNDUP(MAX(0,BJ28-BJ29)/Hipótesis!$D$63,0)</f>
        <v>4</v>
      </c>
      <c r="BK30" s="110" t="n">
        <f aca="false">ROUNDUP(MAX(0,BK28-BK29)/Hipótesis!$D$63,0)</f>
        <v>4</v>
      </c>
      <c r="BL30" s="110" t="n">
        <f aca="false">ROUNDUP(MAX(0,BL28-BL29)/Hipótesis!$D$63,0)</f>
        <v>4</v>
      </c>
      <c r="BM30" s="110" t="n">
        <f aca="false">ROUNDUP(MAX(0,BM28-BM29)/Hipótesis!$D$63,0)</f>
        <v>4</v>
      </c>
      <c r="BN30" s="110" t="n">
        <f aca="false">ROUNDUP(MAX(0,BN28-BN29)/Hipótesis!$D$63,0)</f>
        <v>4</v>
      </c>
      <c r="BO30" s="110" t="n">
        <f aca="false">ROUNDUP(MAX(0,BO28-BO29)/Hipótesis!$D$63,0)</f>
        <v>4</v>
      </c>
      <c r="BP30" s="110" t="n">
        <f aca="false">ROUNDUP(MAX(0,BP28-BP29)/Hipótesis!$D$63,0)</f>
        <v>4</v>
      </c>
      <c r="BQ30" s="110" t="n">
        <f aca="false">ROUNDUP(MAX(0,BQ28-BQ29)/Hipótesis!$D$63,0)</f>
        <v>4</v>
      </c>
      <c r="BR30" s="110" t="n">
        <f aca="false">ROUNDUP(MAX(0,BR28-BR29)/Hipótesis!$D$63,0)</f>
        <v>4</v>
      </c>
      <c r="BS30" s="110" t="n">
        <f aca="false">ROUNDUP(MAX(0,BS28-BS29)/Hipótesis!$D$63,0)</f>
        <v>4</v>
      </c>
      <c r="BT30" s="110" t="n">
        <f aca="false">ROUNDUP(MAX(0,BT28-BT29)/Hipótesis!$D$63,0)</f>
        <v>4</v>
      </c>
      <c r="BU30" s="110" t="n">
        <f aca="false">ROUNDUP(MAX(0,BU28-BU29)/Hipótesis!$D$63,0)</f>
        <v>4</v>
      </c>
      <c r="BV30" s="110" t="n">
        <f aca="false">ROUNDUP(MAX(0,BV28-BV29)/Hipótesis!$D$63,0)</f>
        <v>4</v>
      </c>
      <c r="BW30" s="110" t="n">
        <f aca="false">ROUNDUP(MAX(0,BW28-BW29)/Hipótesis!$D$63,0)</f>
        <v>4</v>
      </c>
      <c r="BX30" s="110" t="n">
        <f aca="false">ROUNDUP(MAX(0,BX28-BX29)/Hipótesis!$D$63,0)</f>
        <v>4</v>
      </c>
      <c r="BY30" s="110" t="n">
        <f aca="false">ROUNDUP(MAX(0,BY28-BY29)/Hipótesis!$D$63,0)</f>
        <v>4</v>
      </c>
      <c r="BZ30" s="110" t="n">
        <f aca="false">ROUNDUP(MAX(0,BZ28-BZ29)/Hipótesis!$D$63,0)</f>
        <v>4</v>
      </c>
      <c r="CA30" s="110" t="n">
        <f aca="false">ROUNDUP(MAX(0,CA28-CA29)/Hipótesis!$D$63,0)</f>
        <v>4</v>
      </c>
      <c r="CB30" s="110" t="n">
        <f aca="false">ROUNDUP(MAX(0,CB28-CB29)/Hipótesis!$D$63,0)</f>
        <v>4</v>
      </c>
      <c r="CC30" s="110" t="n">
        <f aca="false">ROUNDUP(MAX(0,CC28-CC29)/Hipótesis!$D$63,0)</f>
        <v>4</v>
      </c>
      <c r="CD30" s="110" t="n">
        <f aca="false">ROUNDUP(MAX(0,CD28-CD29)/Hipótesis!$D$63,0)</f>
        <v>4</v>
      </c>
      <c r="CE30" s="110" t="n">
        <f aca="false">ROUNDUP(MAX(0,CE28-CE29)/Hipótesis!$D$63,0)</f>
        <v>4</v>
      </c>
      <c r="CF30" s="110" t="n">
        <f aca="false">ROUNDUP(MAX(0,CF28-CF29)/Hipótesis!$D$63,0)</f>
        <v>4</v>
      </c>
      <c r="CG30" s="110" t="n">
        <f aca="false">ROUNDUP(MAX(0,CG28-CG29)/Hipótesis!$D$63,0)</f>
        <v>4</v>
      </c>
      <c r="CH30" s="110" t="n">
        <f aca="false">ROUNDUP(MAX(0,CH28-CH29)/Hipótesis!$D$63,0)</f>
        <v>4</v>
      </c>
    </row>
    <row r="31" customFormat="false" ht="13.5" hidden="false" customHeight="true" outlineLevel="0" collapsed="false">
      <c r="A31" s="22" t="s">
        <v>537</v>
      </c>
      <c r="C31" s="110" t="n">
        <f aca="false">SUMPRODUCT((Hipótesis!$D$48:$D$53&lt;=1)*(Hipótesis!$B$48:$B$53))+C30</f>
        <v>4</v>
      </c>
      <c r="D31" s="110" t="n">
        <f aca="false">SUMPRODUCT((Hipótesis!$D$48:$D$53&lt;=2)*(Hipótesis!$B$48:$B$53))+D30</f>
        <v>4</v>
      </c>
      <c r="E31" s="110" t="n">
        <f aca="false">SUMPRODUCT((Hipótesis!$D$48:$D$53&lt;=3)*(Hipótesis!$B$48:$B$53))+E30</f>
        <v>4</v>
      </c>
      <c r="F31" s="110" t="n">
        <f aca="false">SUMPRODUCT((Hipótesis!$D$48:$D$53&lt;=4)*(Hipótesis!$B$48:$B$53))+F30</f>
        <v>4</v>
      </c>
      <c r="G31" s="110" t="n">
        <f aca="false">SUMPRODUCT((Hipótesis!$D$48:$D$53&lt;=5)*(Hipótesis!$B$48:$B$53))+G30</f>
        <v>4</v>
      </c>
      <c r="H31" s="110" t="n">
        <f aca="false">SUMPRODUCT((Hipótesis!$D$48:$D$53&lt;=6)*(Hipótesis!$B$48:$B$53))+H30</f>
        <v>4</v>
      </c>
      <c r="I31" s="110" t="n">
        <f aca="false">SUMPRODUCT((Hipótesis!$D$48:$D$53&lt;=7)*(Hipótesis!$B$48:$B$53))+I30</f>
        <v>4</v>
      </c>
      <c r="J31" s="110" t="n">
        <f aca="false">SUMPRODUCT((Hipótesis!$D$48:$D$53&lt;=8)*(Hipótesis!$B$48:$B$53))+J30</f>
        <v>4</v>
      </c>
      <c r="K31" s="110" t="n">
        <f aca="false">SUMPRODUCT((Hipótesis!$D$48:$D$53&lt;=9)*(Hipótesis!$B$48:$B$53))+K30</f>
        <v>4</v>
      </c>
      <c r="L31" s="110" t="n">
        <f aca="false">SUMPRODUCT((Hipótesis!$D$48:$D$53&lt;=10)*(Hipótesis!$B$48:$B$53))+L30</f>
        <v>4</v>
      </c>
      <c r="M31" s="110" t="n">
        <f aca="false">SUMPRODUCT((Hipótesis!$D$48:$D$53&lt;=11)*(Hipótesis!$B$48:$B$53))+M30</f>
        <v>4</v>
      </c>
      <c r="N31" s="110" t="n">
        <f aca="false">SUMPRODUCT((Hipótesis!$D$48:$D$53&lt;=12)*(Hipótesis!$B$48:$B$53))+N30</f>
        <v>4</v>
      </c>
      <c r="O31" s="110" t="n">
        <f aca="false">SUMPRODUCT((Hipótesis!$D$48:$D$53&lt;=13)*(Hipótesis!$B$48:$B$53))+O30</f>
        <v>4</v>
      </c>
      <c r="P31" s="110" t="n">
        <f aca="false">SUMPRODUCT((Hipótesis!$D$48:$D$53&lt;=14)*(Hipótesis!$B$48:$B$53))+P30</f>
        <v>5</v>
      </c>
      <c r="Q31" s="110" t="n">
        <f aca="false">SUMPRODUCT((Hipótesis!$D$48:$D$53&lt;=15)*(Hipótesis!$B$48:$B$53))+Q30</f>
        <v>5</v>
      </c>
      <c r="R31" s="110" t="n">
        <f aca="false">SUMPRODUCT((Hipótesis!$D$48:$D$53&lt;=16)*(Hipótesis!$B$48:$B$53))+R30</f>
        <v>5</v>
      </c>
      <c r="S31" s="110" t="n">
        <f aca="false">SUMPRODUCT((Hipótesis!$D$48:$D$53&lt;=17)*(Hipótesis!$B$48:$B$53))+S30</f>
        <v>5</v>
      </c>
      <c r="T31" s="110" t="n">
        <f aca="false">SUMPRODUCT((Hipótesis!$D$48:$D$53&lt;=18)*(Hipótesis!$B$48:$B$53))+T30</f>
        <v>5</v>
      </c>
      <c r="U31" s="110" t="n">
        <f aca="false">SUMPRODUCT((Hipótesis!$D$48:$D$53&lt;=19)*(Hipótesis!$B$48:$B$53))+U30</f>
        <v>6</v>
      </c>
      <c r="V31" s="110" t="n">
        <f aca="false">SUMPRODUCT((Hipótesis!$D$48:$D$53&lt;=20)*(Hipótesis!$B$48:$B$53))+V30</f>
        <v>7</v>
      </c>
      <c r="W31" s="110" t="n">
        <f aca="false">SUMPRODUCT((Hipótesis!$D$48:$D$53&lt;=21)*(Hipótesis!$B$48:$B$53))+W30</f>
        <v>7</v>
      </c>
      <c r="X31" s="110" t="n">
        <f aca="false">SUMPRODUCT((Hipótesis!$D$48:$D$53&lt;=22)*(Hipótesis!$B$48:$B$53))+X30</f>
        <v>7</v>
      </c>
      <c r="Y31" s="110" t="n">
        <f aca="false">SUMPRODUCT((Hipótesis!$D$48:$D$53&lt;=23)*(Hipótesis!$B$48:$B$53))+Y30</f>
        <v>7</v>
      </c>
      <c r="Z31" s="110" t="n">
        <f aca="false">SUMPRODUCT((Hipótesis!$D$48:$D$53&lt;=24)*(Hipótesis!$B$48:$B$53))+Z30</f>
        <v>7</v>
      </c>
      <c r="AA31" s="110" t="n">
        <f aca="false">SUMPRODUCT((Hipótesis!$D$48:$D$53&lt;=25)*(Hipótesis!$B$48:$B$53))+AA30</f>
        <v>7</v>
      </c>
      <c r="AB31" s="110" t="n">
        <f aca="false">SUMPRODUCT((Hipótesis!$D$48:$D$53&lt;=26)*(Hipótesis!$B$48:$B$53))+AB30</f>
        <v>8</v>
      </c>
      <c r="AC31" s="110" t="n">
        <f aca="false">SUMPRODUCT((Hipótesis!$D$48:$D$53&lt;=27)*(Hipótesis!$B$48:$B$53))+AC30</f>
        <v>8</v>
      </c>
      <c r="AD31" s="110" t="n">
        <f aca="false">SUMPRODUCT((Hipótesis!$D$48:$D$53&lt;=28)*(Hipótesis!$B$48:$B$53))+AD30</f>
        <v>8</v>
      </c>
      <c r="AE31" s="110" t="n">
        <f aca="false">SUMPRODUCT((Hipótesis!$D$48:$D$53&lt;=29)*(Hipótesis!$B$48:$B$53))+AE30</f>
        <v>8</v>
      </c>
      <c r="AF31" s="110" t="n">
        <f aca="false">SUMPRODUCT((Hipótesis!$D$48:$D$53&lt;=30)*(Hipótesis!$B$48:$B$53))+AF30</f>
        <v>8</v>
      </c>
      <c r="AG31" s="110" t="n">
        <f aca="false">SUMPRODUCT((Hipótesis!$D$48:$D$53&lt;=31)*(Hipótesis!$B$48:$B$53))+AG30</f>
        <v>8</v>
      </c>
      <c r="AH31" s="110" t="n">
        <f aca="false">SUMPRODUCT((Hipótesis!$D$48:$D$53&lt;=32)*(Hipótesis!$B$48:$B$53))+AH30</f>
        <v>8</v>
      </c>
      <c r="AI31" s="110" t="n">
        <f aca="false">SUMPRODUCT((Hipótesis!$D$48:$D$53&lt;=33)*(Hipótesis!$B$48:$B$53))+AI30</f>
        <v>8</v>
      </c>
      <c r="AJ31" s="110" t="n">
        <f aca="false">SUMPRODUCT((Hipótesis!$D$48:$D$53&lt;=34)*(Hipótesis!$B$48:$B$53))+AJ30</f>
        <v>8</v>
      </c>
      <c r="AK31" s="110" t="n">
        <f aca="false">SUMPRODUCT((Hipótesis!$D$48:$D$53&lt;=35)*(Hipótesis!$B$48:$B$53))+AK30</f>
        <v>8</v>
      </c>
      <c r="AL31" s="110" t="n">
        <f aca="false">SUMPRODUCT((Hipótesis!$D$48:$D$53&lt;=36)*(Hipótesis!$B$48:$B$53))+AL30</f>
        <v>8</v>
      </c>
      <c r="AM31" s="110" t="n">
        <f aca="false">SUMPRODUCT((Hipótesis!$D$48:$D$53&lt;=37)*(Hipótesis!$B$48:$B$53))+AM30</f>
        <v>9</v>
      </c>
      <c r="AN31" s="110" t="n">
        <f aca="false">SUMPRODUCT((Hipótesis!$D$48:$D$53&lt;=38)*(Hipótesis!$B$48:$B$53))+AN30</f>
        <v>9</v>
      </c>
      <c r="AO31" s="110" t="n">
        <f aca="false">SUMPRODUCT((Hipótesis!$D$48:$D$53&lt;=39)*(Hipótesis!$B$48:$B$53))+AO30</f>
        <v>9</v>
      </c>
      <c r="AP31" s="110" t="n">
        <f aca="false">SUMPRODUCT((Hipótesis!$D$48:$D$53&lt;=40)*(Hipótesis!$B$48:$B$53))+AP30</f>
        <v>9</v>
      </c>
      <c r="AQ31" s="110" t="n">
        <f aca="false">SUMPRODUCT((Hipótesis!$D$48:$D$53&lt;=41)*(Hipótesis!$B$48:$B$53))+AQ30</f>
        <v>9</v>
      </c>
      <c r="AR31" s="110" t="n">
        <f aca="false">SUMPRODUCT((Hipótesis!$D$48:$D$53&lt;=42)*(Hipótesis!$B$48:$B$53))+AR30</f>
        <v>9</v>
      </c>
      <c r="AS31" s="110" t="n">
        <f aca="false">SUMPRODUCT((Hipótesis!$D$48:$D$53&lt;=43)*(Hipótesis!$B$48:$B$53))+AS30</f>
        <v>9</v>
      </c>
      <c r="AT31" s="110" t="n">
        <f aca="false">SUMPRODUCT((Hipótesis!$D$48:$D$53&lt;=44)*(Hipótesis!$B$48:$B$53))+AT30</f>
        <v>9</v>
      </c>
      <c r="AU31" s="110" t="n">
        <f aca="false">SUMPRODUCT((Hipótesis!$D$48:$D$53&lt;=45)*(Hipótesis!$B$48:$B$53))+AU30</f>
        <v>9</v>
      </c>
      <c r="AV31" s="110" t="n">
        <f aca="false">SUMPRODUCT((Hipótesis!$D$48:$D$53&lt;=46)*(Hipótesis!$B$48:$B$53))+AV30</f>
        <v>9</v>
      </c>
      <c r="AW31" s="110" t="n">
        <f aca="false">SUMPRODUCT((Hipótesis!$D$48:$D$53&lt;=47)*(Hipótesis!$B$48:$B$53))+AW30</f>
        <v>9</v>
      </c>
      <c r="AX31" s="110" t="n">
        <f aca="false">SUMPRODUCT((Hipótesis!$D$48:$D$53&lt;=48)*(Hipótesis!$B$48:$B$53))+AX30</f>
        <v>9</v>
      </c>
      <c r="AY31" s="110" t="n">
        <f aca="false">SUMPRODUCT((Hipótesis!$D$48:$D$53&lt;=49)*(Hipótesis!$B$48:$B$53))+AY30</f>
        <v>9</v>
      </c>
      <c r="AZ31" s="110" t="n">
        <f aca="false">SUMPRODUCT((Hipótesis!$D$48:$D$53&lt;=50)*(Hipótesis!$B$48:$B$53))+AZ30</f>
        <v>9</v>
      </c>
      <c r="BA31" s="110" t="n">
        <f aca="false">SUMPRODUCT((Hipótesis!$D$48:$D$53&lt;=51)*(Hipótesis!$B$48:$B$53))+BA30</f>
        <v>9</v>
      </c>
      <c r="BB31" s="110" t="n">
        <f aca="false">SUMPRODUCT((Hipótesis!$D$48:$D$53&lt;=52)*(Hipótesis!$B$48:$B$53))+BB30</f>
        <v>9</v>
      </c>
      <c r="BC31" s="110" t="n">
        <f aca="false">SUMPRODUCT((Hipótesis!$D$48:$D$53&lt;=53)*(Hipótesis!$B$48:$B$53))+BC30</f>
        <v>9</v>
      </c>
      <c r="BD31" s="110" t="n">
        <f aca="false">SUMPRODUCT((Hipótesis!$D$48:$D$53&lt;=54)*(Hipótesis!$B$48:$B$53))+BD30</f>
        <v>9</v>
      </c>
      <c r="BE31" s="110" t="n">
        <f aca="false">SUMPRODUCT((Hipótesis!$D$48:$D$53&lt;=55)*(Hipótesis!$B$48:$B$53))+BE30</f>
        <v>9</v>
      </c>
      <c r="BF31" s="110" t="n">
        <f aca="false">SUMPRODUCT((Hipótesis!$D$48:$D$53&lt;=56)*(Hipótesis!$B$48:$B$53))+BF30</f>
        <v>9</v>
      </c>
      <c r="BG31" s="110" t="n">
        <f aca="false">SUMPRODUCT((Hipótesis!$D$48:$D$53&lt;=57)*(Hipótesis!$B$48:$B$53))+BG30</f>
        <v>9</v>
      </c>
      <c r="BH31" s="110" t="n">
        <f aca="false">SUMPRODUCT((Hipótesis!$D$48:$D$53&lt;=58)*(Hipótesis!$B$48:$B$53))+BH30</f>
        <v>9</v>
      </c>
      <c r="BI31" s="110" t="n">
        <f aca="false">SUMPRODUCT((Hipótesis!$D$48:$D$53&lt;=59)*(Hipótesis!$B$48:$B$53))+BI30</f>
        <v>9</v>
      </c>
      <c r="BJ31" s="110" t="n">
        <f aca="false">SUMPRODUCT((Hipótesis!$D$48:$D$53&lt;=60)*(Hipótesis!$B$48:$B$53))+BJ30</f>
        <v>9</v>
      </c>
      <c r="BK31" s="110" t="n">
        <f aca="false">SUMPRODUCT((Hipótesis!$D$48:$D$53&lt;=61)*(Hipótesis!$B$48:$B$53))+BK30</f>
        <v>9</v>
      </c>
      <c r="BL31" s="110" t="n">
        <f aca="false">SUMPRODUCT((Hipótesis!$D$48:$D$53&lt;=62)*(Hipótesis!$B$48:$B$53))+BL30</f>
        <v>9</v>
      </c>
      <c r="BM31" s="110" t="n">
        <f aca="false">SUMPRODUCT((Hipótesis!$D$48:$D$53&lt;=63)*(Hipótesis!$B$48:$B$53))+BM30</f>
        <v>9</v>
      </c>
      <c r="BN31" s="110" t="n">
        <f aca="false">SUMPRODUCT((Hipótesis!$D$48:$D$53&lt;=64)*(Hipótesis!$B$48:$B$53))+BN30</f>
        <v>9</v>
      </c>
      <c r="BO31" s="110" t="n">
        <f aca="false">SUMPRODUCT((Hipótesis!$D$48:$D$53&lt;=65)*(Hipótesis!$B$48:$B$53))+BO30</f>
        <v>9</v>
      </c>
      <c r="BP31" s="110" t="n">
        <f aca="false">SUMPRODUCT((Hipótesis!$D$48:$D$53&lt;=66)*(Hipótesis!$B$48:$B$53))+BP30</f>
        <v>9</v>
      </c>
      <c r="BQ31" s="110" t="n">
        <f aca="false">SUMPRODUCT((Hipótesis!$D$48:$D$53&lt;=67)*(Hipótesis!$B$48:$B$53))+BQ30</f>
        <v>9</v>
      </c>
      <c r="BR31" s="110" t="n">
        <f aca="false">SUMPRODUCT((Hipótesis!$D$48:$D$53&lt;=68)*(Hipótesis!$B$48:$B$53))+BR30</f>
        <v>9</v>
      </c>
      <c r="BS31" s="110" t="n">
        <f aca="false">SUMPRODUCT((Hipótesis!$D$48:$D$53&lt;=69)*(Hipótesis!$B$48:$B$53))+BS30</f>
        <v>9</v>
      </c>
      <c r="BT31" s="110" t="n">
        <f aca="false">SUMPRODUCT((Hipótesis!$D$48:$D$53&lt;=70)*(Hipótesis!$B$48:$B$53))+BT30</f>
        <v>9</v>
      </c>
      <c r="BU31" s="110" t="n">
        <f aca="false">SUMPRODUCT((Hipótesis!$D$48:$D$53&lt;=71)*(Hipótesis!$B$48:$B$53))+BU30</f>
        <v>9</v>
      </c>
      <c r="BV31" s="110" t="n">
        <f aca="false">SUMPRODUCT((Hipótesis!$D$48:$D$53&lt;=72)*(Hipótesis!$B$48:$B$53))+BV30</f>
        <v>9</v>
      </c>
      <c r="BW31" s="110" t="n">
        <f aca="false">SUMPRODUCT((Hipótesis!$D$48:$D$53&lt;=73)*(Hipótesis!$B$48:$B$53))+BW30</f>
        <v>9</v>
      </c>
      <c r="BX31" s="110" t="n">
        <f aca="false">SUMPRODUCT((Hipótesis!$D$48:$D$53&lt;=74)*(Hipótesis!$B$48:$B$53))+BX30</f>
        <v>9</v>
      </c>
      <c r="BY31" s="110" t="n">
        <f aca="false">SUMPRODUCT((Hipótesis!$D$48:$D$53&lt;=75)*(Hipótesis!$B$48:$B$53))+BY30</f>
        <v>9</v>
      </c>
      <c r="BZ31" s="110" t="n">
        <f aca="false">SUMPRODUCT((Hipótesis!$D$48:$D$53&lt;=76)*(Hipótesis!$B$48:$B$53))+BZ30</f>
        <v>9</v>
      </c>
      <c r="CA31" s="110" t="n">
        <f aca="false">SUMPRODUCT((Hipótesis!$D$48:$D$53&lt;=77)*(Hipótesis!$B$48:$B$53))+CA30</f>
        <v>9</v>
      </c>
      <c r="CB31" s="110" t="n">
        <f aca="false">SUMPRODUCT((Hipótesis!$D$48:$D$53&lt;=78)*(Hipótesis!$B$48:$B$53))+CB30</f>
        <v>9</v>
      </c>
      <c r="CC31" s="110" t="n">
        <f aca="false">SUMPRODUCT((Hipótesis!$D$48:$D$53&lt;=79)*(Hipótesis!$B$48:$B$53))+CC30</f>
        <v>9</v>
      </c>
      <c r="CD31" s="110" t="n">
        <f aca="false">SUMPRODUCT((Hipótesis!$D$48:$D$53&lt;=80)*(Hipótesis!$B$48:$B$53))+CD30</f>
        <v>9</v>
      </c>
      <c r="CE31" s="110" t="n">
        <f aca="false">SUMPRODUCT((Hipótesis!$D$48:$D$53&lt;=81)*(Hipótesis!$B$48:$B$53))+CE30</f>
        <v>9</v>
      </c>
      <c r="CF31" s="110" t="n">
        <f aca="false">SUMPRODUCT((Hipótesis!$D$48:$D$53&lt;=82)*(Hipótesis!$B$48:$B$53))+CF30</f>
        <v>9</v>
      </c>
      <c r="CG31" s="110" t="n">
        <f aca="false">SUMPRODUCT((Hipótesis!$D$48:$D$53&lt;=83)*(Hipótesis!$B$48:$B$53))+CG30</f>
        <v>9</v>
      </c>
      <c r="CH31" s="110" t="n">
        <f aca="false">SUMPRODUCT((Hipótesis!$D$48:$D$53&lt;=84)*(Hipótesis!$B$48:$B$53))+CH30</f>
        <v>9</v>
      </c>
    </row>
    <row r="32" customFormat="false" ht="13.5" hidden="false" customHeight="true" outlineLevel="0" collapsed="false"/>
    <row r="33" customFormat="false" ht="12.75" hidden="false" customHeight="true" outlineLevel="0" collapsed="false">
      <c r="A33" s="9" t="s">
        <v>538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</row>
    <row r="34" customFormat="false" ht="13.5" hidden="false" customHeight="true" outlineLevel="0" collapsed="false">
      <c r="A34" s="6" t="s">
        <v>539</v>
      </c>
      <c r="C34" s="109" t="n">
        <f aca="false">C16*C21*Hipótesis!$D$16</f>
        <v>1206.69</v>
      </c>
      <c r="D34" s="109" t="n">
        <f aca="false">D16*D21*Hipótesis!$D$16</f>
        <v>2507.34</v>
      </c>
      <c r="E34" s="109" t="n">
        <f aca="false">E16*E21*Hipótesis!$D$16</f>
        <v>5222.28375</v>
      </c>
      <c r="F34" s="109" t="n">
        <f aca="false">F16*F21*Hipótesis!$D$16</f>
        <v>6730.5375</v>
      </c>
      <c r="G34" s="109" t="n">
        <f aca="false">G16*G21*Hipótesis!$D$16</f>
        <v>8144.83125</v>
      </c>
      <c r="H34" s="109" t="n">
        <f aca="false">H16*H21*Hipótesis!$D$16</f>
        <v>10420.425</v>
      </c>
      <c r="I34" s="109" t="n">
        <f aca="false">I16*I21*Hipótesis!$D$16</f>
        <v>12696.01875</v>
      </c>
      <c r="J34" s="109" t="n">
        <f aca="false">J16*J21*Hipótesis!$D$16</f>
        <v>14971.6125</v>
      </c>
      <c r="K34" s="109" t="n">
        <f aca="false">K16*K21*Hipótesis!$D$16</f>
        <v>17247.20625</v>
      </c>
      <c r="L34" s="109" t="n">
        <f aca="false">L16*L21*Hipótesis!$D$16</f>
        <v>19522.8</v>
      </c>
      <c r="M34" s="109" t="n">
        <f aca="false">M16*M21*Hipótesis!$D$16</f>
        <v>20384.1</v>
      </c>
      <c r="N34" s="109" t="n">
        <f aca="false">N16*N21*Hipótesis!$D$16</f>
        <v>22419.9</v>
      </c>
      <c r="O34" s="109" t="n">
        <f aca="false">O16*O21*Hipótesis!$D$16</f>
        <v>24455.7</v>
      </c>
      <c r="P34" s="109" t="n">
        <f aca="false">P16*P21*Hipótesis!$D$16</f>
        <v>26068.68</v>
      </c>
      <c r="Q34" s="109" t="n">
        <f aca="false">Q16*Q21*Hipótesis!$D$16</f>
        <v>27681.66</v>
      </c>
      <c r="R34" s="109" t="n">
        <f aca="false">R16*R21*Hipótesis!$D$16</f>
        <v>29294.64</v>
      </c>
      <c r="S34" s="109" t="n">
        <f aca="false">S16*S21*Hipótesis!$D$16</f>
        <v>30907.62</v>
      </c>
      <c r="T34" s="109" t="n">
        <f aca="false">T16*T21*Hipótesis!$D$16</f>
        <v>32520.6</v>
      </c>
      <c r="U34" s="109" t="n">
        <f aca="false">U16*U21*Hipótesis!$D$16</f>
        <v>34133.58</v>
      </c>
      <c r="V34" s="109" t="n">
        <f aca="false">V16*V21*Hipótesis!$D$16</f>
        <v>35746.56</v>
      </c>
      <c r="W34" s="109" t="n">
        <f aca="false">W16*W21*Hipótesis!$D$16</f>
        <v>37359.54</v>
      </c>
      <c r="X34" s="109" t="n">
        <f aca="false">X16*X21*Hipótesis!$D$16</f>
        <v>37798.02</v>
      </c>
      <c r="Y34" s="109" t="n">
        <f aca="false">Y16*Y21*Hipótesis!$D$16</f>
        <v>38236.5</v>
      </c>
      <c r="Z34" s="109" t="n">
        <f aca="false">Z16*Z21*Hipótesis!$D$16</f>
        <v>38236.5</v>
      </c>
      <c r="AA34" s="109" t="n">
        <f aca="false">AA16*AA21*Hipótesis!$D$16</f>
        <v>38236.5</v>
      </c>
      <c r="AB34" s="109" t="n">
        <f aca="false">AB16*AB21*Hipótesis!$D$16</f>
        <v>38236.5</v>
      </c>
      <c r="AC34" s="109" t="n">
        <f aca="false">AC16*AC21*Hipótesis!$D$16</f>
        <v>38236.5</v>
      </c>
      <c r="AD34" s="109" t="n">
        <f aca="false">AD16*AD21*Hipótesis!$D$16</f>
        <v>38236.5</v>
      </c>
      <c r="AE34" s="109" t="n">
        <f aca="false">AE16*AE21*Hipótesis!$D$16</f>
        <v>38236.5</v>
      </c>
      <c r="AF34" s="109" t="n">
        <f aca="false">AF16*AF21*Hipótesis!$D$16</f>
        <v>38236.5</v>
      </c>
      <c r="AG34" s="109" t="n">
        <f aca="false">AG16*AG21*Hipótesis!$D$16</f>
        <v>38236.5</v>
      </c>
      <c r="AH34" s="109" t="n">
        <f aca="false">AH16*AH21*Hipótesis!$D$16</f>
        <v>38236.5</v>
      </c>
      <c r="AI34" s="109" t="n">
        <f aca="false">AI16*AI21*Hipótesis!$D$16</f>
        <v>38236.5</v>
      </c>
      <c r="AJ34" s="109" t="n">
        <f aca="false">AJ16*AJ21*Hipótesis!$D$16</f>
        <v>38236.5</v>
      </c>
      <c r="AK34" s="109" t="n">
        <f aca="false">AK16*AK21*Hipótesis!$D$16</f>
        <v>38236.5</v>
      </c>
      <c r="AL34" s="109" t="n">
        <f aca="false">AL16*AL21*Hipótesis!$D$16</f>
        <v>38236.5</v>
      </c>
      <c r="AM34" s="109" t="n">
        <f aca="false">AM16*AM21*Hipótesis!$D$16</f>
        <v>38236.5</v>
      </c>
      <c r="AN34" s="109" t="n">
        <f aca="false">AN16*AN21*Hipótesis!$D$16</f>
        <v>38236.5</v>
      </c>
      <c r="AO34" s="109" t="n">
        <f aca="false">AO16*AO21*Hipótesis!$D$16</f>
        <v>38236.5</v>
      </c>
      <c r="AP34" s="109" t="n">
        <f aca="false">AP16*AP21*Hipótesis!$D$16</f>
        <v>38236.5</v>
      </c>
      <c r="AQ34" s="109" t="n">
        <f aca="false">AQ16*AQ21*Hipótesis!$D$16</f>
        <v>38236.5</v>
      </c>
      <c r="AR34" s="109" t="n">
        <f aca="false">AR16*AR21*Hipótesis!$D$16</f>
        <v>38236.5</v>
      </c>
      <c r="AS34" s="109" t="n">
        <f aca="false">AS16*AS21*Hipótesis!$D$16</f>
        <v>38236.5</v>
      </c>
      <c r="AT34" s="109" t="n">
        <f aca="false">AT16*AT21*Hipótesis!$D$16</f>
        <v>38236.5</v>
      </c>
      <c r="AU34" s="109" t="n">
        <f aca="false">AU16*AU21*Hipótesis!$D$16</f>
        <v>38236.5</v>
      </c>
      <c r="AV34" s="109" t="n">
        <f aca="false">AV16*AV21*Hipótesis!$D$16</f>
        <v>38236.5</v>
      </c>
      <c r="AW34" s="109" t="n">
        <f aca="false">AW16*AW21*Hipótesis!$D$16</f>
        <v>38236.5</v>
      </c>
      <c r="AX34" s="109" t="n">
        <f aca="false">AX16*AX21*Hipótesis!$D$16</f>
        <v>38236.5</v>
      </c>
      <c r="AY34" s="109" t="n">
        <f aca="false">AY16*AY21*Hipótesis!$D$16</f>
        <v>38236.5</v>
      </c>
      <c r="AZ34" s="109" t="n">
        <f aca="false">AZ16*AZ21*Hipótesis!$D$16</f>
        <v>38236.5</v>
      </c>
      <c r="BA34" s="109" t="n">
        <f aca="false">BA16*BA21*Hipótesis!$D$16</f>
        <v>38236.5</v>
      </c>
      <c r="BB34" s="109" t="n">
        <f aca="false">BB16*BB21*Hipótesis!$D$16</f>
        <v>38236.5</v>
      </c>
      <c r="BC34" s="109" t="n">
        <f aca="false">BC16*BC21*Hipótesis!$D$16</f>
        <v>38236.5</v>
      </c>
      <c r="BD34" s="109" t="n">
        <f aca="false">BD16*BD21*Hipótesis!$D$16</f>
        <v>38236.5</v>
      </c>
      <c r="BE34" s="109" t="n">
        <f aca="false">BE16*BE21*Hipótesis!$D$16</f>
        <v>38236.5</v>
      </c>
      <c r="BF34" s="109" t="n">
        <f aca="false">BF16*BF21*Hipótesis!$D$16</f>
        <v>38236.5</v>
      </c>
      <c r="BG34" s="109" t="n">
        <f aca="false">BG16*BG21*Hipótesis!$D$16</f>
        <v>38236.5</v>
      </c>
      <c r="BH34" s="109" t="n">
        <f aca="false">BH16*BH21*Hipótesis!$D$16</f>
        <v>38236.5</v>
      </c>
      <c r="BI34" s="109" t="n">
        <f aca="false">BI16*BI21*Hipótesis!$D$16</f>
        <v>38236.5</v>
      </c>
      <c r="BJ34" s="109" t="n">
        <f aca="false">BJ16*BJ21*Hipótesis!$D$16</f>
        <v>38236.5</v>
      </c>
      <c r="BK34" s="109" t="n">
        <f aca="false">BK16*BK21*Hipótesis!$D$16</f>
        <v>38236.5</v>
      </c>
      <c r="BL34" s="109" t="n">
        <f aca="false">BL16*BL21*Hipótesis!$D$16</f>
        <v>38236.5</v>
      </c>
      <c r="BM34" s="109" t="n">
        <f aca="false">BM16*BM21*Hipótesis!$D$16</f>
        <v>38236.5</v>
      </c>
      <c r="BN34" s="109" t="n">
        <f aca="false">BN16*BN21*Hipótesis!$D$16</f>
        <v>38236.5</v>
      </c>
      <c r="BO34" s="109" t="n">
        <f aca="false">BO16*BO21*Hipótesis!$D$16</f>
        <v>38236.5</v>
      </c>
      <c r="BP34" s="109" t="n">
        <f aca="false">BP16*BP21*Hipótesis!$D$16</f>
        <v>38236.5</v>
      </c>
      <c r="BQ34" s="109" t="n">
        <f aca="false">BQ16*BQ21*Hipótesis!$D$16</f>
        <v>38236.5</v>
      </c>
      <c r="BR34" s="109" t="n">
        <f aca="false">BR16*BR21*Hipótesis!$D$16</f>
        <v>38236.5</v>
      </c>
      <c r="BS34" s="109" t="n">
        <f aca="false">BS16*BS21*Hipótesis!$D$16</f>
        <v>38236.5</v>
      </c>
      <c r="BT34" s="109" t="n">
        <f aca="false">BT16*BT21*Hipótesis!$D$16</f>
        <v>38236.5</v>
      </c>
      <c r="BU34" s="109" t="n">
        <f aca="false">BU16*BU21*Hipótesis!$D$16</f>
        <v>38236.5</v>
      </c>
      <c r="BV34" s="109" t="n">
        <f aca="false">BV16*BV21*Hipótesis!$D$16</f>
        <v>38236.5</v>
      </c>
      <c r="BW34" s="109" t="n">
        <f aca="false">BW16*BW21*Hipótesis!$D$16</f>
        <v>38236.5</v>
      </c>
      <c r="BX34" s="109" t="n">
        <f aca="false">BX16*BX21*Hipótesis!$D$16</f>
        <v>38236.5</v>
      </c>
      <c r="BY34" s="109" t="n">
        <f aca="false">BY16*BY21*Hipótesis!$D$16</f>
        <v>38236.5</v>
      </c>
      <c r="BZ34" s="109" t="n">
        <f aca="false">BZ16*BZ21*Hipótesis!$D$16</f>
        <v>38236.5</v>
      </c>
      <c r="CA34" s="109" t="n">
        <f aca="false">CA16*CA21*Hipótesis!$D$16</f>
        <v>38236.5</v>
      </c>
      <c r="CB34" s="109" t="n">
        <f aca="false">CB16*CB21*Hipótesis!$D$16</f>
        <v>38236.5</v>
      </c>
      <c r="CC34" s="109" t="n">
        <f aca="false">CC16*CC21*Hipótesis!$D$16</f>
        <v>38236.5</v>
      </c>
      <c r="CD34" s="109" t="n">
        <f aca="false">CD16*CD21*Hipótesis!$D$16</f>
        <v>38236.5</v>
      </c>
      <c r="CE34" s="109" t="n">
        <f aca="false">CE16*CE21*Hipótesis!$D$16</f>
        <v>38236.5</v>
      </c>
      <c r="CF34" s="109" t="n">
        <f aca="false">CF16*CF21*Hipótesis!$D$16</f>
        <v>38236.5</v>
      </c>
      <c r="CG34" s="109" t="n">
        <f aca="false">CG16*CG21*Hipótesis!$D$16</f>
        <v>38236.5</v>
      </c>
      <c r="CH34" s="109" t="n">
        <f aca="false">CH16*CH21*Hipótesis!$D$16</f>
        <v>38236.5</v>
      </c>
    </row>
    <row r="35" customFormat="false" ht="13.5" hidden="false" customHeight="true" outlineLevel="0" collapsed="false">
      <c r="A35" s="6" t="s">
        <v>540</v>
      </c>
      <c r="C35" s="109" t="n">
        <f aca="false">C23*(Hipótesis!$D$30*Hipótesis!$D$20+(1-Hipótesis!$D$30)*Hipótesis!$D$21)</f>
        <v>0</v>
      </c>
      <c r="D35" s="109" t="n">
        <f aca="false">D23*(Hipótesis!$D$30*Hipótesis!$D$20+(1-Hipótesis!$D$30)*Hipótesis!$D$21)</f>
        <v>0</v>
      </c>
      <c r="E35" s="109" t="n">
        <f aca="false">E23*(Hipótesis!$D$30*Hipótesis!$D$20+(1-Hipótesis!$D$30)*Hipótesis!$D$21)</f>
        <v>0</v>
      </c>
      <c r="F35" s="109" t="n">
        <f aca="false">F23*(Hipótesis!$D$30*Hipótesis!$D$20+(1-Hipótesis!$D$30)*Hipótesis!$D$21)</f>
        <v>0</v>
      </c>
      <c r="G35" s="109" t="n">
        <f aca="false">G23*(Hipótesis!$D$30*Hipótesis!$D$20+(1-Hipótesis!$D$30)*Hipótesis!$D$21)</f>
        <v>0</v>
      </c>
      <c r="H35" s="109" t="n">
        <f aca="false">H23*(Hipótesis!$D$30*Hipótesis!$D$20+(1-Hipótesis!$D$30)*Hipótesis!$D$21)</f>
        <v>0</v>
      </c>
      <c r="I35" s="109" t="n">
        <f aca="false">I23*(Hipótesis!$D$30*Hipótesis!$D$20+(1-Hipótesis!$D$30)*Hipótesis!$D$21)</f>
        <v>2186.39910836757</v>
      </c>
      <c r="J35" s="109" t="n">
        <f aca="false">J23*(Hipótesis!$D$30*Hipótesis!$D$20+(1-Hipótesis!$D$30)*Hipótesis!$D$21)</f>
        <v>4372.79821673514</v>
      </c>
      <c r="K35" s="109" t="n">
        <f aca="false">K23*(Hipótesis!$D$30*Hipótesis!$D$20+(1-Hipótesis!$D$30)*Hipótesis!$D$21)</f>
        <v>6559.1973251027</v>
      </c>
      <c r="L35" s="109" t="n">
        <f aca="false">L23*(Hipótesis!$D$30*Hipótesis!$D$20+(1-Hipótesis!$D$30)*Hipótesis!$D$21)</f>
        <v>8745.59643347027</v>
      </c>
      <c r="M35" s="109" t="n">
        <f aca="false">M23*(Hipótesis!$D$30*Hipótesis!$D$20+(1-Hipótesis!$D$30)*Hipótesis!$D$21)</f>
        <v>10931.9955418378</v>
      </c>
      <c r="N35" s="109" t="n">
        <f aca="false">N23*(Hipótesis!$D$30*Hipótesis!$D$20+(1-Hipótesis!$D$30)*Hipótesis!$D$21)</f>
        <v>13118.3946502054</v>
      </c>
      <c r="O35" s="109" t="n">
        <f aca="false">O23*(Hipótesis!$D$30*Hipótesis!$D$20+(1-Hipótesis!$D$30)*Hipótesis!$D$21)</f>
        <v>15304.793758573</v>
      </c>
      <c r="P35" s="109" t="n">
        <f aca="false">P23*(Hipótesis!$D$30*Hipótesis!$D$20+(1-Hipótesis!$D$30)*Hipótesis!$D$21)</f>
        <v>17491.1928669405</v>
      </c>
      <c r="Q35" s="109" t="n">
        <f aca="false">Q23*(Hipótesis!$D$30*Hipótesis!$D$20+(1-Hipótesis!$D$30)*Hipótesis!$D$21)</f>
        <v>19677.5919753081</v>
      </c>
      <c r="R35" s="109" t="n">
        <f aca="false">R23*(Hipótesis!$D$30*Hipótesis!$D$20+(1-Hipótesis!$D$30)*Hipótesis!$D$21)</f>
        <v>21863.9910836757</v>
      </c>
      <c r="S35" s="109" t="n">
        <f aca="false">S23*(Hipótesis!$D$30*Hipótesis!$D$20+(1-Hipótesis!$D$30)*Hipótesis!$D$21)</f>
        <v>24050.3901920432</v>
      </c>
      <c r="T35" s="109" t="n">
        <f aca="false">T23*(Hipótesis!$D$30*Hipótesis!$D$20+(1-Hipótesis!$D$30)*Hipótesis!$D$21)</f>
        <v>26236.7893004108</v>
      </c>
      <c r="U35" s="109" t="n">
        <f aca="false">U23*(Hipótesis!$D$30*Hipótesis!$D$20+(1-Hipótesis!$D$30)*Hipótesis!$D$21)</f>
        <v>28423.1884087784</v>
      </c>
      <c r="V35" s="109" t="n">
        <f aca="false">V23*(Hipótesis!$D$30*Hipótesis!$D$20+(1-Hipótesis!$D$30)*Hipótesis!$D$21)</f>
        <v>30609.5875171459</v>
      </c>
      <c r="W35" s="109" t="n">
        <f aca="false">W23*(Hipótesis!$D$30*Hipótesis!$D$20+(1-Hipótesis!$D$30)*Hipótesis!$D$21)</f>
        <v>32795.9866255135</v>
      </c>
      <c r="X35" s="109" t="n">
        <f aca="false">X23*(Hipótesis!$D$30*Hipótesis!$D$20+(1-Hipótesis!$D$30)*Hipótesis!$D$21)</f>
        <v>34982.3857338811</v>
      </c>
      <c r="Y35" s="109" t="n">
        <f aca="false">Y23*(Hipótesis!$D$30*Hipótesis!$D$20+(1-Hipótesis!$D$30)*Hipótesis!$D$21)</f>
        <v>37168.7848422487</v>
      </c>
      <c r="Z35" s="109" t="n">
        <f aca="false">Z23*(Hipótesis!$D$30*Hipótesis!$D$20+(1-Hipótesis!$D$30)*Hipótesis!$D$21)</f>
        <v>39355.1839506162</v>
      </c>
      <c r="AA35" s="109" t="n">
        <f aca="false">AA23*(Hipótesis!$D$30*Hipótesis!$D$20+(1-Hipótesis!$D$30)*Hipótesis!$D$21)</f>
        <v>41541.5830589838</v>
      </c>
      <c r="AB35" s="109" t="n">
        <f aca="false">AB23*(Hipótesis!$D$30*Hipótesis!$D$20+(1-Hipótesis!$D$30)*Hipótesis!$D$21)</f>
        <v>43727.9821673514</v>
      </c>
      <c r="AC35" s="109" t="n">
        <f aca="false">AC23*(Hipótesis!$D$30*Hipótesis!$D$20+(1-Hipótesis!$D$30)*Hipótesis!$D$21)</f>
        <v>45914.3812757189</v>
      </c>
      <c r="AD35" s="109" t="n">
        <f aca="false">AD23*(Hipótesis!$D$30*Hipótesis!$D$20+(1-Hipótesis!$D$30)*Hipótesis!$D$21)</f>
        <v>48100.7803840865</v>
      </c>
      <c r="AE35" s="109" t="n">
        <f aca="false">AE23*(Hipótesis!$D$30*Hipótesis!$D$20+(1-Hipótesis!$D$30)*Hipótesis!$D$21)</f>
        <v>50287.1794924541</v>
      </c>
      <c r="AF35" s="109" t="n">
        <f aca="false">AF23*(Hipótesis!$D$30*Hipótesis!$D$20+(1-Hipótesis!$D$30)*Hipótesis!$D$21)</f>
        <v>52473.5786008216</v>
      </c>
      <c r="AG35" s="109" t="n">
        <f aca="false">AG23*(Hipótesis!$D$30*Hipótesis!$D$20+(1-Hipótesis!$D$30)*Hipótesis!$D$21)</f>
        <v>54659.9777091892</v>
      </c>
      <c r="AH35" s="109" t="n">
        <f aca="false">AH23*(Hipótesis!$D$30*Hipótesis!$D$20+(1-Hipótesis!$D$30)*Hipótesis!$D$21)</f>
        <v>56846.3768175568</v>
      </c>
      <c r="AI35" s="109" t="n">
        <f aca="false">AI23*(Hipótesis!$D$30*Hipótesis!$D$20+(1-Hipótesis!$D$30)*Hipótesis!$D$21)</f>
        <v>59032.7759259243</v>
      </c>
      <c r="AJ35" s="109" t="n">
        <f aca="false">AJ23*(Hipótesis!$D$30*Hipótesis!$D$20+(1-Hipótesis!$D$30)*Hipótesis!$D$21)</f>
        <v>61219.1750342919</v>
      </c>
      <c r="AK35" s="109" t="n">
        <f aca="false">AK23*(Hipótesis!$D$30*Hipótesis!$D$20+(1-Hipótesis!$D$30)*Hipótesis!$D$21)</f>
        <v>63405.5741426595</v>
      </c>
      <c r="AL35" s="109" t="n">
        <f aca="false">AL23*(Hipótesis!$D$30*Hipótesis!$D$20+(1-Hipótesis!$D$30)*Hipótesis!$D$21)</f>
        <v>65591.973251027</v>
      </c>
      <c r="AM35" s="109" t="n">
        <f aca="false">AM23*(Hipótesis!$D$30*Hipótesis!$D$20+(1-Hipótesis!$D$30)*Hipótesis!$D$21)</f>
        <v>67778.3723593946</v>
      </c>
      <c r="AN35" s="109" t="n">
        <f aca="false">AN23*(Hipótesis!$D$30*Hipótesis!$D$20+(1-Hipótesis!$D$30)*Hipótesis!$D$21)</f>
        <v>69964.7714677622</v>
      </c>
      <c r="AO35" s="109" t="n">
        <f aca="false">AO23*(Hipótesis!$D$30*Hipótesis!$D$20+(1-Hipótesis!$D$30)*Hipótesis!$D$21)</f>
        <v>72151.1705761297</v>
      </c>
      <c r="AP35" s="109" t="n">
        <f aca="false">AP23*(Hipótesis!$D$30*Hipótesis!$D$20+(1-Hipótesis!$D$30)*Hipótesis!$D$21)</f>
        <v>74337.5696844973</v>
      </c>
      <c r="AQ35" s="109" t="n">
        <f aca="false">AQ23*(Hipótesis!$D$30*Hipótesis!$D$20+(1-Hipótesis!$D$30)*Hipótesis!$D$21)</f>
        <v>76523.9687928649</v>
      </c>
      <c r="AR35" s="109" t="n">
        <f aca="false">AR23*(Hipótesis!$D$30*Hipótesis!$D$20+(1-Hipótesis!$D$30)*Hipótesis!$D$21)</f>
        <v>78710.3679012324</v>
      </c>
      <c r="AS35" s="109" t="n">
        <f aca="false">AS23*(Hipótesis!$D$30*Hipótesis!$D$20+(1-Hipótesis!$D$30)*Hipótesis!$D$21)</f>
        <v>78710.3679012324</v>
      </c>
      <c r="AT35" s="109" t="n">
        <f aca="false">AT23*(Hipótesis!$D$30*Hipótesis!$D$20+(1-Hipótesis!$D$30)*Hipótesis!$D$21)</f>
        <v>78710.3679012324</v>
      </c>
      <c r="AU35" s="109" t="n">
        <f aca="false">AU23*(Hipótesis!$D$30*Hipótesis!$D$20+(1-Hipótesis!$D$30)*Hipótesis!$D$21)</f>
        <v>78710.3679012324</v>
      </c>
      <c r="AV35" s="109" t="n">
        <f aca="false">AV23*(Hipótesis!$D$30*Hipótesis!$D$20+(1-Hipótesis!$D$30)*Hipótesis!$D$21)</f>
        <v>78710.3679012324</v>
      </c>
      <c r="AW35" s="109" t="n">
        <f aca="false">AW23*(Hipótesis!$D$30*Hipótesis!$D$20+(1-Hipótesis!$D$30)*Hipótesis!$D$21)</f>
        <v>78710.3679012324</v>
      </c>
      <c r="AX35" s="109" t="n">
        <f aca="false">AX23*(Hipótesis!$D$30*Hipótesis!$D$20+(1-Hipótesis!$D$30)*Hipótesis!$D$21)</f>
        <v>78710.3679012324</v>
      </c>
      <c r="AY35" s="109" t="n">
        <f aca="false">AY23*(Hipótesis!$D$30*Hipótesis!$D$20+(1-Hipótesis!$D$30)*Hipótesis!$D$21)</f>
        <v>78710.3679012324</v>
      </c>
      <c r="AZ35" s="109" t="n">
        <f aca="false">AZ23*(Hipótesis!$D$30*Hipótesis!$D$20+(1-Hipótesis!$D$30)*Hipótesis!$D$21)</f>
        <v>78710.3679012324</v>
      </c>
      <c r="BA35" s="109" t="n">
        <f aca="false">BA23*(Hipótesis!$D$30*Hipótesis!$D$20+(1-Hipótesis!$D$30)*Hipótesis!$D$21)</f>
        <v>78710.3679012324</v>
      </c>
      <c r="BB35" s="109" t="n">
        <f aca="false">BB23*(Hipótesis!$D$30*Hipótesis!$D$20+(1-Hipótesis!$D$30)*Hipótesis!$D$21)</f>
        <v>78710.3679012324</v>
      </c>
      <c r="BC35" s="109" t="n">
        <f aca="false">BC23*(Hipótesis!$D$30*Hipótesis!$D$20+(1-Hipótesis!$D$30)*Hipótesis!$D$21)</f>
        <v>78710.3679012324</v>
      </c>
      <c r="BD35" s="109" t="n">
        <f aca="false">BD23*(Hipótesis!$D$30*Hipótesis!$D$20+(1-Hipótesis!$D$30)*Hipótesis!$D$21)</f>
        <v>78710.3679012324</v>
      </c>
      <c r="BE35" s="109" t="n">
        <f aca="false">BE23*(Hipótesis!$D$30*Hipótesis!$D$20+(1-Hipótesis!$D$30)*Hipótesis!$D$21)</f>
        <v>78710.3679012324</v>
      </c>
      <c r="BF35" s="109" t="n">
        <f aca="false">BF23*(Hipótesis!$D$30*Hipótesis!$D$20+(1-Hipótesis!$D$30)*Hipótesis!$D$21)</f>
        <v>78710.3679012324</v>
      </c>
      <c r="BG35" s="109" t="n">
        <f aca="false">BG23*(Hipótesis!$D$30*Hipótesis!$D$20+(1-Hipótesis!$D$30)*Hipótesis!$D$21)</f>
        <v>78710.3679012324</v>
      </c>
      <c r="BH35" s="109" t="n">
        <f aca="false">BH23*(Hipótesis!$D$30*Hipótesis!$D$20+(1-Hipótesis!$D$30)*Hipótesis!$D$21)</f>
        <v>78710.3679012324</v>
      </c>
      <c r="BI35" s="109" t="n">
        <f aca="false">BI23*(Hipótesis!$D$30*Hipótesis!$D$20+(1-Hipótesis!$D$30)*Hipótesis!$D$21)</f>
        <v>78710.3679012324</v>
      </c>
      <c r="BJ35" s="109" t="n">
        <f aca="false">BJ23*(Hipótesis!$D$30*Hipótesis!$D$20+(1-Hipótesis!$D$30)*Hipótesis!$D$21)</f>
        <v>78710.3679012324</v>
      </c>
      <c r="BK35" s="109" t="n">
        <f aca="false">BK23*(Hipótesis!$D$30*Hipótesis!$D$20+(1-Hipótesis!$D$30)*Hipótesis!$D$21)</f>
        <v>78710.3679012324</v>
      </c>
      <c r="BL35" s="109" t="n">
        <f aca="false">BL23*(Hipótesis!$D$30*Hipótesis!$D$20+(1-Hipótesis!$D$30)*Hipótesis!$D$21)</f>
        <v>78710.3679012324</v>
      </c>
      <c r="BM35" s="109" t="n">
        <f aca="false">BM23*(Hipótesis!$D$30*Hipótesis!$D$20+(1-Hipótesis!$D$30)*Hipótesis!$D$21)</f>
        <v>78710.3679012324</v>
      </c>
      <c r="BN35" s="109" t="n">
        <f aca="false">BN23*(Hipótesis!$D$30*Hipótesis!$D$20+(1-Hipótesis!$D$30)*Hipótesis!$D$21)</f>
        <v>78710.3679012324</v>
      </c>
      <c r="BO35" s="109" t="n">
        <f aca="false">BO23*(Hipótesis!$D$30*Hipótesis!$D$20+(1-Hipótesis!$D$30)*Hipótesis!$D$21)</f>
        <v>78710.3679012324</v>
      </c>
      <c r="BP35" s="109" t="n">
        <f aca="false">BP23*(Hipótesis!$D$30*Hipótesis!$D$20+(1-Hipótesis!$D$30)*Hipótesis!$D$21)</f>
        <v>78710.3679012324</v>
      </c>
      <c r="BQ35" s="109" t="n">
        <f aca="false">BQ23*(Hipótesis!$D$30*Hipótesis!$D$20+(1-Hipótesis!$D$30)*Hipótesis!$D$21)</f>
        <v>78710.3679012324</v>
      </c>
      <c r="BR35" s="109" t="n">
        <f aca="false">BR23*(Hipótesis!$D$30*Hipótesis!$D$20+(1-Hipótesis!$D$30)*Hipótesis!$D$21)</f>
        <v>78710.3679012324</v>
      </c>
      <c r="BS35" s="109" t="n">
        <f aca="false">BS23*(Hipótesis!$D$30*Hipótesis!$D$20+(1-Hipótesis!$D$30)*Hipótesis!$D$21)</f>
        <v>78710.3679012324</v>
      </c>
      <c r="BT35" s="109" t="n">
        <f aca="false">BT23*(Hipótesis!$D$30*Hipótesis!$D$20+(1-Hipótesis!$D$30)*Hipótesis!$D$21)</f>
        <v>78710.3679012324</v>
      </c>
      <c r="BU35" s="109" t="n">
        <f aca="false">BU23*(Hipótesis!$D$30*Hipótesis!$D$20+(1-Hipótesis!$D$30)*Hipótesis!$D$21)</f>
        <v>78710.3679012324</v>
      </c>
      <c r="BV35" s="109" t="n">
        <f aca="false">BV23*(Hipótesis!$D$30*Hipótesis!$D$20+(1-Hipótesis!$D$30)*Hipótesis!$D$21)</f>
        <v>78710.3679012324</v>
      </c>
      <c r="BW35" s="109" t="n">
        <f aca="false">BW23*(Hipótesis!$D$30*Hipótesis!$D$20+(1-Hipótesis!$D$30)*Hipótesis!$D$21)</f>
        <v>78710.3679012324</v>
      </c>
      <c r="BX35" s="109" t="n">
        <f aca="false">BX23*(Hipótesis!$D$30*Hipótesis!$D$20+(1-Hipótesis!$D$30)*Hipótesis!$D$21)</f>
        <v>78710.3679012324</v>
      </c>
      <c r="BY35" s="109" t="n">
        <f aca="false">BY23*(Hipótesis!$D$30*Hipótesis!$D$20+(1-Hipótesis!$D$30)*Hipótesis!$D$21)</f>
        <v>78710.3679012324</v>
      </c>
      <c r="BZ35" s="109" t="n">
        <f aca="false">BZ23*(Hipótesis!$D$30*Hipótesis!$D$20+(1-Hipótesis!$D$30)*Hipótesis!$D$21)</f>
        <v>78710.3679012324</v>
      </c>
      <c r="CA35" s="109" t="n">
        <f aca="false">CA23*(Hipótesis!$D$30*Hipótesis!$D$20+(1-Hipótesis!$D$30)*Hipótesis!$D$21)</f>
        <v>78710.3679012324</v>
      </c>
      <c r="CB35" s="109" t="n">
        <f aca="false">CB23*(Hipótesis!$D$30*Hipótesis!$D$20+(1-Hipótesis!$D$30)*Hipótesis!$D$21)</f>
        <v>78710.3679012324</v>
      </c>
      <c r="CC35" s="109" t="n">
        <f aca="false">CC23*(Hipótesis!$D$30*Hipótesis!$D$20+(1-Hipótesis!$D$30)*Hipótesis!$D$21)</f>
        <v>78710.3679012324</v>
      </c>
      <c r="CD35" s="109" t="n">
        <f aca="false">CD23*(Hipótesis!$D$30*Hipótesis!$D$20+(1-Hipótesis!$D$30)*Hipótesis!$D$21)</f>
        <v>78710.3679012324</v>
      </c>
      <c r="CE35" s="109" t="n">
        <f aca="false">CE23*(Hipótesis!$D$30*Hipótesis!$D$20+(1-Hipótesis!$D$30)*Hipótesis!$D$21)</f>
        <v>78710.3679012324</v>
      </c>
      <c r="CF35" s="109" t="n">
        <f aca="false">CF23*(Hipótesis!$D$30*Hipótesis!$D$20+(1-Hipótesis!$D$30)*Hipótesis!$D$21)</f>
        <v>78710.3679012324</v>
      </c>
      <c r="CG35" s="109" t="n">
        <f aca="false">CG23*(Hipótesis!$D$30*Hipótesis!$D$20+(1-Hipótesis!$D$30)*Hipótesis!$D$21)</f>
        <v>78710.3679012324</v>
      </c>
      <c r="CH35" s="109" t="n">
        <f aca="false">CH23*(Hipótesis!$D$30*Hipótesis!$D$20+(1-Hipótesis!$D$30)*Hipótesis!$D$21)</f>
        <v>78710.3679012324</v>
      </c>
    </row>
    <row r="36" customFormat="false" ht="13.5" hidden="false" customHeight="true" outlineLevel="0" collapsed="false">
      <c r="A36" s="22" t="s">
        <v>541</v>
      </c>
      <c r="C36" s="109" t="n">
        <f aca="false">C34+C35</f>
        <v>1206.69</v>
      </c>
      <c r="D36" s="109" t="n">
        <f aca="false">D34+D35</f>
        <v>2507.34</v>
      </c>
      <c r="E36" s="109" t="n">
        <f aca="false">E34+E35</f>
        <v>5222.28375</v>
      </c>
      <c r="F36" s="109" t="n">
        <f aca="false">F34+F35</f>
        <v>6730.5375</v>
      </c>
      <c r="G36" s="109" t="n">
        <f aca="false">G34+G35</f>
        <v>8144.83125</v>
      </c>
      <c r="H36" s="109" t="n">
        <f aca="false">H34+H35</f>
        <v>10420.425</v>
      </c>
      <c r="I36" s="109" t="n">
        <f aca="false">I34+I35</f>
        <v>14882.4178583676</v>
      </c>
      <c r="J36" s="109" t="n">
        <f aca="false">J34+J35</f>
        <v>19344.4107167351</v>
      </c>
      <c r="K36" s="109" t="n">
        <f aca="false">K34+K35</f>
        <v>23806.4035751027</v>
      </c>
      <c r="L36" s="109" t="n">
        <f aca="false">L34+L35</f>
        <v>28268.3964334703</v>
      </c>
      <c r="M36" s="109" t="n">
        <f aca="false">M34+M35</f>
        <v>31316.0955418378</v>
      </c>
      <c r="N36" s="109" t="n">
        <f aca="false">N34+N35</f>
        <v>35538.2946502054</v>
      </c>
      <c r="O36" s="109" t="n">
        <f aca="false">O34+O35</f>
        <v>39760.493758573</v>
      </c>
      <c r="P36" s="109" t="n">
        <f aca="false">P34+P35</f>
        <v>43559.8728669405</v>
      </c>
      <c r="Q36" s="109" t="n">
        <f aca="false">Q34+Q35</f>
        <v>47359.2519753081</v>
      </c>
      <c r="R36" s="109" t="n">
        <f aca="false">R34+R35</f>
        <v>51158.6310836757</v>
      </c>
      <c r="S36" s="109" t="n">
        <f aca="false">S34+S35</f>
        <v>54958.0101920432</v>
      </c>
      <c r="T36" s="109" t="n">
        <f aca="false">T34+T35</f>
        <v>58757.3893004108</v>
      </c>
      <c r="U36" s="109" t="n">
        <f aca="false">U34+U35</f>
        <v>62556.7684087784</v>
      </c>
      <c r="V36" s="109" t="n">
        <f aca="false">V34+V35</f>
        <v>66356.147517146</v>
      </c>
      <c r="W36" s="109" t="n">
        <f aca="false">W34+W35</f>
        <v>70155.5266255135</v>
      </c>
      <c r="X36" s="109" t="n">
        <f aca="false">X34+X35</f>
        <v>72780.4057338811</v>
      </c>
      <c r="Y36" s="109" t="n">
        <f aca="false">Y34+Y35</f>
        <v>75405.2848422487</v>
      </c>
      <c r="Z36" s="109" t="n">
        <f aca="false">Z34+Z35</f>
        <v>77591.6839506162</v>
      </c>
      <c r="AA36" s="109" t="n">
        <f aca="false">AA34+AA35</f>
        <v>79778.0830589838</v>
      </c>
      <c r="AB36" s="109" t="n">
        <f aca="false">AB34+AB35</f>
        <v>81964.4821673514</v>
      </c>
      <c r="AC36" s="109" t="n">
        <f aca="false">AC34+AC35</f>
        <v>84150.8812757189</v>
      </c>
      <c r="AD36" s="109" t="n">
        <f aca="false">AD34+AD35</f>
        <v>86337.2803840865</v>
      </c>
      <c r="AE36" s="109" t="n">
        <f aca="false">AE34+AE35</f>
        <v>88523.6794924541</v>
      </c>
      <c r="AF36" s="109" t="n">
        <f aca="false">AF34+AF35</f>
        <v>90710.0786008216</v>
      </c>
      <c r="AG36" s="109" t="n">
        <f aca="false">AG34+AG35</f>
        <v>92896.4777091892</v>
      </c>
      <c r="AH36" s="109" t="n">
        <f aca="false">AH34+AH35</f>
        <v>95082.8768175568</v>
      </c>
      <c r="AI36" s="109" t="n">
        <f aca="false">AI34+AI35</f>
        <v>97269.2759259243</v>
      </c>
      <c r="AJ36" s="109" t="n">
        <f aca="false">AJ34+AJ35</f>
        <v>99455.6750342919</v>
      </c>
      <c r="AK36" s="109" t="n">
        <f aca="false">AK34+AK35</f>
        <v>101642.074142659</v>
      </c>
      <c r="AL36" s="109" t="n">
        <f aca="false">AL34+AL35</f>
        <v>103828.473251027</v>
      </c>
      <c r="AM36" s="109" t="n">
        <f aca="false">AM34+AM35</f>
        <v>106014.872359395</v>
      </c>
      <c r="AN36" s="109" t="n">
        <f aca="false">AN34+AN35</f>
        <v>108201.271467762</v>
      </c>
      <c r="AO36" s="109" t="n">
        <f aca="false">AO34+AO35</f>
        <v>110387.67057613</v>
      </c>
      <c r="AP36" s="109" t="n">
        <f aca="false">AP34+AP35</f>
        <v>112574.069684497</v>
      </c>
      <c r="AQ36" s="109" t="n">
        <f aca="false">AQ34+AQ35</f>
        <v>114760.468792865</v>
      </c>
      <c r="AR36" s="109" t="n">
        <f aca="false">AR34+AR35</f>
        <v>116946.867901232</v>
      </c>
      <c r="AS36" s="109" t="n">
        <f aca="false">AS34+AS35</f>
        <v>116946.867901232</v>
      </c>
      <c r="AT36" s="109" t="n">
        <f aca="false">AT34+AT35</f>
        <v>116946.867901232</v>
      </c>
      <c r="AU36" s="109" t="n">
        <f aca="false">AU34+AU35</f>
        <v>116946.867901232</v>
      </c>
      <c r="AV36" s="109" t="n">
        <f aca="false">AV34+AV35</f>
        <v>116946.867901232</v>
      </c>
      <c r="AW36" s="109" t="n">
        <f aca="false">AW34+AW35</f>
        <v>116946.867901232</v>
      </c>
      <c r="AX36" s="109" t="n">
        <f aca="false">AX34+AX35</f>
        <v>116946.867901232</v>
      </c>
      <c r="AY36" s="109" t="n">
        <f aca="false">AY34+AY35</f>
        <v>116946.867901232</v>
      </c>
      <c r="AZ36" s="109" t="n">
        <f aca="false">AZ34+AZ35</f>
        <v>116946.867901232</v>
      </c>
      <c r="BA36" s="109" t="n">
        <f aca="false">BA34+BA35</f>
        <v>116946.867901232</v>
      </c>
      <c r="BB36" s="109" t="n">
        <f aca="false">BB34+BB35</f>
        <v>116946.867901232</v>
      </c>
      <c r="BC36" s="109" t="n">
        <f aca="false">BC34+BC35</f>
        <v>116946.867901232</v>
      </c>
      <c r="BD36" s="109" t="n">
        <f aca="false">BD34+BD35</f>
        <v>116946.867901232</v>
      </c>
      <c r="BE36" s="109" t="n">
        <f aca="false">BE34+BE35</f>
        <v>116946.867901232</v>
      </c>
      <c r="BF36" s="109" t="n">
        <f aca="false">BF34+BF35</f>
        <v>116946.867901232</v>
      </c>
      <c r="BG36" s="109" t="n">
        <f aca="false">BG34+BG35</f>
        <v>116946.867901232</v>
      </c>
      <c r="BH36" s="109" t="n">
        <f aca="false">BH34+BH35</f>
        <v>116946.867901232</v>
      </c>
      <c r="BI36" s="109" t="n">
        <f aca="false">BI34+BI35</f>
        <v>116946.867901232</v>
      </c>
      <c r="BJ36" s="109" t="n">
        <f aca="false">BJ34+BJ35</f>
        <v>116946.867901232</v>
      </c>
      <c r="BK36" s="109" t="n">
        <f aca="false">BK34+BK35</f>
        <v>116946.867901232</v>
      </c>
      <c r="BL36" s="109" t="n">
        <f aca="false">BL34+BL35</f>
        <v>116946.867901232</v>
      </c>
      <c r="BM36" s="109" t="n">
        <f aca="false">BM34+BM35</f>
        <v>116946.867901232</v>
      </c>
      <c r="BN36" s="109" t="n">
        <f aca="false">BN34+BN35</f>
        <v>116946.867901232</v>
      </c>
      <c r="BO36" s="109" t="n">
        <f aca="false">BO34+BO35</f>
        <v>116946.867901232</v>
      </c>
      <c r="BP36" s="109" t="n">
        <f aca="false">BP34+BP35</f>
        <v>116946.867901232</v>
      </c>
      <c r="BQ36" s="109" t="n">
        <f aca="false">BQ34+BQ35</f>
        <v>116946.867901232</v>
      </c>
      <c r="BR36" s="109" t="n">
        <f aca="false">BR34+BR35</f>
        <v>116946.867901232</v>
      </c>
      <c r="BS36" s="109" t="n">
        <f aca="false">BS34+BS35</f>
        <v>116946.867901232</v>
      </c>
      <c r="BT36" s="109" t="n">
        <f aca="false">BT34+BT35</f>
        <v>116946.867901232</v>
      </c>
      <c r="BU36" s="109" t="n">
        <f aca="false">BU34+BU35</f>
        <v>116946.867901232</v>
      </c>
      <c r="BV36" s="109" t="n">
        <f aca="false">BV34+BV35</f>
        <v>116946.867901232</v>
      </c>
      <c r="BW36" s="109" t="n">
        <f aca="false">BW34+BW35</f>
        <v>116946.867901232</v>
      </c>
      <c r="BX36" s="109" t="n">
        <f aca="false">BX34+BX35</f>
        <v>116946.867901232</v>
      </c>
      <c r="BY36" s="109" t="n">
        <f aca="false">BY34+BY35</f>
        <v>116946.867901232</v>
      </c>
      <c r="BZ36" s="109" t="n">
        <f aca="false">BZ34+BZ35</f>
        <v>116946.867901232</v>
      </c>
      <c r="CA36" s="109" t="n">
        <f aca="false">CA34+CA35</f>
        <v>116946.867901232</v>
      </c>
      <c r="CB36" s="109" t="n">
        <f aca="false">CB34+CB35</f>
        <v>116946.867901232</v>
      </c>
      <c r="CC36" s="109" t="n">
        <f aca="false">CC34+CC35</f>
        <v>116946.867901232</v>
      </c>
      <c r="CD36" s="109" t="n">
        <f aca="false">CD34+CD35</f>
        <v>116946.867901232</v>
      </c>
      <c r="CE36" s="109" t="n">
        <f aca="false">CE34+CE35</f>
        <v>116946.867901232</v>
      </c>
      <c r="CF36" s="109" t="n">
        <f aca="false">CF34+CF35</f>
        <v>116946.867901232</v>
      </c>
      <c r="CG36" s="109" t="n">
        <f aca="false">CG34+CG35</f>
        <v>116946.867901232</v>
      </c>
      <c r="CH36" s="109" t="n">
        <f aca="false">CH34+CH35</f>
        <v>116946.867901232</v>
      </c>
    </row>
    <row r="37" customFormat="false" ht="13.5" hidden="false" customHeight="true" outlineLevel="0" collapsed="false">
      <c r="A37" s="6" t="s">
        <v>542</v>
      </c>
      <c r="C37" s="109" t="n">
        <f aca="false">-C36*Hipótesis!$D$34</f>
        <v>-120.669</v>
      </c>
      <c r="D37" s="109" t="n">
        <f aca="false">-D36*Hipótesis!$D$34</f>
        <v>-250.734</v>
      </c>
      <c r="E37" s="109" t="n">
        <f aca="false">-E36*Hipótesis!$D$34</f>
        <v>-522.228375</v>
      </c>
      <c r="F37" s="109" t="n">
        <f aca="false">-F36*Hipótesis!$D$34</f>
        <v>-673.05375</v>
      </c>
      <c r="G37" s="109" t="n">
        <f aca="false">-G36*Hipótesis!$D$34</f>
        <v>-814.483125</v>
      </c>
      <c r="H37" s="109" t="n">
        <f aca="false">-H36*Hipótesis!$D$34</f>
        <v>-1042.0425</v>
      </c>
      <c r="I37" s="109" t="n">
        <f aca="false">-I36*Hipótesis!$D$34</f>
        <v>-1488.24178583676</v>
      </c>
      <c r="J37" s="109" t="n">
        <f aca="false">-J36*Hipótesis!$D$34</f>
        <v>-1934.44107167351</v>
      </c>
      <c r="K37" s="109" t="n">
        <f aca="false">-K36*Hipótesis!$D$34</f>
        <v>-2380.64035751027</v>
      </c>
      <c r="L37" s="109" t="n">
        <f aca="false">-L36*Hipótesis!$D$34</f>
        <v>-2826.83964334703</v>
      </c>
      <c r="M37" s="109" t="n">
        <f aca="false">-M36*Hipótesis!$D$34</f>
        <v>-3131.60955418378</v>
      </c>
      <c r="N37" s="109" t="n">
        <f aca="false">-N36*Hipótesis!$D$34</f>
        <v>-3553.82946502054</v>
      </c>
      <c r="O37" s="109" t="n">
        <f aca="false">-O36*Hipótesis!$D$34</f>
        <v>-3976.0493758573</v>
      </c>
      <c r="P37" s="109" t="n">
        <f aca="false">-P36*Hipótesis!$D$34</f>
        <v>-4355.98728669405</v>
      </c>
      <c r="Q37" s="109" t="n">
        <f aca="false">-Q36*Hipótesis!$D$34</f>
        <v>-4735.92519753081</v>
      </c>
      <c r="R37" s="109" t="n">
        <f aca="false">-R36*Hipótesis!$D$34</f>
        <v>-5115.86310836757</v>
      </c>
      <c r="S37" s="109" t="n">
        <f aca="false">-S36*Hipótesis!$D$34</f>
        <v>-5495.80101920433</v>
      </c>
      <c r="T37" s="109" t="n">
        <f aca="false">-T36*Hipótesis!$D$34</f>
        <v>-5875.73893004108</v>
      </c>
      <c r="U37" s="109" t="n">
        <f aca="false">-U36*Hipótesis!$D$34</f>
        <v>-6255.67684087784</v>
      </c>
      <c r="V37" s="109" t="n">
        <f aca="false">-V36*Hipótesis!$D$34</f>
        <v>-6635.6147517146</v>
      </c>
      <c r="W37" s="109" t="n">
        <f aca="false">-W36*Hipótesis!$D$34</f>
        <v>-7015.55266255135</v>
      </c>
      <c r="X37" s="109" t="n">
        <f aca="false">-X36*Hipótesis!$D$34</f>
        <v>-7278.04057338811</v>
      </c>
      <c r="Y37" s="109" t="n">
        <f aca="false">-Y36*Hipótesis!$D$34</f>
        <v>-7540.52848422487</v>
      </c>
      <c r="Z37" s="109" t="n">
        <f aca="false">-Z36*Hipótesis!$D$34</f>
        <v>-7759.16839506162</v>
      </c>
      <c r="AA37" s="109" t="n">
        <f aca="false">-AA36*Hipótesis!$D$34</f>
        <v>-7977.80830589838</v>
      </c>
      <c r="AB37" s="109" t="n">
        <f aca="false">-AB36*Hipótesis!$D$34</f>
        <v>-8196.44821673514</v>
      </c>
      <c r="AC37" s="109" t="n">
        <f aca="false">-AC36*Hipótesis!$D$34</f>
        <v>-8415.08812757189</v>
      </c>
      <c r="AD37" s="109" t="n">
        <f aca="false">-AD36*Hipótesis!$D$34</f>
        <v>-8633.72803840865</v>
      </c>
      <c r="AE37" s="109" t="n">
        <f aca="false">-AE36*Hipótesis!$D$34</f>
        <v>-8852.36794924541</v>
      </c>
      <c r="AF37" s="109" t="n">
        <f aca="false">-AF36*Hipótesis!$D$34</f>
        <v>-9071.00786008216</v>
      </c>
      <c r="AG37" s="109" t="n">
        <f aca="false">-AG36*Hipótesis!$D$34</f>
        <v>-9289.64777091892</v>
      </c>
      <c r="AH37" s="109" t="n">
        <f aca="false">-AH36*Hipótesis!$D$34</f>
        <v>-9508.28768175568</v>
      </c>
      <c r="AI37" s="109" t="n">
        <f aca="false">-AI36*Hipótesis!$D$34</f>
        <v>-9726.92759259243</v>
      </c>
      <c r="AJ37" s="109" t="n">
        <f aca="false">-AJ36*Hipótesis!$D$34</f>
        <v>-9945.56750342919</v>
      </c>
      <c r="AK37" s="109" t="n">
        <f aca="false">-AK36*Hipótesis!$D$34</f>
        <v>-10164.2074142659</v>
      </c>
      <c r="AL37" s="109" t="n">
        <f aca="false">-AL36*Hipótesis!$D$34</f>
        <v>-10382.8473251027</v>
      </c>
      <c r="AM37" s="109" t="n">
        <f aca="false">-AM36*Hipótesis!$D$34</f>
        <v>-10601.4872359395</v>
      </c>
      <c r="AN37" s="109" t="n">
        <f aca="false">-AN36*Hipótesis!$D$34</f>
        <v>-10820.1271467762</v>
      </c>
      <c r="AO37" s="109" t="n">
        <f aca="false">-AO36*Hipótesis!$D$34</f>
        <v>-11038.767057613</v>
      </c>
      <c r="AP37" s="109" t="n">
        <f aca="false">-AP36*Hipótesis!$D$34</f>
        <v>-11257.4069684497</v>
      </c>
      <c r="AQ37" s="109" t="n">
        <f aca="false">-AQ36*Hipótesis!$D$34</f>
        <v>-11476.0468792865</v>
      </c>
      <c r="AR37" s="109" t="n">
        <f aca="false">-AR36*Hipótesis!$D$34</f>
        <v>-11694.6867901232</v>
      </c>
      <c r="AS37" s="109" t="n">
        <f aca="false">-AS36*Hipótesis!$D$34</f>
        <v>-11694.6867901232</v>
      </c>
      <c r="AT37" s="109" t="n">
        <f aca="false">-AT36*Hipótesis!$D$34</f>
        <v>-11694.6867901232</v>
      </c>
      <c r="AU37" s="109" t="n">
        <f aca="false">-AU36*Hipótesis!$D$34</f>
        <v>-11694.6867901232</v>
      </c>
      <c r="AV37" s="109" t="n">
        <f aca="false">-AV36*Hipótesis!$D$34</f>
        <v>-11694.6867901232</v>
      </c>
      <c r="AW37" s="109" t="n">
        <f aca="false">-AW36*Hipótesis!$D$34</f>
        <v>-11694.6867901232</v>
      </c>
      <c r="AX37" s="109" t="n">
        <f aca="false">-AX36*Hipótesis!$D$34</f>
        <v>-11694.6867901232</v>
      </c>
      <c r="AY37" s="109" t="n">
        <f aca="false">-AY36*Hipótesis!$D$34</f>
        <v>-11694.6867901232</v>
      </c>
      <c r="AZ37" s="109" t="n">
        <f aca="false">-AZ36*Hipótesis!$D$34</f>
        <v>-11694.6867901232</v>
      </c>
      <c r="BA37" s="109" t="n">
        <f aca="false">-BA36*Hipótesis!$D$34</f>
        <v>-11694.6867901232</v>
      </c>
      <c r="BB37" s="109" t="n">
        <f aca="false">-BB36*Hipótesis!$D$34</f>
        <v>-11694.6867901232</v>
      </c>
      <c r="BC37" s="109" t="n">
        <f aca="false">-BC36*Hipótesis!$D$34</f>
        <v>-11694.6867901232</v>
      </c>
      <c r="BD37" s="109" t="n">
        <f aca="false">-BD36*Hipótesis!$D$34</f>
        <v>-11694.6867901232</v>
      </c>
      <c r="BE37" s="109" t="n">
        <f aca="false">-BE36*Hipótesis!$D$34</f>
        <v>-11694.6867901232</v>
      </c>
      <c r="BF37" s="109" t="n">
        <f aca="false">-BF36*Hipótesis!$D$34</f>
        <v>-11694.6867901232</v>
      </c>
      <c r="BG37" s="109" t="n">
        <f aca="false">-BG36*Hipótesis!$D$34</f>
        <v>-11694.6867901232</v>
      </c>
      <c r="BH37" s="109" t="n">
        <f aca="false">-BH36*Hipótesis!$D$34</f>
        <v>-11694.6867901232</v>
      </c>
      <c r="BI37" s="109" t="n">
        <f aca="false">-BI36*Hipótesis!$D$34</f>
        <v>-11694.6867901232</v>
      </c>
      <c r="BJ37" s="109" t="n">
        <f aca="false">-BJ36*Hipótesis!$D$34</f>
        <v>-11694.6867901232</v>
      </c>
      <c r="BK37" s="109" t="n">
        <f aca="false">-BK36*Hipótesis!$D$34</f>
        <v>-11694.6867901232</v>
      </c>
      <c r="BL37" s="109" t="n">
        <f aca="false">-BL36*Hipótesis!$D$34</f>
        <v>-11694.6867901232</v>
      </c>
      <c r="BM37" s="109" t="n">
        <f aca="false">-BM36*Hipótesis!$D$34</f>
        <v>-11694.6867901232</v>
      </c>
      <c r="BN37" s="109" t="n">
        <f aca="false">-BN36*Hipótesis!$D$34</f>
        <v>-11694.6867901232</v>
      </c>
      <c r="BO37" s="109" t="n">
        <f aca="false">-BO36*Hipótesis!$D$34</f>
        <v>-11694.6867901232</v>
      </c>
      <c r="BP37" s="109" t="n">
        <f aca="false">-BP36*Hipótesis!$D$34</f>
        <v>-11694.6867901232</v>
      </c>
      <c r="BQ37" s="109" t="n">
        <f aca="false">-BQ36*Hipótesis!$D$34</f>
        <v>-11694.6867901232</v>
      </c>
      <c r="BR37" s="109" t="n">
        <f aca="false">-BR36*Hipótesis!$D$34</f>
        <v>-11694.6867901232</v>
      </c>
      <c r="BS37" s="109" t="n">
        <f aca="false">-BS36*Hipótesis!$D$34</f>
        <v>-11694.6867901232</v>
      </c>
      <c r="BT37" s="109" t="n">
        <f aca="false">-BT36*Hipótesis!$D$34</f>
        <v>-11694.6867901232</v>
      </c>
      <c r="BU37" s="109" t="n">
        <f aca="false">-BU36*Hipótesis!$D$34</f>
        <v>-11694.6867901232</v>
      </c>
      <c r="BV37" s="109" t="n">
        <f aca="false">-BV36*Hipótesis!$D$34</f>
        <v>-11694.6867901232</v>
      </c>
      <c r="BW37" s="109" t="n">
        <f aca="false">-BW36*Hipótesis!$D$34</f>
        <v>-11694.6867901232</v>
      </c>
      <c r="BX37" s="109" t="n">
        <f aca="false">-BX36*Hipótesis!$D$34</f>
        <v>-11694.6867901232</v>
      </c>
      <c r="BY37" s="109" t="n">
        <f aca="false">-BY36*Hipótesis!$D$34</f>
        <v>-11694.6867901232</v>
      </c>
      <c r="BZ37" s="109" t="n">
        <f aca="false">-BZ36*Hipótesis!$D$34</f>
        <v>-11694.6867901232</v>
      </c>
      <c r="CA37" s="109" t="n">
        <f aca="false">-CA36*Hipótesis!$D$34</f>
        <v>-11694.6867901232</v>
      </c>
      <c r="CB37" s="109" t="n">
        <f aca="false">-CB36*Hipótesis!$D$34</f>
        <v>-11694.6867901232</v>
      </c>
      <c r="CC37" s="109" t="n">
        <f aca="false">-CC36*Hipótesis!$D$34</f>
        <v>-11694.6867901232</v>
      </c>
      <c r="CD37" s="109" t="n">
        <f aca="false">-CD36*Hipótesis!$D$34</f>
        <v>-11694.6867901232</v>
      </c>
      <c r="CE37" s="109" t="n">
        <f aca="false">-CE36*Hipótesis!$D$34</f>
        <v>-11694.6867901232</v>
      </c>
      <c r="CF37" s="109" t="n">
        <f aca="false">-CF36*Hipótesis!$D$34</f>
        <v>-11694.6867901232</v>
      </c>
      <c r="CG37" s="109" t="n">
        <f aca="false">-CG36*Hipótesis!$D$34</f>
        <v>-11694.6867901232</v>
      </c>
      <c r="CH37" s="109" t="n">
        <f aca="false">-CH36*Hipótesis!$D$34</f>
        <v>-11694.6867901232</v>
      </c>
    </row>
    <row r="38" customFormat="false" ht="13.5" hidden="false" customHeight="true" outlineLevel="0" collapsed="false">
      <c r="A38" s="22" t="s">
        <v>543</v>
      </c>
      <c r="C38" s="109" t="n">
        <f aca="false">C36+C37</f>
        <v>1086.021</v>
      </c>
      <c r="D38" s="109" t="n">
        <f aca="false">D36+D37</f>
        <v>2256.606</v>
      </c>
      <c r="E38" s="109" t="n">
        <f aca="false">E36+E37</f>
        <v>4700.055375</v>
      </c>
      <c r="F38" s="109" t="n">
        <f aca="false">F36+F37</f>
        <v>6057.48375</v>
      </c>
      <c r="G38" s="109" t="n">
        <f aca="false">G36+G37</f>
        <v>7330.348125</v>
      </c>
      <c r="H38" s="109" t="n">
        <f aca="false">H36+H37</f>
        <v>9378.3825</v>
      </c>
      <c r="I38" s="109" t="n">
        <f aca="false">I36+I37</f>
        <v>13394.1760725308</v>
      </c>
      <c r="J38" s="109" t="n">
        <f aca="false">J36+J37</f>
        <v>17409.9696450616</v>
      </c>
      <c r="K38" s="109" t="n">
        <f aca="false">K36+K37</f>
        <v>21425.7632175924</v>
      </c>
      <c r="L38" s="109" t="n">
        <f aca="false">L36+L37</f>
        <v>25441.5567901232</v>
      </c>
      <c r="M38" s="109" t="n">
        <f aca="false">M36+M37</f>
        <v>28184.4859876541</v>
      </c>
      <c r="N38" s="109" t="n">
        <f aca="false">N36+N37</f>
        <v>31984.4651851849</v>
      </c>
      <c r="O38" s="109" t="n">
        <f aca="false">O36+O37</f>
        <v>35784.4443827157</v>
      </c>
      <c r="P38" s="109" t="n">
        <f aca="false">P36+P37</f>
        <v>39203.8855802465</v>
      </c>
      <c r="Q38" s="109" t="n">
        <f aca="false">Q36+Q37</f>
        <v>42623.3267777773</v>
      </c>
      <c r="R38" s="109" t="n">
        <f aca="false">R36+R37</f>
        <v>46042.7679753081</v>
      </c>
      <c r="S38" s="109" t="n">
        <f aca="false">S36+S37</f>
        <v>49462.2091728389</v>
      </c>
      <c r="T38" s="109" t="n">
        <f aca="false">T36+T37</f>
        <v>52881.6503703697</v>
      </c>
      <c r="U38" s="109" t="n">
        <f aca="false">U36+U37</f>
        <v>56301.0915679006</v>
      </c>
      <c r="V38" s="109" t="n">
        <f aca="false">V36+V37</f>
        <v>59720.5327654314</v>
      </c>
      <c r="W38" s="109" t="n">
        <f aca="false">W36+W37</f>
        <v>63139.9739629622</v>
      </c>
      <c r="X38" s="109" t="n">
        <f aca="false">X36+X37</f>
        <v>65502.365160493</v>
      </c>
      <c r="Y38" s="109" t="n">
        <f aca="false">Y36+Y37</f>
        <v>67864.7563580238</v>
      </c>
      <c r="Z38" s="109" t="n">
        <f aca="false">Z36+Z37</f>
        <v>69832.5155555546</v>
      </c>
      <c r="AA38" s="109" t="n">
        <f aca="false">AA36+AA37</f>
        <v>71800.2747530854</v>
      </c>
      <c r="AB38" s="109" t="n">
        <f aca="false">AB36+AB37</f>
        <v>73768.0339506162</v>
      </c>
      <c r="AC38" s="109" t="n">
        <f aca="false">AC36+AC37</f>
        <v>75735.793148147</v>
      </c>
      <c r="AD38" s="109" t="n">
        <f aca="false">AD36+AD37</f>
        <v>77703.5523456779</v>
      </c>
      <c r="AE38" s="109" t="n">
        <f aca="false">AE36+AE37</f>
        <v>79671.3115432087</v>
      </c>
      <c r="AF38" s="109" t="n">
        <f aca="false">AF36+AF37</f>
        <v>81639.0707407395</v>
      </c>
      <c r="AG38" s="109" t="n">
        <f aca="false">AG36+AG37</f>
        <v>83606.8299382703</v>
      </c>
      <c r="AH38" s="109" t="n">
        <f aca="false">AH36+AH37</f>
        <v>85574.5891358011</v>
      </c>
      <c r="AI38" s="109" t="n">
        <f aca="false">AI36+AI37</f>
        <v>87542.3483333319</v>
      </c>
      <c r="AJ38" s="109" t="n">
        <f aca="false">AJ36+AJ37</f>
        <v>89510.1075308627</v>
      </c>
      <c r="AK38" s="109" t="n">
        <f aca="false">AK36+AK37</f>
        <v>91477.8667283935</v>
      </c>
      <c r="AL38" s="109" t="n">
        <f aca="false">AL36+AL37</f>
        <v>93445.6259259243</v>
      </c>
      <c r="AM38" s="109" t="n">
        <f aca="false">AM36+AM37</f>
        <v>95413.3851234551</v>
      </c>
      <c r="AN38" s="109" t="n">
        <f aca="false">AN36+AN37</f>
        <v>97381.1443209859</v>
      </c>
      <c r="AO38" s="109" t="n">
        <f aca="false">AO36+AO37</f>
        <v>99348.9035185168</v>
      </c>
      <c r="AP38" s="109" t="n">
        <f aca="false">AP36+AP37</f>
        <v>101316.662716048</v>
      </c>
      <c r="AQ38" s="109" t="n">
        <f aca="false">AQ36+AQ37</f>
        <v>103284.421913578</v>
      </c>
      <c r="AR38" s="109" t="n">
        <f aca="false">AR36+AR37</f>
        <v>105252.181111109</v>
      </c>
      <c r="AS38" s="109" t="n">
        <f aca="false">AS36+AS37</f>
        <v>105252.181111109</v>
      </c>
      <c r="AT38" s="109" t="n">
        <f aca="false">AT36+AT37</f>
        <v>105252.181111109</v>
      </c>
      <c r="AU38" s="109" t="n">
        <f aca="false">AU36+AU37</f>
        <v>105252.181111109</v>
      </c>
      <c r="AV38" s="109" t="n">
        <f aca="false">AV36+AV37</f>
        <v>105252.181111109</v>
      </c>
      <c r="AW38" s="109" t="n">
        <f aca="false">AW36+AW37</f>
        <v>105252.181111109</v>
      </c>
      <c r="AX38" s="109" t="n">
        <f aca="false">AX36+AX37</f>
        <v>105252.181111109</v>
      </c>
      <c r="AY38" s="109" t="n">
        <f aca="false">AY36+AY37</f>
        <v>105252.181111109</v>
      </c>
      <c r="AZ38" s="109" t="n">
        <f aca="false">AZ36+AZ37</f>
        <v>105252.181111109</v>
      </c>
      <c r="BA38" s="109" t="n">
        <f aca="false">BA36+BA37</f>
        <v>105252.181111109</v>
      </c>
      <c r="BB38" s="109" t="n">
        <f aca="false">BB36+BB37</f>
        <v>105252.181111109</v>
      </c>
      <c r="BC38" s="109" t="n">
        <f aca="false">BC36+BC37</f>
        <v>105252.181111109</v>
      </c>
      <c r="BD38" s="109" t="n">
        <f aca="false">BD36+BD37</f>
        <v>105252.181111109</v>
      </c>
      <c r="BE38" s="109" t="n">
        <f aca="false">BE36+BE37</f>
        <v>105252.181111109</v>
      </c>
      <c r="BF38" s="109" t="n">
        <f aca="false">BF36+BF37</f>
        <v>105252.181111109</v>
      </c>
      <c r="BG38" s="109" t="n">
        <f aca="false">BG36+BG37</f>
        <v>105252.181111109</v>
      </c>
      <c r="BH38" s="109" t="n">
        <f aca="false">BH36+BH37</f>
        <v>105252.181111109</v>
      </c>
      <c r="BI38" s="109" t="n">
        <f aca="false">BI36+BI37</f>
        <v>105252.181111109</v>
      </c>
      <c r="BJ38" s="109" t="n">
        <f aca="false">BJ36+BJ37</f>
        <v>105252.181111109</v>
      </c>
      <c r="BK38" s="109" t="n">
        <f aca="false">BK36+BK37</f>
        <v>105252.181111109</v>
      </c>
      <c r="BL38" s="109" t="n">
        <f aca="false">BL36+BL37</f>
        <v>105252.181111109</v>
      </c>
      <c r="BM38" s="109" t="n">
        <f aca="false">BM36+BM37</f>
        <v>105252.181111109</v>
      </c>
      <c r="BN38" s="109" t="n">
        <f aca="false">BN36+BN37</f>
        <v>105252.181111109</v>
      </c>
      <c r="BO38" s="109" t="n">
        <f aca="false">BO36+BO37</f>
        <v>105252.181111109</v>
      </c>
      <c r="BP38" s="109" t="n">
        <f aca="false">BP36+BP37</f>
        <v>105252.181111109</v>
      </c>
      <c r="BQ38" s="109" t="n">
        <f aca="false">BQ36+BQ37</f>
        <v>105252.181111109</v>
      </c>
      <c r="BR38" s="109" t="n">
        <f aca="false">BR36+BR37</f>
        <v>105252.181111109</v>
      </c>
      <c r="BS38" s="109" t="n">
        <f aca="false">BS36+BS37</f>
        <v>105252.181111109</v>
      </c>
      <c r="BT38" s="109" t="n">
        <f aca="false">BT36+BT37</f>
        <v>105252.181111109</v>
      </c>
      <c r="BU38" s="109" t="n">
        <f aca="false">BU36+BU37</f>
        <v>105252.181111109</v>
      </c>
      <c r="BV38" s="109" t="n">
        <f aca="false">BV36+BV37</f>
        <v>105252.181111109</v>
      </c>
      <c r="BW38" s="109" t="n">
        <f aca="false">BW36+BW37</f>
        <v>105252.181111109</v>
      </c>
      <c r="BX38" s="109" t="n">
        <f aca="false">BX36+BX37</f>
        <v>105252.181111109</v>
      </c>
      <c r="BY38" s="109" t="n">
        <f aca="false">BY36+BY37</f>
        <v>105252.181111109</v>
      </c>
      <c r="BZ38" s="109" t="n">
        <f aca="false">BZ36+BZ37</f>
        <v>105252.181111109</v>
      </c>
      <c r="CA38" s="109" t="n">
        <f aca="false">CA36+CA37</f>
        <v>105252.181111109</v>
      </c>
      <c r="CB38" s="109" t="n">
        <f aca="false">CB36+CB37</f>
        <v>105252.181111109</v>
      </c>
      <c r="CC38" s="109" t="n">
        <f aca="false">CC36+CC37</f>
        <v>105252.181111109</v>
      </c>
      <c r="CD38" s="109" t="n">
        <f aca="false">CD36+CD37</f>
        <v>105252.181111109</v>
      </c>
      <c r="CE38" s="109" t="n">
        <f aca="false">CE36+CE37</f>
        <v>105252.181111109</v>
      </c>
      <c r="CF38" s="109" t="n">
        <f aca="false">CF36+CF37</f>
        <v>105252.181111109</v>
      </c>
      <c r="CG38" s="109" t="n">
        <f aca="false">CG36+CG37</f>
        <v>105252.181111109</v>
      </c>
      <c r="CH38" s="109" t="n">
        <f aca="false">CH36+CH37</f>
        <v>105252.181111109</v>
      </c>
    </row>
    <row r="39" customFormat="false" ht="13.5" hidden="false" customHeight="true" outlineLevel="0" collapsed="false">
      <c r="A39" s="6" t="s">
        <v>544</v>
      </c>
      <c r="C39" s="109" t="n">
        <f aca="false">-(C19*C21*Hipótesis!$D$18+C23*Hipótesis!$D$22)</f>
        <v>-90.1708333333333</v>
      </c>
      <c r="D39" s="109" t="n">
        <f aca="false">-(D19*D21*Hipótesis!$D$18+D23*Hipótesis!$D$22)</f>
        <v>-194.305166666667</v>
      </c>
      <c r="E39" s="109" t="n">
        <f aca="false">-(E19*E21*Hipótesis!$D$18+E23*Hipótesis!$D$22)</f>
        <v>-482.36840880102</v>
      </c>
      <c r="F39" s="109" t="n">
        <f aca="false">-(F19*F21*Hipótesis!$D$18+F23*Hipótesis!$D$22)</f>
        <v>-680.260817602041</v>
      </c>
      <c r="G39" s="109" t="n">
        <f aca="false">-(G19*G21*Hipótesis!$D$18+G23*Hipótesis!$D$22)</f>
        <v>-864.189726403061</v>
      </c>
      <c r="H39" s="109" t="n">
        <f aca="false">-(H19*H21*Hipótesis!$D$18+H23*Hipótesis!$D$22)</f>
        <v>-1208.11707270408</v>
      </c>
      <c r="I39" s="109" t="n">
        <f aca="false">-(I19*I21*Hipótesis!$D$18+I23*Hipótesis!$D$22)</f>
        <v>-1853.30279632672</v>
      </c>
      <c r="J39" s="109" t="n">
        <f aca="false">-(J19*J21*Hipótesis!$D$18+J23*Hipótesis!$D$22)</f>
        <v>-2498.48851994937</v>
      </c>
      <c r="K39" s="109" t="n">
        <f aca="false">-(K19*K21*Hipótesis!$D$18+K23*Hipótesis!$D$22)</f>
        <v>-3143.67424357201</v>
      </c>
      <c r="L39" s="109" t="n">
        <f aca="false">-(L19*L21*Hipótesis!$D$18+L23*Hipótesis!$D$22)</f>
        <v>-3788.85996719465</v>
      </c>
      <c r="M39" s="109" t="n">
        <f aca="false">-(M19*M21*Hipótesis!$D$18+M23*Hipótesis!$D$22)</f>
        <v>-4250.11678201627</v>
      </c>
      <c r="N39" s="109" t="n">
        <f aca="false">-(N19*N21*Hipótesis!$D$18+N23*Hipótesis!$D$22)</f>
        <v>-4944.09859683789</v>
      </c>
      <c r="O39" s="109" t="n">
        <f aca="false">-(O19*O21*Hipótesis!$D$18+O23*Hipótesis!$D$22)</f>
        <v>-5638.08041165951</v>
      </c>
      <c r="P39" s="109" t="n">
        <f aca="false">-(P19*P21*Hipótesis!$D$18+P23*Hipótesis!$D$22)</f>
        <v>-6265.15378898114</v>
      </c>
      <c r="Q39" s="109" t="n">
        <f aca="false">-(Q19*Q21*Hipótesis!$D$18+Q23*Hipótesis!$D$22)</f>
        <v>-6892.22716630276</v>
      </c>
      <c r="R39" s="109" t="n">
        <f aca="false">-(R19*R21*Hipótesis!$D$18+R23*Hipótesis!$D$22)</f>
        <v>-7519.30054362438</v>
      </c>
      <c r="S39" s="109" t="n">
        <f aca="false">-(S19*S21*Hipótesis!$D$18+S23*Hipótesis!$D$22)</f>
        <v>-8146.373920946</v>
      </c>
      <c r="T39" s="109" t="n">
        <f aca="false">-(T19*T21*Hipótesis!$D$18+T23*Hipótesis!$D$22)</f>
        <v>-8773.44729826762</v>
      </c>
      <c r="U39" s="109" t="n">
        <f aca="false">-(U19*U21*Hipótesis!$D$18+U23*Hipótesis!$D$22)</f>
        <v>-9400.52067558925</v>
      </c>
      <c r="V39" s="109" t="n">
        <f aca="false">-(V19*V21*Hipótesis!$D$18+V23*Hipótesis!$D$22)</f>
        <v>-10027.5940529109</v>
      </c>
      <c r="W39" s="109" t="n">
        <f aca="false">-(W19*W21*Hipótesis!$D$18+W23*Hipótesis!$D$22)</f>
        <v>-10654.6674302325</v>
      </c>
      <c r="X39" s="109" t="n">
        <f aca="false">-(X19*X21*Hipótesis!$D$18+X23*Hipótesis!$D$22)</f>
        <v>-11049.0158075541</v>
      </c>
      <c r="Y39" s="109" t="n">
        <f aca="false">-(Y19*Y21*Hipótesis!$D$18+Y23*Hipótesis!$D$22)</f>
        <v>-11443.3641848757</v>
      </c>
      <c r="Z39" s="109" t="n">
        <f aca="false">-(Z19*Z21*Hipótesis!$D$18+Z23*Hipótesis!$D$22)</f>
        <v>-11744.6225621974</v>
      </c>
      <c r="AA39" s="109" t="n">
        <f aca="false">-(AA19*AA21*Hipótesis!$D$18+AA23*Hipótesis!$D$22)</f>
        <v>-12045.880939519</v>
      </c>
      <c r="AB39" s="109" t="n">
        <f aca="false">-(AB19*AB21*Hipótesis!$D$18+AB23*Hipótesis!$D$22)</f>
        <v>-12347.1393168406</v>
      </c>
      <c r="AC39" s="109" t="n">
        <f aca="false">-(AC19*AC21*Hipótesis!$D$18+AC23*Hipótesis!$D$22)</f>
        <v>-12648.3976941622</v>
      </c>
      <c r="AD39" s="109" t="n">
        <f aca="false">-(AD19*AD21*Hipótesis!$D$18+AD23*Hipótesis!$D$22)</f>
        <v>-12949.6560714838</v>
      </c>
      <c r="AE39" s="109" t="n">
        <f aca="false">-(AE19*AE21*Hipótesis!$D$18+AE23*Hipótesis!$D$22)</f>
        <v>-13250.9144488055</v>
      </c>
      <c r="AF39" s="109" t="n">
        <f aca="false">-(AF19*AF21*Hipótesis!$D$18+AF23*Hipótesis!$D$22)</f>
        <v>-13552.1728261271</v>
      </c>
      <c r="AG39" s="109" t="n">
        <f aca="false">-(AG19*AG21*Hipótesis!$D$18+AG23*Hipótesis!$D$22)</f>
        <v>-13853.4312034487</v>
      </c>
      <c r="AH39" s="109" t="n">
        <f aca="false">-(AH19*AH21*Hipótesis!$D$18+AH23*Hipótesis!$D$22)</f>
        <v>-14154.6895807703</v>
      </c>
      <c r="AI39" s="109" t="n">
        <f aca="false">-(AI19*AI21*Hipótesis!$D$18+AI23*Hipótesis!$D$22)</f>
        <v>-14455.9479580919</v>
      </c>
      <c r="AJ39" s="109" t="n">
        <f aca="false">-(AJ19*AJ21*Hipótesis!$D$18+AJ23*Hipótesis!$D$22)</f>
        <v>-14757.2063354136</v>
      </c>
      <c r="AK39" s="109" t="n">
        <f aca="false">-(AK19*AK21*Hipótesis!$D$18+AK23*Hipótesis!$D$22)</f>
        <v>-15058.4647127352</v>
      </c>
      <c r="AL39" s="109" t="n">
        <f aca="false">-(AL19*AL21*Hipótesis!$D$18+AL23*Hipótesis!$D$22)</f>
        <v>-15359.7230900568</v>
      </c>
      <c r="AM39" s="109" t="n">
        <f aca="false">-(AM19*AM21*Hipótesis!$D$18+AM23*Hipótesis!$D$22)</f>
        <v>-15660.9814673784</v>
      </c>
      <c r="AN39" s="109" t="n">
        <f aca="false">-(AN19*AN21*Hipótesis!$D$18+AN23*Hipótesis!$D$22)</f>
        <v>-15962.2398447001</v>
      </c>
      <c r="AO39" s="109" t="n">
        <f aca="false">-(AO19*AO21*Hipótesis!$D$18+AO23*Hipótesis!$D$22)</f>
        <v>-16263.4982220217</v>
      </c>
      <c r="AP39" s="109" t="n">
        <f aca="false">-(AP19*AP21*Hipótesis!$D$18+AP23*Hipótesis!$D$22)</f>
        <v>-16564.7565993433</v>
      </c>
      <c r="AQ39" s="109" t="n">
        <f aca="false">-(AQ19*AQ21*Hipótesis!$D$18+AQ23*Hipótesis!$D$22)</f>
        <v>-16866.0149766649</v>
      </c>
      <c r="AR39" s="109" t="n">
        <f aca="false">-(AR19*AR21*Hipótesis!$D$18+AR23*Hipótesis!$D$22)</f>
        <v>-17167.2733539865</v>
      </c>
      <c r="AS39" s="109" t="n">
        <f aca="false">-(AS19*AS21*Hipótesis!$D$18+AS23*Hipótesis!$D$22)</f>
        <v>-17167.2733539865</v>
      </c>
      <c r="AT39" s="109" t="n">
        <f aca="false">-(AT19*AT21*Hipótesis!$D$18+AT23*Hipótesis!$D$22)</f>
        <v>-17167.2733539865</v>
      </c>
      <c r="AU39" s="109" t="n">
        <f aca="false">-(AU19*AU21*Hipótesis!$D$18+AU23*Hipótesis!$D$22)</f>
        <v>-17167.2733539865</v>
      </c>
      <c r="AV39" s="109" t="n">
        <f aca="false">-(AV19*AV21*Hipótesis!$D$18+AV23*Hipótesis!$D$22)</f>
        <v>-17167.2733539865</v>
      </c>
      <c r="AW39" s="109" t="n">
        <f aca="false">-(AW19*AW21*Hipótesis!$D$18+AW23*Hipótesis!$D$22)</f>
        <v>-17167.2733539865</v>
      </c>
      <c r="AX39" s="109" t="n">
        <f aca="false">-(AX19*AX21*Hipótesis!$D$18+AX23*Hipótesis!$D$22)</f>
        <v>-17167.2733539865</v>
      </c>
      <c r="AY39" s="109" t="n">
        <f aca="false">-(AY19*AY21*Hipótesis!$D$18+AY23*Hipótesis!$D$22)</f>
        <v>-17167.2733539865</v>
      </c>
      <c r="AZ39" s="109" t="n">
        <f aca="false">-(AZ19*AZ21*Hipótesis!$D$18+AZ23*Hipótesis!$D$22)</f>
        <v>-17167.2733539865</v>
      </c>
      <c r="BA39" s="109" t="n">
        <f aca="false">-(BA19*BA21*Hipótesis!$D$18+BA23*Hipótesis!$D$22)</f>
        <v>-17167.2733539865</v>
      </c>
      <c r="BB39" s="109" t="n">
        <f aca="false">-(BB19*BB21*Hipótesis!$D$18+BB23*Hipótesis!$D$22)</f>
        <v>-17167.2733539865</v>
      </c>
      <c r="BC39" s="109" t="n">
        <f aca="false">-(BC19*BC21*Hipótesis!$D$18+BC23*Hipótesis!$D$22)</f>
        <v>-17167.2733539865</v>
      </c>
      <c r="BD39" s="109" t="n">
        <f aca="false">-(BD19*BD21*Hipótesis!$D$18+BD23*Hipótesis!$D$22)</f>
        <v>-17167.2733539865</v>
      </c>
      <c r="BE39" s="109" t="n">
        <f aca="false">-(BE19*BE21*Hipótesis!$D$18+BE23*Hipótesis!$D$22)</f>
        <v>-17167.2733539865</v>
      </c>
      <c r="BF39" s="109" t="n">
        <f aca="false">-(BF19*BF21*Hipótesis!$D$18+BF23*Hipótesis!$D$22)</f>
        <v>-17167.2733539865</v>
      </c>
      <c r="BG39" s="109" t="n">
        <f aca="false">-(BG19*BG21*Hipótesis!$D$18+BG23*Hipótesis!$D$22)</f>
        <v>-17167.2733539865</v>
      </c>
      <c r="BH39" s="109" t="n">
        <f aca="false">-(BH19*BH21*Hipótesis!$D$18+BH23*Hipótesis!$D$22)</f>
        <v>-17167.2733539865</v>
      </c>
      <c r="BI39" s="109" t="n">
        <f aca="false">-(BI19*BI21*Hipótesis!$D$18+BI23*Hipótesis!$D$22)</f>
        <v>-17167.2733539865</v>
      </c>
      <c r="BJ39" s="109" t="n">
        <f aca="false">-(BJ19*BJ21*Hipótesis!$D$18+BJ23*Hipótesis!$D$22)</f>
        <v>-17167.2733539865</v>
      </c>
      <c r="BK39" s="109" t="n">
        <f aca="false">-(BK19*BK21*Hipótesis!$D$18+BK23*Hipótesis!$D$22)</f>
        <v>-17167.2733539865</v>
      </c>
      <c r="BL39" s="109" t="n">
        <f aca="false">-(BL19*BL21*Hipótesis!$D$18+BL23*Hipótesis!$D$22)</f>
        <v>-17167.2733539865</v>
      </c>
      <c r="BM39" s="109" t="n">
        <f aca="false">-(BM19*BM21*Hipótesis!$D$18+BM23*Hipótesis!$D$22)</f>
        <v>-17167.2733539865</v>
      </c>
      <c r="BN39" s="109" t="n">
        <f aca="false">-(BN19*BN21*Hipótesis!$D$18+BN23*Hipótesis!$D$22)</f>
        <v>-17167.2733539865</v>
      </c>
      <c r="BO39" s="109" t="n">
        <f aca="false">-(BO19*BO21*Hipótesis!$D$18+BO23*Hipótesis!$D$22)</f>
        <v>-17167.2733539865</v>
      </c>
      <c r="BP39" s="109" t="n">
        <f aca="false">-(BP19*BP21*Hipótesis!$D$18+BP23*Hipótesis!$D$22)</f>
        <v>-17167.2733539865</v>
      </c>
      <c r="BQ39" s="109" t="n">
        <f aca="false">-(BQ19*BQ21*Hipótesis!$D$18+BQ23*Hipótesis!$D$22)</f>
        <v>-17167.2733539865</v>
      </c>
      <c r="BR39" s="109" t="n">
        <f aca="false">-(BR19*BR21*Hipótesis!$D$18+BR23*Hipótesis!$D$22)</f>
        <v>-17167.2733539865</v>
      </c>
      <c r="BS39" s="109" t="n">
        <f aca="false">-(BS19*BS21*Hipótesis!$D$18+BS23*Hipótesis!$D$22)</f>
        <v>-17167.2733539865</v>
      </c>
      <c r="BT39" s="109" t="n">
        <f aca="false">-(BT19*BT21*Hipótesis!$D$18+BT23*Hipótesis!$D$22)</f>
        <v>-17167.2733539865</v>
      </c>
      <c r="BU39" s="109" t="n">
        <f aca="false">-(BU19*BU21*Hipótesis!$D$18+BU23*Hipótesis!$D$22)</f>
        <v>-17167.2733539865</v>
      </c>
      <c r="BV39" s="109" t="n">
        <f aca="false">-(BV19*BV21*Hipótesis!$D$18+BV23*Hipótesis!$D$22)</f>
        <v>-17167.2733539865</v>
      </c>
      <c r="BW39" s="109" t="n">
        <f aca="false">-(BW19*BW21*Hipótesis!$D$18+BW23*Hipótesis!$D$22)</f>
        <v>-17167.2733539865</v>
      </c>
      <c r="BX39" s="109" t="n">
        <f aca="false">-(BX19*BX21*Hipótesis!$D$18+BX23*Hipótesis!$D$22)</f>
        <v>-17167.2733539865</v>
      </c>
      <c r="BY39" s="109" t="n">
        <f aca="false">-(BY19*BY21*Hipótesis!$D$18+BY23*Hipótesis!$D$22)</f>
        <v>-17167.2733539865</v>
      </c>
      <c r="BZ39" s="109" t="n">
        <f aca="false">-(BZ19*BZ21*Hipótesis!$D$18+BZ23*Hipótesis!$D$22)</f>
        <v>-17167.2733539865</v>
      </c>
      <c r="CA39" s="109" t="n">
        <f aca="false">-(CA19*CA21*Hipótesis!$D$18+CA23*Hipótesis!$D$22)</f>
        <v>-17167.2733539865</v>
      </c>
      <c r="CB39" s="109" t="n">
        <f aca="false">-(CB19*CB21*Hipótesis!$D$18+CB23*Hipótesis!$D$22)</f>
        <v>-17167.2733539865</v>
      </c>
      <c r="CC39" s="109" t="n">
        <f aca="false">-(CC19*CC21*Hipótesis!$D$18+CC23*Hipótesis!$D$22)</f>
        <v>-17167.2733539865</v>
      </c>
      <c r="CD39" s="109" t="n">
        <f aca="false">-(CD19*CD21*Hipótesis!$D$18+CD23*Hipótesis!$D$22)</f>
        <v>-17167.2733539865</v>
      </c>
      <c r="CE39" s="109" t="n">
        <f aca="false">-(CE19*CE21*Hipótesis!$D$18+CE23*Hipótesis!$D$22)</f>
        <v>-17167.2733539865</v>
      </c>
      <c r="CF39" s="109" t="n">
        <f aca="false">-(CF19*CF21*Hipótesis!$D$18+CF23*Hipótesis!$D$22)</f>
        <v>-17167.2733539865</v>
      </c>
      <c r="CG39" s="109" t="n">
        <f aca="false">-(CG19*CG21*Hipótesis!$D$18+CG23*Hipótesis!$D$22)</f>
        <v>-17167.2733539865</v>
      </c>
      <c r="CH39" s="109" t="n">
        <f aca="false">-(CH19*CH21*Hipótesis!$D$18+CH23*Hipótesis!$D$22)</f>
        <v>-17167.2733539865</v>
      </c>
    </row>
    <row r="40" customFormat="false" ht="13.5" hidden="false" customHeight="true" outlineLevel="0" collapsed="false">
      <c r="A40" s="47" t="s">
        <v>545</v>
      </c>
      <c r="C40" s="71" t="n">
        <f aca="false">C38+C39</f>
        <v>995.850166666666</v>
      </c>
      <c r="D40" s="71" t="n">
        <f aca="false">D38+D39</f>
        <v>2062.30083333333</v>
      </c>
      <c r="E40" s="71" t="n">
        <f aca="false">E38+E39</f>
        <v>4217.68696619898</v>
      </c>
      <c r="F40" s="71" t="n">
        <f aca="false">F38+F39</f>
        <v>5377.22293239796</v>
      </c>
      <c r="G40" s="71" t="n">
        <f aca="false">G38+G39</f>
        <v>6466.15839859694</v>
      </c>
      <c r="H40" s="71" t="n">
        <f aca="false">H38+H39</f>
        <v>8170.26542729592</v>
      </c>
      <c r="I40" s="71" t="n">
        <f aca="false">I38+I39</f>
        <v>11540.8732762041</v>
      </c>
      <c r="J40" s="71" t="n">
        <f aca="false">J38+J39</f>
        <v>14911.4811251123</v>
      </c>
      <c r="K40" s="71" t="n">
        <f aca="false">K38+K39</f>
        <v>18282.0889740204</v>
      </c>
      <c r="L40" s="71" t="n">
        <f aca="false">L38+L39</f>
        <v>21652.6968229286</v>
      </c>
      <c r="M40" s="71" t="n">
        <f aca="false">M38+M39</f>
        <v>23934.3692056378</v>
      </c>
      <c r="N40" s="71" t="n">
        <f aca="false">N38+N39</f>
        <v>27040.366588347</v>
      </c>
      <c r="O40" s="71" t="n">
        <f aca="false">O38+O39</f>
        <v>30146.3639710562</v>
      </c>
      <c r="P40" s="71" t="n">
        <f aca="false">P38+P39</f>
        <v>32938.7317912653</v>
      </c>
      <c r="Q40" s="71" t="n">
        <f aca="false">Q38+Q39</f>
        <v>35731.0996114745</v>
      </c>
      <c r="R40" s="71" t="n">
        <f aca="false">R38+R39</f>
        <v>38523.4674316837</v>
      </c>
      <c r="S40" s="71" t="n">
        <f aca="false">S38+S39</f>
        <v>41315.8352518929</v>
      </c>
      <c r="T40" s="71" t="n">
        <f aca="false">T38+T39</f>
        <v>44108.2030721021</v>
      </c>
      <c r="U40" s="71" t="n">
        <f aca="false">U38+U39</f>
        <v>46900.5708923113</v>
      </c>
      <c r="V40" s="71" t="n">
        <f aca="false">V38+V39</f>
        <v>49692.9387125205</v>
      </c>
      <c r="W40" s="71" t="n">
        <f aca="false">W38+W39</f>
        <v>52485.3065327297</v>
      </c>
      <c r="X40" s="71" t="n">
        <f aca="false">X38+X39</f>
        <v>54453.3493529389</v>
      </c>
      <c r="Y40" s="71" t="n">
        <f aca="false">Y38+Y39</f>
        <v>56421.3921731481</v>
      </c>
      <c r="Z40" s="71" t="n">
        <f aca="false">Z38+Z39</f>
        <v>58087.8929933572</v>
      </c>
      <c r="AA40" s="71" t="n">
        <f aca="false">AA38+AA39</f>
        <v>59754.3938135664</v>
      </c>
      <c r="AB40" s="71" t="n">
        <f aca="false">AB38+AB39</f>
        <v>61420.8946337756</v>
      </c>
      <c r="AC40" s="71" t="n">
        <f aca="false">AC38+AC39</f>
        <v>63087.3954539848</v>
      </c>
      <c r="AD40" s="71" t="n">
        <f aca="false">AD38+AD39</f>
        <v>64753.896274194</v>
      </c>
      <c r="AE40" s="71" t="n">
        <f aca="false">AE38+AE39</f>
        <v>66420.3970944032</v>
      </c>
      <c r="AF40" s="71" t="n">
        <f aca="false">AF38+AF39</f>
        <v>68086.8979146124</v>
      </c>
      <c r="AG40" s="71" t="n">
        <f aca="false">AG38+AG39</f>
        <v>69753.3987348216</v>
      </c>
      <c r="AH40" s="71" t="n">
        <f aca="false">AH38+AH39</f>
        <v>71419.8995550308</v>
      </c>
      <c r="AI40" s="71" t="n">
        <f aca="false">AI38+AI39</f>
        <v>73086.40037524</v>
      </c>
      <c r="AJ40" s="71" t="n">
        <f aca="false">AJ38+AJ39</f>
        <v>74752.9011954491</v>
      </c>
      <c r="AK40" s="71" t="n">
        <f aca="false">AK38+AK39</f>
        <v>76419.4020156583</v>
      </c>
      <c r="AL40" s="71" t="n">
        <f aca="false">AL38+AL39</f>
        <v>78085.9028358675</v>
      </c>
      <c r="AM40" s="71" t="n">
        <f aca="false">AM38+AM39</f>
        <v>79752.4036560767</v>
      </c>
      <c r="AN40" s="71" t="n">
        <f aca="false">AN38+AN39</f>
        <v>81418.9044762859</v>
      </c>
      <c r="AO40" s="71" t="n">
        <f aca="false">AO38+AO39</f>
        <v>83085.4052964951</v>
      </c>
      <c r="AP40" s="71" t="n">
        <f aca="false">AP38+AP39</f>
        <v>84751.9061167043</v>
      </c>
      <c r="AQ40" s="71" t="n">
        <f aca="false">AQ38+AQ39</f>
        <v>86418.4069369135</v>
      </c>
      <c r="AR40" s="71" t="n">
        <f aca="false">AR38+AR39</f>
        <v>88084.9077571227</v>
      </c>
      <c r="AS40" s="71" t="n">
        <f aca="false">AS38+AS39</f>
        <v>88084.9077571227</v>
      </c>
      <c r="AT40" s="71" t="n">
        <f aca="false">AT38+AT39</f>
        <v>88084.9077571227</v>
      </c>
      <c r="AU40" s="71" t="n">
        <f aca="false">AU38+AU39</f>
        <v>88084.9077571227</v>
      </c>
      <c r="AV40" s="71" t="n">
        <f aca="false">AV38+AV39</f>
        <v>88084.9077571227</v>
      </c>
      <c r="AW40" s="71" t="n">
        <f aca="false">AW38+AW39</f>
        <v>88084.9077571227</v>
      </c>
      <c r="AX40" s="71" t="n">
        <f aca="false">AX38+AX39</f>
        <v>88084.9077571227</v>
      </c>
      <c r="AY40" s="71" t="n">
        <f aca="false">AY38+AY39</f>
        <v>88084.9077571227</v>
      </c>
      <c r="AZ40" s="71" t="n">
        <f aca="false">AZ38+AZ39</f>
        <v>88084.9077571227</v>
      </c>
      <c r="BA40" s="71" t="n">
        <f aca="false">BA38+BA39</f>
        <v>88084.9077571227</v>
      </c>
      <c r="BB40" s="71" t="n">
        <f aca="false">BB38+BB39</f>
        <v>88084.9077571227</v>
      </c>
      <c r="BC40" s="71" t="n">
        <f aca="false">BC38+BC39</f>
        <v>88084.9077571227</v>
      </c>
      <c r="BD40" s="71" t="n">
        <f aca="false">BD38+BD39</f>
        <v>88084.9077571227</v>
      </c>
      <c r="BE40" s="71" t="n">
        <f aca="false">BE38+BE39</f>
        <v>88084.9077571227</v>
      </c>
      <c r="BF40" s="71" t="n">
        <f aca="false">BF38+BF39</f>
        <v>88084.9077571227</v>
      </c>
      <c r="BG40" s="71" t="n">
        <f aca="false">BG38+BG39</f>
        <v>88084.9077571227</v>
      </c>
      <c r="BH40" s="71" t="n">
        <f aca="false">BH38+BH39</f>
        <v>88084.9077571227</v>
      </c>
      <c r="BI40" s="71" t="n">
        <f aca="false">BI38+BI39</f>
        <v>88084.9077571227</v>
      </c>
      <c r="BJ40" s="71" t="n">
        <f aca="false">BJ38+BJ39</f>
        <v>88084.9077571227</v>
      </c>
      <c r="BK40" s="71" t="n">
        <f aca="false">BK38+BK39</f>
        <v>88084.9077571227</v>
      </c>
      <c r="BL40" s="71" t="n">
        <f aca="false">BL38+BL39</f>
        <v>88084.9077571227</v>
      </c>
      <c r="BM40" s="71" t="n">
        <f aca="false">BM38+BM39</f>
        <v>88084.9077571227</v>
      </c>
      <c r="BN40" s="71" t="n">
        <f aca="false">BN38+BN39</f>
        <v>88084.9077571227</v>
      </c>
      <c r="BO40" s="71" t="n">
        <f aca="false">BO38+BO39</f>
        <v>88084.9077571227</v>
      </c>
      <c r="BP40" s="71" t="n">
        <f aca="false">BP38+BP39</f>
        <v>88084.9077571227</v>
      </c>
      <c r="BQ40" s="71" t="n">
        <f aca="false">BQ38+BQ39</f>
        <v>88084.9077571227</v>
      </c>
      <c r="BR40" s="71" t="n">
        <f aca="false">BR38+BR39</f>
        <v>88084.9077571227</v>
      </c>
      <c r="BS40" s="71" t="n">
        <f aca="false">BS38+BS39</f>
        <v>88084.9077571227</v>
      </c>
      <c r="BT40" s="71" t="n">
        <f aca="false">BT38+BT39</f>
        <v>88084.9077571227</v>
      </c>
      <c r="BU40" s="71" t="n">
        <f aca="false">BU38+BU39</f>
        <v>88084.9077571227</v>
      </c>
      <c r="BV40" s="71" t="n">
        <f aca="false">BV38+BV39</f>
        <v>88084.9077571227</v>
      </c>
      <c r="BW40" s="71" t="n">
        <f aca="false">BW38+BW39</f>
        <v>88084.9077571227</v>
      </c>
      <c r="BX40" s="71" t="n">
        <f aca="false">BX38+BX39</f>
        <v>88084.9077571227</v>
      </c>
      <c r="BY40" s="71" t="n">
        <f aca="false">BY38+BY39</f>
        <v>88084.9077571227</v>
      </c>
      <c r="BZ40" s="71" t="n">
        <f aca="false">BZ38+BZ39</f>
        <v>88084.9077571227</v>
      </c>
      <c r="CA40" s="71" t="n">
        <f aca="false">CA38+CA39</f>
        <v>88084.9077571227</v>
      </c>
      <c r="CB40" s="71" t="n">
        <f aca="false">CB38+CB39</f>
        <v>88084.9077571227</v>
      </c>
      <c r="CC40" s="71" t="n">
        <f aca="false">CC38+CC39</f>
        <v>88084.9077571227</v>
      </c>
      <c r="CD40" s="71" t="n">
        <f aca="false">CD38+CD39</f>
        <v>88084.9077571227</v>
      </c>
      <c r="CE40" s="71" t="n">
        <f aca="false">CE38+CE39</f>
        <v>88084.9077571227</v>
      </c>
      <c r="CF40" s="71" t="n">
        <f aca="false">CF38+CF39</f>
        <v>88084.9077571227</v>
      </c>
      <c r="CG40" s="71" t="n">
        <f aca="false">CG38+CG39</f>
        <v>88084.9077571227</v>
      </c>
      <c r="CH40" s="71" t="n">
        <f aca="false">CH38+CH39</f>
        <v>88084.9077571227</v>
      </c>
    </row>
    <row r="41" customFormat="false" ht="13.5" hidden="false" customHeight="true" outlineLevel="0" collapsed="false">
      <c r="A41" s="6" t="s">
        <v>546</v>
      </c>
      <c r="C41" s="120" t="n">
        <f aca="false">IFERROR(C40/C38,0)</f>
        <v>0.916971372254005</v>
      </c>
      <c r="D41" s="120" t="n">
        <f aca="false">IFERROR(D40/D38,0)</f>
        <v>0.91389495256741</v>
      </c>
      <c r="E41" s="120" t="n">
        <f aca="false">IFERROR(E40/E38,0)</f>
        <v>0.897369632841609</v>
      </c>
      <c r="F41" s="120" t="n">
        <f aca="false">IFERROR(F40/F38,0)</f>
        <v>0.887699109782665</v>
      </c>
      <c r="G41" s="120" t="n">
        <f aca="false">IFERROR(G40/G38,0)</f>
        <v>0.882107955629589</v>
      </c>
      <c r="H41" s="120" t="n">
        <f aca="false">IFERROR(H40/H38,0)</f>
        <v>0.871180656930544</v>
      </c>
      <c r="I41" s="120" t="n">
        <f aca="false">IFERROR(I40/I38,0)</f>
        <v>0.861633684200439</v>
      </c>
      <c r="J41" s="120" t="n">
        <f aca="false">IFERROR(J40/J38,0)</f>
        <v>0.856490931869139</v>
      </c>
      <c r="K41" s="120" t="n">
        <f aca="false">IFERROR(K40/K38,0)</f>
        <v>0.853275973805648</v>
      </c>
      <c r="L41" s="120" t="n">
        <f aca="false">IFERROR(L40/L38,0)</f>
        <v>0.85107593853433</v>
      </c>
      <c r="M41" s="120" t="n">
        <f aca="false">IFERROR(M40/M38,0)</f>
        <v>0.849203679503753</v>
      </c>
      <c r="N41" s="120" t="n">
        <f aca="false">IFERROR(N40/N38,0)</f>
        <v>0.845421876895163</v>
      </c>
      <c r="O41" s="120" t="n">
        <f aca="false">IFERROR(O40/O38,0)</f>
        <v>0.842443259664449</v>
      </c>
      <c r="P41" s="120" t="n">
        <f aca="false">IFERROR(P40/P38,0)</f>
        <v>0.84019048886986</v>
      </c>
      <c r="Q41" s="120" t="n">
        <f aca="false">IFERROR(Q40/Q38,0)</f>
        <v>0.838299173543249</v>
      </c>
      <c r="R41" s="120" t="n">
        <f aca="false">IFERROR(R40/R38,0)</f>
        <v>0.836688781446484</v>
      </c>
      <c r="S41" s="120" t="n">
        <f aca="false">IFERROR(S40/S38,0)</f>
        <v>0.835301049888823</v>
      </c>
      <c r="T41" s="120" t="n">
        <f aca="false">IFERROR(T40/T38,0)</f>
        <v>0.834092785742869</v>
      </c>
      <c r="U41" s="120" t="n">
        <f aca="false">IFERROR(U40/U38,0)</f>
        <v>0.833031289202413</v>
      </c>
      <c r="V41" s="120" t="n">
        <f aca="false">IFERROR(V40/V38,0)</f>
        <v>0.832091349682077</v>
      </c>
      <c r="W41" s="120" t="n">
        <f aca="false">IFERROR(W40/W38,0)</f>
        <v>0.831253217866664</v>
      </c>
      <c r="X41" s="120" t="n">
        <f aca="false">IFERROR(X40/X38,0)</f>
        <v>0.831318826725081</v>
      </c>
      <c r="Y41" s="120" t="n">
        <f aca="false">IFERROR(Y40/Y38,0)</f>
        <v>0.831379867857984</v>
      </c>
      <c r="Z41" s="120" t="n">
        <f aca="false">IFERROR(Z40/Z38,0)</f>
        <v>0.831817277828778</v>
      </c>
      <c r="AA41" s="120" t="n">
        <f aca="false">IFERROR(AA40/AA38,0)</f>
        <v>0.832230712473683</v>
      </c>
      <c r="AB41" s="120" t="n">
        <f aca="false">IFERROR(AB40/AB38,0)</f>
        <v>0.83262209041512</v>
      </c>
      <c r="AC41" s="120" t="n">
        <f aca="false">IFERROR(AC40/AC38,0)</f>
        <v>0.832993130877752</v>
      </c>
      <c r="AD41" s="120" t="n">
        <f aca="false">IFERROR(AD40/AD38,0)</f>
        <v>0.833345378936152</v>
      </c>
      <c r="AE41" s="120" t="n">
        <f aca="false">IFERROR(AE40/AE38,0)</f>
        <v>0.833680227021002</v>
      </c>
      <c r="AF41" s="120" t="n">
        <f aca="false">IFERROR(AF40/AF38,0)</f>
        <v>0.833998933315096</v>
      </c>
      <c r="AG41" s="120" t="n">
        <f aca="false">IFERROR(AG40/AG38,0)</f>
        <v>0.834302637551535</v>
      </c>
      <c r="AH41" s="120" t="n">
        <f aca="false">IFERROR(AH40/AH38,0)</f>
        <v>0.83459237463229</v>
      </c>
      <c r="AI41" s="120" t="n">
        <f aca="false">IFERROR(AI40/AI38,0)</f>
        <v>0.834869086410059</v>
      </c>
      <c r="AJ41" s="120" t="n">
        <f aca="false">IFERROR(AJ40/AJ38,0)</f>
        <v>0.83513363191609</v>
      </c>
      <c r="AK41" s="120" t="n">
        <f aca="false">IFERROR(AK40/AK38,0)</f>
        <v>0.835386796267941</v>
      </c>
      <c r="AL41" s="120" t="n">
        <f aca="false">IFERROR(AL40/AL38,0)</f>
        <v>0.835629298451779</v>
      </c>
      <c r="AM41" s="120" t="n">
        <f aca="false">IFERROR(AM40/AM38,0)</f>
        <v>0.835861798141689</v>
      </c>
      <c r="AN41" s="120" t="n">
        <f aca="false">IFERROR(AN40/AN38,0)</f>
        <v>0.836084901692204</v>
      </c>
      <c r="AO41" s="120" t="n">
        <f aca="false">IFERROR(AO40/AO38,0)</f>
        <v>0.836299167418688</v>
      </c>
      <c r="AP41" s="120" t="n">
        <f aca="false">IFERROR(AP40/AP38,0)</f>
        <v>0.836505110262385</v>
      </c>
      <c r="AQ41" s="120" t="n">
        <f aca="false">IFERROR(AQ40/AQ38,0)</f>
        <v>0.836703205922213</v>
      </c>
      <c r="AR41" s="120" t="n">
        <f aca="false">IFERROR(AR40/AR38,0)</f>
        <v>0.83689389452306</v>
      </c>
      <c r="AS41" s="120" t="n">
        <f aca="false">IFERROR(AS40/AS38,0)</f>
        <v>0.83689389452306</v>
      </c>
      <c r="AT41" s="120" t="n">
        <f aca="false">IFERROR(AT40/AT38,0)</f>
        <v>0.83689389452306</v>
      </c>
      <c r="AU41" s="120" t="n">
        <f aca="false">IFERROR(AU40/AU38,0)</f>
        <v>0.83689389452306</v>
      </c>
      <c r="AV41" s="120" t="n">
        <f aca="false">IFERROR(AV40/AV38,0)</f>
        <v>0.83689389452306</v>
      </c>
      <c r="AW41" s="120" t="n">
        <f aca="false">IFERROR(AW40/AW38,0)</f>
        <v>0.83689389452306</v>
      </c>
      <c r="AX41" s="120" t="n">
        <f aca="false">IFERROR(AX40/AX38,0)</f>
        <v>0.83689389452306</v>
      </c>
      <c r="AY41" s="120" t="n">
        <f aca="false">IFERROR(AY40/AY38,0)</f>
        <v>0.83689389452306</v>
      </c>
      <c r="AZ41" s="120" t="n">
        <f aca="false">IFERROR(AZ40/AZ38,0)</f>
        <v>0.83689389452306</v>
      </c>
      <c r="BA41" s="120" t="n">
        <f aca="false">IFERROR(BA40/BA38,0)</f>
        <v>0.83689389452306</v>
      </c>
      <c r="BB41" s="120" t="n">
        <f aca="false">IFERROR(BB40/BB38,0)</f>
        <v>0.83689389452306</v>
      </c>
      <c r="BC41" s="120" t="n">
        <f aca="false">IFERROR(BC40/BC38,0)</f>
        <v>0.83689389452306</v>
      </c>
      <c r="BD41" s="120" t="n">
        <f aca="false">IFERROR(BD40/BD38,0)</f>
        <v>0.83689389452306</v>
      </c>
      <c r="BE41" s="120" t="n">
        <f aca="false">IFERROR(BE40/BE38,0)</f>
        <v>0.83689389452306</v>
      </c>
      <c r="BF41" s="120" t="n">
        <f aca="false">IFERROR(BF40/BF38,0)</f>
        <v>0.83689389452306</v>
      </c>
      <c r="BG41" s="120" t="n">
        <f aca="false">IFERROR(BG40/BG38,0)</f>
        <v>0.83689389452306</v>
      </c>
      <c r="BH41" s="120" t="n">
        <f aca="false">IFERROR(BH40/BH38,0)</f>
        <v>0.83689389452306</v>
      </c>
      <c r="BI41" s="120" t="n">
        <f aca="false">IFERROR(BI40/BI38,0)</f>
        <v>0.83689389452306</v>
      </c>
      <c r="BJ41" s="120" t="n">
        <f aca="false">IFERROR(BJ40/BJ38,0)</f>
        <v>0.83689389452306</v>
      </c>
      <c r="BK41" s="120" t="n">
        <f aca="false">IFERROR(BK40/BK38,0)</f>
        <v>0.83689389452306</v>
      </c>
      <c r="BL41" s="120" t="n">
        <f aca="false">IFERROR(BL40/BL38,0)</f>
        <v>0.83689389452306</v>
      </c>
      <c r="BM41" s="120" t="n">
        <f aca="false">IFERROR(BM40/BM38,0)</f>
        <v>0.83689389452306</v>
      </c>
      <c r="BN41" s="120" t="n">
        <f aca="false">IFERROR(BN40/BN38,0)</f>
        <v>0.83689389452306</v>
      </c>
      <c r="BO41" s="120" t="n">
        <f aca="false">IFERROR(BO40/BO38,0)</f>
        <v>0.83689389452306</v>
      </c>
      <c r="BP41" s="120" t="n">
        <f aca="false">IFERROR(BP40/BP38,0)</f>
        <v>0.83689389452306</v>
      </c>
      <c r="BQ41" s="120" t="n">
        <f aca="false">IFERROR(BQ40/BQ38,0)</f>
        <v>0.83689389452306</v>
      </c>
      <c r="BR41" s="120" t="n">
        <f aca="false">IFERROR(BR40/BR38,0)</f>
        <v>0.83689389452306</v>
      </c>
      <c r="BS41" s="120" t="n">
        <f aca="false">IFERROR(BS40/BS38,0)</f>
        <v>0.83689389452306</v>
      </c>
      <c r="BT41" s="120" t="n">
        <f aca="false">IFERROR(BT40/BT38,0)</f>
        <v>0.83689389452306</v>
      </c>
      <c r="BU41" s="120" t="n">
        <f aca="false">IFERROR(BU40/BU38,0)</f>
        <v>0.83689389452306</v>
      </c>
      <c r="BV41" s="120" t="n">
        <f aca="false">IFERROR(BV40/BV38,0)</f>
        <v>0.83689389452306</v>
      </c>
      <c r="BW41" s="120" t="n">
        <f aca="false">IFERROR(BW40/BW38,0)</f>
        <v>0.83689389452306</v>
      </c>
      <c r="BX41" s="120" t="n">
        <f aca="false">IFERROR(BX40/BX38,0)</f>
        <v>0.83689389452306</v>
      </c>
      <c r="BY41" s="120" t="n">
        <f aca="false">IFERROR(BY40/BY38,0)</f>
        <v>0.83689389452306</v>
      </c>
      <c r="BZ41" s="120" t="n">
        <f aca="false">IFERROR(BZ40/BZ38,0)</f>
        <v>0.83689389452306</v>
      </c>
      <c r="CA41" s="120" t="n">
        <f aca="false">IFERROR(CA40/CA38,0)</f>
        <v>0.83689389452306</v>
      </c>
      <c r="CB41" s="120" t="n">
        <f aca="false">IFERROR(CB40/CB38,0)</f>
        <v>0.83689389452306</v>
      </c>
      <c r="CC41" s="120" t="n">
        <f aca="false">IFERROR(CC40/CC38,0)</f>
        <v>0.83689389452306</v>
      </c>
      <c r="CD41" s="120" t="n">
        <f aca="false">IFERROR(CD40/CD38,0)</f>
        <v>0.83689389452306</v>
      </c>
      <c r="CE41" s="120" t="n">
        <f aca="false">IFERROR(CE40/CE38,0)</f>
        <v>0.83689389452306</v>
      </c>
      <c r="CF41" s="120" t="n">
        <f aca="false">IFERROR(CF40/CF38,0)</f>
        <v>0.83689389452306</v>
      </c>
      <c r="CG41" s="120" t="n">
        <f aca="false">IFERROR(CG40/CG38,0)</f>
        <v>0.83689389452306</v>
      </c>
      <c r="CH41" s="120" t="n">
        <f aca="false">IFERROR(CH40/CH38,0)</f>
        <v>0.83689389452306</v>
      </c>
    </row>
    <row r="42" customFormat="false" ht="13.5" hidden="false" customHeight="true" outlineLevel="0" collapsed="false">
      <c r="A42" s="6" t="s">
        <v>547</v>
      </c>
      <c r="C42" s="109" t="n">
        <f aca="false">-Hipótesis!$D$36</f>
        <v>-2000</v>
      </c>
      <c r="D42" s="109" t="n">
        <f aca="false">-Hipótesis!$D$36</f>
        <v>-2000</v>
      </c>
      <c r="E42" s="109" t="n">
        <f aca="false">-Hipótesis!$D$36</f>
        <v>-2000</v>
      </c>
      <c r="F42" s="109" t="n">
        <f aca="false">-Hipótesis!$D$36</f>
        <v>-2000</v>
      </c>
      <c r="G42" s="109" t="n">
        <f aca="false">-Hipótesis!$D$36</f>
        <v>-2000</v>
      </c>
      <c r="H42" s="109" t="n">
        <f aca="false">-Hipótesis!$D$36</f>
        <v>-2000</v>
      </c>
      <c r="I42" s="109" t="n">
        <f aca="false">-Hipótesis!$D$36</f>
        <v>-2000</v>
      </c>
      <c r="J42" s="109" t="n">
        <f aca="false">-Hipótesis!$D$36</f>
        <v>-2000</v>
      </c>
      <c r="K42" s="109" t="n">
        <f aca="false">-Hipótesis!$D$36</f>
        <v>-2000</v>
      </c>
      <c r="L42" s="109" t="n">
        <f aca="false">-Hipótesis!$D$36</f>
        <v>-2000</v>
      </c>
      <c r="M42" s="109" t="n">
        <f aca="false">-Hipótesis!$D$36</f>
        <v>-2000</v>
      </c>
      <c r="N42" s="109" t="n">
        <f aca="false">-Hipótesis!$D$36</f>
        <v>-2000</v>
      </c>
      <c r="O42" s="109" t="n">
        <f aca="false">-Hipótesis!$D$36</f>
        <v>-2000</v>
      </c>
      <c r="P42" s="109" t="n">
        <f aca="false">-Hipótesis!$D$36</f>
        <v>-2000</v>
      </c>
      <c r="Q42" s="109" t="n">
        <f aca="false">-Hipótesis!$D$36</f>
        <v>-2000</v>
      </c>
      <c r="R42" s="109" t="n">
        <f aca="false">-Hipótesis!$D$36</f>
        <v>-2000</v>
      </c>
      <c r="S42" s="109" t="n">
        <f aca="false">-Hipótesis!$D$36</f>
        <v>-2000</v>
      </c>
      <c r="T42" s="109" t="n">
        <f aca="false">-Hipótesis!$D$36</f>
        <v>-2000</v>
      </c>
      <c r="U42" s="109" t="n">
        <f aca="false">-Hipótesis!$D$36</f>
        <v>-2000</v>
      </c>
      <c r="V42" s="109" t="n">
        <f aca="false">-Hipótesis!$D$36</f>
        <v>-2000</v>
      </c>
      <c r="W42" s="109" t="n">
        <f aca="false">-Hipótesis!$D$36</f>
        <v>-2000</v>
      </c>
      <c r="X42" s="109" t="n">
        <f aca="false">-Hipótesis!$D$36</f>
        <v>-2000</v>
      </c>
      <c r="Y42" s="109" t="n">
        <f aca="false">-Hipótesis!$D$36</f>
        <v>-2000</v>
      </c>
      <c r="Z42" s="109" t="n">
        <f aca="false">-Hipótesis!$D$36</f>
        <v>-2000</v>
      </c>
      <c r="AA42" s="109" t="n">
        <f aca="false">-Hipótesis!$D$36</f>
        <v>-2000</v>
      </c>
      <c r="AB42" s="109" t="n">
        <f aca="false">-Hipótesis!$D$36</f>
        <v>-2000</v>
      </c>
      <c r="AC42" s="109" t="n">
        <f aca="false">-Hipótesis!$D$36</f>
        <v>-2000</v>
      </c>
      <c r="AD42" s="109" t="n">
        <f aca="false">-Hipótesis!$D$36</f>
        <v>-2000</v>
      </c>
      <c r="AE42" s="109" t="n">
        <f aca="false">-Hipótesis!$D$36</f>
        <v>-2000</v>
      </c>
      <c r="AF42" s="109" t="n">
        <f aca="false">-Hipótesis!$D$36</f>
        <v>-2000</v>
      </c>
      <c r="AG42" s="109" t="n">
        <f aca="false">-Hipótesis!$D$36</f>
        <v>-2000</v>
      </c>
      <c r="AH42" s="109" t="n">
        <f aca="false">-Hipótesis!$D$36</f>
        <v>-2000</v>
      </c>
      <c r="AI42" s="109" t="n">
        <f aca="false">-Hipótesis!$D$36</f>
        <v>-2000</v>
      </c>
      <c r="AJ42" s="109" t="n">
        <f aca="false">-Hipótesis!$D$36</f>
        <v>-2000</v>
      </c>
      <c r="AK42" s="109" t="n">
        <f aca="false">-Hipótesis!$D$36</f>
        <v>-2000</v>
      </c>
      <c r="AL42" s="109" t="n">
        <f aca="false">-Hipótesis!$D$36</f>
        <v>-2000</v>
      </c>
      <c r="AM42" s="109" t="n">
        <f aca="false">-Hipótesis!$D$36</f>
        <v>-2000</v>
      </c>
      <c r="AN42" s="109" t="n">
        <f aca="false">-Hipótesis!$D$36</f>
        <v>-2000</v>
      </c>
      <c r="AO42" s="109" t="n">
        <f aca="false">-Hipótesis!$D$36</f>
        <v>-2000</v>
      </c>
      <c r="AP42" s="109" t="n">
        <f aca="false">-Hipótesis!$D$36</f>
        <v>-2000</v>
      </c>
      <c r="AQ42" s="109" t="n">
        <f aca="false">-Hipótesis!$D$36</f>
        <v>-2000</v>
      </c>
      <c r="AR42" s="109" t="n">
        <f aca="false">-Hipótesis!$D$36</f>
        <v>-2000</v>
      </c>
      <c r="AS42" s="109" t="n">
        <f aca="false">-Hipótesis!$D$36</f>
        <v>-2000</v>
      </c>
      <c r="AT42" s="109" t="n">
        <f aca="false">-Hipótesis!$D$36</f>
        <v>-2000</v>
      </c>
      <c r="AU42" s="109" t="n">
        <f aca="false">-Hipótesis!$D$36</f>
        <v>-2000</v>
      </c>
      <c r="AV42" s="109" t="n">
        <f aca="false">-Hipótesis!$D$36</f>
        <v>-2000</v>
      </c>
      <c r="AW42" s="109" t="n">
        <f aca="false">-Hipótesis!$D$36</f>
        <v>-2000</v>
      </c>
      <c r="AX42" s="109" t="n">
        <f aca="false">-Hipótesis!$D$36</f>
        <v>-2000</v>
      </c>
      <c r="AY42" s="109" t="n">
        <f aca="false">-Hipótesis!$D$36</f>
        <v>-2000</v>
      </c>
      <c r="AZ42" s="109" t="n">
        <f aca="false">-Hipótesis!$D$36</f>
        <v>-2000</v>
      </c>
      <c r="BA42" s="109" t="n">
        <f aca="false">-Hipótesis!$D$36</f>
        <v>-2000</v>
      </c>
      <c r="BB42" s="109" t="n">
        <f aca="false">-Hipótesis!$D$36</f>
        <v>-2000</v>
      </c>
      <c r="BC42" s="109" t="n">
        <f aca="false">-Hipótesis!$D$36</f>
        <v>-2000</v>
      </c>
      <c r="BD42" s="109" t="n">
        <f aca="false">-Hipótesis!$D$36</f>
        <v>-2000</v>
      </c>
      <c r="BE42" s="109" t="n">
        <f aca="false">-Hipótesis!$D$36</f>
        <v>-2000</v>
      </c>
      <c r="BF42" s="109" t="n">
        <f aca="false">-Hipótesis!$D$36</f>
        <v>-2000</v>
      </c>
      <c r="BG42" s="109" t="n">
        <f aca="false">-Hipótesis!$D$36</f>
        <v>-2000</v>
      </c>
      <c r="BH42" s="109" t="n">
        <f aca="false">-Hipótesis!$D$36</f>
        <v>-2000</v>
      </c>
      <c r="BI42" s="109" t="n">
        <f aca="false">-Hipótesis!$D$36</f>
        <v>-2000</v>
      </c>
      <c r="BJ42" s="109" t="n">
        <f aca="false">-Hipótesis!$D$36</f>
        <v>-2000</v>
      </c>
      <c r="BK42" s="109" t="n">
        <f aca="false">-Hipótesis!$D$36</f>
        <v>-2000</v>
      </c>
      <c r="BL42" s="109" t="n">
        <f aca="false">-Hipótesis!$D$36</f>
        <v>-2000</v>
      </c>
      <c r="BM42" s="109" t="n">
        <f aca="false">-Hipótesis!$D$36</f>
        <v>-2000</v>
      </c>
      <c r="BN42" s="109" t="n">
        <f aca="false">-Hipótesis!$D$36</f>
        <v>-2000</v>
      </c>
      <c r="BO42" s="109" t="n">
        <f aca="false">-Hipótesis!$D$36</f>
        <v>-2000</v>
      </c>
      <c r="BP42" s="109" t="n">
        <f aca="false">-Hipótesis!$D$36</f>
        <v>-2000</v>
      </c>
      <c r="BQ42" s="109" t="n">
        <f aca="false">-Hipótesis!$D$36</f>
        <v>-2000</v>
      </c>
      <c r="BR42" s="109" t="n">
        <f aca="false">-Hipótesis!$D$36</f>
        <v>-2000</v>
      </c>
      <c r="BS42" s="109" t="n">
        <f aca="false">-Hipótesis!$D$36</f>
        <v>-2000</v>
      </c>
      <c r="BT42" s="109" t="n">
        <f aca="false">-Hipótesis!$D$36</f>
        <v>-2000</v>
      </c>
      <c r="BU42" s="109" t="n">
        <f aca="false">-Hipótesis!$D$36</f>
        <v>-2000</v>
      </c>
      <c r="BV42" s="109" t="n">
        <f aca="false">-Hipótesis!$D$36</f>
        <v>-2000</v>
      </c>
      <c r="BW42" s="109" t="n">
        <f aca="false">-Hipótesis!$D$36</f>
        <v>-2000</v>
      </c>
      <c r="BX42" s="109" t="n">
        <f aca="false">-Hipótesis!$D$36</f>
        <v>-2000</v>
      </c>
      <c r="BY42" s="109" t="n">
        <f aca="false">-Hipótesis!$D$36</f>
        <v>-2000</v>
      </c>
      <c r="BZ42" s="109" t="n">
        <f aca="false">-Hipótesis!$D$36</f>
        <v>-2000</v>
      </c>
      <c r="CA42" s="109" t="n">
        <f aca="false">-Hipótesis!$D$36</f>
        <v>-2000</v>
      </c>
      <c r="CB42" s="109" t="n">
        <f aca="false">-Hipótesis!$D$36</f>
        <v>-2000</v>
      </c>
      <c r="CC42" s="109" t="n">
        <f aca="false">-Hipótesis!$D$36</f>
        <v>-2000</v>
      </c>
      <c r="CD42" s="109" t="n">
        <f aca="false">-Hipótesis!$D$36</f>
        <v>-2000</v>
      </c>
      <c r="CE42" s="109" t="n">
        <f aca="false">-Hipótesis!$D$36</f>
        <v>-2000</v>
      </c>
      <c r="CF42" s="109" t="n">
        <f aca="false">-Hipótesis!$D$36</f>
        <v>-2000</v>
      </c>
      <c r="CG42" s="109" t="n">
        <f aca="false">-Hipótesis!$D$36</f>
        <v>-2000</v>
      </c>
      <c r="CH42" s="109" t="n">
        <f aca="false">-Hipótesis!$D$36</f>
        <v>-2000</v>
      </c>
    </row>
    <row r="43" customFormat="false" ht="13.5" hidden="false" customHeight="true" outlineLevel="0" collapsed="false">
      <c r="A43" s="6" t="s">
        <v>548</v>
      </c>
      <c r="C43" s="109" t="n">
        <f aca="false">-(Hipótesis!$D$37+C24*Hipótesis!$D$38)</f>
        <v>-1022.12867083059</v>
      </c>
      <c r="D43" s="109" t="n">
        <f aca="false">-(Hipótesis!$D$37+D24*Hipótesis!$D$38)</f>
        <v>-1045.2844039654</v>
      </c>
      <c r="E43" s="109" t="n">
        <f aca="false">-(Hipótesis!$D$37+E24*Hipótesis!$D$38)</f>
        <v>-1085.48955641182</v>
      </c>
      <c r="F43" s="109" t="n">
        <f aca="false">-(Hipótesis!$D$37+F24*Hipótesis!$D$38)</f>
        <v>-1103.56603802764</v>
      </c>
      <c r="G43" s="109" t="n">
        <f aca="false">-(Hipótesis!$D$37+G24*Hipótesis!$D$38)</f>
        <v>-1120.61545733925</v>
      </c>
      <c r="H43" s="109" t="n">
        <f aca="false">-(Hipótesis!$D$37+H24*Hipótesis!$D$38)</f>
        <v>-1149.43329888662</v>
      </c>
      <c r="I43" s="109" t="n">
        <f aca="false">-(Hipótesis!$D$37+I24*Hipótesis!$D$38)</f>
        <v>-1202.45114043398</v>
      </c>
      <c r="J43" s="109" t="n">
        <f aca="false">-(Hipótesis!$D$37+J24*Hipótesis!$D$38)</f>
        <v>-1255.46898198135</v>
      </c>
      <c r="K43" s="109" t="n">
        <f aca="false">-(Hipótesis!$D$37+K24*Hipótesis!$D$38)</f>
        <v>-1308.48682352872</v>
      </c>
      <c r="L43" s="109" t="n">
        <f aca="false">-(Hipótesis!$D$37+L24*Hipótesis!$D$38)</f>
        <v>-1361.50466507609</v>
      </c>
      <c r="M43" s="109" t="n">
        <f aca="false">-(Hipótesis!$D$37+M24*Hipótesis!$D$38)</f>
        <v>-1397.47308731185</v>
      </c>
      <c r="N43" s="109" t="n">
        <f aca="false">-(Hipótesis!$D$37+N24*Hipótesis!$D$38)</f>
        <v>-1450.5592146178</v>
      </c>
      <c r="O43" s="109" t="n">
        <f aca="false">-(Hipótesis!$D$37+O24*Hipótesis!$D$38)</f>
        <v>-1503.64534192375</v>
      </c>
      <c r="P43" s="109" t="n">
        <f aca="false">-(Hipótesis!$D$37+P24*Hipótesis!$D$38)</f>
        <v>-1551.81012902202</v>
      </c>
      <c r="Q43" s="109" t="n">
        <f aca="false">-(Hipótesis!$D$37+Q24*Hipótesis!$D$38)</f>
        <v>-1599.97491612029</v>
      </c>
      <c r="R43" s="109" t="n">
        <f aca="false">-(Hipótesis!$D$37+R24*Hipótesis!$D$38)</f>
        <v>-1648.13970321857</v>
      </c>
      <c r="S43" s="109" t="n">
        <f aca="false">-(Hipótesis!$D$37+S24*Hipótesis!$D$38)</f>
        <v>-1696.30449031684</v>
      </c>
      <c r="T43" s="109" t="n">
        <f aca="false">-(Hipótesis!$D$37+T24*Hipótesis!$D$38)</f>
        <v>-1744.46927741511</v>
      </c>
      <c r="U43" s="109" t="n">
        <f aca="false">-(Hipótesis!$D$37+U24*Hipótesis!$D$38)</f>
        <v>-1792.63406451338</v>
      </c>
      <c r="V43" s="109" t="n">
        <f aca="false">-(Hipótesis!$D$37+V24*Hipótesis!$D$38)</f>
        <v>-1840.79885161165</v>
      </c>
      <c r="W43" s="109" t="n">
        <f aca="false">-(Hipótesis!$D$37+W24*Hipótesis!$D$38)</f>
        <v>-1888.96363870992</v>
      </c>
      <c r="X43" s="109" t="n">
        <f aca="false">-(Hipótesis!$D$37+X24*Hipótesis!$D$38)</f>
        <v>-1920.010720738</v>
      </c>
      <c r="Y43" s="109" t="n">
        <f aca="false">-(Hipótesis!$D$37+Y24*Hipótesis!$D$38)</f>
        <v>-1951.05780276608</v>
      </c>
      <c r="Z43" s="109" t="n">
        <f aca="false">-(Hipótesis!$D$37+Z24*Hipótesis!$D$38)</f>
        <v>-1975.25780276608</v>
      </c>
      <c r="AA43" s="109" t="n">
        <f aca="false">-(Hipótesis!$D$37+AA24*Hipótesis!$D$38)</f>
        <v>-1999.45780276608</v>
      </c>
      <c r="AB43" s="109" t="n">
        <f aca="false">-(Hipótesis!$D$37+AB24*Hipótesis!$D$38)</f>
        <v>-2023.65780276608</v>
      </c>
      <c r="AC43" s="109" t="n">
        <f aca="false">-(Hipótesis!$D$37+AC24*Hipótesis!$D$38)</f>
        <v>-2047.85780276608</v>
      </c>
      <c r="AD43" s="109" t="n">
        <f aca="false">-(Hipótesis!$D$37+AD24*Hipótesis!$D$38)</f>
        <v>-2072.05780276608</v>
      </c>
      <c r="AE43" s="109" t="n">
        <f aca="false">-(Hipótesis!$D$37+AE24*Hipótesis!$D$38)</f>
        <v>-2096.25780276608</v>
      </c>
      <c r="AF43" s="109" t="n">
        <f aca="false">-(Hipótesis!$D$37+AF24*Hipótesis!$D$38)</f>
        <v>-2120.45780276608</v>
      </c>
      <c r="AG43" s="109" t="n">
        <f aca="false">-(Hipótesis!$D$37+AG24*Hipótesis!$D$38)</f>
        <v>-2144.65780276608</v>
      </c>
      <c r="AH43" s="109" t="n">
        <f aca="false">-(Hipótesis!$D$37+AH24*Hipótesis!$D$38)</f>
        <v>-2168.85780276608</v>
      </c>
      <c r="AI43" s="109" t="n">
        <f aca="false">-(Hipótesis!$D$37+AI24*Hipótesis!$D$38)</f>
        <v>-2193.05780276608</v>
      </c>
      <c r="AJ43" s="109" t="n">
        <f aca="false">-(Hipótesis!$D$37+AJ24*Hipótesis!$D$38)</f>
        <v>-2217.25780276608</v>
      </c>
      <c r="AK43" s="109" t="n">
        <f aca="false">-(Hipótesis!$D$37+AK24*Hipótesis!$D$38)</f>
        <v>-2241.45780276608</v>
      </c>
      <c r="AL43" s="109" t="n">
        <f aca="false">-(Hipótesis!$D$37+AL24*Hipótesis!$D$38)</f>
        <v>-2265.65780276608</v>
      </c>
      <c r="AM43" s="109" t="n">
        <f aca="false">-(Hipótesis!$D$37+AM24*Hipótesis!$D$38)</f>
        <v>-2289.85780276608</v>
      </c>
      <c r="AN43" s="109" t="n">
        <f aca="false">-(Hipótesis!$D$37+AN24*Hipótesis!$D$38)</f>
        <v>-2314.05780276608</v>
      </c>
      <c r="AO43" s="109" t="n">
        <f aca="false">-(Hipótesis!$D$37+AO24*Hipótesis!$D$38)</f>
        <v>-2338.25780276608</v>
      </c>
      <c r="AP43" s="109" t="n">
        <f aca="false">-(Hipótesis!$D$37+AP24*Hipótesis!$D$38)</f>
        <v>-2362.45780276608</v>
      </c>
      <c r="AQ43" s="109" t="n">
        <f aca="false">-(Hipótesis!$D$37+AQ24*Hipótesis!$D$38)</f>
        <v>-2386.65780276608</v>
      </c>
      <c r="AR43" s="109" t="n">
        <f aca="false">-(Hipótesis!$D$37+AR24*Hipótesis!$D$38)</f>
        <v>-2410.85780276608</v>
      </c>
      <c r="AS43" s="109" t="n">
        <f aca="false">-(Hipótesis!$D$37+AS24*Hipótesis!$D$38)</f>
        <v>-2410.85780276608</v>
      </c>
      <c r="AT43" s="109" t="n">
        <f aca="false">-(Hipótesis!$D$37+AT24*Hipótesis!$D$38)</f>
        <v>-2410.85780276608</v>
      </c>
      <c r="AU43" s="109" t="n">
        <f aca="false">-(Hipótesis!$D$37+AU24*Hipótesis!$D$38)</f>
        <v>-2410.85780276608</v>
      </c>
      <c r="AV43" s="109" t="n">
        <f aca="false">-(Hipótesis!$D$37+AV24*Hipótesis!$D$38)</f>
        <v>-2410.85780276608</v>
      </c>
      <c r="AW43" s="109" t="n">
        <f aca="false">-(Hipótesis!$D$37+AW24*Hipótesis!$D$38)</f>
        <v>-2410.85780276608</v>
      </c>
      <c r="AX43" s="109" t="n">
        <f aca="false">-(Hipótesis!$D$37+AX24*Hipótesis!$D$38)</f>
        <v>-2410.85780276608</v>
      </c>
      <c r="AY43" s="109" t="n">
        <f aca="false">-(Hipótesis!$D$37+AY24*Hipótesis!$D$38)</f>
        <v>-2410.85780276608</v>
      </c>
      <c r="AZ43" s="109" t="n">
        <f aca="false">-(Hipótesis!$D$37+AZ24*Hipótesis!$D$38)</f>
        <v>-2410.85780276608</v>
      </c>
      <c r="BA43" s="109" t="n">
        <f aca="false">-(Hipótesis!$D$37+BA24*Hipótesis!$D$38)</f>
        <v>-2410.85780276608</v>
      </c>
      <c r="BB43" s="109" t="n">
        <f aca="false">-(Hipótesis!$D$37+BB24*Hipótesis!$D$38)</f>
        <v>-2410.85780276608</v>
      </c>
      <c r="BC43" s="109" t="n">
        <f aca="false">-(Hipótesis!$D$37+BC24*Hipótesis!$D$38)</f>
        <v>-2410.85780276608</v>
      </c>
      <c r="BD43" s="109" t="n">
        <f aca="false">-(Hipótesis!$D$37+BD24*Hipótesis!$D$38)</f>
        <v>-2410.85780276608</v>
      </c>
      <c r="BE43" s="109" t="n">
        <f aca="false">-(Hipótesis!$D$37+BE24*Hipótesis!$D$38)</f>
        <v>-2410.85780276608</v>
      </c>
      <c r="BF43" s="109" t="n">
        <f aca="false">-(Hipótesis!$D$37+BF24*Hipótesis!$D$38)</f>
        <v>-2410.85780276608</v>
      </c>
      <c r="BG43" s="109" t="n">
        <f aca="false">-(Hipótesis!$D$37+BG24*Hipótesis!$D$38)</f>
        <v>-2410.85780276608</v>
      </c>
      <c r="BH43" s="109" t="n">
        <f aca="false">-(Hipótesis!$D$37+BH24*Hipótesis!$D$38)</f>
        <v>-2410.85780276608</v>
      </c>
      <c r="BI43" s="109" t="n">
        <f aca="false">-(Hipótesis!$D$37+BI24*Hipótesis!$D$38)</f>
        <v>-2410.85780276608</v>
      </c>
      <c r="BJ43" s="109" t="n">
        <f aca="false">-(Hipótesis!$D$37+BJ24*Hipótesis!$D$38)</f>
        <v>-2410.85780276608</v>
      </c>
      <c r="BK43" s="109" t="n">
        <f aca="false">-(Hipótesis!$D$37+BK24*Hipótesis!$D$38)</f>
        <v>-2410.85780276608</v>
      </c>
      <c r="BL43" s="109" t="n">
        <f aca="false">-(Hipótesis!$D$37+BL24*Hipótesis!$D$38)</f>
        <v>-2410.85780276608</v>
      </c>
      <c r="BM43" s="109" t="n">
        <f aca="false">-(Hipótesis!$D$37+BM24*Hipótesis!$D$38)</f>
        <v>-2410.85780276608</v>
      </c>
      <c r="BN43" s="109" t="n">
        <f aca="false">-(Hipótesis!$D$37+BN24*Hipótesis!$D$38)</f>
        <v>-2410.85780276608</v>
      </c>
      <c r="BO43" s="109" t="n">
        <f aca="false">-(Hipótesis!$D$37+BO24*Hipótesis!$D$38)</f>
        <v>-2410.85780276608</v>
      </c>
      <c r="BP43" s="109" t="n">
        <f aca="false">-(Hipótesis!$D$37+BP24*Hipótesis!$D$38)</f>
        <v>-2410.85780276608</v>
      </c>
      <c r="BQ43" s="109" t="n">
        <f aca="false">-(Hipótesis!$D$37+BQ24*Hipótesis!$D$38)</f>
        <v>-2410.85780276608</v>
      </c>
      <c r="BR43" s="109" t="n">
        <f aca="false">-(Hipótesis!$D$37+BR24*Hipótesis!$D$38)</f>
        <v>-2410.85780276608</v>
      </c>
      <c r="BS43" s="109" t="n">
        <f aca="false">-(Hipótesis!$D$37+BS24*Hipótesis!$D$38)</f>
        <v>-2410.85780276608</v>
      </c>
      <c r="BT43" s="109" t="n">
        <f aca="false">-(Hipótesis!$D$37+BT24*Hipótesis!$D$38)</f>
        <v>-2410.85780276608</v>
      </c>
      <c r="BU43" s="109" t="n">
        <f aca="false">-(Hipótesis!$D$37+BU24*Hipótesis!$D$38)</f>
        <v>-2410.85780276608</v>
      </c>
      <c r="BV43" s="109" t="n">
        <f aca="false">-(Hipótesis!$D$37+BV24*Hipótesis!$D$38)</f>
        <v>-2410.85780276608</v>
      </c>
      <c r="BW43" s="109" t="n">
        <f aca="false">-(Hipótesis!$D$37+BW24*Hipótesis!$D$38)</f>
        <v>-2410.85780276608</v>
      </c>
      <c r="BX43" s="109" t="n">
        <f aca="false">-(Hipótesis!$D$37+BX24*Hipótesis!$D$38)</f>
        <v>-2410.85780276608</v>
      </c>
      <c r="BY43" s="109" t="n">
        <f aca="false">-(Hipótesis!$D$37+BY24*Hipótesis!$D$38)</f>
        <v>-2410.85780276608</v>
      </c>
      <c r="BZ43" s="109" t="n">
        <f aca="false">-(Hipótesis!$D$37+BZ24*Hipótesis!$D$38)</f>
        <v>-2410.85780276608</v>
      </c>
      <c r="CA43" s="109" t="n">
        <f aca="false">-(Hipótesis!$D$37+CA24*Hipótesis!$D$38)</f>
        <v>-2410.85780276608</v>
      </c>
      <c r="CB43" s="109" t="n">
        <f aca="false">-(Hipótesis!$D$37+CB24*Hipótesis!$D$38)</f>
        <v>-2410.85780276608</v>
      </c>
      <c r="CC43" s="109" t="n">
        <f aca="false">-(Hipótesis!$D$37+CC24*Hipótesis!$D$38)</f>
        <v>-2410.85780276608</v>
      </c>
      <c r="CD43" s="109" t="n">
        <f aca="false">-(Hipótesis!$D$37+CD24*Hipótesis!$D$38)</f>
        <v>-2410.85780276608</v>
      </c>
      <c r="CE43" s="109" t="n">
        <f aca="false">-(Hipótesis!$D$37+CE24*Hipótesis!$D$38)</f>
        <v>-2410.85780276608</v>
      </c>
      <c r="CF43" s="109" t="n">
        <f aca="false">-(Hipótesis!$D$37+CF24*Hipótesis!$D$38)</f>
        <v>-2410.85780276608</v>
      </c>
      <c r="CG43" s="109" t="n">
        <f aca="false">-(Hipótesis!$D$37+CG24*Hipótesis!$D$38)</f>
        <v>-2410.85780276608</v>
      </c>
      <c r="CH43" s="109" t="n">
        <f aca="false">-(Hipótesis!$D$37+CH24*Hipótesis!$D$38)</f>
        <v>-2410.85780276608</v>
      </c>
    </row>
    <row r="44" customFormat="false" ht="13.5" hidden="false" customHeight="true" outlineLevel="0" collapsed="false">
      <c r="A44" s="6" t="s">
        <v>549</v>
      </c>
      <c r="C44" s="109" t="n">
        <f aca="false">-IF(AND(1&gt;=Hipótesis!$D$48,Hipótesis!$B$48=1),IF(Hipótesis!$G$48=1,Hipótesis!$C$44,Hipótesis!$C$48*(1+Hipótesis!$D$45)^0)*(1+Hipótesis!$D$42),0)</f>
        <v>-2904</v>
      </c>
      <c r="D44" s="109" t="n">
        <f aca="false">-IF(AND(2&gt;=Hipótesis!$D$48,Hipótesis!$B$48=1),IF(Hipótesis!$G$48=1,Hipótesis!$C$44,Hipótesis!$C$48*(1+Hipótesis!$D$45)^0)*(1+Hipótesis!$D$42),0)</f>
        <v>-2904</v>
      </c>
      <c r="E44" s="109" t="n">
        <f aca="false">-IF(AND(3&gt;=Hipótesis!$D$48,Hipótesis!$B$48=1),IF(Hipótesis!$G$48=1,Hipótesis!$C$44,Hipótesis!$C$48*(1+Hipótesis!$D$45)^0)*(1+Hipótesis!$D$42),0)</f>
        <v>-2904</v>
      </c>
      <c r="F44" s="109" t="n">
        <f aca="false">-IF(AND(4&gt;=Hipótesis!$D$48,Hipótesis!$B$48=1),IF(Hipótesis!$G$48=1,Hipótesis!$C$44,Hipótesis!$C$48*(1+Hipótesis!$D$45)^0)*(1+Hipótesis!$D$42),0)</f>
        <v>-2904</v>
      </c>
      <c r="G44" s="109" t="n">
        <f aca="false">-IF(AND(5&gt;=Hipótesis!$D$48,Hipótesis!$B$48=1),IF(Hipótesis!$G$48=1,Hipótesis!$C$44,Hipótesis!$C$48*(1+Hipótesis!$D$45)^0)*(1+Hipótesis!$D$42),0)</f>
        <v>-2904</v>
      </c>
      <c r="H44" s="109" t="n">
        <f aca="false">-IF(AND(6&gt;=Hipótesis!$D$48,Hipótesis!$B$48=1),IF(Hipótesis!$G$48=1,Hipótesis!$C$44,Hipótesis!$C$48*(1+Hipótesis!$D$45)^0)*(1+Hipótesis!$D$42),0)</f>
        <v>-2904</v>
      </c>
      <c r="I44" s="109" t="n">
        <f aca="false">-IF(AND(7&gt;=Hipótesis!$D$48,Hipótesis!$B$48=1),IF(Hipótesis!$G$48=1,Hipótesis!$C$44,Hipótesis!$C$48*(1+Hipótesis!$D$45)^0)*(1+Hipótesis!$D$42),0)</f>
        <v>-2904</v>
      </c>
      <c r="J44" s="109" t="n">
        <f aca="false">-IF(AND(8&gt;=Hipótesis!$D$48,Hipótesis!$B$48=1),IF(Hipótesis!$G$48=1,Hipótesis!$C$44,Hipótesis!$C$48*(1+Hipótesis!$D$45)^0)*(1+Hipótesis!$D$42),0)</f>
        <v>-2904</v>
      </c>
      <c r="K44" s="109" t="n">
        <f aca="false">-IF(AND(9&gt;=Hipótesis!$D$48,Hipótesis!$B$48=1),IF(Hipótesis!$G$48=1,Hipótesis!$C$44,Hipótesis!$C$48*(1+Hipótesis!$D$45)^0)*(1+Hipótesis!$D$42),0)</f>
        <v>-2904</v>
      </c>
      <c r="L44" s="109" t="n">
        <f aca="false">-IF(AND(10&gt;=Hipótesis!$D$48,Hipótesis!$B$48=1),IF(Hipótesis!$G$48=1,Hipótesis!$C$44,Hipótesis!$C$48*(1+Hipótesis!$D$45)^0)*(1+Hipótesis!$D$42),0)</f>
        <v>-2904</v>
      </c>
      <c r="M44" s="109" t="n">
        <f aca="false">-IF(AND(11&gt;=Hipótesis!$D$48,Hipótesis!$B$48=1),IF(Hipótesis!$G$48=1,Hipótesis!$C$44,Hipótesis!$C$48*(1+Hipótesis!$D$45)^0)*(1+Hipótesis!$D$42),0)</f>
        <v>-2904</v>
      </c>
      <c r="N44" s="109" t="n">
        <f aca="false">-IF(AND(12&gt;=Hipótesis!$D$48,Hipótesis!$B$48=1),IF(Hipótesis!$G$48=1,Hipótesis!$C$44,Hipótesis!$C$48*(1+Hipótesis!$D$45)^0)*(1+Hipótesis!$D$42),0)</f>
        <v>-2904</v>
      </c>
      <c r="O44" s="109" t="n">
        <f aca="false">-IF(AND(13&gt;=Hipótesis!$D$48,Hipótesis!$B$48=1),IF(Hipótesis!$G$48=1,Hipótesis!$D$44,Hipótesis!$C$48*(1+Hipótesis!$D$45)^1)*(1+Hipótesis!$D$42),0)</f>
        <v>-4620</v>
      </c>
      <c r="P44" s="109" t="n">
        <f aca="false">-IF(AND(14&gt;=Hipótesis!$D$48,Hipótesis!$B$48=1),IF(Hipótesis!$G$48=1,Hipótesis!$D$44,Hipótesis!$C$48*(1+Hipótesis!$D$45)^1)*(1+Hipótesis!$D$42),0)</f>
        <v>-4620</v>
      </c>
      <c r="Q44" s="109" t="n">
        <f aca="false">-IF(AND(15&gt;=Hipótesis!$D$48,Hipótesis!$B$48=1),IF(Hipótesis!$G$48=1,Hipótesis!$D$44,Hipótesis!$C$48*(1+Hipótesis!$D$45)^1)*(1+Hipótesis!$D$42),0)</f>
        <v>-4620</v>
      </c>
      <c r="R44" s="109" t="n">
        <f aca="false">-IF(AND(16&gt;=Hipótesis!$D$48,Hipótesis!$B$48=1),IF(Hipótesis!$G$48=1,Hipótesis!$D$44,Hipótesis!$C$48*(1+Hipótesis!$D$45)^1)*(1+Hipótesis!$D$42),0)</f>
        <v>-4620</v>
      </c>
      <c r="S44" s="109" t="n">
        <f aca="false">-IF(AND(17&gt;=Hipótesis!$D$48,Hipótesis!$B$48=1),IF(Hipótesis!$G$48=1,Hipótesis!$D$44,Hipótesis!$C$48*(1+Hipótesis!$D$45)^1)*(1+Hipótesis!$D$42),0)</f>
        <v>-4620</v>
      </c>
      <c r="T44" s="109" t="n">
        <f aca="false">-IF(AND(18&gt;=Hipótesis!$D$48,Hipótesis!$B$48=1),IF(Hipótesis!$G$48=1,Hipótesis!$D$44,Hipótesis!$C$48*(1+Hipótesis!$D$45)^1)*(1+Hipótesis!$D$42),0)</f>
        <v>-4620</v>
      </c>
      <c r="U44" s="109" t="n">
        <f aca="false">-IF(AND(19&gt;=Hipótesis!$D$48,Hipótesis!$B$48=1),IF(Hipótesis!$G$48=1,Hipótesis!$D$44,Hipótesis!$C$48*(1+Hipótesis!$D$45)^1)*(1+Hipótesis!$D$42),0)</f>
        <v>-4620</v>
      </c>
      <c r="V44" s="109" t="n">
        <f aca="false">-IF(AND(20&gt;=Hipótesis!$D$48,Hipótesis!$B$48=1),IF(Hipótesis!$G$48=1,Hipótesis!$D$44,Hipótesis!$C$48*(1+Hipótesis!$D$45)^1)*(1+Hipótesis!$D$42),0)</f>
        <v>-4620</v>
      </c>
      <c r="W44" s="109" t="n">
        <f aca="false">-IF(AND(21&gt;=Hipótesis!$D$48,Hipótesis!$B$48=1),IF(Hipótesis!$G$48=1,Hipótesis!$D$44,Hipótesis!$C$48*(1+Hipótesis!$D$45)^1)*(1+Hipótesis!$D$42),0)</f>
        <v>-4620</v>
      </c>
      <c r="X44" s="109" t="n">
        <f aca="false">-IF(AND(22&gt;=Hipótesis!$D$48,Hipótesis!$B$48=1),IF(Hipótesis!$G$48=1,Hipótesis!$D$44,Hipótesis!$C$48*(1+Hipótesis!$D$45)^1)*(1+Hipótesis!$D$42),0)</f>
        <v>-4620</v>
      </c>
      <c r="Y44" s="109" t="n">
        <f aca="false">-IF(AND(23&gt;=Hipótesis!$D$48,Hipótesis!$B$48=1),IF(Hipótesis!$G$48=1,Hipótesis!$D$44,Hipótesis!$C$48*(1+Hipótesis!$D$45)^1)*(1+Hipótesis!$D$42),0)</f>
        <v>-4620</v>
      </c>
      <c r="Z44" s="109" t="n">
        <f aca="false">-IF(AND(24&gt;=Hipótesis!$D$48,Hipótesis!$B$48=1),IF(Hipótesis!$G$48=1,Hipótesis!$D$44,Hipótesis!$C$48*(1+Hipótesis!$D$45)^1)*(1+Hipótesis!$D$42),0)</f>
        <v>-4620</v>
      </c>
      <c r="AA44" s="109" t="n">
        <f aca="false">-IF(AND(25&gt;=Hipótesis!$D$48,Hipótesis!$B$48=1),IF(Hipótesis!$G$48=1,Hipótesis!$E$44,Hipótesis!$C$48*(1+Hipótesis!$D$45)^2)*(1+Hipótesis!$D$42),0)</f>
        <v>-5280</v>
      </c>
      <c r="AB44" s="109" t="n">
        <f aca="false">-IF(AND(26&gt;=Hipótesis!$D$48,Hipótesis!$B$48=1),IF(Hipótesis!$G$48=1,Hipótesis!$E$44,Hipótesis!$C$48*(1+Hipótesis!$D$45)^2)*(1+Hipótesis!$D$42),0)</f>
        <v>-5280</v>
      </c>
      <c r="AC44" s="109" t="n">
        <f aca="false">-IF(AND(27&gt;=Hipótesis!$D$48,Hipótesis!$B$48=1),IF(Hipótesis!$G$48=1,Hipótesis!$E$44,Hipótesis!$C$48*(1+Hipótesis!$D$45)^2)*(1+Hipótesis!$D$42),0)</f>
        <v>-5280</v>
      </c>
      <c r="AD44" s="109" t="n">
        <f aca="false">-IF(AND(28&gt;=Hipótesis!$D$48,Hipótesis!$B$48=1),IF(Hipótesis!$G$48=1,Hipótesis!$E$44,Hipótesis!$C$48*(1+Hipótesis!$D$45)^2)*(1+Hipótesis!$D$42),0)</f>
        <v>-5280</v>
      </c>
      <c r="AE44" s="109" t="n">
        <f aca="false">-IF(AND(29&gt;=Hipótesis!$D$48,Hipótesis!$B$48=1),IF(Hipótesis!$G$48=1,Hipótesis!$E$44,Hipótesis!$C$48*(1+Hipótesis!$D$45)^2)*(1+Hipótesis!$D$42),0)</f>
        <v>-5280</v>
      </c>
      <c r="AF44" s="109" t="n">
        <f aca="false">-IF(AND(30&gt;=Hipótesis!$D$48,Hipótesis!$B$48=1),IF(Hipótesis!$G$48=1,Hipótesis!$E$44,Hipótesis!$C$48*(1+Hipótesis!$D$45)^2)*(1+Hipótesis!$D$42),0)</f>
        <v>-5280</v>
      </c>
      <c r="AG44" s="109" t="n">
        <f aca="false">-IF(AND(31&gt;=Hipótesis!$D$48,Hipótesis!$B$48=1),IF(Hipótesis!$G$48=1,Hipótesis!$E$44,Hipótesis!$C$48*(1+Hipótesis!$D$45)^2)*(1+Hipótesis!$D$42),0)</f>
        <v>-5280</v>
      </c>
      <c r="AH44" s="109" t="n">
        <f aca="false">-IF(AND(32&gt;=Hipótesis!$D$48,Hipótesis!$B$48=1),IF(Hipótesis!$G$48=1,Hipótesis!$E$44,Hipótesis!$C$48*(1+Hipótesis!$D$45)^2)*(1+Hipótesis!$D$42),0)</f>
        <v>-5280</v>
      </c>
      <c r="AI44" s="109" t="n">
        <f aca="false">-IF(AND(33&gt;=Hipótesis!$D$48,Hipótesis!$B$48=1),IF(Hipótesis!$G$48=1,Hipótesis!$E$44,Hipótesis!$C$48*(1+Hipótesis!$D$45)^2)*(1+Hipótesis!$D$42),0)</f>
        <v>-5280</v>
      </c>
      <c r="AJ44" s="109" t="n">
        <f aca="false">-IF(AND(34&gt;=Hipótesis!$D$48,Hipótesis!$B$48=1),IF(Hipótesis!$G$48=1,Hipótesis!$E$44,Hipótesis!$C$48*(1+Hipótesis!$D$45)^2)*(1+Hipótesis!$D$42),0)</f>
        <v>-5280</v>
      </c>
      <c r="AK44" s="109" t="n">
        <f aca="false">-IF(AND(35&gt;=Hipótesis!$D$48,Hipótesis!$B$48=1),IF(Hipótesis!$G$48=1,Hipótesis!$E$44,Hipótesis!$C$48*(1+Hipótesis!$D$45)^2)*(1+Hipótesis!$D$42),0)</f>
        <v>-5280</v>
      </c>
      <c r="AL44" s="109" t="n">
        <f aca="false">-IF(AND(36&gt;=Hipótesis!$D$48,Hipótesis!$B$48=1),IF(Hipótesis!$G$48=1,Hipótesis!$E$44,Hipótesis!$C$48*(1+Hipótesis!$D$45)^2)*(1+Hipótesis!$D$42),0)</f>
        <v>-5280</v>
      </c>
      <c r="AM44" s="109" t="n">
        <f aca="false">-IF(AND(37&gt;=Hipótesis!$D$48,Hipótesis!$B$48=1),IF(Hipótesis!$G$48=1,Hipótesis!$F$44,Hipótesis!$C$48*(1+Hipótesis!$D$45)^3)*(1+Hipótesis!$D$42),0)</f>
        <v>-5940</v>
      </c>
      <c r="AN44" s="109" t="n">
        <f aca="false">-IF(AND(38&gt;=Hipótesis!$D$48,Hipótesis!$B$48=1),IF(Hipótesis!$G$48=1,Hipótesis!$F$44,Hipótesis!$C$48*(1+Hipótesis!$D$45)^3)*(1+Hipótesis!$D$42),0)</f>
        <v>-5940</v>
      </c>
      <c r="AO44" s="109" t="n">
        <f aca="false">-IF(AND(39&gt;=Hipótesis!$D$48,Hipótesis!$B$48=1),IF(Hipótesis!$G$48=1,Hipótesis!$F$44,Hipótesis!$C$48*(1+Hipótesis!$D$45)^3)*(1+Hipótesis!$D$42),0)</f>
        <v>-5940</v>
      </c>
      <c r="AP44" s="109" t="n">
        <f aca="false">-IF(AND(40&gt;=Hipótesis!$D$48,Hipótesis!$B$48=1),IF(Hipótesis!$G$48=1,Hipótesis!$F$44,Hipótesis!$C$48*(1+Hipótesis!$D$45)^3)*(1+Hipótesis!$D$42),0)</f>
        <v>-5940</v>
      </c>
      <c r="AQ44" s="109" t="n">
        <f aca="false">-IF(AND(41&gt;=Hipótesis!$D$48,Hipótesis!$B$48=1),IF(Hipótesis!$G$48=1,Hipótesis!$F$44,Hipótesis!$C$48*(1+Hipótesis!$D$45)^3)*(1+Hipótesis!$D$42),0)</f>
        <v>-5940</v>
      </c>
      <c r="AR44" s="109" t="n">
        <f aca="false">-IF(AND(42&gt;=Hipótesis!$D$48,Hipótesis!$B$48=1),IF(Hipótesis!$G$48=1,Hipótesis!$F$44,Hipótesis!$C$48*(1+Hipótesis!$D$45)^3)*(1+Hipótesis!$D$42),0)</f>
        <v>-5940</v>
      </c>
      <c r="AS44" s="109" t="n">
        <f aca="false">-IF(AND(43&gt;=Hipótesis!$D$48,Hipótesis!$B$48=1),IF(Hipótesis!$G$48=1,Hipótesis!$F$44,Hipótesis!$C$48*(1+Hipótesis!$D$45)^3)*(1+Hipótesis!$D$42),0)</f>
        <v>-5940</v>
      </c>
      <c r="AT44" s="109" t="n">
        <f aca="false">-IF(AND(44&gt;=Hipótesis!$D$48,Hipótesis!$B$48=1),IF(Hipótesis!$G$48=1,Hipótesis!$F$44,Hipótesis!$C$48*(1+Hipótesis!$D$45)^3)*(1+Hipótesis!$D$42),0)</f>
        <v>-5940</v>
      </c>
      <c r="AU44" s="109" t="n">
        <f aca="false">-IF(AND(45&gt;=Hipótesis!$D$48,Hipótesis!$B$48=1),IF(Hipótesis!$G$48=1,Hipótesis!$F$44,Hipótesis!$C$48*(1+Hipótesis!$D$45)^3)*(1+Hipótesis!$D$42),0)</f>
        <v>-5940</v>
      </c>
      <c r="AV44" s="109" t="n">
        <f aca="false">-IF(AND(46&gt;=Hipótesis!$D$48,Hipótesis!$B$48=1),IF(Hipótesis!$G$48=1,Hipótesis!$F$44,Hipótesis!$C$48*(1+Hipótesis!$D$45)^3)*(1+Hipótesis!$D$42),0)</f>
        <v>-5940</v>
      </c>
      <c r="AW44" s="109" t="n">
        <f aca="false">-IF(AND(47&gt;=Hipótesis!$D$48,Hipótesis!$B$48=1),IF(Hipótesis!$G$48=1,Hipótesis!$F$44,Hipótesis!$C$48*(1+Hipótesis!$D$45)^3)*(1+Hipótesis!$D$42),0)</f>
        <v>-5940</v>
      </c>
      <c r="AX44" s="109" t="n">
        <f aca="false">-IF(AND(48&gt;=Hipótesis!$D$48,Hipótesis!$B$48=1),IF(Hipótesis!$G$48=1,Hipótesis!$F$44,Hipótesis!$C$48*(1+Hipótesis!$D$45)^3)*(1+Hipótesis!$D$42),0)</f>
        <v>-5940</v>
      </c>
      <c r="AY44" s="109" t="n">
        <f aca="false">-IF(AND(49&gt;=Hipótesis!$D$48,Hipótesis!$B$48=1),IF(Hipótesis!$G$48=1,Hipótesis!$G$44,Hipótesis!$C$48*(1+Hipótesis!$D$45)^4)*(1+Hipótesis!$D$42),0)</f>
        <v>-6600</v>
      </c>
      <c r="AZ44" s="109" t="n">
        <f aca="false">-IF(AND(50&gt;=Hipótesis!$D$48,Hipótesis!$B$48=1),IF(Hipótesis!$G$48=1,Hipótesis!$G$44,Hipótesis!$C$48*(1+Hipótesis!$D$45)^4)*(1+Hipótesis!$D$42),0)</f>
        <v>-6600</v>
      </c>
      <c r="BA44" s="109" t="n">
        <f aca="false">-IF(AND(51&gt;=Hipótesis!$D$48,Hipótesis!$B$48=1),IF(Hipótesis!$G$48=1,Hipótesis!$G$44,Hipótesis!$C$48*(1+Hipótesis!$D$45)^4)*(1+Hipótesis!$D$42),0)</f>
        <v>-6600</v>
      </c>
      <c r="BB44" s="109" t="n">
        <f aca="false">-IF(AND(52&gt;=Hipótesis!$D$48,Hipótesis!$B$48=1),IF(Hipótesis!$G$48=1,Hipótesis!$G$44,Hipótesis!$C$48*(1+Hipótesis!$D$45)^4)*(1+Hipótesis!$D$42),0)</f>
        <v>-6600</v>
      </c>
      <c r="BC44" s="109" t="n">
        <f aca="false">-IF(AND(53&gt;=Hipótesis!$D$48,Hipótesis!$B$48=1),IF(Hipótesis!$G$48=1,Hipótesis!$G$44,Hipótesis!$C$48*(1+Hipótesis!$D$45)^4)*(1+Hipótesis!$D$42),0)</f>
        <v>-6600</v>
      </c>
      <c r="BD44" s="109" t="n">
        <f aca="false">-IF(AND(54&gt;=Hipótesis!$D$48,Hipótesis!$B$48=1),IF(Hipótesis!$G$48=1,Hipótesis!$G$44,Hipótesis!$C$48*(1+Hipótesis!$D$45)^4)*(1+Hipótesis!$D$42),0)</f>
        <v>-6600</v>
      </c>
      <c r="BE44" s="109" t="n">
        <f aca="false">-IF(AND(55&gt;=Hipótesis!$D$48,Hipótesis!$B$48=1),IF(Hipótesis!$G$48=1,Hipótesis!$G$44,Hipótesis!$C$48*(1+Hipótesis!$D$45)^4)*(1+Hipótesis!$D$42),0)</f>
        <v>-6600</v>
      </c>
      <c r="BF44" s="109" t="n">
        <f aca="false">-IF(AND(56&gt;=Hipótesis!$D$48,Hipótesis!$B$48=1),IF(Hipótesis!$G$48=1,Hipótesis!$G$44,Hipótesis!$C$48*(1+Hipótesis!$D$45)^4)*(1+Hipótesis!$D$42),0)</f>
        <v>-6600</v>
      </c>
      <c r="BG44" s="109" t="n">
        <f aca="false">-IF(AND(57&gt;=Hipótesis!$D$48,Hipótesis!$B$48=1),IF(Hipótesis!$G$48=1,Hipótesis!$G$44,Hipótesis!$C$48*(1+Hipótesis!$D$45)^4)*(1+Hipótesis!$D$42),0)</f>
        <v>-6600</v>
      </c>
      <c r="BH44" s="109" t="n">
        <f aca="false">-IF(AND(58&gt;=Hipótesis!$D$48,Hipótesis!$B$48=1),IF(Hipótesis!$G$48=1,Hipótesis!$G$44,Hipótesis!$C$48*(1+Hipótesis!$D$45)^4)*(1+Hipótesis!$D$42),0)</f>
        <v>-6600</v>
      </c>
      <c r="BI44" s="109" t="n">
        <f aca="false">-IF(AND(59&gt;=Hipótesis!$D$48,Hipótesis!$B$48=1),IF(Hipótesis!$G$48=1,Hipótesis!$G$44,Hipótesis!$C$48*(1+Hipótesis!$D$45)^4)*(1+Hipótesis!$D$42),0)</f>
        <v>-6600</v>
      </c>
      <c r="BJ44" s="109" t="n">
        <f aca="false">-IF(AND(60&gt;=Hipótesis!$D$48,Hipótesis!$B$48=1),IF(Hipótesis!$G$48=1,Hipótesis!$G$44,Hipótesis!$C$48*(1+Hipótesis!$D$45)^4)*(1+Hipótesis!$D$42),0)</f>
        <v>-6600</v>
      </c>
      <c r="BK44" s="109" t="n">
        <f aca="false">-IF(AND(61&gt;=Hipótesis!$D$48,Hipótesis!$B$48=1),IF(Hipótesis!$G$48=1,Hipótesis!$H$44,Hipótesis!$C$48*(1+Hipótesis!$D$45)^5)*(1+Hipótesis!$D$42),0)</f>
        <v>-7260</v>
      </c>
      <c r="BL44" s="109" t="n">
        <f aca="false">-IF(AND(62&gt;=Hipótesis!$D$48,Hipótesis!$B$48=1),IF(Hipótesis!$G$48=1,Hipótesis!$H$44,Hipótesis!$C$48*(1+Hipótesis!$D$45)^5)*(1+Hipótesis!$D$42),0)</f>
        <v>-7260</v>
      </c>
      <c r="BM44" s="109" t="n">
        <f aca="false">-IF(AND(63&gt;=Hipótesis!$D$48,Hipótesis!$B$48=1),IF(Hipótesis!$G$48=1,Hipótesis!$H$44,Hipótesis!$C$48*(1+Hipótesis!$D$45)^5)*(1+Hipótesis!$D$42),0)</f>
        <v>-7260</v>
      </c>
      <c r="BN44" s="109" t="n">
        <f aca="false">-IF(AND(64&gt;=Hipótesis!$D$48,Hipótesis!$B$48=1),IF(Hipótesis!$G$48=1,Hipótesis!$H$44,Hipótesis!$C$48*(1+Hipótesis!$D$45)^5)*(1+Hipótesis!$D$42),0)</f>
        <v>-7260</v>
      </c>
      <c r="BO44" s="109" t="n">
        <f aca="false">-IF(AND(65&gt;=Hipótesis!$D$48,Hipótesis!$B$48=1),IF(Hipótesis!$G$48=1,Hipótesis!$H$44,Hipótesis!$C$48*(1+Hipótesis!$D$45)^5)*(1+Hipótesis!$D$42),0)</f>
        <v>-7260</v>
      </c>
      <c r="BP44" s="109" t="n">
        <f aca="false">-IF(AND(66&gt;=Hipótesis!$D$48,Hipótesis!$B$48=1),IF(Hipótesis!$G$48=1,Hipótesis!$H$44,Hipótesis!$C$48*(1+Hipótesis!$D$45)^5)*(1+Hipótesis!$D$42),0)</f>
        <v>-7260</v>
      </c>
      <c r="BQ44" s="109" t="n">
        <f aca="false">-IF(AND(67&gt;=Hipótesis!$D$48,Hipótesis!$B$48=1),IF(Hipótesis!$G$48=1,Hipótesis!$H$44,Hipótesis!$C$48*(1+Hipótesis!$D$45)^5)*(1+Hipótesis!$D$42),0)</f>
        <v>-7260</v>
      </c>
      <c r="BR44" s="109" t="n">
        <f aca="false">-IF(AND(68&gt;=Hipótesis!$D$48,Hipótesis!$B$48=1),IF(Hipótesis!$G$48=1,Hipótesis!$H$44,Hipótesis!$C$48*(1+Hipótesis!$D$45)^5)*(1+Hipótesis!$D$42),0)</f>
        <v>-7260</v>
      </c>
      <c r="BS44" s="109" t="n">
        <f aca="false">-IF(AND(69&gt;=Hipótesis!$D$48,Hipótesis!$B$48=1),IF(Hipótesis!$G$48=1,Hipótesis!$H$44,Hipótesis!$C$48*(1+Hipótesis!$D$45)^5)*(1+Hipótesis!$D$42),0)</f>
        <v>-7260</v>
      </c>
      <c r="BT44" s="109" t="n">
        <f aca="false">-IF(AND(70&gt;=Hipótesis!$D$48,Hipótesis!$B$48=1),IF(Hipótesis!$G$48=1,Hipótesis!$H$44,Hipótesis!$C$48*(1+Hipótesis!$D$45)^5)*(1+Hipótesis!$D$42),0)</f>
        <v>-7260</v>
      </c>
      <c r="BU44" s="109" t="n">
        <f aca="false">-IF(AND(71&gt;=Hipótesis!$D$48,Hipótesis!$B$48=1),IF(Hipótesis!$G$48=1,Hipótesis!$H$44,Hipótesis!$C$48*(1+Hipótesis!$D$45)^5)*(1+Hipótesis!$D$42),0)</f>
        <v>-7260</v>
      </c>
      <c r="BV44" s="109" t="n">
        <f aca="false">-IF(AND(72&gt;=Hipótesis!$D$48,Hipótesis!$B$48=1),IF(Hipótesis!$G$48=1,Hipótesis!$H$44,Hipótesis!$C$48*(1+Hipótesis!$D$45)^5)*(1+Hipótesis!$D$42),0)</f>
        <v>-7260</v>
      </c>
      <c r="BW44" s="109" t="n">
        <f aca="false">-IF(AND(73&gt;=Hipótesis!$D$48,Hipótesis!$B$48=1),IF(Hipótesis!$G$48=1,Hipótesis!$I$44,Hipótesis!$C$48*(1+Hipótesis!$D$45)^6)*(1+Hipótesis!$D$42),0)</f>
        <v>-7920</v>
      </c>
      <c r="BX44" s="109" t="n">
        <f aca="false">-IF(AND(74&gt;=Hipótesis!$D$48,Hipótesis!$B$48=1),IF(Hipótesis!$G$48=1,Hipótesis!$I$44,Hipótesis!$C$48*(1+Hipótesis!$D$45)^6)*(1+Hipótesis!$D$42),0)</f>
        <v>-7920</v>
      </c>
      <c r="BY44" s="109" t="n">
        <f aca="false">-IF(AND(75&gt;=Hipótesis!$D$48,Hipótesis!$B$48=1),IF(Hipótesis!$G$48=1,Hipótesis!$I$44,Hipótesis!$C$48*(1+Hipótesis!$D$45)^6)*(1+Hipótesis!$D$42),0)</f>
        <v>-7920</v>
      </c>
      <c r="BZ44" s="109" t="n">
        <f aca="false">-IF(AND(76&gt;=Hipótesis!$D$48,Hipótesis!$B$48=1),IF(Hipótesis!$G$48=1,Hipótesis!$I$44,Hipótesis!$C$48*(1+Hipótesis!$D$45)^6)*(1+Hipótesis!$D$42),0)</f>
        <v>-7920</v>
      </c>
      <c r="CA44" s="109" t="n">
        <f aca="false">-IF(AND(77&gt;=Hipótesis!$D$48,Hipótesis!$B$48=1),IF(Hipótesis!$G$48=1,Hipótesis!$I$44,Hipótesis!$C$48*(1+Hipótesis!$D$45)^6)*(1+Hipótesis!$D$42),0)</f>
        <v>-7920</v>
      </c>
      <c r="CB44" s="109" t="n">
        <f aca="false">-IF(AND(78&gt;=Hipótesis!$D$48,Hipótesis!$B$48=1),IF(Hipótesis!$G$48=1,Hipótesis!$I$44,Hipótesis!$C$48*(1+Hipótesis!$D$45)^6)*(1+Hipótesis!$D$42),0)</f>
        <v>-7920</v>
      </c>
      <c r="CC44" s="109" t="n">
        <f aca="false">-IF(AND(79&gt;=Hipótesis!$D$48,Hipótesis!$B$48=1),IF(Hipótesis!$G$48=1,Hipótesis!$I$44,Hipótesis!$C$48*(1+Hipótesis!$D$45)^6)*(1+Hipótesis!$D$42),0)</f>
        <v>-7920</v>
      </c>
      <c r="CD44" s="109" t="n">
        <f aca="false">-IF(AND(80&gt;=Hipótesis!$D$48,Hipótesis!$B$48=1),IF(Hipótesis!$G$48=1,Hipótesis!$I$44,Hipótesis!$C$48*(1+Hipótesis!$D$45)^6)*(1+Hipótesis!$D$42),0)</f>
        <v>-7920</v>
      </c>
      <c r="CE44" s="109" t="n">
        <f aca="false">-IF(AND(81&gt;=Hipótesis!$D$48,Hipótesis!$B$48=1),IF(Hipótesis!$G$48=1,Hipótesis!$I$44,Hipótesis!$C$48*(1+Hipótesis!$D$45)^6)*(1+Hipótesis!$D$42),0)</f>
        <v>-7920</v>
      </c>
      <c r="CF44" s="109" t="n">
        <f aca="false">-IF(AND(82&gt;=Hipótesis!$D$48,Hipótesis!$B$48=1),IF(Hipótesis!$G$48=1,Hipótesis!$I$44,Hipótesis!$C$48*(1+Hipótesis!$D$45)^6)*(1+Hipótesis!$D$42),0)</f>
        <v>-7920</v>
      </c>
      <c r="CG44" s="109" t="n">
        <f aca="false">-IF(AND(83&gt;=Hipótesis!$D$48,Hipótesis!$B$48=1),IF(Hipótesis!$G$48=1,Hipótesis!$I$44,Hipótesis!$C$48*(1+Hipótesis!$D$45)^6)*(1+Hipótesis!$D$42),0)</f>
        <v>-7920</v>
      </c>
      <c r="CH44" s="109" t="n">
        <f aca="false">-IF(AND(84&gt;=Hipótesis!$D$48,Hipótesis!$B$48=1),IF(Hipótesis!$G$48=1,Hipótesis!$I$44,Hipótesis!$C$48*(1+Hipótesis!$D$45)^6)*(1+Hipótesis!$D$42),0)</f>
        <v>-7920</v>
      </c>
    </row>
    <row r="45" customFormat="false" ht="13.5" hidden="false" customHeight="true" outlineLevel="0" collapsed="false">
      <c r="A45" s="6" t="s">
        <v>550</v>
      </c>
      <c r="C45" s="109" t="n">
        <f aca="false">-IF(AND(1&gt;=Hipótesis!$D$49,Hipótesis!$B$49=1),IF(Hipótesis!$G$49=1,Hipótesis!$C$44,Hipótesis!$C$49*(1+Hipótesis!$D$45)^0)*(1+Hipótesis!$D$42),0)</f>
        <v>-2904</v>
      </c>
      <c r="D45" s="109" t="n">
        <f aca="false">-IF(AND(2&gt;=Hipótesis!$D$49,Hipótesis!$B$49=1),IF(Hipótesis!$G$49=1,Hipótesis!$C$44,Hipótesis!$C$49*(1+Hipótesis!$D$45)^0)*(1+Hipótesis!$D$42),0)</f>
        <v>-2904</v>
      </c>
      <c r="E45" s="109" t="n">
        <f aca="false">-IF(AND(3&gt;=Hipótesis!$D$49,Hipótesis!$B$49=1),IF(Hipótesis!$G$49=1,Hipótesis!$C$44,Hipótesis!$C$49*(1+Hipótesis!$D$45)^0)*(1+Hipótesis!$D$42),0)</f>
        <v>-2904</v>
      </c>
      <c r="F45" s="109" t="n">
        <f aca="false">-IF(AND(4&gt;=Hipótesis!$D$49,Hipótesis!$B$49=1),IF(Hipótesis!$G$49=1,Hipótesis!$C$44,Hipótesis!$C$49*(1+Hipótesis!$D$45)^0)*(1+Hipótesis!$D$42),0)</f>
        <v>-2904</v>
      </c>
      <c r="G45" s="109" t="n">
        <f aca="false">-IF(AND(5&gt;=Hipótesis!$D$49,Hipótesis!$B$49=1),IF(Hipótesis!$G$49=1,Hipótesis!$C$44,Hipótesis!$C$49*(1+Hipótesis!$D$45)^0)*(1+Hipótesis!$D$42),0)</f>
        <v>-2904</v>
      </c>
      <c r="H45" s="109" t="n">
        <f aca="false">-IF(AND(6&gt;=Hipótesis!$D$49,Hipótesis!$B$49=1),IF(Hipótesis!$G$49=1,Hipótesis!$C$44,Hipótesis!$C$49*(1+Hipótesis!$D$45)^0)*(1+Hipótesis!$D$42),0)</f>
        <v>-2904</v>
      </c>
      <c r="I45" s="109" t="n">
        <f aca="false">-IF(AND(7&gt;=Hipótesis!$D$49,Hipótesis!$B$49=1),IF(Hipótesis!$G$49=1,Hipótesis!$C$44,Hipótesis!$C$49*(1+Hipótesis!$D$45)^0)*(1+Hipótesis!$D$42),0)</f>
        <v>-2904</v>
      </c>
      <c r="J45" s="109" t="n">
        <f aca="false">-IF(AND(8&gt;=Hipótesis!$D$49,Hipótesis!$B$49=1),IF(Hipótesis!$G$49=1,Hipótesis!$C$44,Hipótesis!$C$49*(1+Hipótesis!$D$45)^0)*(1+Hipótesis!$D$42),0)</f>
        <v>-2904</v>
      </c>
      <c r="K45" s="109" t="n">
        <f aca="false">-IF(AND(9&gt;=Hipótesis!$D$49,Hipótesis!$B$49=1),IF(Hipótesis!$G$49=1,Hipótesis!$C$44,Hipótesis!$C$49*(1+Hipótesis!$D$45)^0)*(1+Hipótesis!$D$42),0)</f>
        <v>-2904</v>
      </c>
      <c r="L45" s="109" t="n">
        <f aca="false">-IF(AND(10&gt;=Hipótesis!$D$49,Hipótesis!$B$49=1),IF(Hipótesis!$G$49=1,Hipótesis!$C$44,Hipótesis!$C$49*(1+Hipótesis!$D$45)^0)*(1+Hipótesis!$D$42),0)</f>
        <v>-2904</v>
      </c>
      <c r="M45" s="109" t="n">
        <f aca="false">-IF(AND(11&gt;=Hipótesis!$D$49,Hipótesis!$B$49=1),IF(Hipótesis!$G$49=1,Hipótesis!$C$44,Hipótesis!$C$49*(1+Hipótesis!$D$45)^0)*(1+Hipótesis!$D$42),0)</f>
        <v>-2904</v>
      </c>
      <c r="N45" s="109" t="n">
        <f aca="false">-IF(AND(12&gt;=Hipótesis!$D$49,Hipótesis!$B$49=1),IF(Hipótesis!$G$49=1,Hipótesis!$C$44,Hipótesis!$C$49*(1+Hipótesis!$D$45)^0)*(1+Hipótesis!$D$42),0)</f>
        <v>-2904</v>
      </c>
      <c r="O45" s="109" t="n">
        <f aca="false">-IF(AND(13&gt;=Hipótesis!$D$49,Hipótesis!$B$49=1),IF(Hipótesis!$G$49=1,Hipótesis!$D$44,Hipótesis!$C$49*(1+Hipótesis!$D$45)^1)*(1+Hipótesis!$D$42),0)</f>
        <v>-4620</v>
      </c>
      <c r="P45" s="109" t="n">
        <f aca="false">-IF(AND(14&gt;=Hipótesis!$D$49,Hipótesis!$B$49=1),IF(Hipótesis!$G$49=1,Hipótesis!$D$44,Hipótesis!$C$49*(1+Hipótesis!$D$45)^1)*(1+Hipótesis!$D$42),0)</f>
        <v>-4620</v>
      </c>
      <c r="Q45" s="109" t="n">
        <f aca="false">-IF(AND(15&gt;=Hipótesis!$D$49,Hipótesis!$B$49=1),IF(Hipótesis!$G$49=1,Hipótesis!$D$44,Hipótesis!$C$49*(1+Hipótesis!$D$45)^1)*(1+Hipótesis!$D$42),0)</f>
        <v>-4620</v>
      </c>
      <c r="R45" s="109" t="n">
        <f aca="false">-IF(AND(16&gt;=Hipótesis!$D$49,Hipótesis!$B$49=1),IF(Hipótesis!$G$49=1,Hipótesis!$D$44,Hipótesis!$C$49*(1+Hipótesis!$D$45)^1)*(1+Hipótesis!$D$42),0)</f>
        <v>-4620</v>
      </c>
      <c r="S45" s="109" t="n">
        <f aca="false">-IF(AND(17&gt;=Hipótesis!$D$49,Hipótesis!$B$49=1),IF(Hipótesis!$G$49=1,Hipótesis!$D$44,Hipótesis!$C$49*(1+Hipótesis!$D$45)^1)*(1+Hipótesis!$D$42),0)</f>
        <v>-4620</v>
      </c>
      <c r="T45" s="109" t="n">
        <f aca="false">-IF(AND(18&gt;=Hipótesis!$D$49,Hipótesis!$B$49=1),IF(Hipótesis!$G$49=1,Hipótesis!$D$44,Hipótesis!$C$49*(1+Hipótesis!$D$45)^1)*(1+Hipótesis!$D$42),0)</f>
        <v>-4620</v>
      </c>
      <c r="U45" s="109" t="n">
        <f aca="false">-IF(AND(19&gt;=Hipótesis!$D$49,Hipótesis!$B$49=1),IF(Hipótesis!$G$49=1,Hipótesis!$D$44,Hipótesis!$C$49*(1+Hipótesis!$D$45)^1)*(1+Hipótesis!$D$42),0)</f>
        <v>-4620</v>
      </c>
      <c r="V45" s="109" t="n">
        <f aca="false">-IF(AND(20&gt;=Hipótesis!$D$49,Hipótesis!$B$49=1),IF(Hipótesis!$G$49=1,Hipótesis!$D$44,Hipótesis!$C$49*(1+Hipótesis!$D$45)^1)*(1+Hipótesis!$D$42),0)</f>
        <v>-4620</v>
      </c>
      <c r="W45" s="109" t="n">
        <f aca="false">-IF(AND(21&gt;=Hipótesis!$D$49,Hipótesis!$B$49=1),IF(Hipótesis!$G$49=1,Hipótesis!$D$44,Hipótesis!$C$49*(1+Hipótesis!$D$45)^1)*(1+Hipótesis!$D$42),0)</f>
        <v>-4620</v>
      </c>
      <c r="X45" s="109" t="n">
        <f aca="false">-IF(AND(22&gt;=Hipótesis!$D$49,Hipótesis!$B$49=1),IF(Hipótesis!$G$49=1,Hipótesis!$D$44,Hipótesis!$C$49*(1+Hipótesis!$D$45)^1)*(1+Hipótesis!$D$42),0)</f>
        <v>-4620</v>
      </c>
      <c r="Y45" s="109" t="n">
        <f aca="false">-IF(AND(23&gt;=Hipótesis!$D$49,Hipótesis!$B$49=1),IF(Hipótesis!$G$49=1,Hipótesis!$D$44,Hipótesis!$C$49*(1+Hipótesis!$D$45)^1)*(1+Hipótesis!$D$42),0)</f>
        <v>-4620</v>
      </c>
      <c r="Z45" s="109" t="n">
        <f aca="false">-IF(AND(24&gt;=Hipótesis!$D$49,Hipótesis!$B$49=1),IF(Hipótesis!$G$49=1,Hipótesis!$D$44,Hipótesis!$C$49*(1+Hipótesis!$D$45)^1)*(1+Hipótesis!$D$42),0)</f>
        <v>-4620</v>
      </c>
      <c r="AA45" s="109" t="n">
        <f aca="false">-IF(AND(25&gt;=Hipótesis!$D$49,Hipótesis!$B$49=1),IF(Hipótesis!$G$49=1,Hipótesis!$E$44,Hipótesis!$C$49*(1+Hipótesis!$D$45)^2)*(1+Hipótesis!$D$42),0)</f>
        <v>-5280</v>
      </c>
      <c r="AB45" s="109" t="n">
        <f aca="false">-IF(AND(26&gt;=Hipótesis!$D$49,Hipótesis!$B$49=1),IF(Hipótesis!$G$49=1,Hipótesis!$E$44,Hipótesis!$C$49*(1+Hipótesis!$D$45)^2)*(1+Hipótesis!$D$42),0)</f>
        <v>-5280</v>
      </c>
      <c r="AC45" s="109" t="n">
        <f aca="false">-IF(AND(27&gt;=Hipótesis!$D$49,Hipótesis!$B$49=1),IF(Hipótesis!$G$49=1,Hipótesis!$E$44,Hipótesis!$C$49*(1+Hipótesis!$D$45)^2)*(1+Hipótesis!$D$42),0)</f>
        <v>-5280</v>
      </c>
      <c r="AD45" s="109" t="n">
        <f aca="false">-IF(AND(28&gt;=Hipótesis!$D$49,Hipótesis!$B$49=1),IF(Hipótesis!$G$49=1,Hipótesis!$E$44,Hipótesis!$C$49*(1+Hipótesis!$D$45)^2)*(1+Hipótesis!$D$42),0)</f>
        <v>-5280</v>
      </c>
      <c r="AE45" s="109" t="n">
        <f aca="false">-IF(AND(29&gt;=Hipótesis!$D$49,Hipótesis!$B$49=1),IF(Hipótesis!$G$49=1,Hipótesis!$E$44,Hipótesis!$C$49*(1+Hipótesis!$D$45)^2)*(1+Hipótesis!$D$42),0)</f>
        <v>-5280</v>
      </c>
      <c r="AF45" s="109" t="n">
        <f aca="false">-IF(AND(30&gt;=Hipótesis!$D$49,Hipótesis!$B$49=1),IF(Hipótesis!$G$49=1,Hipótesis!$E$44,Hipótesis!$C$49*(1+Hipótesis!$D$45)^2)*(1+Hipótesis!$D$42),0)</f>
        <v>-5280</v>
      </c>
      <c r="AG45" s="109" t="n">
        <f aca="false">-IF(AND(31&gt;=Hipótesis!$D$49,Hipótesis!$B$49=1),IF(Hipótesis!$G$49=1,Hipótesis!$E$44,Hipótesis!$C$49*(1+Hipótesis!$D$45)^2)*(1+Hipótesis!$D$42),0)</f>
        <v>-5280</v>
      </c>
      <c r="AH45" s="109" t="n">
        <f aca="false">-IF(AND(32&gt;=Hipótesis!$D$49,Hipótesis!$B$49=1),IF(Hipótesis!$G$49=1,Hipótesis!$E$44,Hipótesis!$C$49*(1+Hipótesis!$D$45)^2)*(1+Hipótesis!$D$42),0)</f>
        <v>-5280</v>
      </c>
      <c r="AI45" s="109" t="n">
        <f aca="false">-IF(AND(33&gt;=Hipótesis!$D$49,Hipótesis!$B$49=1),IF(Hipótesis!$G$49=1,Hipótesis!$E$44,Hipótesis!$C$49*(1+Hipótesis!$D$45)^2)*(1+Hipótesis!$D$42),0)</f>
        <v>-5280</v>
      </c>
      <c r="AJ45" s="109" t="n">
        <f aca="false">-IF(AND(34&gt;=Hipótesis!$D$49,Hipótesis!$B$49=1),IF(Hipótesis!$G$49=1,Hipótesis!$E$44,Hipótesis!$C$49*(1+Hipótesis!$D$45)^2)*(1+Hipótesis!$D$42),0)</f>
        <v>-5280</v>
      </c>
      <c r="AK45" s="109" t="n">
        <f aca="false">-IF(AND(35&gt;=Hipótesis!$D$49,Hipótesis!$B$49=1),IF(Hipótesis!$G$49=1,Hipótesis!$E$44,Hipótesis!$C$49*(1+Hipótesis!$D$45)^2)*(1+Hipótesis!$D$42),0)</f>
        <v>-5280</v>
      </c>
      <c r="AL45" s="109" t="n">
        <f aca="false">-IF(AND(36&gt;=Hipótesis!$D$49,Hipótesis!$B$49=1),IF(Hipótesis!$G$49=1,Hipótesis!$E$44,Hipótesis!$C$49*(1+Hipótesis!$D$45)^2)*(1+Hipótesis!$D$42),0)</f>
        <v>-5280</v>
      </c>
      <c r="AM45" s="109" t="n">
        <f aca="false">-IF(AND(37&gt;=Hipótesis!$D$49,Hipótesis!$B$49=1),IF(Hipótesis!$G$49=1,Hipótesis!$F$44,Hipótesis!$C$49*(1+Hipótesis!$D$45)^3)*(1+Hipótesis!$D$42),0)</f>
        <v>-5940</v>
      </c>
      <c r="AN45" s="109" t="n">
        <f aca="false">-IF(AND(38&gt;=Hipótesis!$D$49,Hipótesis!$B$49=1),IF(Hipótesis!$G$49=1,Hipótesis!$F$44,Hipótesis!$C$49*(1+Hipótesis!$D$45)^3)*(1+Hipótesis!$D$42),0)</f>
        <v>-5940</v>
      </c>
      <c r="AO45" s="109" t="n">
        <f aca="false">-IF(AND(39&gt;=Hipótesis!$D$49,Hipótesis!$B$49=1),IF(Hipótesis!$G$49=1,Hipótesis!$F$44,Hipótesis!$C$49*(1+Hipótesis!$D$45)^3)*(1+Hipótesis!$D$42),0)</f>
        <v>-5940</v>
      </c>
      <c r="AP45" s="109" t="n">
        <f aca="false">-IF(AND(40&gt;=Hipótesis!$D$49,Hipótesis!$B$49=1),IF(Hipótesis!$G$49=1,Hipótesis!$F$44,Hipótesis!$C$49*(1+Hipótesis!$D$45)^3)*(1+Hipótesis!$D$42),0)</f>
        <v>-5940</v>
      </c>
      <c r="AQ45" s="109" t="n">
        <f aca="false">-IF(AND(41&gt;=Hipótesis!$D$49,Hipótesis!$B$49=1),IF(Hipótesis!$G$49=1,Hipótesis!$F$44,Hipótesis!$C$49*(1+Hipótesis!$D$45)^3)*(1+Hipótesis!$D$42),0)</f>
        <v>-5940</v>
      </c>
      <c r="AR45" s="109" t="n">
        <f aca="false">-IF(AND(42&gt;=Hipótesis!$D$49,Hipótesis!$B$49=1),IF(Hipótesis!$G$49=1,Hipótesis!$F$44,Hipótesis!$C$49*(1+Hipótesis!$D$45)^3)*(1+Hipótesis!$D$42),0)</f>
        <v>-5940</v>
      </c>
      <c r="AS45" s="109" t="n">
        <f aca="false">-IF(AND(43&gt;=Hipótesis!$D$49,Hipótesis!$B$49=1),IF(Hipótesis!$G$49=1,Hipótesis!$F$44,Hipótesis!$C$49*(1+Hipótesis!$D$45)^3)*(1+Hipótesis!$D$42),0)</f>
        <v>-5940</v>
      </c>
      <c r="AT45" s="109" t="n">
        <f aca="false">-IF(AND(44&gt;=Hipótesis!$D$49,Hipótesis!$B$49=1),IF(Hipótesis!$G$49=1,Hipótesis!$F$44,Hipótesis!$C$49*(1+Hipótesis!$D$45)^3)*(1+Hipótesis!$D$42),0)</f>
        <v>-5940</v>
      </c>
      <c r="AU45" s="109" t="n">
        <f aca="false">-IF(AND(45&gt;=Hipótesis!$D$49,Hipótesis!$B$49=1),IF(Hipótesis!$G$49=1,Hipótesis!$F$44,Hipótesis!$C$49*(1+Hipótesis!$D$45)^3)*(1+Hipótesis!$D$42),0)</f>
        <v>-5940</v>
      </c>
      <c r="AV45" s="109" t="n">
        <f aca="false">-IF(AND(46&gt;=Hipótesis!$D$49,Hipótesis!$B$49=1),IF(Hipótesis!$G$49=1,Hipótesis!$F$44,Hipótesis!$C$49*(1+Hipótesis!$D$45)^3)*(1+Hipótesis!$D$42),0)</f>
        <v>-5940</v>
      </c>
      <c r="AW45" s="109" t="n">
        <f aca="false">-IF(AND(47&gt;=Hipótesis!$D$49,Hipótesis!$B$49=1),IF(Hipótesis!$G$49=1,Hipótesis!$F$44,Hipótesis!$C$49*(1+Hipótesis!$D$45)^3)*(1+Hipótesis!$D$42),0)</f>
        <v>-5940</v>
      </c>
      <c r="AX45" s="109" t="n">
        <f aca="false">-IF(AND(48&gt;=Hipótesis!$D$49,Hipótesis!$B$49=1),IF(Hipótesis!$G$49=1,Hipótesis!$F$44,Hipótesis!$C$49*(1+Hipótesis!$D$45)^3)*(1+Hipótesis!$D$42),0)</f>
        <v>-5940</v>
      </c>
      <c r="AY45" s="109" t="n">
        <f aca="false">-IF(AND(49&gt;=Hipótesis!$D$49,Hipótesis!$B$49=1),IF(Hipótesis!$G$49=1,Hipótesis!$G$44,Hipótesis!$C$49*(1+Hipótesis!$D$45)^4)*(1+Hipótesis!$D$42),0)</f>
        <v>-6600</v>
      </c>
      <c r="AZ45" s="109" t="n">
        <f aca="false">-IF(AND(50&gt;=Hipótesis!$D$49,Hipótesis!$B$49=1),IF(Hipótesis!$G$49=1,Hipótesis!$G$44,Hipótesis!$C$49*(1+Hipótesis!$D$45)^4)*(1+Hipótesis!$D$42),0)</f>
        <v>-6600</v>
      </c>
      <c r="BA45" s="109" t="n">
        <f aca="false">-IF(AND(51&gt;=Hipótesis!$D$49,Hipótesis!$B$49=1),IF(Hipótesis!$G$49=1,Hipótesis!$G$44,Hipótesis!$C$49*(1+Hipótesis!$D$45)^4)*(1+Hipótesis!$D$42),0)</f>
        <v>-6600</v>
      </c>
      <c r="BB45" s="109" t="n">
        <f aca="false">-IF(AND(52&gt;=Hipótesis!$D$49,Hipótesis!$B$49=1),IF(Hipótesis!$G$49=1,Hipótesis!$G$44,Hipótesis!$C$49*(1+Hipótesis!$D$45)^4)*(1+Hipótesis!$D$42),0)</f>
        <v>-6600</v>
      </c>
      <c r="BC45" s="109" t="n">
        <f aca="false">-IF(AND(53&gt;=Hipótesis!$D$49,Hipótesis!$B$49=1),IF(Hipótesis!$G$49=1,Hipótesis!$G$44,Hipótesis!$C$49*(1+Hipótesis!$D$45)^4)*(1+Hipótesis!$D$42),0)</f>
        <v>-6600</v>
      </c>
      <c r="BD45" s="109" t="n">
        <f aca="false">-IF(AND(54&gt;=Hipótesis!$D$49,Hipótesis!$B$49=1),IF(Hipótesis!$G$49=1,Hipótesis!$G$44,Hipótesis!$C$49*(1+Hipótesis!$D$45)^4)*(1+Hipótesis!$D$42),0)</f>
        <v>-6600</v>
      </c>
      <c r="BE45" s="109" t="n">
        <f aca="false">-IF(AND(55&gt;=Hipótesis!$D$49,Hipótesis!$B$49=1),IF(Hipótesis!$G$49=1,Hipótesis!$G$44,Hipótesis!$C$49*(1+Hipótesis!$D$45)^4)*(1+Hipótesis!$D$42),0)</f>
        <v>-6600</v>
      </c>
      <c r="BF45" s="109" t="n">
        <f aca="false">-IF(AND(56&gt;=Hipótesis!$D$49,Hipótesis!$B$49=1),IF(Hipótesis!$G$49=1,Hipótesis!$G$44,Hipótesis!$C$49*(1+Hipótesis!$D$45)^4)*(1+Hipótesis!$D$42),0)</f>
        <v>-6600</v>
      </c>
      <c r="BG45" s="109" t="n">
        <f aca="false">-IF(AND(57&gt;=Hipótesis!$D$49,Hipótesis!$B$49=1),IF(Hipótesis!$G$49=1,Hipótesis!$G$44,Hipótesis!$C$49*(1+Hipótesis!$D$45)^4)*(1+Hipótesis!$D$42),0)</f>
        <v>-6600</v>
      </c>
      <c r="BH45" s="109" t="n">
        <f aca="false">-IF(AND(58&gt;=Hipótesis!$D$49,Hipótesis!$B$49=1),IF(Hipótesis!$G$49=1,Hipótesis!$G$44,Hipótesis!$C$49*(1+Hipótesis!$D$45)^4)*(1+Hipótesis!$D$42),0)</f>
        <v>-6600</v>
      </c>
      <c r="BI45" s="109" t="n">
        <f aca="false">-IF(AND(59&gt;=Hipótesis!$D$49,Hipótesis!$B$49=1),IF(Hipótesis!$G$49=1,Hipótesis!$G$44,Hipótesis!$C$49*(1+Hipótesis!$D$45)^4)*(1+Hipótesis!$D$42),0)</f>
        <v>-6600</v>
      </c>
      <c r="BJ45" s="109" t="n">
        <f aca="false">-IF(AND(60&gt;=Hipótesis!$D$49,Hipótesis!$B$49=1),IF(Hipótesis!$G$49=1,Hipótesis!$G$44,Hipótesis!$C$49*(1+Hipótesis!$D$45)^4)*(1+Hipótesis!$D$42),0)</f>
        <v>-6600</v>
      </c>
      <c r="BK45" s="109" t="n">
        <f aca="false">-IF(AND(61&gt;=Hipótesis!$D$49,Hipótesis!$B$49=1),IF(Hipótesis!$G$49=1,Hipótesis!$H$44,Hipótesis!$C$49*(1+Hipótesis!$D$45)^5)*(1+Hipótesis!$D$42),0)</f>
        <v>-7260</v>
      </c>
      <c r="BL45" s="109" t="n">
        <f aca="false">-IF(AND(62&gt;=Hipótesis!$D$49,Hipótesis!$B$49=1),IF(Hipótesis!$G$49=1,Hipótesis!$H$44,Hipótesis!$C$49*(1+Hipótesis!$D$45)^5)*(1+Hipótesis!$D$42),0)</f>
        <v>-7260</v>
      </c>
      <c r="BM45" s="109" t="n">
        <f aca="false">-IF(AND(63&gt;=Hipótesis!$D$49,Hipótesis!$B$49=1),IF(Hipótesis!$G$49=1,Hipótesis!$H$44,Hipótesis!$C$49*(1+Hipótesis!$D$45)^5)*(1+Hipótesis!$D$42),0)</f>
        <v>-7260</v>
      </c>
      <c r="BN45" s="109" t="n">
        <f aca="false">-IF(AND(64&gt;=Hipótesis!$D$49,Hipótesis!$B$49=1),IF(Hipótesis!$G$49=1,Hipótesis!$H$44,Hipótesis!$C$49*(1+Hipótesis!$D$45)^5)*(1+Hipótesis!$D$42),0)</f>
        <v>-7260</v>
      </c>
      <c r="BO45" s="109" t="n">
        <f aca="false">-IF(AND(65&gt;=Hipótesis!$D$49,Hipótesis!$B$49=1),IF(Hipótesis!$G$49=1,Hipótesis!$H$44,Hipótesis!$C$49*(1+Hipótesis!$D$45)^5)*(1+Hipótesis!$D$42),0)</f>
        <v>-7260</v>
      </c>
      <c r="BP45" s="109" t="n">
        <f aca="false">-IF(AND(66&gt;=Hipótesis!$D$49,Hipótesis!$B$49=1),IF(Hipótesis!$G$49=1,Hipótesis!$H$44,Hipótesis!$C$49*(1+Hipótesis!$D$45)^5)*(1+Hipótesis!$D$42),0)</f>
        <v>-7260</v>
      </c>
      <c r="BQ45" s="109" t="n">
        <f aca="false">-IF(AND(67&gt;=Hipótesis!$D$49,Hipótesis!$B$49=1),IF(Hipótesis!$G$49=1,Hipótesis!$H$44,Hipótesis!$C$49*(1+Hipótesis!$D$45)^5)*(1+Hipótesis!$D$42),0)</f>
        <v>-7260</v>
      </c>
      <c r="BR45" s="109" t="n">
        <f aca="false">-IF(AND(68&gt;=Hipótesis!$D$49,Hipótesis!$B$49=1),IF(Hipótesis!$G$49=1,Hipótesis!$H$44,Hipótesis!$C$49*(1+Hipótesis!$D$45)^5)*(1+Hipótesis!$D$42),0)</f>
        <v>-7260</v>
      </c>
      <c r="BS45" s="109" t="n">
        <f aca="false">-IF(AND(69&gt;=Hipótesis!$D$49,Hipótesis!$B$49=1),IF(Hipótesis!$G$49=1,Hipótesis!$H$44,Hipótesis!$C$49*(1+Hipótesis!$D$45)^5)*(1+Hipótesis!$D$42),0)</f>
        <v>-7260</v>
      </c>
      <c r="BT45" s="109" t="n">
        <f aca="false">-IF(AND(70&gt;=Hipótesis!$D$49,Hipótesis!$B$49=1),IF(Hipótesis!$G$49=1,Hipótesis!$H$44,Hipótesis!$C$49*(1+Hipótesis!$D$45)^5)*(1+Hipótesis!$D$42),0)</f>
        <v>-7260</v>
      </c>
      <c r="BU45" s="109" t="n">
        <f aca="false">-IF(AND(71&gt;=Hipótesis!$D$49,Hipótesis!$B$49=1),IF(Hipótesis!$G$49=1,Hipótesis!$H$44,Hipótesis!$C$49*(1+Hipótesis!$D$45)^5)*(1+Hipótesis!$D$42),0)</f>
        <v>-7260</v>
      </c>
      <c r="BV45" s="109" t="n">
        <f aca="false">-IF(AND(72&gt;=Hipótesis!$D$49,Hipótesis!$B$49=1),IF(Hipótesis!$G$49=1,Hipótesis!$H$44,Hipótesis!$C$49*(1+Hipótesis!$D$45)^5)*(1+Hipótesis!$D$42),0)</f>
        <v>-7260</v>
      </c>
      <c r="BW45" s="109" t="n">
        <f aca="false">-IF(AND(73&gt;=Hipótesis!$D$49,Hipótesis!$B$49=1),IF(Hipótesis!$G$49=1,Hipótesis!$I$44,Hipótesis!$C$49*(1+Hipótesis!$D$45)^6)*(1+Hipótesis!$D$42),0)</f>
        <v>-7920</v>
      </c>
      <c r="BX45" s="109" t="n">
        <f aca="false">-IF(AND(74&gt;=Hipótesis!$D$49,Hipótesis!$B$49=1),IF(Hipótesis!$G$49=1,Hipótesis!$I$44,Hipótesis!$C$49*(1+Hipótesis!$D$45)^6)*(1+Hipótesis!$D$42),0)</f>
        <v>-7920</v>
      </c>
      <c r="BY45" s="109" t="n">
        <f aca="false">-IF(AND(75&gt;=Hipótesis!$D$49,Hipótesis!$B$49=1),IF(Hipótesis!$G$49=1,Hipótesis!$I$44,Hipótesis!$C$49*(1+Hipótesis!$D$45)^6)*(1+Hipótesis!$D$42),0)</f>
        <v>-7920</v>
      </c>
      <c r="BZ45" s="109" t="n">
        <f aca="false">-IF(AND(76&gt;=Hipótesis!$D$49,Hipótesis!$B$49=1),IF(Hipótesis!$G$49=1,Hipótesis!$I$44,Hipótesis!$C$49*(1+Hipótesis!$D$45)^6)*(1+Hipótesis!$D$42),0)</f>
        <v>-7920</v>
      </c>
      <c r="CA45" s="109" t="n">
        <f aca="false">-IF(AND(77&gt;=Hipótesis!$D$49,Hipótesis!$B$49=1),IF(Hipótesis!$G$49=1,Hipótesis!$I$44,Hipótesis!$C$49*(1+Hipótesis!$D$45)^6)*(1+Hipótesis!$D$42),0)</f>
        <v>-7920</v>
      </c>
      <c r="CB45" s="109" t="n">
        <f aca="false">-IF(AND(78&gt;=Hipótesis!$D$49,Hipótesis!$B$49=1),IF(Hipótesis!$G$49=1,Hipótesis!$I$44,Hipótesis!$C$49*(1+Hipótesis!$D$45)^6)*(1+Hipótesis!$D$42),0)</f>
        <v>-7920</v>
      </c>
      <c r="CC45" s="109" t="n">
        <f aca="false">-IF(AND(79&gt;=Hipótesis!$D$49,Hipótesis!$B$49=1),IF(Hipótesis!$G$49=1,Hipótesis!$I$44,Hipótesis!$C$49*(1+Hipótesis!$D$45)^6)*(1+Hipótesis!$D$42),0)</f>
        <v>-7920</v>
      </c>
      <c r="CD45" s="109" t="n">
        <f aca="false">-IF(AND(80&gt;=Hipótesis!$D$49,Hipótesis!$B$49=1),IF(Hipótesis!$G$49=1,Hipótesis!$I$44,Hipótesis!$C$49*(1+Hipótesis!$D$45)^6)*(1+Hipótesis!$D$42),0)</f>
        <v>-7920</v>
      </c>
      <c r="CE45" s="109" t="n">
        <f aca="false">-IF(AND(81&gt;=Hipótesis!$D$49,Hipótesis!$B$49=1),IF(Hipótesis!$G$49=1,Hipótesis!$I$44,Hipótesis!$C$49*(1+Hipótesis!$D$45)^6)*(1+Hipótesis!$D$42),0)</f>
        <v>-7920</v>
      </c>
      <c r="CF45" s="109" t="n">
        <f aca="false">-IF(AND(82&gt;=Hipótesis!$D$49,Hipótesis!$B$49=1),IF(Hipótesis!$G$49=1,Hipótesis!$I$44,Hipótesis!$C$49*(1+Hipótesis!$D$45)^6)*(1+Hipótesis!$D$42),0)</f>
        <v>-7920</v>
      </c>
      <c r="CG45" s="109" t="n">
        <f aca="false">-IF(AND(83&gt;=Hipótesis!$D$49,Hipótesis!$B$49=1),IF(Hipótesis!$G$49=1,Hipótesis!$I$44,Hipótesis!$C$49*(1+Hipótesis!$D$45)^6)*(1+Hipótesis!$D$42),0)</f>
        <v>-7920</v>
      </c>
      <c r="CH45" s="109" t="n">
        <f aca="false">-IF(AND(84&gt;=Hipótesis!$D$49,Hipótesis!$B$49=1),IF(Hipótesis!$G$49=1,Hipótesis!$I$44,Hipótesis!$C$49*(1+Hipótesis!$D$45)^6)*(1+Hipótesis!$D$42),0)</f>
        <v>-7920</v>
      </c>
    </row>
    <row r="46" customFormat="false" ht="13.5" hidden="false" customHeight="true" outlineLevel="0" collapsed="false">
      <c r="A46" s="6" t="s">
        <v>551</v>
      </c>
      <c r="C46" s="109" t="n">
        <f aca="false">-IF(AND(1&gt;=Hipótesis!$D$50,Hipótesis!$B$50=1),IF(Hipótesis!$G$50=1,Hipótesis!$C$44,Hipótesis!$C$50*(1+Hipótesis!$D$45)^0)*(1+Hipótesis!$D$42),0)</f>
        <v>-2904</v>
      </c>
      <c r="D46" s="109" t="n">
        <f aca="false">-IF(AND(2&gt;=Hipótesis!$D$50,Hipótesis!$B$50=1),IF(Hipótesis!$G$50=1,Hipótesis!$C$44,Hipótesis!$C$50*(1+Hipótesis!$D$45)^0)*(1+Hipótesis!$D$42),0)</f>
        <v>-2904</v>
      </c>
      <c r="E46" s="109" t="n">
        <f aca="false">-IF(AND(3&gt;=Hipótesis!$D$50,Hipótesis!$B$50=1),IF(Hipótesis!$G$50=1,Hipótesis!$C$44,Hipótesis!$C$50*(1+Hipótesis!$D$45)^0)*(1+Hipótesis!$D$42),0)</f>
        <v>-2904</v>
      </c>
      <c r="F46" s="109" t="n">
        <f aca="false">-IF(AND(4&gt;=Hipótesis!$D$50,Hipótesis!$B$50=1),IF(Hipótesis!$G$50=1,Hipótesis!$C$44,Hipótesis!$C$50*(1+Hipótesis!$D$45)^0)*(1+Hipótesis!$D$42),0)</f>
        <v>-2904</v>
      </c>
      <c r="G46" s="109" t="n">
        <f aca="false">-IF(AND(5&gt;=Hipótesis!$D$50,Hipótesis!$B$50=1),IF(Hipótesis!$G$50=1,Hipótesis!$C$44,Hipótesis!$C$50*(1+Hipótesis!$D$45)^0)*(1+Hipótesis!$D$42),0)</f>
        <v>-2904</v>
      </c>
      <c r="H46" s="109" t="n">
        <f aca="false">-IF(AND(6&gt;=Hipótesis!$D$50,Hipótesis!$B$50=1),IF(Hipótesis!$G$50=1,Hipótesis!$C$44,Hipótesis!$C$50*(1+Hipótesis!$D$45)^0)*(1+Hipótesis!$D$42),0)</f>
        <v>-2904</v>
      </c>
      <c r="I46" s="109" t="n">
        <f aca="false">-IF(AND(7&gt;=Hipótesis!$D$50,Hipótesis!$B$50=1),IF(Hipótesis!$G$50=1,Hipótesis!$C$44,Hipótesis!$C$50*(1+Hipótesis!$D$45)^0)*(1+Hipótesis!$D$42),0)</f>
        <v>-2904</v>
      </c>
      <c r="J46" s="109" t="n">
        <f aca="false">-IF(AND(8&gt;=Hipótesis!$D$50,Hipótesis!$B$50=1),IF(Hipótesis!$G$50=1,Hipótesis!$C$44,Hipótesis!$C$50*(1+Hipótesis!$D$45)^0)*(1+Hipótesis!$D$42),0)</f>
        <v>-2904</v>
      </c>
      <c r="K46" s="109" t="n">
        <f aca="false">-IF(AND(9&gt;=Hipótesis!$D$50,Hipótesis!$B$50=1),IF(Hipótesis!$G$50=1,Hipótesis!$C$44,Hipótesis!$C$50*(1+Hipótesis!$D$45)^0)*(1+Hipótesis!$D$42),0)</f>
        <v>-2904</v>
      </c>
      <c r="L46" s="109" t="n">
        <f aca="false">-IF(AND(10&gt;=Hipótesis!$D$50,Hipótesis!$B$50=1),IF(Hipótesis!$G$50=1,Hipótesis!$C$44,Hipótesis!$C$50*(1+Hipótesis!$D$45)^0)*(1+Hipótesis!$D$42),0)</f>
        <v>-2904</v>
      </c>
      <c r="M46" s="109" t="n">
        <f aca="false">-IF(AND(11&gt;=Hipótesis!$D$50,Hipótesis!$B$50=1),IF(Hipótesis!$G$50=1,Hipótesis!$C$44,Hipótesis!$C$50*(1+Hipótesis!$D$45)^0)*(1+Hipótesis!$D$42),0)</f>
        <v>-2904</v>
      </c>
      <c r="N46" s="109" t="n">
        <f aca="false">-IF(AND(12&gt;=Hipótesis!$D$50,Hipótesis!$B$50=1),IF(Hipótesis!$G$50=1,Hipótesis!$C$44,Hipótesis!$C$50*(1+Hipótesis!$D$45)^0)*(1+Hipótesis!$D$42),0)</f>
        <v>-2904</v>
      </c>
      <c r="O46" s="109" t="n">
        <f aca="false">-IF(AND(13&gt;=Hipótesis!$D$50,Hipótesis!$B$50=1),IF(Hipótesis!$G$50=1,Hipótesis!$D$44,Hipótesis!$C$50*(1+Hipótesis!$D$45)^1)*(1+Hipótesis!$D$42),0)</f>
        <v>-4620</v>
      </c>
      <c r="P46" s="109" t="n">
        <f aca="false">-IF(AND(14&gt;=Hipótesis!$D$50,Hipótesis!$B$50=1),IF(Hipótesis!$G$50=1,Hipótesis!$D$44,Hipótesis!$C$50*(1+Hipótesis!$D$45)^1)*(1+Hipótesis!$D$42),0)</f>
        <v>-4620</v>
      </c>
      <c r="Q46" s="109" t="n">
        <f aca="false">-IF(AND(15&gt;=Hipótesis!$D$50,Hipótesis!$B$50=1),IF(Hipótesis!$G$50=1,Hipótesis!$D$44,Hipótesis!$C$50*(1+Hipótesis!$D$45)^1)*(1+Hipótesis!$D$42),0)</f>
        <v>-4620</v>
      </c>
      <c r="R46" s="109" t="n">
        <f aca="false">-IF(AND(16&gt;=Hipótesis!$D$50,Hipótesis!$B$50=1),IF(Hipótesis!$G$50=1,Hipótesis!$D$44,Hipótesis!$C$50*(1+Hipótesis!$D$45)^1)*(1+Hipótesis!$D$42),0)</f>
        <v>-4620</v>
      </c>
      <c r="S46" s="109" t="n">
        <f aca="false">-IF(AND(17&gt;=Hipótesis!$D$50,Hipótesis!$B$50=1),IF(Hipótesis!$G$50=1,Hipótesis!$D$44,Hipótesis!$C$50*(1+Hipótesis!$D$45)^1)*(1+Hipótesis!$D$42),0)</f>
        <v>-4620</v>
      </c>
      <c r="T46" s="109" t="n">
        <f aca="false">-IF(AND(18&gt;=Hipótesis!$D$50,Hipótesis!$B$50=1),IF(Hipótesis!$G$50=1,Hipótesis!$D$44,Hipótesis!$C$50*(1+Hipótesis!$D$45)^1)*(1+Hipótesis!$D$42),0)</f>
        <v>-4620</v>
      </c>
      <c r="U46" s="109" t="n">
        <f aca="false">-IF(AND(19&gt;=Hipótesis!$D$50,Hipótesis!$B$50=1),IF(Hipótesis!$G$50=1,Hipótesis!$D$44,Hipótesis!$C$50*(1+Hipótesis!$D$45)^1)*(1+Hipótesis!$D$42),0)</f>
        <v>-4620</v>
      </c>
      <c r="V46" s="109" t="n">
        <f aca="false">-IF(AND(20&gt;=Hipótesis!$D$50,Hipótesis!$B$50=1),IF(Hipótesis!$G$50=1,Hipótesis!$D$44,Hipótesis!$C$50*(1+Hipótesis!$D$45)^1)*(1+Hipótesis!$D$42),0)</f>
        <v>-4620</v>
      </c>
      <c r="W46" s="109" t="n">
        <f aca="false">-IF(AND(21&gt;=Hipótesis!$D$50,Hipótesis!$B$50=1),IF(Hipótesis!$G$50=1,Hipótesis!$D$44,Hipótesis!$C$50*(1+Hipótesis!$D$45)^1)*(1+Hipótesis!$D$42),0)</f>
        <v>-4620</v>
      </c>
      <c r="X46" s="109" t="n">
        <f aca="false">-IF(AND(22&gt;=Hipótesis!$D$50,Hipótesis!$B$50=1),IF(Hipótesis!$G$50=1,Hipótesis!$D$44,Hipótesis!$C$50*(1+Hipótesis!$D$45)^1)*(1+Hipótesis!$D$42),0)</f>
        <v>-4620</v>
      </c>
      <c r="Y46" s="109" t="n">
        <f aca="false">-IF(AND(23&gt;=Hipótesis!$D$50,Hipótesis!$B$50=1),IF(Hipótesis!$G$50=1,Hipótesis!$D$44,Hipótesis!$C$50*(1+Hipótesis!$D$45)^1)*(1+Hipótesis!$D$42),0)</f>
        <v>-4620</v>
      </c>
      <c r="Z46" s="109" t="n">
        <f aca="false">-IF(AND(24&gt;=Hipótesis!$D$50,Hipótesis!$B$50=1),IF(Hipótesis!$G$50=1,Hipótesis!$D$44,Hipótesis!$C$50*(1+Hipótesis!$D$45)^1)*(1+Hipótesis!$D$42),0)</f>
        <v>-4620</v>
      </c>
      <c r="AA46" s="109" t="n">
        <f aca="false">-IF(AND(25&gt;=Hipótesis!$D$50,Hipótesis!$B$50=1),IF(Hipótesis!$G$50=1,Hipótesis!$E$44,Hipótesis!$C$50*(1+Hipótesis!$D$45)^2)*(1+Hipótesis!$D$42),0)</f>
        <v>-5280</v>
      </c>
      <c r="AB46" s="109" t="n">
        <f aca="false">-IF(AND(26&gt;=Hipótesis!$D$50,Hipótesis!$B$50=1),IF(Hipótesis!$G$50=1,Hipótesis!$E$44,Hipótesis!$C$50*(1+Hipótesis!$D$45)^2)*(1+Hipótesis!$D$42),0)</f>
        <v>-5280</v>
      </c>
      <c r="AC46" s="109" t="n">
        <f aca="false">-IF(AND(27&gt;=Hipótesis!$D$50,Hipótesis!$B$50=1),IF(Hipótesis!$G$50=1,Hipótesis!$E$44,Hipótesis!$C$50*(1+Hipótesis!$D$45)^2)*(1+Hipótesis!$D$42),0)</f>
        <v>-5280</v>
      </c>
      <c r="AD46" s="109" t="n">
        <f aca="false">-IF(AND(28&gt;=Hipótesis!$D$50,Hipótesis!$B$50=1),IF(Hipótesis!$G$50=1,Hipótesis!$E$44,Hipótesis!$C$50*(1+Hipótesis!$D$45)^2)*(1+Hipótesis!$D$42),0)</f>
        <v>-5280</v>
      </c>
      <c r="AE46" s="109" t="n">
        <f aca="false">-IF(AND(29&gt;=Hipótesis!$D$50,Hipótesis!$B$50=1),IF(Hipótesis!$G$50=1,Hipótesis!$E$44,Hipótesis!$C$50*(1+Hipótesis!$D$45)^2)*(1+Hipótesis!$D$42),0)</f>
        <v>-5280</v>
      </c>
      <c r="AF46" s="109" t="n">
        <f aca="false">-IF(AND(30&gt;=Hipótesis!$D$50,Hipótesis!$B$50=1),IF(Hipótesis!$G$50=1,Hipótesis!$E$44,Hipótesis!$C$50*(1+Hipótesis!$D$45)^2)*(1+Hipótesis!$D$42),0)</f>
        <v>-5280</v>
      </c>
      <c r="AG46" s="109" t="n">
        <f aca="false">-IF(AND(31&gt;=Hipótesis!$D$50,Hipótesis!$B$50=1),IF(Hipótesis!$G$50=1,Hipótesis!$E$44,Hipótesis!$C$50*(1+Hipótesis!$D$45)^2)*(1+Hipótesis!$D$42),0)</f>
        <v>-5280</v>
      </c>
      <c r="AH46" s="109" t="n">
        <f aca="false">-IF(AND(32&gt;=Hipótesis!$D$50,Hipótesis!$B$50=1),IF(Hipótesis!$G$50=1,Hipótesis!$E$44,Hipótesis!$C$50*(1+Hipótesis!$D$45)^2)*(1+Hipótesis!$D$42),0)</f>
        <v>-5280</v>
      </c>
      <c r="AI46" s="109" t="n">
        <f aca="false">-IF(AND(33&gt;=Hipótesis!$D$50,Hipótesis!$B$50=1),IF(Hipótesis!$G$50=1,Hipótesis!$E$44,Hipótesis!$C$50*(1+Hipótesis!$D$45)^2)*(1+Hipótesis!$D$42),0)</f>
        <v>-5280</v>
      </c>
      <c r="AJ46" s="109" t="n">
        <f aca="false">-IF(AND(34&gt;=Hipótesis!$D$50,Hipótesis!$B$50=1),IF(Hipótesis!$G$50=1,Hipótesis!$E$44,Hipótesis!$C$50*(1+Hipótesis!$D$45)^2)*(1+Hipótesis!$D$42),0)</f>
        <v>-5280</v>
      </c>
      <c r="AK46" s="109" t="n">
        <f aca="false">-IF(AND(35&gt;=Hipótesis!$D$50,Hipótesis!$B$50=1),IF(Hipótesis!$G$50=1,Hipótesis!$E$44,Hipótesis!$C$50*(1+Hipótesis!$D$45)^2)*(1+Hipótesis!$D$42),0)</f>
        <v>-5280</v>
      </c>
      <c r="AL46" s="109" t="n">
        <f aca="false">-IF(AND(36&gt;=Hipótesis!$D$50,Hipótesis!$B$50=1),IF(Hipótesis!$G$50=1,Hipótesis!$E$44,Hipótesis!$C$50*(1+Hipótesis!$D$45)^2)*(1+Hipótesis!$D$42),0)</f>
        <v>-5280</v>
      </c>
      <c r="AM46" s="109" t="n">
        <f aca="false">-IF(AND(37&gt;=Hipótesis!$D$50,Hipótesis!$B$50=1),IF(Hipótesis!$G$50=1,Hipótesis!$F$44,Hipótesis!$C$50*(1+Hipótesis!$D$45)^3)*(1+Hipótesis!$D$42),0)</f>
        <v>-5940</v>
      </c>
      <c r="AN46" s="109" t="n">
        <f aca="false">-IF(AND(38&gt;=Hipótesis!$D$50,Hipótesis!$B$50=1),IF(Hipótesis!$G$50=1,Hipótesis!$F$44,Hipótesis!$C$50*(1+Hipótesis!$D$45)^3)*(1+Hipótesis!$D$42),0)</f>
        <v>-5940</v>
      </c>
      <c r="AO46" s="109" t="n">
        <f aca="false">-IF(AND(39&gt;=Hipótesis!$D$50,Hipótesis!$B$50=1),IF(Hipótesis!$G$50=1,Hipótesis!$F$44,Hipótesis!$C$50*(1+Hipótesis!$D$45)^3)*(1+Hipótesis!$D$42),0)</f>
        <v>-5940</v>
      </c>
      <c r="AP46" s="109" t="n">
        <f aca="false">-IF(AND(40&gt;=Hipótesis!$D$50,Hipótesis!$B$50=1),IF(Hipótesis!$G$50=1,Hipótesis!$F$44,Hipótesis!$C$50*(1+Hipótesis!$D$45)^3)*(1+Hipótesis!$D$42),0)</f>
        <v>-5940</v>
      </c>
      <c r="AQ46" s="109" t="n">
        <f aca="false">-IF(AND(41&gt;=Hipótesis!$D$50,Hipótesis!$B$50=1),IF(Hipótesis!$G$50=1,Hipótesis!$F$44,Hipótesis!$C$50*(1+Hipótesis!$D$45)^3)*(1+Hipótesis!$D$42),0)</f>
        <v>-5940</v>
      </c>
      <c r="AR46" s="109" t="n">
        <f aca="false">-IF(AND(42&gt;=Hipótesis!$D$50,Hipótesis!$B$50=1),IF(Hipótesis!$G$50=1,Hipótesis!$F$44,Hipótesis!$C$50*(1+Hipótesis!$D$45)^3)*(1+Hipótesis!$D$42),0)</f>
        <v>-5940</v>
      </c>
      <c r="AS46" s="109" t="n">
        <f aca="false">-IF(AND(43&gt;=Hipótesis!$D$50,Hipótesis!$B$50=1),IF(Hipótesis!$G$50=1,Hipótesis!$F$44,Hipótesis!$C$50*(1+Hipótesis!$D$45)^3)*(1+Hipótesis!$D$42),0)</f>
        <v>-5940</v>
      </c>
      <c r="AT46" s="109" t="n">
        <f aca="false">-IF(AND(44&gt;=Hipótesis!$D$50,Hipótesis!$B$50=1),IF(Hipótesis!$G$50=1,Hipótesis!$F$44,Hipótesis!$C$50*(1+Hipótesis!$D$45)^3)*(1+Hipótesis!$D$42),0)</f>
        <v>-5940</v>
      </c>
      <c r="AU46" s="109" t="n">
        <f aca="false">-IF(AND(45&gt;=Hipótesis!$D$50,Hipótesis!$B$50=1),IF(Hipótesis!$G$50=1,Hipótesis!$F$44,Hipótesis!$C$50*(1+Hipótesis!$D$45)^3)*(1+Hipótesis!$D$42),0)</f>
        <v>-5940</v>
      </c>
      <c r="AV46" s="109" t="n">
        <f aca="false">-IF(AND(46&gt;=Hipótesis!$D$50,Hipótesis!$B$50=1),IF(Hipótesis!$G$50=1,Hipótesis!$F$44,Hipótesis!$C$50*(1+Hipótesis!$D$45)^3)*(1+Hipótesis!$D$42),0)</f>
        <v>-5940</v>
      </c>
      <c r="AW46" s="109" t="n">
        <f aca="false">-IF(AND(47&gt;=Hipótesis!$D$50,Hipótesis!$B$50=1),IF(Hipótesis!$G$50=1,Hipótesis!$F$44,Hipótesis!$C$50*(1+Hipótesis!$D$45)^3)*(1+Hipótesis!$D$42),0)</f>
        <v>-5940</v>
      </c>
      <c r="AX46" s="109" t="n">
        <f aca="false">-IF(AND(48&gt;=Hipótesis!$D$50,Hipótesis!$B$50=1),IF(Hipótesis!$G$50=1,Hipótesis!$F$44,Hipótesis!$C$50*(1+Hipótesis!$D$45)^3)*(1+Hipótesis!$D$42),0)</f>
        <v>-5940</v>
      </c>
      <c r="AY46" s="109" t="n">
        <f aca="false">-IF(AND(49&gt;=Hipótesis!$D$50,Hipótesis!$B$50=1),IF(Hipótesis!$G$50=1,Hipótesis!$G$44,Hipótesis!$C$50*(1+Hipótesis!$D$45)^4)*(1+Hipótesis!$D$42),0)</f>
        <v>-6600</v>
      </c>
      <c r="AZ46" s="109" t="n">
        <f aca="false">-IF(AND(50&gt;=Hipótesis!$D$50,Hipótesis!$B$50=1),IF(Hipótesis!$G$50=1,Hipótesis!$G$44,Hipótesis!$C$50*(1+Hipótesis!$D$45)^4)*(1+Hipótesis!$D$42),0)</f>
        <v>-6600</v>
      </c>
      <c r="BA46" s="109" t="n">
        <f aca="false">-IF(AND(51&gt;=Hipótesis!$D$50,Hipótesis!$B$50=1),IF(Hipótesis!$G$50=1,Hipótesis!$G$44,Hipótesis!$C$50*(1+Hipótesis!$D$45)^4)*(1+Hipótesis!$D$42),0)</f>
        <v>-6600</v>
      </c>
      <c r="BB46" s="109" t="n">
        <f aca="false">-IF(AND(52&gt;=Hipótesis!$D$50,Hipótesis!$B$50=1),IF(Hipótesis!$G$50=1,Hipótesis!$G$44,Hipótesis!$C$50*(1+Hipótesis!$D$45)^4)*(1+Hipótesis!$D$42),0)</f>
        <v>-6600</v>
      </c>
      <c r="BC46" s="109" t="n">
        <f aca="false">-IF(AND(53&gt;=Hipótesis!$D$50,Hipótesis!$B$50=1),IF(Hipótesis!$G$50=1,Hipótesis!$G$44,Hipótesis!$C$50*(1+Hipótesis!$D$45)^4)*(1+Hipótesis!$D$42),0)</f>
        <v>-6600</v>
      </c>
      <c r="BD46" s="109" t="n">
        <f aca="false">-IF(AND(54&gt;=Hipótesis!$D$50,Hipótesis!$B$50=1),IF(Hipótesis!$G$50=1,Hipótesis!$G$44,Hipótesis!$C$50*(1+Hipótesis!$D$45)^4)*(1+Hipótesis!$D$42),0)</f>
        <v>-6600</v>
      </c>
      <c r="BE46" s="109" t="n">
        <f aca="false">-IF(AND(55&gt;=Hipótesis!$D$50,Hipótesis!$B$50=1),IF(Hipótesis!$G$50=1,Hipótesis!$G$44,Hipótesis!$C$50*(1+Hipótesis!$D$45)^4)*(1+Hipótesis!$D$42),0)</f>
        <v>-6600</v>
      </c>
      <c r="BF46" s="109" t="n">
        <f aca="false">-IF(AND(56&gt;=Hipótesis!$D$50,Hipótesis!$B$50=1),IF(Hipótesis!$G$50=1,Hipótesis!$G$44,Hipótesis!$C$50*(1+Hipótesis!$D$45)^4)*(1+Hipótesis!$D$42),0)</f>
        <v>-6600</v>
      </c>
      <c r="BG46" s="109" t="n">
        <f aca="false">-IF(AND(57&gt;=Hipótesis!$D$50,Hipótesis!$B$50=1),IF(Hipótesis!$G$50=1,Hipótesis!$G$44,Hipótesis!$C$50*(1+Hipótesis!$D$45)^4)*(1+Hipótesis!$D$42),0)</f>
        <v>-6600</v>
      </c>
      <c r="BH46" s="109" t="n">
        <f aca="false">-IF(AND(58&gt;=Hipótesis!$D$50,Hipótesis!$B$50=1),IF(Hipótesis!$G$50=1,Hipótesis!$G$44,Hipótesis!$C$50*(1+Hipótesis!$D$45)^4)*(1+Hipótesis!$D$42),0)</f>
        <v>-6600</v>
      </c>
      <c r="BI46" s="109" t="n">
        <f aca="false">-IF(AND(59&gt;=Hipótesis!$D$50,Hipótesis!$B$50=1),IF(Hipótesis!$G$50=1,Hipótesis!$G$44,Hipótesis!$C$50*(1+Hipótesis!$D$45)^4)*(1+Hipótesis!$D$42),0)</f>
        <v>-6600</v>
      </c>
      <c r="BJ46" s="109" t="n">
        <f aca="false">-IF(AND(60&gt;=Hipótesis!$D$50,Hipótesis!$B$50=1),IF(Hipótesis!$G$50=1,Hipótesis!$G$44,Hipótesis!$C$50*(1+Hipótesis!$D$45)^4)*(1+Hipótesis!$D$42),0)</f>
        <v>-6600</v>
      </c>
      <c r="BK46" s="109" t="n">
        <f aca="false">-IF(AND(61&gt;=Hipótesis!$D$50,Hipótesis!$B$50=1),IF(Hipótesis!$G$50=1,Hipótesis!$H$44,Hipótesis!$C$50*(1+Hipótesis!$D$45)^5)*(1+Hipótesis!$D$42),0)</f>
        <v>-7260</v>
      </c>
      <c r="BL46" s="109" t="n">
        <f aca="false">-IF(AND(62&gt;=Hipótesis!$D$50,Hipótesis!$B$50=1),IF(Hipótesis!$G$50=1,Hipótesis!$H$44,Hipótesis!$C$50*(1+Hipótesis!$D$45)^5)*(1+Hipótesis!$D$42),0)</f>
        <v>-7260</v>
      </c>
      <c r="BM46" s="109" t="n">
        <f aca="false">-IF(AND(63&gt;=Hipótesis!$D$50,Hipótesis!$B$50=1),IF(Hipótesis!$G$50=1,Hipótesis!$H$44,Hipótesis!$C$50*(1+Hipótesis!$D$45)^5)*(1+Hipótesis!$D$42),0)</f>
        <v>-7260</v>
      </c>
      <c r="BN46" s="109" t="n">
        <f aca="false">-IF(AND(64&gt;=Hipótesis!$D$50,Hipótesis!$B$50=1),IF(Hipótesis!$G$50=1,Hipótesis!$H$44,Hipótesis!$C$50*(1+Hipótesis!$D$45)^5)*(1+Hipótesis!$D$42),0)</f>
        <v>-7260</v>
      </c>
      <c r="BO46" s="109" t="n">
        <f aca="false">-IF(AND(65&gt;=Hipótesis!$D$50,Hipótesis!$B$50=1),IF(Hipótesis!$G$50=1,Hipótesis!$H$44,Hipótesis!$C$50*(1+Hipótesis!$D$45)^5)*(1+Hipótesis!$D$42),0)</f>
        <v>-7260</v>
      </c>
      <c r="BP46" s="109" t="n">
        <f aca="false">-IF(AND(66&gt;=Hipótesis!$D$50,Hipótesis!$B$50=1),IF(Hipótesis!$G$50=1,Hipótesis!$H$44,Hipótesis!$C$50*(1+Hipótesis!$D$45)^5)*(1+Hipótesis!$D$42),0)</f>
        <v>-7260</v>
      </c>
      <c r="BQ46" s="109" t="n">
        <f aca="false">-IF(AND(67&gt;=Hipótesis!$D$50,Hipótesis!$B$50=1),IF(Hipótesis!$G$50=1,Hipótesis!$H$44,Hipótesis!$C$50*(1+Hipótesis!$D$45)^5)*(1+Hipótesis!$D$42),0)</f>
        <v>-7260</v>
      </c>
      <c r="BR46" s="109" t="n">
        <f aca="false">-IF(AND(68&gt;=Hipótesis!$D$50,Hipótesis!$B$50=1),IF(Hipótesis!$G$50=1,Hipótesis!$H$44,Hipótesis!$C$50*(1+Hipótesis!$D$45)^5)*(1+Hipótesis!$D$42),0)</f>
        <v>-7260</v>
      </c>
      <c r="BS46" s="109" t="n">
        <f aca="false">-IF(AND(69&gt;=Hipótesis!$D$50,Hipótesis!$B$50=1),IF(Hipótesis!$G$50=1,Hipótesis!$H$44,Hipótesis!$C$50*(1+Hipótesis!$D$45)^5)*(1+Hipótesis!$D$42),0)</f>
        <v>-7260</v>
      </c>
      <c r="BT46" s="109" t="n">
        <f aca="false">-IF(AND(70&gt;=Hipótesis!$D$50,Hipótesis!$B$50=1),IF(Hipótesis!$G$50=1,Hipótesis!$H$44,Hipótesis!$C$50*(1+Hipótesis!$D$45)^5)*(1+Hipótesis!$D$42),0)</f>
        <v>-7260</v>
      </c>
      <c r="BU46" s="109" t="n">
        <f aca="false">-IF(AND(71&gt;=Hipótesis!$D$50,Hipótesis!$B$50=1),IF(Hipótesis!$G$50=1,Hipótesis!$H$44,Hipótesis!$C$50*(1+Hipótesis!$D$45)^5)*(1+Hipótesis!$D$42),0)</f>
        <v>-7260</v>
      </c>
      <c r="BV46" s="109" t="n">
        <f aca="false">-IF(AND(72&gt;=Hipótesis!$D$50,Hipótesis!$B$50=1),IF(Hipótesis!$G$50=1,Hipótesis!$H$44,Hipótesis!$C$50*(1+Hipótesis!$D$45)^5)*(1+Hipótesis!$D$42),0)</f>
        <v>-7260</v>
      </c>
      <c r="BW46" s="109" t="n">
        <f aca="false">-IF(AND(73&gt;=Hipótesis!$D$50,Hipótesis!$B$50=1),IF(Hipótesis!$G$50=1,Hipótesis!$I$44,Hipótesis!$C$50*(1+Hipótesis!$D$45)^6)*(1+Hipótesis!$D$42),0)</f>
        <v>-7920</v>
      </c>
      <c r="BX46" s="109" t="n">
        <f aca="false">-IF(AND(74&gt;=Hipótesis!$D$50,Hipótesis!$B$50=1),IF(Hipótesis!$G$50=1,Hipótesis!$I$44,Hipótesis!$C$50*(1+Hipótesis!$D$45)^6)*(1+Hipótesis!$D$42),0)</f>
        <v>-7920</v>
      </c>
      <c r="BY46" s="109" t="n">
        <f aca="false">-IF(AND(75&gt;=Hipótesis!$D$50,Hipótesis!$B$50=1),IF(Hipótesis!$G$50=1,Hipótesis!$I$44,Hipótesis!$C$50*(1+Hipótesis!$D$45)^6)*(1+Hipótesis!$D$42),0)</f>
        <v>-7920</v>
      </c>
      <c r="BZ46" s="109" t="n">
        <f aca="false">-IF(AND(76&gt;=Hipótesis!$D$50,Hipótesis!$B$50=1),IF(Hipótesis!$G$50=1,Hipótesis!$I$44,Hipótesis!$C$50*(1+Hipótesis!$D$45)^6)*(1+Hipótesis!$D$42),0)</f>
        <v>-7920</v>
      </c>
      <c r="CA46" s="109" t="n">
        <f aca="false">-IF(AND(77&gt;=Hipótesis!$D$50,Hipótesis!$B$50=1),IF(Hipótesis!$G$50=1,Hipótesis!$I$44,Hipótesis!$C$50*(1+Hipótesis!$D$45)^6)*(1+Hipótesis!$D$42),0)</f>
        <v>-7920</v>
      </c>
      <c r="CB46" s="109" t="n">
        <f aca="false">-IF(AND(78&gt;=Hipótesis!$D$50,Hipótesis!$B$50=1),IF(Hipótesis!$G$50=1,Hipótesis!$I$44,Hipótesis!$C$50*(1+Hipótesis!$D$45)^6)*(1+Hipótesis!$D$42),0)</f>
        <v>-7920</v>
      </c>
      <c r="CC46" s="109" t="n">
        <f aca="false">-IF(AND(79&gt;=Hipótesis!$D$50,Hipótesis!$B$50=1),IF(Hipótesis!$G$50=1,Hipótesis!$I$44,Hipótesis!$C$50*(1+Hipótesis!$D$45)^6)*(1+Hipótesis!$D$42),0)</f>
        <v>-7920</v>
      </c>
      <c r="CD46" s="109" t="n">
        <f aca="false">-IF(AND(80&gt;=Hipótesis!$D$50,Hipótesis!$B$50=1),IF(Hipótesis!$G$50=1,Hipótesis!$I$44,Hipótesis!$C$50*(1+Hipótesis!$D$45)^6)*(1+Hipótesis!$D$42),0)</f>
        <v>-7920</v>
      </c>
      <c r="CE46" s="109" t="n">
        <f aca="false">-IF(AND(81&gt;=Hipótesis!$D$50,Hipótesis!$B$50=1),IF(Hipótesis!$G$50=1,Hipótesis!$I$44,Hipótesis!$C$50*(1+Hipótesis!$D$45)^6)*(1+Hipótesis!$D$42),0)</f>
        <v>-7920</v>
      </c>
      <c r="CF46" s="109" t="n">
        <f aca="false">-IF(AND(82&gt;=Hipótesis!$D$50,Hipótesis!$B$50=1),IF(Hipótesis!$G$50=1,Hipótesis!$I$44,Hipótesis!$C$50*(1+Hipótesis!$D$45)^6)*(1+Hipótesis!$D$42),0)</f>
        <v>-7920</v>
      </c>
      <c r="CG46" s="109" t="n">
        <f aca="false">-IF(AND(83&gt;=Hipótesis!$D$50,Hipótesis!$B$50=1),IF(Hipótesis!$G$50=1,Hipótesis!$I$44,Hipótesis!$C$50*(1+Hipótesis!$D$45)^6)*(1+Hipótesis!$D$42),0)</f>
        <v>-7920</v>
      </c>
      <c r="CH46" s="109" t="n">
        <f aca="false">-IF(AND(84&gt;=Hipótesis!$D$50,Hipótesis!$B$50=1),IF(Hipótesis!$G$50=1,Hipótesis!$I$44,Hipótesis!$C$50*(1+Hipótesis!$D$45)^6)*(1+Hipótesis!$D$42),0)</f>
        <v>-7920</v>
      </c>
    </row>
    <row r="47" customFormat="false" ht="13.5" hidden="false" customHeight="true" outlineLevel="0" collapsed="false">
      <c r="A47" s="6" t="s">
        <v>552</v>
      </c>
      <c r="C47" s="109" t="n">
        <f aca="false">-IF(AND(1&gt;=Hipótesis!$D$51,Hipótesis!$B$51=1),IF(Hipótesis!$G$51=1,Hipótesis!$C$44,Hipótesis!$C$51*(1+Hipótesis!$D$45)^0)*(1+Hipótesis!$D$42),0)</f>
        <v>-2640</v>
      </c>
      <c r="D47" s="109" t="n">
        <f aca="false">-IF(AND(2&gt;=Hipótesis!$D$51,Hipótesis!$B$51=1),IF(Hipótesis!$G$51=1,Hipótesis!$C$44,Hipótesis!$C$51*(1+Hipótesis!$D$45)^0)*(1+Hipótesis!$D$42),0)</f>
        <v>-2640</v>
      </c>
      <c r="E47" s="109" t="n">
        <f aca="false">-IF(AND(3&gt;=Hipótesis!$D$51,Hipótesis!$B$51=1),IF(Hipótesis!$G$51=1,Hipótesis!$C$44,Hipótesis!$C$51*(1+Hipótesis!$D$45)^0)*(1+Hipótesis!$D$42),0)</f>
        <v>-2640</v>
      </c>
      <c r="F47" s="109" t="n">
        <f aca="false">-IF(AND(4&gt;=Hipótesis!$D$51,Hipótesis!$B$51=1),IF(Hipótesis!$G$51=1,Hipótesis!$C$44,Hipótesis!$C$51*(1+Hipótesis!$D$45)^0)*(1+Hipótesis!$D$42),0)</f>
        <v>-2640</v>
      </c>
      <c r="G47" s="109" t="n">
        <f aca="false">-IF(AND(5&gt;=Hipótesis!$D$51,Hipótesis!$B$51=1),IF(Hipótesis!$G$51=1,Hipótesis!$C$44,Hipótesis!$C$51*(1+Hipótesis!$D$45)^0)*(1+Hipótesis!$D$42),0)</f>
        <v>-2640</v>
      </c>
      <c r="H47" s="109" t="n">
        <f aca="false">-IF(AND(6&gt;=Hipótesis!$D$51,Hipótesis!$B$51=1),IF(Hipótesis!$G$51=1,Hipótesis!$C$44,Hipótesis!$C$51*(1+Hipótesis!$D$45)^0)*(1+Hipótesis!$D$42),0)</f>
        <v>-2640</v>
      </c>
      <c r="I47" s="109" t="n">
        <f aca="false">-IF(AND(7&gt;=Hipótesis!$D$51,Hipótesis!$B$51=1),IF(Hipótesis!$G$51=1,Hipótesis!$C$44,Hipótesis!$C$51*(1+Hipótesis!$D$45)^0)*(1+Hipótesis!$D$42),0)</f>
        <v>-2640</v>
      </c>
      <c r="J47" s="109" t="n">
        <f aca="false">-IF(AND(8&gt;=Hipótesis!$D$51,Hipótesis!$B$51=1),IF(Hipótesis!$G$51=1,Hipótesis!$C$44,Hipótesis!$C$51*(1+Hipótesis!$D$45)^0)*(1+Hipótesis!$D$42),0)</f>
        <v>-2640</v>
      </c>
      <c r="K47" s="109" t="n">
        <f aca="false">-IF(AND(9&gt;=Hipótesis!$D$51,Hipótesis!$B$51=1),IF(Hipótesis!$G$51=1,Hipótesis!$C$44,Hipótesis!$C$51*(1+Hipótesis!$D$45)^0)*(1+Hipótesis!$D$42),0)</f>
        <v>-2640</v>
      </c>
      <c r="L47" s="109" t="n">
        <f aca="false">-IF(AND(10&gt;=Hipótesis!$D$51,Hipótesis!$B$51=1),IF(Hipótesis!$G$51=1,Hipótesis!$C$44,Hipótesis!$C$51*(1+Hipótesis!$D$45)^0)*(1+Hipótesis!$D$42),0)</f>
        <v>-2640</v>
      </c>
      <c r="M47" s="109" t="n">
        <f aca="false">-IF(AND(11&gt;=Hipótesis!$D$51,Hipótesis!$B$51=1),IF(Hipótesis!$G$51=1,Hipótesis!$C$44,Hipótesis!$C$51*(1+Hipótesis!$D$45)^0)*(1+Hipótesis!$D$42),0)</f>
        <v>-2640</v>
      </c>
      <c r="N47" s="109" t="n">
        <f aca="false">-IF(AND(12&gt;=Hipótesis!$D$51,Hipótesis!$B$51=1),IF(Hipótesis!$G$51=1,Hipótesis!$C$44,Hipótesis!$C$51*(1+Hipótesis!$D$45)^0)*(1+Hipótesis!$D$42),0)</f>
        <v>-2640</v>
      </c>
      <c r="O47" s="109" t="n">
        <f aca="false">-IF(AND(13&gt;=Hipótesis!$D$51,Hipótesis!$B$51=1),IF(Hipótesis!$G$51=1,Hipótesis!$D$44,Hipótesis!$C$51*(1+Hipótesis!$D$45)^1)*(1+Hipótesis!$D$42),0)</f>
        <v>-2719.2</v>
      </c>
      <c r="P47" s="109" t="n">
        <f aca="false">-IF(AND(14&gt;=Hipótesis!$D$51,Hipótesis!$B$51=1),IF(Hipótesis!$G$51=1,Hipótesis!$D$44,Hipótesis!$C$51*(1+Hipótesis!$D$45)^1)*(1+Hipótesis!$D$42),0)</f>
        <v>-2719.2</v>
      </c>
      <c r="Q47" s="109" t="n">
        <f aca="false">-IF(AND(15&gt;=Hipótesis!$D$51,Hipótesis!$B$51=1),IF(Hipótesis!$G$51=1,Hipótesis!$D$44,Hipótesis!$C$51*(1+Hipótesis!$D$45)^1)*(1+Hipótesis!$D$42),0)</f>
        <v>-2719.2</v>
      </c>
      <c r="R47" s="109" t="n">
        <f aca="false">-IF(AND(16&gt;=Hipótesis!$D$51,Hipótesis!$B$51=1),IF(Hipótesis!$G$51=1,Hipótesis!$D$44,Hipótesis!$C$51*(1+Hipótesis!$D$45)^1)*(1+Hipótesis!$D$42),0)</f>
        <v>-2719.2</v>
      </c>
      <c r="S47" s="109" t="n">
        <f aca="false">-IF(AND(17&gt;=Hipótesis!$D$51,Hipótesis!$B$51=1),IF(Hipótesis!$G$51=1,Hipótesis!$D$44,Hipótesis!$C$51*(1+Hipótesis!$D$45)^1)*(1+Hipótesis!$D$42),0)</f>
        <v>-2719.2</v>
      </c>
      <c r="T47" s="109" t="n">
        <f aca="false">-IF(AND(18&gt;=Hipótesis!$D$51,Hipótesis!$B$51=1),IF(Hipótesis!$G$51=1,Hipótesis!$D$44,Hipótesis!$C$51*(1+Hipótesis!$D$45)^1)*(1+Hipótesis!$D$42),0)</f>
        <v>-2719.2</v>
      </c>
      <c r="U47" s="109" t="n">
        <f aca="false">-IF(AND(19&gt;=Hipótesis!$D$51,Hipótesis!$B$51=1),IF(Hipótesis!$G$51=1,Hipótesis!$D$44,Hipótesis!$C$51*(1+Hipótesis!$D$45)^1)*(1+Hipótesis!$D$42),0)</f>
        <v>-2719.2</v>
      </c>
      <c r="V47" s="109" t="n">
        <f aca="false">-IF(AND(20&gt;=Hipótesis!$D$51,Hipótesis!$B$51=1),IF(Hipótesis!$G$51=1,Hipótesis!$D$44,Hipótesis!$C$51*(1+Hipótesis!$D$45)^1)*(1+Hipótesis!$D$42),0)</f>
        <v>-2719.2</v>
      </c>
      <c r="W47" s="109" t="n">
        <f aca="false">-IF(AND(21&gt;=Hipótesis!$D$51,Hipótesis!$B$51=1),IF(Hipótesis!$G$51=1,Hipótesis!$D$44,Hipótesis!$C$51*(1+Hipótesis!$D$45)^1)*(1+Hipótesis!$D$42),0)</f>
        <v>-2719.2</v>
      </c>
      <c r="X47" s="109" t="n">
        <f aca="false">-IF(AND(22&gt;=Hipótesis!$D$51,Hipótesis!$B$51=1),IF(Hipótesis!$G$51=1,Hipótesis!$D$44,Hipótesis!$C$51*(1+Hipótesis!$D$45)^1)*(1+Hipótesis!$D$42),0)</f>
        <v>-2719.2</v>
      </c>
      <c r="Y47" s="109" t="n">
        <f aca="false">-IF(AND(23&gt;=Hipótesis!$D$51,Hipótesis!$B$51=1),IF(Hipótesis!$G$51=1,Hipótesis!$D$44,Hipótesis!$C$51*(1+Hipótesis!$D$45)^1)*(1+Hipótesis!$D$42),0)</f>
        <v>-2719.2</v>
      </c>
      <c r="Z47" s="109" t="n">
        <f aca="false">-IF(AND(24&gt;=Hipótesis!$D$51,Hipótesis!$B$51=1),IF(Hipótesis!$G$51=1,Hipótesis!$D$44,Hipótesis!$C$51*(1+Hipótesis!$D$45)^1)*(1+Hipótesis!$D$42),0)</f>
        <v>-2719.2</v>
      </c>
      <c r="AA47" s="109" t="n">
        <f aca="false">-IF(AND(25&gt;=Hipótesis!$D$51,Hipótesis!$B$51=1),IF(Hipótesis!$G$51=1,Hipótesis!$E$44,Hipótesis!$C$51*(1+Hipótesis!$D$45)^2)*(1+Hipótesis!$D$42),0)</f>
        <v>-2800.776</v>
      </c>
      <c r="AB47" s="109" t="n">
        <f aca="false">-IF(AND(26&gt;=Hipótesis!$D$51,Hipótesis!$B$51=1),IF(Hipótesis!$G$51=1,Hipótesis!$E$44,Hipótesis!$C$51*(1+Hipótesis!$D$45)^2)*(1+Hipótesis!$D$42),0)</f>
        <v>-2800.776</v>
      </c>
      <c r="AC47" s="109" t="n">
        <f aca="false">-IF(AND(27&gt;=Hipótesis!$D$51,Hipótesis!$B$51=1),IF(Hipótesis!$G$51=1,Hipótesis!$E$44,Hipótesis!$C$51*(1+Hipótesis!$D$45)^2)*(1+Hipótesis!$D$42),0)</f>
        <v>-2800.776</v>
      </c>
      <c r="AD47" s="109" t="n">
        <f aca="false">-IF(AND(28&gt;=Hipótesis!$D$51,Hipótesis!$B$51=1),IF(Hipótesis!$G$51=1,Hipótesis!$E$44,Hipótesis!$C$51*(1+Hipótesis!$D$45)^2)*(1+Hipótesis!$D$42),0)</f>
        <v>-2800.776</v>
      </c>
      <c r="AE47" s="109" t="n">
        <f aca="false">-IF(AND(29&gt;=Hipótesis!$D$51,Hipótesis!$B$51=1),IF(Hipótesis!$G$51=1,Hipótesis!$E$44,Hipótesis!$C$51*(1+Hipótesis!$D$45)^2)*(1+Hipótesis!$D$42),0)</f>
        <v>-2800.776</v>
      </c>
      <c r="AF47" s="109" t="n">
        <f aca="false">-IF(AND(30&gt;=Hipótesis!$D$51,Hipótesis!$B$51=1),IF(Hipótesis!$G$51=1,Hipótesis!$E$44,Hipótesis!$C$51*(1+Hipótesis!$D$45)^2)*(1+Hipótesis!$D$42),0)</f>
        <v>-2800.776</v>
      </c>
      <c r="AG47" s="109" t="n">
        <f aca="false">-IF(AND(31&gt;=Hipótesis!$D$51,Hipótesis!$B$51=1),IF(Hipótesis!$G$51=1,Hipótesis!$E$44,Hipótesis!$C$51*(1+Hipótesis!$D$45)^2)*(1+Hipótesis!$D$42),0)</f>
        <v>-2800.776</v>
      </c>
      <c r="AH47" s="109" t="n">
        <f aca="false">-IF(AND(32&gt;=Hipótesis!$D$51,Hipótesis!$B$51=1),IF(Hipótesis!$G$51=1,Hipótesis!$E$44,Hipótesis!$C$51*(1+Hipótesis!$D$45)^2)*(1+Hipótesis!$D$42),0)</f>
        <v>-2800.776</v>
      </c>
      <c r="AI47" s="109" t="n">
        <f aca="false">-IF(AND(33&gt;=Hipótesis!$D$51,Hipótesis!$B$51=1),IF(Hipótesis!$G$51=1,Hipótesis!$E$44,Hipótesis!$C$51*(1+Hipótesis!$D$45)^2)*(1+Hipótesis!$D$42),0)</f>
        <v>-2800.776</v>
      </c>
      <c r="AJ47" s="109" t="n">
        <f aca="false">-IF(AND(34&gt;=Hipótesis!$D$51,Hipótesis!$B$51=1),IF(Hipótesis!$G$51=1,Hipótesis!$E$44,Hipótesis!$C$51*(1+Hipótesis!$D$45)^2)*(1+Hipótesis!$D$42),0)</f>
        <v>-2800.776</v>
      </c>
      <c r="AK47" s="109" t="n">
        <f aca="false">-IF(AND(35&gt;=Hipótesis!$D$51,Hipótesis!$B$51=1),IF(Hipótesis!$G$51=1,Hipótesis!$E$44,Hipótesis!$C$51*(1+Hipótesis!$D$45)^2)*(1+Hipótesis!$D$42),0)</f>
        <v>-2800.776</v>
      </c>
      <c r="AL47" s="109" t="n">
        <f aca="false">-IF(AND(36&gt;=Hipótesis!$D$51,Hipótesis!$B$51=1),IF(Hipótesis!$G$51=1,Hipótesis!$E$44,Hipótesis!$C$51*(1+Hipótesis!$D$45)^2)*(1+Hipótesis!$D$42),0)</f>
        <v>-2800.776</v>
      </c>
      <c r="AM47" s="109" t="n">
        <f aca="false">-IF(AND(37&gt;=Hipótesis!$D$51,Hipótesis!$B$51=1),IF(Hipótesis!$G$51=1,Hipótesis!$F$44,Hipótesis!$C$51*(1+Hipótesis!$D$45)^3)*(1+Hipótesis!$D$42),0)</f>
        <v>-2884.79928</v>
      </c>
      <c r="AN47" s="109" t="n">
        <f aca="false">-IF(AND(38&gt;=Hipótesis!$D$51,Hipótesis!$B$51=1),IF(Hipótesis!$G$51=1,Hipótesis!$F$44,Hipótesis!$C$51*(1+Hipótesis!$D$45)^3)*(1+Hipótesis!$D$42),0)</f>
        <v>-2884.79928</v>
      </c>
      <c r="AO47" s="109" t="n">
        <f aca="false">-IF(AND(39&gt;=Hipótesis!$D$51,Hipótesis!$B$51=1),IF(Hipótesis!$G$51=1,Hipótesis!$F$44,Hipótesis!$C$51*(1+Hipótesis!$D$45)^3)*(1+Hipótesis!$D$42),0)</f>
        <v>-2884.79928</v>
      </c>
      <c r="AP47" s="109" t="n">
        <f aca="false">-IF(AND(40&gt;=Hipótesis!$D$51,Hipótesis!$B$51=1),IF(Hipótesis!$G$51=1,Hipótesis!$F$44,Hipótesis!$C$51*(1+Hipótesis!$D$45)^3)*(1+Hipótesis!$D$42),0)</f>
        <v>-2884.79928</v>
      </c>
      <c r="AQ47" s="109" t="n">
        <f aca="false">-IF(AND(41&gt;=Hipótesis!$D$51,Hipótesis!$B$51=1),IF(Hipótesis!$G$51=1,Hipótesis!$F$44,Hipótesis!$C$51*(1+Hipótesis!$D$45)^3)*(1+Hipótesis!$D$42),0)</f>
        <v>-2884.79928</v>
      </c>
      <c r="AR47" s="109" t="n">
        <f aca="false">-IF(AND(42&gt;=Hipótesis!$D$51,Hipótesis!$B$51=1),IF(Hipótesis!$G$51=1,Hipótesis!$F$44,Hipótesis!$C$51*(1+Hipótesis!$D$45)^3)*(1+Hipótesis!$D$42),0)</f>
        <v>-2884.79928</v>
      </c>
      <c r="AS47" s="109" t="n">
        <f aca="false">-IF(AND(43&gt;=Hipótesis!$D$51,Hipótesis!$B$51=1),IF(Hipótesis!$G$51=1,Hipótesis!$F$44,Hipótesis!$C$51*(1+Hipótesis!$D$45)^3)*(1+Hipótesis!$D$42),0)</f>
        <v>-2884.79928</v>
      </c>
      <c r="AT47" s="109" t="n">
        <f aca="false">-IF(AND(44&gt;=Hipótesis!$D$51,Hipótesis!$B$51=1),IF(Hipótesis!$G$51=1,Hipótesis!$F$44,Hipótesis!$C$51*(1+Hipótesis!$D$45)^3)*(1+Hipótesis!$D$42),0)</f>
        <v>-2884.79928</v>
      </c>
      <c r="AU47" s="109" t="n">
        <f aca="false">-IF(AND(45&gt;=Hipótesis!$D$51,Hipótesis!$B$51=1),IF(Hipótesis!$G$51=1,Hipótesis!$F$44,Hipótesis!$C$51*(1+Hipótesis!$D$45)^3)*(1+Hipótesis!$D$42),0)</f>
        <v>-2884.79928</v>
      </c>
      <c r="AV47" s="109" t="n">
        <f aca="false">-IF(AND(46&gt;=Hipótesis!$D$51,Hipótesis!$B$51=1),IF(Hipótesis!$G$51=1,Hipótesis!$F$44,Hipótesis!$C$51*(1+Hipótesis!$D$45)^3)*(1+Hipótesis!$D$42),0)</f>
        <v>-2884.79928</v>
      </c>
      <c r="AW47" s="109" t="n">
        <f aca="false">-IF(AND(47&gt;=Hipótesis!$D$51,Hipótesis!$B$51=1),IF(Hipótesis!$G$51=1,Hipótesis!$F$44,Hipótesis!$C$51*(1+Hipótesis!$D$45)^3)*(1+Hipótesis!$D$42),0)</f>
        <v>-2884.79928</v>
      </c>
      <c r="AX47" s="109" t="n">
        <f aca="false">-IF(AND(48&gt;=Hipótesis!$D$51,Hipótesis!$B$51=1),IF(Hipótesis!$G$51=1,Hipótesis!$F$44,Hipótesis!$C$51*(1+Hipótesis!$D$45)^3)*(1+Hipótesis!$D$42),0)</f>
        <v>-2884.79928</v>
      </c>
      <c r="AY47" s="109" t="n">
        <f aca="false">-IF(AND(49&gt;=Hipótesis!$D$51,Hipótesis!$B$51=1),IF(Hipótesis!$G$51=1,Hipótesis!$G$44,Hipótesis!$C$51*(1+Hipótesis!$D$45)^4)*(1+Hipótesis!$D$42),0)</f>
        <v>-2971.3432584</v>
      </c>
      <c r="AZ47" s="109" t="n">
        <f aca="false">-IF(AND(50&gt;=Hipótesis!$D$51,Hipótesis!$B$51=1),IF(Hipótesis!$G$51=1,Hipótesis!$G$44,Hipótesis!$C$51*(1+Hipótesis!$D$45)^4)*(1+Hipótesis!$D$42),0)</f>
        <v>-2971.3432584</v>
      </c>
      <c r="BA47" s="109" t="n">
        <f aca="false">-IF(AND(51&gt;=Hipótesis!$D$51,Hipótesis!$B$51=1),IF(Hipótesis!$G$51=1,Hipótesis!$G$44,Hipótesis!$C$51*(1+Hipótesis!$D$45)^4)*(1+Hipótesis!$D$42),0)</f>
        <v>-2971.3432584</v>
      </c>
      <c r="BB47" s="109" t="n">
        <f aca="false">-IF(AND(52&gt;=Hipótesis!$D$51,Hipótesis!$B$51=1),IF(Hipótesis!$G$51=1,Hipótesis!$G$44,Hipótesis!$C$51*(1+Hipótesis!$D$45)^4)*(1+Hipótesis!$D$42),0)</f>
        <v>-2971.3432584</v>
      </c>
      <c r="BC47" s="109" t="n">
        <f aca="false">-IF(AND(53&gt;=Hipótesis!$D$51,Hipótesis!$B$51=1),IF(Hipótesis!$G$51=1,Hipótesis!$G$44,Hipótesis!$C$51*(1+Hipótesis!$D$45)^4)*(1+Hipótesis!$D$42),0)</f>
        <v>-2971.3432584</v>
      </c>
      <c r="BD47" s="109" t="n">
        <f aca="false">-IF(AND(54&gt;=Hipótesis!$D$51,Hipótesis!$B$51=1),IF(Hipótesis!$G$51=1,Hipótesis!$G$44,Hipótesis!$C$51*(1+Hipótesis!$D$45)^4)*(1+Hipótesis!$D$42),0)</f>
        <v>-2971.3432584</v>
      </c>
      <c r="BE47" s="109" t="n">
        <f aca="false">-IF(AND(55&gt;=Hipótesis!$D$51,Hipótesis!$B$51=1),IF(Hipótesis!$G$51=1,Hipótesis!$G$44,Hipótesis!$C$51*(1+Hipótesis!$D$45)^4)*(1+Hipótesis!$D$42),0)</f>
        <v>-2971.3432584</v>
      </c>
      <c r="BF47" s="109" t="n">
        <f aca="false">-IF(AND(56&gt;=Hipótesis!$D$51,Hipótesis!$B$51=1),IF(Hipótesis!$G$51=1,Hipótesis!$G$44,Hipótesis!$C$51*(1+Hipótesis!$D$45)^4)*(1+Hipótesis!$D$42),0)</f>
        <v>-2971.3432584</v>
      </c>
      <c r="BG47" s="109" t="n">
        <f aca="false">-IF(AND(57&gt;=Hipótesis!$D$51,Hipótesis!$B$51=1),IF(Hipótesis!$G$51=1,Hipótesis!$G$44,Hipótesis!$C$51*(1+Hipótesis!$D$45)^4)*(1+Hipótesis!$D$42),0)</f>
        <v>-2971.3432584</v>
      </c>
      <c r="BH47" s="109" t="n">
        <f aca="false">-IF(AND(58&gt;=Hipótesis!$D$51,Hipótesis!$B$51=1),IF(Hipótesis!$G$51=1,Hipótesis!$G$44,Hipótesis!$C$51*(1+Hipótesis!$D$45)^4)*(1+Hipótesis!$D$42),0)</f>
        <v>-2971.3432584</v>
      </c>
      <c r="BI47" s="109" t="n">
        <f aca="false">-IF(AND(59&gt;=Hipótesis!$D$51,Hipótesis!$B$51=1),IF(Hipótesis!$G$51=1,Hipótesis!$G$44,Hipótesis!$C$51*(1+Hipótesis!$D$45)^4)*(1+Hipótesis!$D$42),0)</f>
        <v>-2971.3432584</v>
      </c>
      <c r="BJ47" s="109" t="n">
        <f aca="false">-IF(AND(60&gt;=Hipótesis!$D$51,Hipótesis!$B$51=1),IF(Hipótesis!$G$51=1,Hipótesis!$G$44,Hipótesis!$C$51*(1+Hipótesis!$D$45)^4)*(1+Hipótesis!$D$42),0)</f>
        <v>-2971.3432584</v>
      </c>
      <c r="BK47" s="109" t="n">
        <f aca="false">-IF(AND(61&gt;=Hipótesis!$D$51,Hipótesis!$B$51=1),IF(Hipótesis!$G$51=1,Hipótesis!$H$44,Hipótesis!$C$51*(1+Hipótesis!$D$45)^5)*(1+Hipótesis!$D$42),0)</f>
        <v>-3060.483556152</v>
      </c>
      <c r="BL47" s="109" t="n">
        <f aca="false">-IF(AND(62&gt;=Hipótesis!$D$51,Hipótesis!$B$51=1),IF(Hipótesis!$G$51=1,Hipótesis!$H$44,Hipótesis!$C$51*(1+Hipótesis!$D$45)^5)*(1+Hipótesis!$D$42),0)</f>
        <v>-3060.483556152</v>
      </c>
      <c r="BM47" s="109" t="n">
        <f aca="false">-IF(AND(63&gt;=Hipótesis!$D$51,Hipótesis!$B$51=1),IF(Hipótesis!$G$51=1,Hipótesis!$H$44,Hipótesis!$C$51*(1+Hipótesis!$D$45)^5)*(1+Hipótesis!$D$42),0)</f>
        <v>-3060.483556152</v>
      </c>
      <c r="BN47" s="109" t="n">
        <f aca="false">-IF(AND(64&gt;=Hipótesis!$D$51,Hipótesis!$B$51=1),IF(Hipótesis!$G$51=1,Hipótesis!$H$44,Hipótesis!$C$51*(1+Hipótesis!$D$45)^5)*(1+Hipótesis!$D$42),0)</f>
        <v>-3060.483556152</v>
      </c>
      <c r="BO47" s="109" t="n">
        <f aca="false">-IF(AND(65&gt;=Hipótesis!$D$51,Hipótesis!$B$51=1),IF(Hipótesis!$G$51=1,Hipótesis!$H$44,Hipótesis!$C$51*(1+Hipótesis!$D$45)^5)*(1+Hipótesis!$D$42),0)</f>
        <v>-3060.483556152</v>
      </c>
      <c r="BP47" s="109" t="n">
        <f aca="false">-IF(AND(66&gt;=Hipótesis!$D$51,Hipótesis!$B$51=1),IF(Hipótesis!$G$51=1,Hipótesis!$H$44,Hipótesis!$C$51*(1+Hipótesis!$D$45)^5)*(1+Hipótesis!$D$42),0)</f>
        <v>-3060.483556152</v>
      </c>
      <c r="BQ47" s="109" t="n">
        <f aca="false">-IF(AND(67&gt;=Hipótesis!$D$51,Hipótesis!$B$51=1),IF(Hipótesis!$G$51=1,Hipótesis!$H$44,Hipótesis!$C$51*(1+Hipótesis!$D$45)^5)*(1+Hipótesis!$D$42),0)</f>
        <v>-3060.483556152</v>
      </c>
      <c r="BR47" s="109" t="n">
        <f aca="false">-IF(AND(68&gt;=Hipótesis!$D$51,Hipótesis!$B$51=1),IF(Hipótesis!$G$51=1,Hipótesis!$H$44,Hipótesis!$C$51*(1+Hipótesis!$D$45)^5)*(1+Hipótesis!$D$42),0)</f>
        <v>-3060.483556152</v>
      </c>
      <c r="BS47" s="109" t="n">
        <f aca="false">-IF(AND(69&gt;=Hipótesis!$D$51,Hipótesis!$B$51=1),IF(Hipótesis!$G$51=1,Hipótesis!$H$44,Hipótesis!$C$51*(1+Hipótesis!$D$45)^5)*(1+Hipótesis!$D$42),0)</f>
        <v>-3060.483556152</v>
      </c>
      <c r="BT47" s="109" t="n">
        <f aca="false">-IF(AND(70&gt;=Hipótesis!$D$51,Hipótesis!$B$51=1),IF(Hipótesis!$G$51=1,Hipótesis!$H$44,Hipótesis!$C$51*(1+Hipótesis!$D$45)^5)*(1+Hipótesis!$D$42),0)</f>
        <v>-3060.483556152</v>
      </c>
      <c r="BU47" s="109" t="n">
        <f aca="false">-IF(AND(71&gt;=Hipótesis!$D$51,Hipótesis!$B$51=1),IF(Hipótesis!$G$51=1,Hipótesis!$H$44,Hipótesis!$C$51*(1+Hipótesis!$D$45)^5)*(1+Hipótesis!$D$42),0)</f>
        <v>-3060.483556152</v>
      </c>
      <c r="BV47" s="109" t="n">
        <f aca="false">-IF(AND(72&gt;=Hipótesis!$D$51,Hipótesis!$B$51=1),IF(Hipótesis!$G$51=1,Hipótesis!$H$44,Hipótesis!$C$51*(1+Hipótesis!$D$45)^5)*(1+Hipótesis!$D$42),0)</f>
        <v>-3060.483556152</v>
      </c>
      <c r="BW47" s="109" t="n">
        <f aca="false">-IF(AND(73&gt;=Hipótesis!$D$51,Hipótesis!$B$51=1),IF(Hipótesis!$G$51=1,Hipótesis!$I$44,Hipótesis!$C$51*(1+Hipótesis!$D$45)^6)*(1+Hipótesis!$D$42),0)</f>
        <v>-3152.29806283656</v>
      </c>
      <c r="BX47" s="109" t="n">
        <f aca="false">-IF(AND(74&gt;=Hipótesis!$D$51,Hipótesis!$B$51=1),IF(Hipótesis!$G$51=1,Hipótesis!$I$44,Hipótesis!$C$51*(1+Hipótesis!$D$45)^6)*(1+Hipótesis!$D$42),0)</f>
        <v>-3152.29806283656</v>
      </c>
      <c r="BY47" s="109" t="n">
        <f aca="false">-IF(AND(75&gt;=Hipótesis!$D$51,Hipótesis!$B$51=1),IF(Hipótesis!$G$51=1,Hipótesis!$I$44,Hipótesis!$C$51*(1+Hipótesis!$D$45)^6)*(1+Hipótesis!$D$42),0)</f>
        <v>-3152.29806283656</v>
      </c>
      <c r="BZ47" s="109" t="n">
        <f aca="false">-IF(AND(76&gt;=Hipótesis!$D$51,Hipótesis!$B$51=1),IF(Hipótesis!$G$51=1,Hipótesis!$I$44,Hipótesis!$C$51*(1+Hipótesis!$D$45)^6)*(1+Hipótesis!$D$42),0)</f>
        <v>-3152.29806283656</v>
      </c>
      <c r="CA47" s="109" t="n">
        <f aca="false">-IF(AND(77&gt;=Hipótesis!$D$51,Hipótesis!$B$51=1),IF(Hipótesis!$G$51=1,Hipótesis!$I$44,Hipótesis!$C$51*(1+Hipótesis!$D$45)^6)*(1+Hipótesis!$D$42),0)</f>
        <v>-3152.29806283656</v>
      </c>
      <c r="CB47" s="109" t="n">
        <f aca="false">-IF(AND(78&gt;=Hipótesis!$D$51,Hipótesis!$B$51=1),IF(Hipótesis!$G$51=1,Hipótesis!$I$44,Hipótesis!$C$51*(1+Hipótesis!$D$45)^6)*(1+Hipótesis!$D$42),0)</f>
        <v>-3152.29806283656</v>
      </c>
      <c r="CC47" s="109" t="n">
        <f aca="false">-IF(AND(79&gt;=Hipótesis!$D$51,Hipótesis!$B$51=1),IF(Hipótesis!$G$51=1,Hipótesis!$I$44,Hipótesis!$C$51*(1+Hipótesis!$D$45)^6)*(1+Hipótesis!$D$42),0)</f>
        <v>-3152.29806283656</v>
      </c>
      <c r="CD47" s="109" t="n">
        <f aca="false">-IF(AND(80&gt;=Hipótesis!$D$51,Hipótesis!$B$51=1),IF(Hipótesis!$G$51=1,Hipótesis!$I$44,Hipótesis!$C$51*(1+Hipótesis!$D$45)^6)*(1+Hipótesis!$D$42),0)</f>
        <v>-3152.29806283656</v>
      </c>
      <c r="CE47" s="109" t="n">
        <f aca="false">-IF(AND(81&gt;=Hipótesis!$D$51,Hipótesis!$B$51=1),IF(Hipótesis!$G$51=1,Hipótesis!$I$44,Hipótesis!$C$51*(1+Hipótesis!$D$45)^6)*(1+Hipótesis!$D$42),0)</f>
        <v>-3152.29806283656</v>
      </c>
      <c r="CF47" s="109" t="n">
        <f aca="false">-IF(AND(82&gt;=Hipótesis!$D$51,Hipótesis!$B$51=1),IF(Hipótesis!$G$51=1,Hipótesis!$I$44,Hipótesis!$C$51*(1+Hipótesis!$D$45)^6)*(1+Hipótesis!$D$42),0)</f>
        <v>-3152.29806283656</v>
      </c>
      <c r="CG47" s="109" t="n">
        <f aca="false">-IF(AND(83&gt;=Hipótesis!$D$51,Hipótesis!$B$51=1),IF(Hipótesis!$G$51=1,Hipótesis!$I$44,Hipótesis!$C$51*(1+Hipótesis!$D$45)^6)*(1+Hipótesis!$D$42),0)</f>
        <v>-3152.29806283656</v>
      </c>
      <c r="CH47" s="109" t="n">
        <f aca="false">-IF(AND(84&gt;=Hipótesis!$D$51,Hipótesis!$B$51=1),IF(Hipótesis!$G$51=1,Hipótesis!$I$44,Hipótesis!$C$51*(1+Hipótesis!$D$45)^6)*(1+Hipótesis!$D$42),0)</f>
        <v>-3152.29806283656</v>
      </c>
    </row>
    <row r="48" customFormat="false" ht="13.5" hidden="false" customHeight="true" outlineLevel="0" collapsed="false">
      <c r="A48" s="6" t="s">
        <v>553</v>
      </c>
      <c r="C48" s="109" t="n">
        <f aca="false">-IF(AND(1&gt;=Hipótesis!$D$52,Hipótesis!$B$52=1),IF(Hipótesis!$G$52=1,Hipótesis!$C$44,Hipótesis!$C$52*(1+Hipótesis!$D$45)^0)*(1+Hipótesis!$D$42),0)</f>
        <v>-0</v>
      </c>
      <c r="D48" s="109" t="n">
        <f aca="false">-IF(AND(2&gt;=Hipótesis!$D$52,Hipótesis!$B$52=1),IF(Hipótesis!$G$52=1,Hipótesis!$C$44,Hipótesis!$C$52*(1+Hipótesis!$D$45)^0)*(1+Hipótesis!$D$42),0)</f>
        <v>-0</v>
      </c>
      <c r="E48" s="109" t="n">
        <f aca="false">-IF(AND(3&gt;=Hipótesis!$D$52,Hipótesis!$B$52=1),IF(Hipótesis!$G$52=1,Hipótesis!$C$44,Hipótesis!$C$52*(1+Hipótesis!$D$45)^0)*(1+Hipótesis!$D$42),0)</f>
        <v>-0</v>
      </c>
      <c r="F48" s="109" t="n">
        <f aca="false">-IF(AND(4&gt;=Hipótesis!$D$52,Hipótesis!$B$52=1),IF(Hipótesis!$G$52=1,Hipótesis!$C$44,Hipótesis!$C$52*(1+Hipótesis!$D$45)^0)*(1+Hipótesis!$D$42),0)</f>
        <v>-0</v>
      </c>
      <c r="G48" s="109" t="n">
        <f aca="false">-IF(AND(5&gt;=Hipótesis!$D$52,Hipótesis!$B$52=1),IF(Hipótesis!$G$52=1,Hipótesis!$C$44,Hipótesis!$C$52*(1+Hipótesis!$D$45)^0)*(1+Hipótesis!$D$42),0)</f>
        <v>-0</v>
      </c>
      <c r="H48" s="109" t="n">
        <f aca="false">-IF(AND(6&gt;=Hipótesis!$D$52,Hipótesis!$B$52=1),IF(Hipótesis!$G$52=1,Hipótesis!$C$44,Hipótesis!$C$52*(1+Hipótesis!$D$45)^0)*(1+Hipótesis!$D$42),0)</f>
        <v>-0</v>
      </c>
      <c r="I48" s="109" t="n">
        <f aca="false">-IF(AND(7&gt;=Hipótesis!$D$52,Hipótesis!$B$52=1),IF(Hipótesis!$G$52=1,Hipótesis!$C$44,Hipótesis!$C$52*(1+Hipótesis!$D$45)^0)*(1+Hipótesis!$D$42),0)</f>
        <v>-0</v>
      </c>
      <c r="J48" s="109" t="n">
        <f aca="false">-IF(AND(8&gt;=Hipótesis!$D$52,Hipótesis!$B$52=1),IF(Hipótesis!$G$52=1,Hipótesis!$C$44,Hipótesis!$C$52*(1+Hipótesis!$D$45)^0)*(1+Hipótesis!$D$42),0)</f>
        <v>-0</v>
      </c>
      <c r="K48" s="109" t="n">
        <f aca="false">-IF(AND(9&gt;=Hipótesis!$D$52,Hipótesis!$B$52=1),IF(Hipótesis!$G$52=1,Hipótesis!$C$44,Hipótesis!$C$52*(1+Hipótesis!$D$45)^0)*(1+Hipótesis!$D$42),0)</f>
        <v>-0</v>
      </c>
      <c r="L48" s="109" t="n">
        <f aca="false">-IF(AND(10&gt;=Hipótesis!$D$52,Hipótesis!$B$52=1),IF(Hipótesis!$G$52=1,Hipótesis!$C$44,Hipótesis!$C$52*(1+Hipótesis!$D$45)^0)*(1+Hipótesis!$D$42),0)</f>
        <v>-0</v>
      </c>
      <c r="M48" s="109" t="n">
        <f aca="false">-IF(AND(11&gt;=Hipótesis!$D$52,Hipótesis!$B$52=1),IF(Hipótesis!$G$52=1,Hipótesis!$C$44,Hipótesis!$C$52*(1+Hipótesis!$D$45)^0)*(1+Hipótesis!$D$42),0)</f>
        <v>-0</v>
      </c>
      <c r="N48" s="109" t="n">
        <f aca="false">-IF(AND(12&gt;=Hipótesis!$D$52,Hipótesis!$B$52=1),IF(Hipótesis!$G$52=1,Hipótesis!$C$44,Hipótesis!$C$52*(1+Hipótesis!$D$45)^0)*(1+Hipótesis!$D$42),0)</f>
        <v>-0</v>
      </c>
      <c r="O48" s="109" t="n">
        <f aca="false">-IF(AND(13&gt;=Hipótesis!$D$52,Hipótesis!$B$52=1),IF(Hipótesis!$G$52=1,Hipótesis!$D$44,Hipótesis!$C$52*(1+Hipótesis!$D$45)^1)*(1+Hipótesis!$D$42),0)</f>
        <v>-0</v>
      </c>
      <c r="P48" s="109" t="n">
        <f aca="false">-IF(AND(14&gt;=Hipótesis!$D$52,Hipótesis!$B$52=1),IF(Hipótesis!$G$52=1,Hipótesis!$D$44,Hipótesis!$C$52*(1+Hipótesis!$D$45)^1)*(1+Hipótesis!$D$42),0)</f>
        <v>-0</v>
      </c>
      <c r="Q48" s="109" t="n">
        <f aca="false">-IF(AND(15&gt;=Hipótesis!$D$52,Hipótesis!$B$52=1),IF(Hipótesis!$G$52=1,Hipótesis!$D$44,Hipótesis!$C$52*(1+Hipótesis!$D$45)^1)*(1+Hipótesis!$D$42),0)</f>
        <v>-0</v>
      </c>
      <c r="R48" s="109" t="n">
        <f aca="false">-IF(AND(16&gt;=Hipótesis!$D$52,Hipótesis!$B$52=1),IF(Hipótesis!$G$52=1,Hipótesis!$D$44,Hipótesis!$C$52*(1+Hipótesis!$D$45)^1)*(1+Hipótesis!$D$42),0)</f>
        <v>-0</v>
      </c>
      <c r="S48" s="109" t="n">
        <f aca="false">-IF(AND(17&gt;=Hipótesis!$D$52,Hipótesis!$B$52=1),IF(Hipótesis!$G$52=1,Hipótesis!$D$44,Hipótesis!$C$52*(1+Hipótesis!$D$45)^1)*(1+Hipótesis!$D$42),0)</f>
        <v>-0</v>
      </c>
      <c r="T48" s="109" t="n">
        <f aca="false">-IF(AND(18&gt;=Hipótesis!$D$52,Hipótesis!$B$52=1),IF(Hipótesis!$G$52=1,Hipótesis!$D$44,Hipótesis!$C$52*(1+Hipótesis!$D$45)^1)*(1+Hipótesis!$D$42),0)</f>
        <v>-0</v>
      </c>
      <c r="U48" s="109" t="n">
        <f aca="false">-IF(AND(19&gt;=Hipótesis!$D$52,Hipótesis!$B$52=1),IF(Hipótesis!$G$52=1,Hipótesis!$D$44,Hipótesis!$C$52*(1+Hipótesis!$D$45)^1)*(1+Hipótesis!$D$42),0)</f>
        <v>-0</v>
      </c>
      <c r="V48" s="109" t="n">
        <f aca="false">-IF(AND(20&gt;=Hipótesis!$D$52,Hipótesis!$B$52=1),IF(Hipótesis!$G$52=1,Hipótesis!$D$44,Hipótesis!$C$52*(1+Hipótesis!$D$45)^1)*(1+Hipótesis!$D$42),0)</f>
        <v>-2719.2</v>
      </c>
      <c r="W48" s="109" t="n">
        <f aca="false">-IF(AND(21&gt;=Hipótesis!$D$52,Hipótesis!$B$52=1),IF(Hipótesis!$G$52=1,Hipótesis!$D$44,Hipótesis!$C$52*(1+Hipótesis!$D$45)^1)*(1+Hipótesis!$D$42),0)</f>
        <v>-2719.2</v>
      </c>
      <c r="X48" s="109" t="n">
        <f aca="false">-IF(AND(22&gt;=Hipótesis!$D$52,Hipótesis!$B$52=1),IF(Hipótesis!$G$52=1,Hipótesis!$D$44,Hipótesis!$C$52*(1+Hipótesis!$D$45)^1)*(1+Hipótesis!$D$42),0)</f>
        <v>-2719.2</v>
      </c>
      <c r="Y48" s="109" t="n">
        <f aca="false">-IF(AND(23&gt;=Hipótesis!$D$52,Hipótesis!$B$52=1),IF(Hipótesis!$G$52=1,Hipótesis!$D$44,Hipótesis!$C$52*(1+Hipótesis!$D$45)^1)*(1+Hipótesis!$D$42),0)</f>
        <v>-2719.2</v>
      </c>
      <c r="Z48" s="109" t="n">
        <f aca="false">-IF(AND(24&gt;=Hipótesis!$D$52,Hipótesis!$B$52=1),IF(Hipótesis!$G$52=1,Hipótesis!$D$44,Hipótesis!$C$52*(1+Hipótesis!$D$45)^1)*(1+Hipótesis!$D$42),0)</f>
        <v>-2719.2</v>
      </c>
      <c r="AA48" s="109" t="n">
        <f aca="false">-IF(AND(25&gt;=Hipótesis!$D$52,Hipótesis!$B$52=1),IF(Hipótesis!$G$52=1,Hipótesis!$E$44,Hipótesis!$C$52*(1+Hipótesis!$D$45)^2)*(1+Hipótesis!$D$42),0)</f>
        <v>-2800.776</v>
      </c>
      <c r="AB48" s="109" t="n">
        <f aca="false">-IF(AND(26&gt;=Hipótesis!$D$52,Hipótesis!$B$52=1),IF(Hipótesis!$G$52=1,Hipótesis!$E$44,Hipótesis!$C$52*(1+Hipótesis!$D$45)^2)*(1+Hipótesis!$D$42),0)</f>
        <v>-2800.776</v>
      </c>
      <c r="AC48" s="109" t="n">
        <f aca="false">-IF(AND(27&gt;=Hipótesis!$D$52,Hipótesis!$B$52=1),IF(Hipótesis!$G$52=1,Hipótesis!$E$44,Hipótesis!$C$52*(1+Hipótesis!$D$45)^2)*(1+Hipótesis!$D$42),0)</f>
        <v>-2800.776</v>
      </c>
      <c r="AD48" s="109" t="n">
        <f aca="false">-IF(AND(28&gt;=Hipótesis!$D$52,Hipótesis!$B$52=1),IF(Hipótesis!$G$52=1,Hipótesis!$E$44,Hipótesis!$C$52*(1+Hipótesis!$D$45)^2)*(1+Hipótesis!$D$42),0)</f>
        <v>-2800.776</v>
      </c>
      <c r="AE48" s="109" t="n">
        <f aca="false">-IF(AND(29&gt;=Hipótesis!$D$52,Hipótesis!$B$52=1),IF(Hipótesis!$G$52=1,Hipótesis!$E$44,Hipótesis!$C$52*(1+Hipótesis!$D$45)^2)*(1+Hipótesis!$D$42),0)</f>
        <v>-2800.776</v>
      </c>
      <c r="AF48" s="109" t="n">
        <f aca="false">-IF(AND(30&gt;=Hipótesis!$D$52,Hipótesis!$B$52=1),IF(Hipótesis!$G$52=1,Hipótesis!$E$44,Hipótesis!$C$52*(1+Hipótesis!$D$45)^2)*(1+Hipótesis!$D$42),0)</f>
        <v>-2800.776</v>
      </c>
      <c r="AG48" s="109" t="n">
        <f aca="false">-IF(AND(31&gt;=Hipótesis!$D$52,Hipótesis!$B$52=1),IF(Hipótesis!$G$52=1,Hipótesis!$E$44,Hipótesis!$C$52*(1+Hipótesis!$D$45)^2)*(1+Hipótesis!$D$42),0)</f>
        <v>-2800.776</v>
      </c>
      <c r="AH48" s="109" t="n">
        <f aca="false">-IF(AND(32&gt;=Hipótesis!$D$52,Hipótesis!$B$52=1),IF(Hipótesis!$G$52=1,Hipótesis!$E$44,Hipótesis!$C$52*(1+Hipótesis!$D$45)^2)*(1+Hipótesis!$D$42),0)</f>
        <v>-2800.776</v>
      </c>
      <c r="AI48" s="109" t="n">
        <f aca="false">-IF(AND(33&gt;=Hipótesis!$D$52,Hipótesis!$B$52=1),IF(Hipótesis!$G$52=1,Hipótesis!$E$44,Hipótesis!$C$52*(1+Hipótesis!$D$45)^2)*(1+Hipótesis!$D$42),0)</f>
        <v>-2800.776</v>
      </c>
      <c r="AJ48" s="109" t="n">
        <f aca="false">-IF(AND(34&gt;=Hipótesis!$D$52,Hipótesis!$B$52=1),IF(Hipótesis!$G$52=1,Hipótesis!$E$44,Hipótesis!$C$52*(1+Hipótesis!$D$45)^2)*(1+Hipótesis!$D$42),0)</f>
        <v>-2800.776</v>
      </c>
      <c r="AK48" s="109" t="n">
        <f aca="false">-IF(AND(35&gt;=Hipótesis!$D$52,Hipótesis!$B$52=1),IF(Hipótesis!$G$52=1,Hipótesis!$E$44,Hipótesis!$C$52*(1+Hipótesis!$D$45)^2)*(1+Hipótesis!$D$42),0)</f>
        <v>-2800.776</v>
      </c>
      <c r="AL48" s="109" t="n">
        <f aca="false">-IF(AND(36&gt;=Hipótesis!$D$52,Hipótesis!$B$52=1),IF(Hipótesis!$G$52=1,Hipótesis!$E$44,Hipótesis!$C$52*(1+Hipótesis!$D$45)^2)*(1+Hipótesis!$D$42),0)</f>
        <v>-2800.776</v>
      </c>
      <c r="AM48" s="109" t="n">
        <f aca="false">-IF(AND(37&gt;=Hipótesis!$D$52,Hipótesis!$B$52=1),IF(Hipótesis!$G$52=1,Hipótesis!$F$44,Hipótesis!$C$52*(1+Hipótesis!$D$45)^3)*(1+Hipótesis!$D$42),0)</f>
        <v>-2884.79928</v>
      </c>
      <c r="AN48" s="109" t="n">
        <f aca="false">-IF(AND(38&gt;=Hipótesis!$D$52,Hipótesis!$B$52=1),IF(Hipótesis!$G$52=1,Hipótesis!$F$44,Hipótesis!$C$52*(1+Hipótesis!$D$45)^3)*(1+Hipótesis!$D$42),0)</f>
        <v>-2884.79928</v>
      </c>
      <c r="AO48" s="109" t="n">
        <f aca="false">-IF(AND(39&gt;=Hipótesis!$D$52,Hipótesis!$B$52=1),IF(Hipótesis!$G$52=1,Hipótesis!$F$44,Hipótesis!$C$52*(1+Hipótesis!$D$45)^3)*(1+Hipótesis!$D$42),0)</f>
        <v>-2884.79928</v>
      </c>
      <c r="AP48" s="109" t="n">
        <f aca="false">-IF(AND(40&gt;=Hipótesis!$D$52,Hipótesis!$B$52=1),IF(Hipótesis!$G$52=1,Hipótesis!$F$44,Hipótesis!$C$52*(1+Hipótesis!$D$45)^3)*(1+Hipótesis!$D$42),0)</f>
        <v>-2884.79928</v>
      </c>
      <c r="AQ48" s="109" t="n">
        <f aca="false">-IF(AND(41&gt;=Hipótesis!$D$52,Hipótesis!$B$52=1),IF(Hipótesis!$G$52=1,Hipótesis!$F$44,Hipótesis!$C$52*(1+Hipótesis!$D$45)^3)*(1+Hipótesis!$D$42),0)</f>
        <v>-2884.79928</v>
      </c>
      <c r="AR48" s="109" t="n">
        <f aca="false">-IF(AND(42&gt;=Hipótesis!$D$52,Hipótesis!$B$52=1),IF(Hipótesis!$G$52=1,Hipótesis!$F$44,Hipótesis!$C$52*(1+Hipótesis!$D$45)^3)*(1+Hipótesis!$D$42),0)</f>
        <v>-2884.79928</v>
      </c>
      <c r="AS48" s="109" t="n">
        <f aca="false">-IF(AND(43&gt;=Hipótesis!$D$52,Hipótesis!$B$52=1),IF(Hipótesis!$G$52=1,Hipótesis!$F$44,Hipótesis!$C$52*(1+Hipótesis!$D$45)^3)*(1+Hipótesis!$D$42),0)</f>
        <v>-2884.79928</v>
      </c>
      <c r="AT48" s="109" t="n">
        <f aca="false">-IF(AND(44&gt;=Hipótesis!$D$52,Hipótesis!$B$52=1),IF(Hipótesis!$G$52=1,Hipótesis!$F$44,Hipótesis!$C$52*(1+Hipótesis!$D$45)^3)*(1+Hipótesis!$D$42),0)</f>
        <v>-2884.79928</v>
      </c>
      <c r="AU48" s="109" t="n">
        <f aca="false">-IF(AND(45&gt;=Hipótesis!$D$52,Hipótesis!$B$52=1),IF(Hipótesis!$G$52=1,Hipótesis!$F$44,Hipótesis!$C$52*(1+Hipótesis!$D$45)^3)*(1+Hipótesis!$D$42),0)</f>
        <v>-2884.79928</v>
      </c>
      <c r="AV48" s="109" t="n">
        <f aca="false">-IF(AND(46&gt;=Hipótesis!$D$52,Hipótesis!$B$52=1),IF(Hipótesis!$G$52=1,Hipótesis!$F$44,Hipótesis!$C$52*(1+Hipótesis!$D$45)^3)*(1+Hipótesis!$D$42),0)</f>
        <v>-2884.79928</v>
      </c>
      <c r="AW48" s="109" t="n">
        <f aca="false">-IF(AND(47&gt;=Hipótesis!$D$52,Hipótesis!$B$52=1),IF(Hipótesis!$G$52=1,Hipótesis!$F$44,Hipótesis!$C$52*(1+Hipótesis!$D$45)^3)*(1+Hipótesis!$D$42),0)</f>
        <v>-2884.79928</v>
      </c>
      <c r="AX48" s="109" t="n">
        <f aca="false">-IF(AND(48&gt;=Hipótesis!$D$52,Hipótesis!$B$52=1),IF(Hipótesis!$G$52=1,Hipótesis!$F$44,Hipótesis!$C$52*(1+Hipótesis!$D$45)^3)*(1+Hipótesis!$D$42),0)</f>
        <v>-2884.79928</v>
      </c>
      <c r="AY48" s="109" t="n">
        <f aca="false">-IF(AND(49&gt;=Hipótesis!$D$52,Hipótesis!$B$52=1),IF(Hipótesis!$G$52=1,Hipótesis!$G$44,Hipótesis!$C$52*(1+Hipótesis!$D$45)^4)*(1+Hipótesis!$D$42),0)</f>
        <v>-2971.3432584</v>
      </c>
      <c r="AZ48" s="109" t="n">
        <f aca="false">-IF(AND(50&gt;=Hipótesis!$D$52,Hipótesis!$B$52=1),IF(Hipótesis!$G$52=1,Hipótesis!$G$44,Hipótesis!$C$52*(1+Hipótesis!$D$45)^4)*(1+Hipótesis!$D$42),0)</f>
        <v>-2971.3432584</v>
      </c>
      <c r="BA48" s="109" t="n">
        <f aca="false">-IF(AND(51&gt;=Hipótesis!$D$52,Hipótesis!$B$52=1),IF(Hipótesis!$G$52=1,Hipótesis!$G$44,Hipótesis!$C$52*(1+Hipótesis!$D$45)^4)*(1+Hipótesis!$D$42),0)</f>
        <v>-2971.3432584</v>
      </c>
      <c r="BB48" s="109" t="n">
        <f aca="false">-IF(AND(52&gt;=Hipótesis!$D$52,Hipótesis!$B$52=1),IF(Hipótesis!$G$52=1,Hipótesis!$G$44,Hipótesis!$C$52*(1+Hipótesis!$D$45)^4)*(1+Hipótesis!$D$42),0)</f>
        <v>-2971.3432584</v>
      </c>
      <c r="BC48" s="109" t="n">
        <f aca="false">-IF(AND(53&gt;=Hipótesis!$D$52,Hipótesis!$B$52=1),IF(Hipótesis!$G$52=1,Hipótesis!$G$44,Hipótesis!$C$52*(1+Hipótesis!$D$45)^4)*(1+Hipótesis!$D$42),0)</f>
        <v>-2971.3432584</v>
      </c>
      <c r="BD48" s="109" t="n">
        <f aca="false">-IF(AND(54&gt;=Hipótesis!$D$52,Hipótesis!$B$52=1),IF(Hipótesis!$G$52=1,Hipótesis!$G$44,Hipótesis!$C$52*(1+Hipótesis!$D$45)^4)*(1+Hipótesis!$D$42),0)</f>
        <v>-2971.3432584</v>
      </c>
      <c r="BE48" s="109" t="n">
        <f aca="false">-IF(AND(55&gt;=Hipótesis!$D$52,Hipótesis!$B$52=1),IF(Hipótesis!$G$52=1,Hipótesis!$G$44,Hipótesis!$C$52*(1+Hipótesis!$D$45)^4)*(1+Hipótesis!$D$42),0)</f>
        <v>-2971.3432584</v>
      </c>
      <c r="BF48" s="109" t="n">
        <f aca="false">-IF(AND(56&gt;=Hipótesis!$D$52,Hipótesis!$B$52=1),IF(Hipótesis!$G$52=1,Hipótesis!$G$44,Hipótesis!$C$52*(1+Hipótesis!$D$45)^4)*(1+Hipótesis!$D$42),0)</f>
        <v>-2971.3432584</v>
      </c>
      <c r="BG48" s="109" t="n">
        <f aca="false">-IF(AND(57&gt;=Hipótesis!$D$52,Hipótesis!$B$52=1),IF(Hipótesis!$G$52=1,Hipótesis!$G$44,Hipótesis!$C$52*(1+Hipótesis!$D$45)^4)*(1+Hipótesis!$D$42),0)</f>
        <v>-2971.3432584</v>
      </c>
      <c r="BH48" s="109" t="n">
        <f aca="false">-IF(AND(58&gt;=Hipótesis!$D$52,Hipótesis!$B$52=1),IF(Hipótesis!$G$52=1,Hipótesis!$G$44,Hipótesis!$C$52*(1+Hipótesis!$D$45)^4)*(1+Hipótesis!$D$42),0)</f>
        <v>-2971.3432584</v>
      </c>
      <c r="BI48" s="109" t="n">
        <f aca="false">-IF(AND(59&gt;=Hipótesis!$D$52,Hipótesis!$B$52=1),IF(Hipótesis!$G$52=1,Hipótesis!$G$44,Hipótesis!$C$52*(1+Hipótesis!$D$45)^4)*(1+Hipótesis!$D$42),0)</f>
        <v>-2971.3432584</v>
      </c>
      <c r="BJ48" s="109" t="n">
        <f aca="false">-IF(AND(60&gt;=Hipótesis!$D$52,Hipótesis!$B$52=1),IF(Hipótesis!$G$52=1,Hipótesis!$G$44,Hipótesis!$C$52*(1+Hipótesis!$D$45)^4)*(1+Hipótesis!$D$42),0)</f>
        <v>-2971.3432584</v>
      </c>
      <c r="BK48" s="109" t="n">
        <f aca="false">-IF(AND(61&gt;=Hipótesis!$D$52,Hipótesis!$B$52=1),IF(Hipótesis!$G$52=1,Hipótesis!$H$44,Hipótesis!$C$52*(1+Hipótesis!$D$45)^5)*(1+Hipótesis!$D$42),0)</f>
        <v>-3060.483556152</v>
      </c>
      <c r="BL48" s="109" t="n">
        <f aca="false">-IF(AND(62&gt;=Hipótesis!$D$52,Hipótesis!$B$52=1),IF(Hipótesis!$G$52=1,Hipótesis!$H$44,Hipótesis!$C$52*(1+Hipótesis!$D$45)^5)*(1+Hipótesis!$D$42),0)</f>
        <v>-3060.483556152</v>
      </c>
      <c r="BM48" s="109" t="n">
        <f aca="false">-IF(AND(63&gt;=Hipótesis!$D$52,Hipótesis!$B$52=1),IF(Hipótesis!$G$52=1,Hipótesis!$H$44,Hipótesis!$C$52*(1+Hipótesis!$D$45)^5)*(1+Hipótesis!$D$42),0)</f>
        <v>-3060.483556152</v>
      </c>
      <c r="BN48" s="109" t="n">
        <f aca="false">-IF(AND(64&gt;=Hipótesis!$D$52,Hipótesis!$B$52=1),IF(Hipótesis!$G$52=1,Hipótesis!$H$44,Hipótesis!$C$52*(1+Hipótesis!$D$45)^5)*(1+Hipótesis!$D$42),0)</f>
        <v>-3060.483556152</v>
      </c>
      <c r="BO48" s="109" t="n">
        <f aca="false">-IF(AND(65&gt;=Hipótesis!$D$52,Hipótesis!$B$52=1),IF(Hipótesis!$G$52=1,Hipótesis!$H$44,Hipótesis!$C$52*(1+Hipótesis!$D$45)^5)*(1+Hipótesis!$D$42),0)</f>
        <v>-3060.483556152</v>
      </c>
      <c r="BP48" s="109" t="n">
        <f aca="false">-IF(AND(66&gt;=Hipótesis!$D$52,Hipótesis!$B$52=1),IF(Hipótesis!$G$52=1,Hipótesis!$H$44,Hipótesis!$C$52*(1+Hipótesis!$D$45)^5)*(1+Hipótesis!$D$42),0)</f>
        <v>-3060.483556152</v>
      </c>
      <c r="BQ48" s="109" t="n">
        <f aca="false">-IF(AND(67&gt;=Hipótesis!$D$52,Hipótesis!$B$52=1),IF(Hipótesis!$G$52=1,Hipótesis!$H$44,Hipótesis!$C$52*(1+Hipótesis!$D$45)^5)*(1+Hipótesis!$D$42),0)</f>
        <v>-3060.483556152</v>
      </c>
      <c r="BR48" s="109" t="n">
        <f aca="false">-IF(AND(68&gt;=Hipótesis!$D$52,Hipótesis!$B$52=1),IF(Hipótesis!$G$52=1,Hipótesis!$H$44,Hipótesis!$C$52*(1+Hipótesis!$D$45)^5)*(1+Hipótesis!$D$42),0)</f>
        <v>-3060.483556152</v>
      </c>
      <c r="BS48" s="109" t="n">
        <f aca="false">-IF(AND(69&gt;=Hipótesis!$D$52,Hipótesis!$B$52=1),IF(Hipótesis!$G$52=1,Hipótesis!$H$44,Hipótesis!$C$52*(1+Hipótesis!$D$45)^5)*(1+Hipótesis!$D$42),0)</f>
        <v>-3060.483556152</v>
      </c>
      <c r="BT48" s="109" t="n">
        <f aca="false">-IF(AND(70&gt;=Hipótesis!$D$52,Hipótesis!$B$52=1),IF(Hipótesis!$G$52=1,Hipótesis!$H$44,Hipótesis!$C$52*(1+Hipótesis!$D$45)^5)*(1+Hipótesis!$D$42),0)</f>
        <v>-3060.483556152</v>
      </c>
      <c r="BU48" s="109" t="n">
        <f aca="false">-IF(AND(71&gt;=Hipótesis!$D$52,Hipótesis!$B$52=1),IF(Hipótesis!$G$52=1,Hipótesis!$H$44,Hipótesis!$C$52*(1+Hipótesis!$D$45)^5)*(1+Hipótesis!$D$42),0)</f>
        <v>-3060.483556152</v>
      </c>
      <c r="BV48" s="109" t="n">
        <f aca="false">-IF(AND(72&gt;=Hipótesis!$D$52,Hipótesis!$B$52=1),IF(Hipótesis!$G$52=1,Hipótesis!$H$44,Hipótesis!$C$52*(1+Hipótesis!$D$45)^5)*(1+Hipótesis!$D$42),0)</f>
        <v>-3060.483556152</v>
      </c>
      <c r="BW48" s="109" t="n">
        <f aca="false">-IF(AND(73&gt;=Hipótesis!$D$52,Hipótesis!$B$52=1),IF(Hipótesis!$G$52=1,Hipótesis!$I$44,Hipótesis!$C$52*(1+Hipótesis!$D$45)^6)*(1+Hipótesis!$D$42),0)</f>
        <v>-3152.29806283656</v>
      </c>
      <c r="BX48" s="109" t="n">
        <f aca="false">-IF(AND(74&gt;=Hipótesis!$D$52,Hipótesis!$B$52=1),IF(Hipótesis!$G$52=1,Hipótesis!$I$44,Hipótesis!$C$52*(1+Hipótesis!$D$45)^6)*(1+Hipótesis!$D$42),0)</f>
        <v>-3152.29806283656</v>
      </c>
      <c r="BY48" s="109" t="n">
        <f aca="false">-IF(AND(75&gt;=Hipótesis!$D$52,Hipótesis!$B$52=1),IF(Hipótesis!$G$52=1,Hipótesis!$I$44,Hipótesis!$C$52*(1+Hipótesis!$D$45)^6)*(1+Hipótesis!$D$42),0)</f>
        <v>-3152.29806283656</v>
      </c>
      <c r="BZ48" s="109" t="n">
        <f aca="false">-IF(AND(76&gt;=Hipótesis!$D$52,Hipótesis!$B$52=1),IF(Hipótesis!$G$52=1,Hipótesis!$I$44,Hipótesis!$C$52*(1+Hipótesis!$D$45)^6)*(1+Hipótesis!$D$42),0)</f>
        <v>-3152.29806283656</v>
      </c>
      <c r="CA48" s="109" t="n">
        <f aca="false">-IF(AND(77&gt;=Hipótesis!$D$52,Hipótesis!$B$52=1),IF(Hipótesis!$G$52=1,Hipótesis!$I$44,Hipótesis!$C$52*(1+Hipótesis!$D$45)^6)*(1+Hipótesis!$D$42),0)</f>
        <v>-3152.29806283656</v>
      </c>
      <c r="CB48" s="109" t="n">
        <f aca="false">-IF(AND(78&gt;=Hipótesis!$D$52,Hipótesis!$B$52=1),IF(Hipótesis!$G$52=1,Hipótesis!$I$44,Hipótesis!$C$52*(1+Hipótesis!$D$45)^6)*(1+Hipótesis!$D$42),0)</f>
        <v>-3152.29806283656</v>
      </c>
      <c r="CC48" s="109" t="n">
        <f aca="false">-IF(AND(79&gt;=Hipótesis!$D$52,Hipótesis!$B$52=1),IF(Hipótesis!$G$52=1,Hipótesis!$I$44,Hipótesis!$C$52*(1+Hipótesis!$D$45)^6)*(1+Hipótesis!$D$42),0)</f>
        <v>-3152.29806283656</v>
      </c>
      <c r="CD48" s="109" t="n">
        <f aca="false">-IF(AND(80&gt;=Hipótesis!$D$52,Hipótesis!$B$52=1),IF(Hipótesis!$G$52=1,Hipótesis!$I$44,Hipótesis!$C$52*(1+Hipótesis!$D$45)^6)*(1+Hipótesis!$D$42),0)</f>
        <v>-3152.29806283656</v>
      </c>
      <c r="CE48" s="109" t="n">
        <f aca="false">-IF(AND(81&gt;=Hipótesis!$D$52,Hipótesis!$B$52=1),IF(Hipótesis!$G$52=1,Hipótesis!$I$44,Hipótesis!$C$52*(1+Hipótesis!$D$45)^6)*(1+Hipótesis!$D$42),0)</f>
        <v>-3152.29806283656</v>
      </c>
      <c r="CF48" s="109" t="n">
        <f aca="false">-IF(AND(82&gt;=Hipótesis!$D$52,Hipótesis!$B$52=1),IF(Hipótesis!$G$52=1,Hipótesis!$I$44,Hipótesis!$C$52*(1+Hipótesis!$D$45)^6)*(1+Hipótesis!$D$42),0)</f>
        <v>-3152.29806283656</v>
      </c>
      <c r="CG48" s="109" t="n">
        <f aca="false">-IF(AND(83&gt;=Hipótesis!$D$52,Hipótesis!$B$52=1),IF(Hipótesis!$G$52=1,Hipótesis!$I$44,Hipótesis!$C$52*(1+Hipótesis!$D$45)^6)*(1+Hipótesis!$D$42),0)</f>
        <v>-3152.29806283656</v>
      </c>
      <c r="CH48" s="109" t="n">
        <f aca="false">-IF(AND(84&gt;=Hipótesis!$D$52,Hipótesis!$B$52=1),IF(Hipótesis!$G$52=1,Hipótesis!$I$44,Hipótesis!$C$52*(1+Hipótesis!$D$45)^6)*(1+Hipótesis!$D$42),0)</f>
        <v>-3152.29806283656</v>
      </c>
    </row>
    <row r="49" customFormat="false" ht="13.5" hidden="false" customHeight="true" outlineLevel="0" collapsed="false">
      <c r="A49" s="6" t="s">
        <v>554</v>
      </c>
      <c r="C49" s="109" t="n">
        <f aca="false">-IF(AND(1&gt;=Hipótesis!$D$53,Hipótesis!$B$53=1),IF(Hipótesis!$G$53=1,Hipótesis!$C$44,Hipótesis!$C$53*(1+Hipótesis!$D$45)^0)*(1+Hipótesis!$D$42),0)</f>
        <v>-0</v>
      </c>
      <c r="D49" s="109" t="n">
        <f aca="false">-IF(AND(2&gt;=Hipótesis!$D$53,Hipótesis!$B$53=1),IF(Hipótesis!$G$53=1,Hipótesis!$C$44,Hipótesis!$C$53*(1+Hipótesis!$D$45)^0)*(1+Hipótesis!$D$42),0)</f>
        <v>-0</v>
      </c>
      <c r="E49" s="109" t="n">
        <f aca="false">-IF(AND(3&gt;=Hipótesis!$D$53,Hipótesis!$B$53=1),IF(Hipótesis!$G$53=1,Hipótesis!$C$44,Hipótesis!$C$53*(1+Hipótesis!$D$45)^0)*(1+Hipótesis!$D$42),0)</f>
        <v>-0</v>
      </c>
      <c r="F49" s="109" t="n">
        <f aca="false">-IF(AND(4&gt;=Hipótesis!$D$53,Hipótesis!$B$53=1),IF(Hipótesis!$G$53=1,Hipótesis!$C$44,Hipótesis!$C$53*(1+Hipótesis!$D$45)^0)*(1+Hipótesis!$D$42),0)</f>
        <v>-0</v>
      </c>
      <c r="G49" s="109" t="n">
        <f aca="false">-IF(AND(5&gt;=Hipótesis!$D$53,Hipótesis!$B$53=1),IF(Hipótesis!$G$53=1,Hipótesis!$C$44,Hipótesis!$C$53*(1+Hipótesis!$D$45)^0)*(1+Hipótesis!$D$42),0)</f>
        <v>-0</v>
      </c>
      <c r="H49" s="109" t="n">
        <f aca="false">-IF(AND(6&gt;=Hipótesis!$D$53,Hipótesis!$B$53=1),IF(Hipótesis!$G$53=1,Hipótesis!$C$44,Hipótesis!$C$53*(1+Hipótesis!$D$45)^0)*(1+Hipótesis!$D$42),0)</f>
        <v>-0</v>
      </c>
      <c r="I49" s="109" t="n">
        <f aca="false">-IF(AND(7&gt;=Hipótesis!$D$53,Hipótesis!$B$53=1),IF(Hipótesis!$G$53=1,Hipótesis!$C$44,Hipótesis!$C$53*(1+Hipótesis!$D$45)^0)*(1+Hipótesis!$D$42),0)</f>
        <v>-0</v>
      </c>
      <c r="J49" s="109" t="n">
        <f aca="false">-IF(AND(8&gt;=Hipótesis!$D$53,Hipótesis!$B$53=1),IF(Hipótesis!$G$53=1,Hipótesis!$C$44,Hipótesis!$C$53*(1+Hipótesis!$D$45)^0)*(1+Hipótesis!$D$42),0)</f>
        <v>-0</v>
      </c>
      <c r="K49" s="109" t="n">
        <f aca="false">-IF(AND(9&gt;=Hipótesis!$D$53,Hipótesis!$B$53=1),IF(Hipótesis!$G$53=1,Hipótesis!$C$44,Hipótesis!$C$53*(1+Hipótesis!$D$45)^0)*(1+Hipótesis!$D$42),0)</f>
        <v>-0</v>
      </c>
      <c r="L49" s="109" t="n">
        <f aca="false">-IF(AND(10&gt;=Hipótesis!$D$53,Hipótesis!$B$53=1),IF(Hipótesis!$G$53=1,Hipótesis!$C$44,Hipótesis!$C$53*(1+Hipótesis!$D$45)^0)*(1+Hipótesis!$D$42),0)</f>
        <v>-0</v>
      </c>
      <c r="M49" s="109" t="n">
        <f aca="false">-IF(AND(11&gt;=Hipótesis!$D$53,Hipótesis!$B$53=1),IF(Hipótesis!$G$53=1,Hipótesis!$C$44,Hipótesis!$C$53*(1+Hipótesis!$D$45)^0)*(1+Hipótesis!$D$42),0)</f>
        <v>-0</v>
      </c>
      <c r="N49" s="109" t="n">
        <f aca="false">-IF(AND(12&gt;=Hipótesis!$D$53,Hipótesis!$B$53=1),IF(Hipótesis!$G$53=1,Hipótesis!$C$44,Hipótesis!$C$53*(1+Hipótesis!$D$45)^0)*(1+Hipótesis!$D$42),0)</f>
        <v>-0</v>
      </c>
      <c r="O49" s="109" t="n">
        <f aca="false">-IF(AND(13&gt;=Hipótesis!$D$53,Hipótesis!$B$53=1),IF(Hipótesis!$G$53=1,Hipótesis!$D$44,Hipótesis!$C$53*(1+Hipótesis!$D$45)^1)*(1+Hipótesis!$D$42),0)</f>
        <v>-0</v>
      </c>
      <c r="P49" s="109" t="n">
        <f aca="false">-IF(AND(14&gt;=Hipótesis!$D$53,Hipótesis!$B$53=1),IF(Hipótesis!$G$53=1,Hipótesis!$D$44,Hipótesis!$C$53*(1+Hipótesis!$D$45)^1)*(1+Hipótesis!$D$42),0)</f>
        <v>-0</v>
      </c>
      <c r="Q49" s="109" t="n">
        <f aca="false">-IF(AND(15&gt;=Hipótesis!$D$53,Hipótesis!$B$53=1),IF(Hipótesis!$G$53=1,Hipótesis!$D$44,Hipótesis!$C$53*(1+Hipótesis!$D$45)^1)*(1+Hipótesis!$D$42),0)</f>
        <v>-0</v>
      </c>
      <c r="R49" s="109" t="n">
        <f aca="false">-IF(AND(16&gt;=Hipótesis!$D$53,Hipótesis!$B$53=1),IF(Hipótesis!$G$53=1,Hipótesis!$D$44,Hipótesis!$C$53*(1+Hipótesis!$D$45)^1)*(1+Hipótesis!$D$42),0)</f>
        <v>-0</v>
      </c>
      <c r="S49" s="109" t="n">
        <f aca="false">-IF(AND(17&gt;=Hipótesis!$D$53,Hipótesis!$B$53=1),IF(Hipótesis!$G$53=1,Hipótesis!$D$44,Hipótesis!$C$53*(1+Hipótesis!$D$45)^1)*(1+Hipótesis!$D$42),0)</f>
        <v>-0</v>
      </c>
      <c r="T49" s="109" t="n">
        <f aca="false">-IF(AND(18&gt;=Hipótesis!$D$53,Hipótesis!$B$53=1),IF(Hipótesis!$G$53=1,Hipótesis!$D$44,Hipótesis!$C$53*(1+Hipótesis!$D$45)^1)*(1+Hipótesis!$D$42),0)</f>
        <v>-0</v>
      </c>
      <c r="U49" s="109" t="n">
        <f aca="false">-IF(AND(19&gt;=Hipótesis!$D$53,Hipótesis!$B$53=1),IF(Hipótesis!$G$53=1,Hipótesis!$D$44,Hipótesis!$C$53*(1+Hipótesis!$D$45)^1)*(1+Hipótesis!$D$42),0)</f>
        <v>-0</v>
      </c>
      <c r="V49" s="109" t="n">
        <f aca="false">-IF(AND(20&gt;=Hipótesis!$D$53,Hipótesis!$B$53=1),IF(Hipótesis!$G$53=1,Hipótesis!$D$44,Hipótesis!$C$53*(1+Hipótesis!$D$45)^1)*(1+Hipótesis!$D$42),0)</f>
        <v>-0</v>
      </c>
      <c r="W49" s="109" t="n">
        <f aca="false">-IF(AND(21&gt;=Hipótesis!$D$53,Hipótesis!$B$53=1),IF(Hipótesis!$G$53=1,Hipótesis!$D$44,Hipótesis!$C$53*(1+Hipótesis!$D$45)^1)*(1+Hipótesis!$D$42),0)</f>
        <v>-0</v>
      </c>
      <c r="X49" s="109" t="n">
        <f aca="false">-IF(AND(22&gt;=Hipótesis!$D$53,Hipótesis!$B$53=1),IF(Hipótesis!$G$53=1,Hipótesis!$D$44,Hipótesis!$C$53*(1+Hipótesis!$D$45)^1)*(1+Hipótesis!$D$42),0)</f>
        <v>-0</v>
      </c>
      <c r="Y49" s="109" t="n">
        <f aca="false">-IF(AND(23&gt;=Hipótesis!$D$53,Hipótesis!$B$53=1),IF(Hipótesis!$G$53=1,Hipótesis!$D$44,Hipótesis!$C$53*(1+Hipótesis!$D$45)^1)*(1+Hipótesis!$D$42),0)</f>
        <v>-0</v>
      </c>
      <c r="Z49" s="109" t="n">
        <f aca="false">-IF(AND(24&gt;=Hipótesis!$D$53,Hipótesis!$B$53=1),IF(Hipótesis!$G$53=1,Hipótesis!$D$44,Hipótesis!$C$53*(1+Hipótesis!$D$45)^1)*(1+Hipótesis!$D$42),0)</f>
        <v>-0</v>
      </c>
      <c r="AA49" s="109" t="n">
        <f aca="false">-IF(AND(25&gt;=Hipótesis!$D$53,Hipótesis!$B$53=1),IF(Hipótesis!$G$53=1,Hipótesis!$E$44,Hipótesis!$C$53*(1+Hipótesis!$D$45)^2)*(1+Hipótesis!$D$42),0)</f>
        <v>-0</v>
      </c>
      <c r="AB49" s="109" t="n">
        <f aca="false">-IF(AND(26&gt;=Hipótesis!$D$53,Hipótesis!$B$53=1),IF(Hipótesis!$G$53=1,Hipótesis!$E$44,Hipótesis!$C$53*(1+Hipótesis!$D$45)^2)*(1+Hipótesis!$D$42),0)</f>
        <v>-0</v>
      </c>
      <c r="AC49" s="109" t="n">
        <f aca="false">-IF(AND(27&gt;=Hipótesis!$D$53,Hipótesis!$B$53=1),IF(Hipótesis!$G$53=1,Hipótesis!$E$44,Hipótesis!$C$53*(1+Hipótesis!$D$45)^2)*(1+Hipótesis!$D$42),0)</f>
        <v>-0</v>
      </c>
      <c r="AD49" s="109" t="n">
        <f aca="false">-IF(AND(28&gt;=Hipótesis!$D$53,Hipótesis!$B$53=1),IF(Hipótesis!$G$53=1,Hipótesis!$E$44,Hipótesis!$C$53*(1+Hipótesis!$D$45)^2)*(1+Hipótesis!$D$42),0)</f>
        <v>-0</v>
      </c>
      <c r="AE49" s="109" t="n">
        <f aca="false">-IF(AND(29&gt;=Hipótesis!$D$53,Hipótesis!$B$53=1),IF(Hipótesis!$G$53=1,Hipótesis!$E$44,Hipótesis!$C$53*(1+Hipótesis!$D$45)^2)*(1+Hipótesis!$D$42),0)</f>
        <v>-0</v>
      </c>
      <c r="AF49" s="109" t="n">
        <f aca="false">-IF(AND(30&gt;=Hipótesis!$D$53,Hipótesis!$B$53=1),IF(Hipótesis!$G$53=1,Hipótesis!$E$44,Hipótesis!$C$53*(1+Hipótesis!$D$45)^2)*(1+Hipótesis!$D$42),0)</f>
        <v>-0</v>
      </c>
      <c r="AG49" s="109" t="n">
        <f aca="false">-IF(AND(31&gt;=Hipótesis!$D$53,Hipótesis!$B$53=1),IF(Hipótesis!$G$53=1,Hipótesis!$E$44,Hipótesis!$C$53*(1+Hipótesis!$D$45)^2)*(1+Hipótesis!$D$42),0)</f>
        <v>-0</v>
      </c>
      <c r="AH49" s="109" t="n">
        <f aca="false">-IF(AND(32&gt;=Hipótesis!$D$53,Hipótesis!$B$53=1),IF(Hipótesis!$G$53=1,Hipótesis!$E$44,Hipótesis!$C$53*(1+Hipótesis!$D$45)^2)*(1+Hipótesis!$D$42),0)</f>
        <v>-0</v>
      </c>
      <c r="AI49" s="109" t="n">
        <f aca="false">-IF(AND(33&gt;=Hipótesis!$D$53,Hipótesis!$B$53=1),IF(Hipótesis!$G$53=1,Hipótesis!$E$44,Hipótesis!$C$53*(1+Hipótesis!$D$45)^2)*(1+Hipótesis!$D$42),0)</f>
        <v>-0</v>
      </c>
      <c r="AJ49" s="109" t="n">
        <f aca="false">-IF(AND(34&gt;=Hipótesis!$D$53,Hipótesis!$B$53=1),IF(Hipótesis!$G$53=1,Hipótesis!$E$44,Hipótesis!$C$53*(1+Hipótesis!$D$45)^2)*(1+Hipótesis!$D$42),0)</f>
        <v>-0</v>
      </c>
      <c r="AK49" s="109" t="n">
        <f aca="false">-IF(AND(35&gt;=Hipótesis!$D$53,Hipótesis!$B$53=1),IF(Hipótesis!$G$53=1,Hipótesis!$E$44,Hipótesis!$C$53*(1+Hipótesis!$D$45)^2)*(1+Hipótesis!$D$42),0)</f>
        <v>-0</v>
      </c>
      <c r="AL49" s="109" t="n">
        <f aca="false">-IF(AND(36&gt;=Hipótesis!$D$53,Hipótesis!$B$53=1),IF(Hipótesis!$G$53=1,Hipótesis!$E$44,Hipótesis!$C$53*(1+Hipótesis!$D$45)^2)*(1+Hipótesis!$D$42),0)</f>
        <v>-0</v>
      </c>
      <c r="AM49" s="109" t="n">
        <f aca="false">-IF(AND(37&gt;=Hipótesis!$D$53,Hipótesis!$B$53=1),IF(Hipótesis!$G$53=1,Hipótesis!$F$44,Hipótesis!$C$53*(1+Hipótesis!$D$45)^3)*(1+Hipótesis!$D$42),0)</f>
        <v>-0</v>
      </c>
      <c r="AN49" s="109" t="n">
        <f aca="false">-IF(AND(38&gt;=Hipótesis!$D$53,Hipótesis!$B$53=1),IF(Hipótesis!$G$53=1,Hipótesis!$F$44,Hipótesis!$C$53*(1+Hipótesis!$D$45)^3)*(1+Hipótesis!$D$42),0)</f>
        <v>-0</v>
      </c>
      <c r="AO49" s="109" t="n">
        <f aca="false">-IF(AND(39&gt;=Hipótesis!$D$53,Hipótesis!$B$53=1),IF(Hipótesis!$G$53=1,Hipótesis!$F$44,Hipótesis!$C$53*(1+Hipótesis!$D$45)^3)*(1+Hipótesis!$D$42),0)</f>
        <v>-0</v>
      </c>
      <c r="AP49" s="109" t="n">
        <f aca="false">-IF(AND(40&gt;=Hipótesis!$D$53,Hipótesis!$B$53=1),IF(Hipótesis!$G$53=1,Hipótesis!$F$44,Hipótesis!$C$53*(1+Hipótesis!$D$45)^3)*(1+Hipótesis!$D$42),0)</f>
        <v>-0</v>
      </c>
      <c r="AQ49" s="109" t="n">
        <f aca="false">-IF(AND(41&gt;=Hipótesis!$D$53,Hipótesis!$B$53=1),IF(Hipótesis!$G$53=1,Hipótesis!$F$44,Hipótesis!$C$53*(1+Hipótesis!$D$45)^3)*(1+Hipótesis!$D$42),0)</f>
        <v>-0</v>
      </c>
      <c r="AR49" s="109" t="n">
        <f aca="false">-IF(AND(42&gt;=Hipótesis!$D$53,Hipótesis!$B$53=1),IF(Hipótesis!$G$53=1,Hipótesis!$F$44,Hipótesis!$C$53*(1+Hipótesis!$D$45)^3)*(1+Hipótesis!$D$42),0)</f>
        <v>-0</v>
      </c>
      <c r="AS49" s="109" t="n">
        <f aca="false">-IF(AND(43&gt;=Hipótesis!$D$53,Hipótesis!$B$53=1),IF(Hipótesis!$G$53=1,Hipótesis!$F$44,Hipótesis!$C$53*(1+Hipótesis!$D$45)^3)*(1+Hipótesis!$D$42),0)</f>
        <v>-0</v>
      </c>
      <c r="AT49" s="109" t="n">
        <f aca="false">-IF(AND(44&gt;=Hipótesis!$D$53,Hipótesis!$B$53=1),IF(Hipótesis!$G$53=1,Hipótesis!$F$44,Hipótesis!$C$53*(1+Hipótesis!$D$45)^3)*(1+Hipótesis!$D$42),0)</f>
        <v>-0</v>
      </c>
      <c r="AU49" s="109" t="n">
        <f aca="false">-IF(AND(45&gt;=Hipótesis!$D$53,Hipótesis!$B$53=1),IF(Hipótesis!$G$53=1,Hipótesis!$F$44,Hipótesis!$C$53*(1+Hipótesis!$D$45)^3)*(1+Hipótesis!$D$42),0)</f>
        <v>-0</v>
      </c>
      <c r="AV49" s="109" t="n">
        <f aca="false">-IF(AND(46&gt;=Hipótesis!$D$53,Hipótesis!$B$53=1),IF(Hipótesis!$G$53=1,Hipótesis!$F$44,Hipótesis!$C$53*(1+Hipótesis!$D$45)^3)*(1+Hipótesis!$D$42),0)</f>
        <v>-0</v>
      </c>
      <c r="AW49" s="109" t="n">
        <f aca="false">-IF(AND(47&gt;=Hipótesis!$D$53,Hipótesis!$B$53=1),IF(Hipótesis!$G$53=1,Hipótesis!$F$44,Hipótesis!$C$53*(1+Hipótesis!$D$45)^3)*(1+Hipótesis!$D$42),0)</f>
        <v>-0</v>
      </c>
      <c r="AX49" s="109" t="n">
        <f aca="false">-IF(AND(48&gt;=Hipótesis!$D$53,Hipótesis!$B$53=1),IF(Hipótesis!$G$53=1,Hipótesis!$F$44,Hipótesis!$C$53*(1+Hipótesis!$D$45)^3)*(1+Hipótesis!$D$42),0)</f>
        <v>-0</v>
      </c>
      <c r="AY49" s="109" t="n">
        <f aca="false">-IF(AND(49&gt;=Hipótesis!$D$53,Hipótesis!$B$53=1),IF(Hipótesis!$G$53=1,Hipótesis!$G$44,Hipótesis!$C$53*(1+Hipótesis!$D$45)^4)*(1+Hipótesis!$D$42),0)</f>
        <v>-0</v>
      </c>
      <c r="AZ49" s="109" t="n">
        <f aca="false">-IF(AND(50&gt;=Hipótesis!$D$53,Hipótesis!$B$53=1),IF(Hipótesis!$G$53=1,Hipótesis!$G$44,Hipótesis!$C$53*(1+Hipótesis!$D$45)^4)*(1+Hipótesis!$D$42),0)</f>
        <v>-0</v>
      </c>
      <c r="BA49" s="109" t="n">
        <f aca="false">-IF(AND(51&gt;=Hipótesis!$D$53,Hipótesis!$B$53=1),IF(Hipótesis!$G$53=1,Hipótesis!$G$44,Hipótesis!$C$53*(1+Hipótesis!$D$45)^4)*(1+Hipótesis!$D$42),0)</f>
        <v>-0</v>
      </c>
      <c r="BB49" s="109" t="n">
        <f aca="false">-IF(AND(52&gt;=Hipótesis!$D$53,Hipótesis!$B$53=1),IF(Hipótesis!$G$53=1,Hipótesis!$G$44,Hipótesis!$C$53*(1+Hipótesis!$D$45)^4)*(1+Hipótesis!$D$42),0)</f>
        <v>-0</v>
      </c>
      <c r="BC49" s="109" t="n">
        <f aca="false">-IF(AND(53&gt;=Hipótesis!$D$53,Hipótesis!$B$53=1),IF(Hipótesis!$G$53=1,Hipótesis!$G$44,Hipótesis!$C$53*(1+Hipótesis!$D$45)^4)*(1+Hipótesis!$D$42),0)</f>
        <v>-0</v>
      </c>
      <c r="BD49" s="109" t="n">
        <f aca="false">-IF(AND(54&gt;=Hipótesis!$D$53,Hipótesis!$B$53=1),IF(Hipótesis!$G$53=1,Hipótesis!$G$44,Hipótesis!$C$53*(1+Hipótesis!$D$45)^4)*(1+Hipótesis!$D$42),0)</f>
        <v>-0</v>
      </c>
      <c r="BE49" s="109" t="n">
        <f aca="false">-IF(AND(55&gt;=Hipótesis!$D$53,Hipótesis!$B$53=1),IF(Hipótesis!$G$53=1,Hipótesis!$G$44,Hipótesis!$C$53*(1+Hipótesis!$D$45)^4)*(1+Hipótesis!$D$42),0)</f>
        <v>-0</v>
      </c>
      <c r="BF49" s="109" t="n">
        <f aca="false">-IF(AND(56&gt;=Hipótesis!$D$53,Hipótesis!$B$53=1),IF(Hipótesis!$G$53=1,Hipótesis!$G$44,Hipótesis!$C$53*(1+Hipótesis!$D$45)^4)*(1+Hipótesis!$D$42),0)</f>
        <v>-0</v>
      </c>
      <c r="BG49" s="109" t="n">
        <f aca="false">-IF(AND(57&gt;=Hipótesis!$D$53,Hipótesis!$B$53=1),IF(Hipótesis!$G$53=1,Hipótesis!$G$44,Hipótesis!$C$53*(1+Hipótesis!$D$45)^4)*(1+Hipótesis!$D$42),0)</f>
        <v>-0</v>
      </c>
      <c r="BH49" s="109" t="n">
        <f aca="false">-IF(AND(58&gt;=Hipótesis!$D$53,Hipótesis!$B$53=1),IF(Hipótesis!$G$53=1,Hipótesis!$G$44,Hipótesis!$C$53*(1+Hipótesis!$D$45)^4)*(1+Hipótesis!$D$42),0)</f>
        <v>-0</v>
      </c>
      <c r="BI49" s="109" t="n">
        <f aca="false">-IF(AND(59&gt;=Hipótesis!$D$53,Hipótesis!$B$53=1),IF(Hipótesis!$G$53=1,Hipótesis!$G$44,Hipótesis!$C$53*(1+Hipótesis!$D$45)^4)*(1+Hipótesis!$D$42),0)</f>
        <v>-0</v>
      </c>
      <c r="BJ49" s="109" t="n">
        <f aca="false">-IF(AND(60&gt;=Hipótesis!$D$53,Hipótesis!$B$53=1),IF(Hipótesis!$G$53=1,Hipótesis!$G$44,Hipótesis!$C$53*(1+Hipótesis!$D$45)^4)*(1+Hipótesis!$D$42),0)</f>
        <v>-0</v>
      </c>
      <c r="BK49" s="109" t="n">
        <f aca="false">-IF(AND(61&gt;=Hipótesis!$D$53,Hipótesis!$B$53=1),IF(Hipótesis!$G$53=1,Hipótesis!$H$44,Hipótesis!$C$53*(1+Hipótesis!$D$45)^5)*(1+Hipótesis!$D$42),0)</f>
        <v>-0</v>
      </c>
      <c r="BL49" s="109" t="n">
        <f aca="false">-IF(AND(62&gt;=Hipótesis!$D$53,Hipótesis!$B$53=1),IF(Hipótesis!$G$53=1,Hipótesis!$H$44,Hipótesis!$C$53*(1+Hipótesis!$D$45)^5)*(1+Hipótesis!$D$42),0)</f>
        <v>-0</v>
      </c>
      <c r="BM49" s="109" t="n">
        <f aca="false">-IF(AND(63&gt;=Hipótesis!$D$53,Hipótesis!$B$53=1),IF(Hipótesis!$G$53=1,Hipótesis!$H$44,Hipótesis!$C$53*(1+Hipótesis!$D$45)^5)*(1+Hipótesis!$D$42),0)</f>
        <v>-0</v>
      </c>
      <c r="BN49" s="109" t="n">
        <f aca="false">-IF(AND(64&gt;=Hipótesis!$D$53,Hipótesis!$B$53=1),IF(Hipótesis!$G$53=1,Hipótesis!$H$44,Hipótesis!$C$53*(1+Hipótesis!$D$45)^5)*(1+Hipótesis!$D$42),0)</f>
        <v>-0</v>
      </c>
      <c r="BO49" s="109" t="n">
        <f aca="false">-IF(AND(65&gt;=Hipótesis!$D$53,Hipótesis!$B$53=1),IF(Hipótesis!$G$53=1,Hipótesis!$H$44,Hipótesis!$C$53*(1+Hipótesis!$D$45)^5)*(1+Hipótesis!$D$42),0)</f>
        <v>-0</v>
      </c>
      <c r="BP49" s="109" t="n">
        <f aca="false">-IF(AND(66&gt;=Hipótesis!$D$53,Hipótesis!$B$53=1),IF(Hipótesis!$G$53=1,Hipótesis!$H$44,Hipótesis!$C$53*(1+Hipótesis!$D$45)^5)*(1+Hipótesis!$D$42),0)</f>
        <v>-0</v>
      </c>
      <c r="BQ49" s="109" t="n">
        <f aca="false">-IF(AND(67&gt;=Hipótesis!$D$53,Hipótesis!$B$53=1),IF(Hipótesis!$G$53=1,Hipótesis!$H$44,Hipótesis!$C$53*(1+Hipótesis!$D$45)^5)*(1+Hipótesis!$D$42),0)</f>
        <v>-0</v>
      </c>
      <c r="BR49" s="109" t="n">
        <f aca="false">-IF(AND(68&gt;=Hipótesis!$D$53,Hipótesis!$B$53=1),IF(Hipótesis!$G$53=1,Hipótesis!$H$44,Hipótesis!$C$53*(1+Hipótesis!$D$45)^5)*(1+Hipótesis!$D$42),0)</f>
        <v>-0</v>
      </c>
      <c r="BS49" s="109" t="n">
        <f aca="false">-IF(AND(69&gt;=Hipótesis!$D$53,Hipótesis!$B$53=1),IF(Hipótesis!$G$53=1,Hipótesis!$H$44,Hipótesis!$C$53*(1+Hipótesis!$D$45)^5)*(1+Hipótesis!$D$42),0)</f>
        <v>-0</v>
      </c>
      <c r="BT49" s="109" t="n">
        <f aca="false">-IF(AND(70&gt;=Hipótesis!$D$53,Hipótesis!$B$53=1),IF(Hipótesis!$G$53=1,Hipótesis!$H$44,Hipótesis!$C$53*(1+Hipótesis!$D$45)^5)*(1+Hipótesis!$D$42),0)</f>
        <v>-0</v>
      </c>
      <c r="BU49" s="109" t="n">
        <f aca="false">-IF(AND(71&gt;=Hipótesis!$D$53,Hipótesis!$B$53=1),IF(Hipótesis!$G$53=1,Hipótesis!$H$44,Hipótesis!$C$53*(1+Hipótesis!$D$45)^5)*(1+Hipótesis!$D$42),0)</f>
        <v>-0</v>
      </c>
      <c r="BV49" s="109" t="n">
        <f aca="false">-IF(AND(72&gt;=Hipótesis!$D$53,Hipótesis!$B$53=1),IF(Hipótesis!$G$53=1,Hipótesis!$H$44,Hipótesis!$C$53*(1+Hipótesis!$D$45)^5)*(1+Hipótesis!$D$42),0)</f>
        <v>-0</v>
      </c>
      <c r="BW49" s="109" t="n">
        <f aca="false">-IF(AND(73&gt;=Hipótesis!$D$53,Hipótesis!$B$53=1),IF(Hipótesis!$G$53=1,Hipótesis!$I$44,Hipótesis!$C$53*(1+Hipótesis!$D$45)^6)*(1+Hipótesis!$D$42),0)</f>
        <v>-0</v>
      </c>
      <c r="BX49" s="109" t="n">
        <f aca="false">-IF(AND(74&gt;=Hipótesis!$D$53,Hipótesis!$B$53=1),IF(Hipótesis!$G$53=1,Hipótesis!$I$44,Hipótesis!$C$53*(1+Hipótesis!$D$45)^6)*(1+Hipótesis!$D$42),0)</f>
        <v>-0</v>
      </c>
      <c r="BY49" s="109" t="n">
        <f aca="false">-IF(AND(75&gt;=Hipótesis!$D$53,Hipótesis!$B$53=1),IF(Hipótesis!$G$53=1,Hipótesis!$I$44,Hipótesis!$C$53*(1+Hipótesis!$D$45)^6)*(1+Hipótesis!$D$42),0)</f>
        <v>-0</v>
      </c>
      <c r="BZ49" s="109" t="n">
        <f aca="false">-IF(AND(76&gt;=Hipótesis!$D$53,Hipótesis!$B$53=1),IF(Hipótesis!$G$53=1,Hipótesis!$I$44,Hipótesis!$C$53*(1+Hipótesis!$D$45)^6)*(1+Hipótesis!$D$42),0)</f>
        <v>-0</v>
      </c>
      <c r="CA49" s="109" t="n">
        <f aca="false">-IF(AND(77&gt;=Hipótesis!$D$53,Hipótesis!$B$53=1),IF(Hipótesis!$G$53=1,Hipótesis!$I$44,Hipótesis!$C$53*(1+Hipótesis!$D$45)^6)*(1+Hipótesis!$D$42),0)</f>
        <v>-0</v>
      </c>
      <c r="CB49" s="109" t="n">
        <f aca="false">-IF(AND(78&gt;=Hipótesis!$D$53,Hipótesis!$B$53=1),IF(Hipótesis!$G$53=1,Hipótesis!$I$44,Hipótesis!$C$53*(1+Hipótesis!$D$45)^6)*(1+Hipótesis!$D$42),0)</f>
        <v>-0</v>
      </c>
      <c r="CC49" s="109" t="n">
        <f aca="false">-IF(AND(79&gt;=Hipótesis!$D$53,Hipótesis!$B$53=1),IF(Hipótesis!$G$53=1,Hipótesis!$I$44,Hipótesis!$C$53*(1+Hipótesis!$D$45)^6)*(1+Hipótesis!$D$42),0)</f>
        <v>-0</v>
      </c>
      <c r="CD49" s="109" t="n">
        <f aca="false">-IF(AND(80&gt;=Hipótesis!$D$53,Hipótesis!$B$53=1),IF(Hipótesis!$G$53=1,Hipótesis!$I$44,Hipótesis!$C$53*(1+Hipótesis!$D$45)^6)*(1+Hipótesis!$D$42),0)</f>
        <v>-0</v>
      </c>
      <c r="CE49" s="109" t="n">
        <f aca="false">-IF(AND(81&gt;=Hipótesis!$D$53,Hipótesis!$B$53=1),IF(Hipótesis!$G$53=1,Hipótesis!$I$44,Hipótesis!$C$53*(1+Hipótesis!$D$45)^6)*(1+Hipótesis!$D$42),0)</f>
        <v>-0</v>
      </c>
      <c r="CF49" s="109" t="n">
        <f aca="false">-IF(AND(82&gt;=Hipótesis!$D$53,Hipótesis!$B$53=1),IF(Hipótesis!$G$53=1,Hipótesis!$I$44,Hipótesis!$C$53*(1+Hipótesis!$D$45)^6)*(1+Hipótesis!$D$42),0)</f>
        <v>-0</v>
      </c>
      <c r="CG49" s="109" t="n">
        <f aca="false">-IF(AND(83&gt;=Hipótesis!$D$53,Hipótesis!$B$53=1),IF(Hipótesis!$G$53=1,Hipótesis!$I$44,Hipótesis!$C$53*(1+Hipótesis!$D$45)^6)*(1+Hipótesis!$D$42),0)</f>
        <v>-0</v>
      </c>
      <c r="CH49" s="109" t="n">
        <f aca="false">-IF(AND(84&gt;=Hipótesis!$D$53,Hipótesis!$B$53=1),IF(Hipótesis!$G$53=1,Hipótesis!$I$44,Hipótesis!$C$53*(1+Hipótesis!$D$45)^6)*(1+Hipótesis!$D$42),0)</f>
        <v>-0</v>
      </c>
    </row>
    <row r="50" customFormat="false" ht="13.5" hidden="false" customHeight="true" outlineLevel="0" collapsed="false">
      <c r="A50" s="22" t="s">
        <v>555</v>
      </c>
      <c r="C50" s="109" t="n">
        <f aca="false">-C30*Hipótesis!$D$61*(1+Hipótesis!$D$45)^0*(1+Hipótesis!$D$42)</f>
        <v>-0</v>
      </c>
      <c r="D50" s="109" t="n">
        <f aca="false">-D30*Hipótesis!$D$61*(1+Hipótesis!$D$45)^0*(1+Hipótesis!$D$42)</f>
        <v>-0</v>
      </c>
      <c r="E50" s="109" t="n">
        <f aca="false">-E30*Hipótesis!$D$61*(1+Hipótesis!$D$45)^0*(1+Hipótesis!$D$42)</f>
        <v>-0</v>
      </c>
      <c r="F50" s="109" t="n">
        <f aca="false">-F30*Hipótesis!$D$61*(1+Hipótesis!$D$45)^0*(1+Hipótesis!$D$42)</f>
        <v>-0</v>
      </c>
      <c r="G50" s="109" t="n">
        <f aca="false">-G30*Hipótesis!$D$61*(1+Hipótesis!$D$45)^0*(1+Hipótesis!$D$42)</f>
        <v>-0</v>
      </c>
      <c r="H50" s="109" t="n">
        <f aca="false">-H30*Hipótesis!$D$61*(1+Hipótesis!$D$45)^0*(1+Hipótesis!$D$42)</f>
        <v>-0</v>
      </c>
      <c r="I50" s="109" t="n">
        <f aca="false">-I30*Hipótesis!$D$61*(1+Hipótesis!$D$45)^0*(1+Hipótesis!$D$42)</f>
        <v>-0</v>
      </c>
      <c r="J50" s="109" t="n">
        <f aca="false">-J30*Hipótesis!$D$61*(1+Hipótesis!$D$45)^0*(1+Hipótesis!$D$42)</f>
        <v>-0</v>
      </c>
      <c r="K50" s="109" t="n">
        <f aca="false">-K30*Hipótesis!$D$61*(1+Hipótesis!$D$45)^0*(1+Hipótesis!$D$42)</f>
        <v>-0</v>
      </c>
      <c r="L50" s="109" t="n">
        <f aca="false">-L30*Hipótesis!$D$61*(1+Hipótesis!$D$45)^0*(1+Hipótesis!$D$42)</f>
        <v>-0</v>
      </c>
      <c r="M50" s="109" t="n">
        <f aca="false">-M30*Hipótesis!$D$61*(1+Hipótesis!$D$45)^0*(1+Hipótesis!$D$42)</f>
        <v>-0</v>
      </c>
      <c r="N50" s="109" t="n">
        <f aca="false">-N30*Hipótesis!$D$61*(1+Hipótesis!$D$45)^0*(1+Hipótesis!$D$42)</f>
        <v>-0</v>
      </c>
      <c r="O50" s="109" t="n">
        <f aca="false">-O30*Hipótesis!$D$61*(1+Hipótesis!$D$45)^1*(1+Hipótesis!$D$42)</f>
        <v>-0</v>
      </c>
      <c r="P50" s="109" t="n">
        <f aca="false">-P30*Hipótesis!$D$61*(1+Hipótesis!$D$45)^1*(1+Hipótesis!$D$42)</f>
        <v>-2311.32</v>
      </c>
      <c r="Q50" s="109" t="n">
        <f aca="false">-Q30*Hipótesis!$D$61*(1+Hipótesis!$D$45)^1*(1+Hipótesis!$D$42)</f>
        <v>-2311.32</v>
      </c>
      <c r="R50" s="109" t="n">
        <f aca="false">-R30*Hipótesis!$D$61*(1+Hipótesis!$D$45)^1*(1+Hipótesis!$D$42)</f>
        <v>-2311.32</v>
      </c>
      <c r="S50" s="109" t="n">
        <f aca="false">-S30*Hipótesis!$D$61*(1+Hipótesis!$D$45)^1*(1+Hipótesis!$D$42)</f>
        <v>-2311.32</v>
      </c>
      <c r="T50" s="109" t="n">
        <f aca="false">-T30*Hipótesis!$D$61*(1+Hipótesis!$D$45)^1*(1+Hipótesis!$D$42)</f>
        <v>-2311.32</v>
      </c>
      <c r="U50" s="109" t="n">
        <f aca="false">-U30*Hipótesis!$D$61*(1+Hipótesis!$D$45)^1*(1+Hipótesis!$D$42)</f>
        <v>-4622.64</v>
      </c>
      <c r="V50" s="109" t="n">
        <f aca="false">-V30*Hipótesis!$D$61*(1+Hipótesis!$D$45)^1*(1+Hipótesis!$D$42)</f>
        <v>-4622.64</v>
      </c>
      <c r="W50" s="109" t="n">
        <f aca="false">-W30*Hipótesis!$D$61*(1+Hipótesis!$D$45)^1*(1+Hipótesis!$D$42)</f>
        <v>-4622.64</v>
      </c>
      <c r="X50" s="109" t="n">
        <f aca="false">-X30*Hipótesis!$D$61*(1+Hipótesis!$D$45)^1*(1+Hipótesis!$D$42)</f>
        <v>-4622.64</v>
      </c>
      <c r="Y50" s="109" t="n">
        <f aca="false">-Y30*Hipótesis!$D$61*(1+Hipótesis!$D$45)^1*(1+Hipótesis!$D$42)</f>
        <v>-4622.64</v>
      </c>
      <c r="Z50" s="109" t="n">
        <f aca="false">-Z30*Hipótesis!$D$61*(1+Hipótesis!$D$45)^1*(1+Hipótesis!$D$42)</f>
        <v>-4622.64</v>
      </c>
      <c r="AA50" s="109" t="n">
        <f aca="false">-AA30*Hipótesis!$D$61*(1+Hipótesis!$D$45)^2*(1+Hipótesis!$D$42)</f>
        <v>-4761.3192</v>
      </c>
      <c r="AB50" s="109" t="n">
        <f aca="false">-AB30*Hipótesis!$D$61*(1+Hipótesis!$D$45)^2*(1+Hipótesis!$D$42)</f>
        <v>-7141.9788</v>
      </c>
      <c r="AC50" s="109" t="n">
        <f aca="false">-AC30*Hipótesis!$D$61*(1+Hipótesis!$D$45)^2*(1+Hipótesis!$D$42)</f>
        <v>-7141.9788</v>
      </c>
      <c r="AD50" s="109" t="n">
        <f aca="false">-AD30*Hipótesis!$D$61*(1+Hipótesis!$D$45)^2*(1+Hipótesis!$D$42)</f>
        <v>-7141.9788</v>
      </c>
      <c r="AE50" s="109" t="n">
        <f aca="false">-AE30*Hipótesis!$D$61*(1+Hipótesis!$D$45)^2*(1+Hipótesis!$D$42)</f>
        <v>-7141.9788</v>
      </c>
      <c r="AF50" s="109" t="n">
        <f aca="false">-AF30*Hipótesis!$D$61*(1+Hipótesis!$D$45)^2*(1+Hipótesis!$D$42)</f>
        <v>-7141.9788</v>
      </c>
      <c r="AG50" s="109" t="n">
        <f aca="false">-AG30*Hipótesis!$D$61*(1+Hipótesis!$D$45)^2*(1+Hipótesis!$D$42)</f>
        <v>-7141.9788</v>
      </c>
      <c r="AH50" s="109" t="n">
        <f aca="false">-AH30*Hipótesis!$D$61*(1+Hipótesis!$D$45)^2*(1+Hipótesis!$D$42)</f>
        <v>-7141.9788</v>
      </c>
      <c r="AI50" s="109" t="n">
        <f aca="false">-AI30*Hipótesis!$D$61*(1+Hipótesis!$D$45)^2*(1+Hipótesis!$D$42)</f>
        <v>-7141.9788</v>
      </c>
      <c r="AJ50" s="109" t="n">
        <f aca="false">-AJ30*Hipótesis!$D$61*(1+Hipótesis!$D$45)^2*(1+Hipótesis!$D$42)</f>
        <v>-7141.9788</v>
      </c>
      <c r="AK50" s="109" t="n">
        <f aca="false">-AK30*Hipótesis!$D$61*(1+Hipótesis!$D$45)^2*(1+Hipótesis!$D$42)</f>
        <v>-7141.9788</v>
      </c>
      <c r="AL50" s="109" t="n">
        <f aca="false">-AL30*Hipótesis!$D$61*(1+Hipótesis!$D$45)^2*(1+Hipótesis!$D$42)</f>
        <v>-7141.9788</v>
      </c>
      <c r="AM50" s="109" t="n">
        <f aca="false">-AM30*Hipótesis!$D$61*(1+Hipótesis!$D$45)^3*(1+Hipótesis!$D$42)</f>
        <v>-9808.317552</v>
      </c>
      <c r="AN50" s="109" t="n">
        <f aca="false">-AN30*Hipótesis!$D$61*(1+Hipótesis!$D$45)^3*(1+Hipótesis!$D$42)</f>
        <v>-9808.317552</v>
      </c>
      <c r="AO50" s="109" t="n">
        <f aca="false">-AO30*Hipótesis!$D$61*(1+Hipótesis!$D$45)^3*(1+Hipótesis!$D$42)</f>
        <v>-9808.317552</v>
      </c>
      <c r="AP50" s="109" t="n">
        <f aca="false">-AP30*Hipótesis!$D$61*(1+Hipótesis!$D$45)^3*(1+Hipótesis!$D$42)</f>
        <v>-9808.317552</v>
      </c>
      <c r="AQ50" s="109" t="n">
        <f aca="false">-AQ30*Hipótesis!$D$61*(1+Hipótesis!$D$45)^3*(1+Hipótesis!$D$42)</f>
        <v>-9808.317552</v>
      </c>
      <c r="AR50" s="109" t="n">
        <f aca="false">-AR30*Hipótesis!$D$61*(1+Hipótesis!$D$45)^3*(1+Hipótesis!$D$42)</f>
        <v>-9808.317552</v>
      </c>
      <c r="AS50" s="109" t="n">
        <f aca="false">-AS30*Hipótesis!$D$61*(1+Hipótesis!$D$45)^3*(1+Hipótesis!$D$42)</f>
        <v>-9808.317552</v>
      </c>
      <c r="AT50" s="109" t="n">
        <f aca="false">-AT30*Hipótesis!$D$61*(1+Hipótesis!$D$45)^3*(1+Hipótesis!$D$42)</f>
        <v>-9808.317552</v>
      </c>
      <c r="AU50" s="109" t="n">
        <f aca="false">-AU30*Hipótesis!$D$61*(1+Hipótesis!$D$45)^3*(1+Hipótesis!$D$42)</f>
        <v>-9808.317552</v>
      </c>
      <c r="AV50" s="109" t="n">
        <f aca="false">-AV30*Hipótesis!$D$61*(1+Hipótesis!$D$45)^3*(1+Hipótesis!$D$42)</f>
        <v>-9808.317552</v>
      </c>
      <c r="AW50" s="109" t="n">
        <f aca="false">-AW30*Hipótesis!$D$61*(1+Hipótesis!$D$45)^3*(1+Hipótesis!$D$42)</f>
        <v>-9808.317552</v>
      </c>
      <c r="AX50" s="109" t="n">
        <f aca="false">-AX30*Hipótesis!$D$61*(1+Hipótesis!$D$45)^3*(1+Hipótesis!$D$42)</f>
        <v>-9808.317552</v>
      </c>
      <c r="AY50" s="109" t="n">
        <f aca="false">-AY30*Hipótesis!$D$61*(1+Hipótesis!$D$45)^4*(1+Hipótesis!$D$42)</f>
        <v>-10102.56707856</v>
      </c>
      <c r="AZ50" s="109" t="n">
        <f aca="false">-AZ30*Hipótesis!$D$61*(1+Hipótesis!$D$45)^4*(1+Hipótesis!$D$42)</f>
        <v>-10102.56707856</v>
      </c>
      <c r="BA50" s="109" t="n">
        <f aca="false">-BA30*Hipótesis!$D$61*(1+Hipótesis!$D$45)^4*(1+Hipótesis!$D$42)</f>
        <v>-10102.56707856</v>
      </c>
      <c r="BB50" s="109" t="n">
        <f aca="false">-BB30*Hipótesis!$D$61*(1+Hipótesis!$D$45)^4*(1+Hipótesis!$D$42)</f>
        <v>-10102.56707856</v>
      </c>
      <c r="BC50" s="109" t="n">
        <f aca="false">-BC30*Hipótesis!$D$61*(1+Hipótesis!$D$45)^4*(1+Hipótesis!$D$42)</f>
        <v>-10102.56707856</v>
      </c>
      <c r="BD50" s="109" t="n">
        <f aca="false">-BD30*Hipótesis!$D$61*(1+Hipótesis!$D$45)^4*(1+Hipótesis!$D$42)</f>
        <v>-10102.56707856</v>
      </c>
      <c r="BE50" s="109" t="n">
        <f aca="false">-BE30*Hipótesis!$D$61*(1+Hipótesis!$D$45)^4*(1+Hipótesis!$D$42)</f>
        <v>-10102.56707856</v>
      </c>
      <c r="BF50" s="109" t="n">
        <f aca="false">-BF30*Hipótesis!$D$61*(1+Hipótesis!$D$45)^4*(1+Hipótesis!$D$42)</f>
        <v>-10102.56707856</v>
      </c>
      <c r="BG50" s="109" t="n">
        <f aca="false">-BG30*Hipótesis!$D$61*(1+Hipótesis!$D$45)^4*(1+Hipótesis!$D$42)</f>
        <v>-10102.56707856</v>
      </c>
      <c r="BH50" s="109" t="n">
        <f aca="false">-BH30*Hipótesis!$D$61*(1+Hipótesis!$D$45)^4*(1+Hipótesis!$D$42)</f>
        <v>-10102.56707856</v>
      </c>
      <c r="BI50" s="109" t="n">
        <f aca="false">-BI30*Hipótesis!$D$61*(1+Hipótesis!$D$45)^4*(1+Hipótesis!$D$42)</f>
        <v>-10102.56707856</v>
      </c>
      <c r="BJ50" s="109" t="n">
        <f aca="false">-BJ30*Hipótesis!$D$61*(1+Hipótesis!$D$45)^4*(1+Hipótesis!$D$42)</f>
        <v>-10102.56707856</v>
      </c>
      <c r="BK50" s="109" t="n">
        <f aca="false">-BK30*Hipótesis!$D$61*(1+Hipótesis!$D$45)^5*(1+Hipótesis!$D$42)</f>
        <v>-10405.6440909168</v>
      </c>
      <c r="BL50" s="109" t="n">
        <f aca="false">-BL30*Hipótesis!$D$61*(1+Hipótesis!$D$45)^5*(1+Hipótesis!$D$42)</f>
        <v>-10405.6440909168</v>
      </c>
      <c r="BM50" s="109" t="n">
        <f aca="false">-BM30*Hipótesis!$D$61*(1+Hipótesis!$D$45)^5*(1+Hipótesis!$D$42)</f>
        <v>-10405.6440909168</v>
      </c>
      <c r="BN50" s="109" t="n">
        <f aca="false">-BN30*Hipótesis!$D$61*(1+Hipótesis!$D$45)^5*(1+Hipótesis!$D$42)</f>
        <v>-10405.6440909168</v>
      </c>
      <c r="BO50" s="109" t="n">
        <f aca="false">-BO30*Hipótesis!$D$61*(1+Hipótesis!$D$45)^5*(1+Hipótesis!$D$42)</f>
        <v>-10405.6440909168</v>
      </c>
      <c r="BP50" s="109" t="n">
        <f aca="false">-BP30*Hipótesis!$D$61*(1+Hipótesis!$D$45)^5*(1+Hipótesis!$D$42)</f>
        <v>-10405.6440909168</v>
      </c>
      <c r="BQ50" s="109" t="n">
        <f aca="false">-BQ30*Hipótesis!$D$61*(1+Hipótesis!$D$45)^5*(1+Hipótesis!$D$42)</f>
        <v>-10405.6440909168</v>
      </c>
      <c r="BR50" s="109" t="n">
        <f aca="false">-BR30*Hipótesis!$D$61*(1+Hipótesis!$D$45)^5*(1+Hipótesis!$D$42)</f>
        <v>-10405.6440909168</v>
      </c>
      <c r="BS50" s="109" t="n">
        <f aca="false">-BS30*Hipótesis!$D$61*(1+Hipótesis!$D$45)^5*(1+Hipótesis!$D$42)</f>
        <v>-10405.6440909168</v>
      </c>
      <c r="BT50" s="109" t="n">
        <f aca="false">-BT30*Hipótesis!$D$61*(1+Hipótesis!$D$45)^5*(1+Hipótesis!$D$42)</f>
        <v>-10405.6440909168</v>
      </c>
      <c r="BU50" s="109" t="n">
        <f aca="false">-BU30*Hipótesis!$D$61*(1+Hipótesis!$D$45)^5*(1+Hipótesis!$D$42)</f>
        <v>-10405.6440909168</v>
      </c>
      <c r="BV50" s="109" t="n">
        <f aca="false">-BV30*Hipótesis!$D$61*(1+Hipótesis!$D$45)^5*(1+Hipótesis!$D$42)</f>
        <v>-10405.6440909168</v>
      </c>
      <c r="BW50" s="109" t="n">
        <f aca="false">-BW30*Hipótesis!$D$61*(1+Hipótesis!$D$45)^6*(1+Hipótesis!$D$42)</f>
        <v>-10717.8134136443</v>
      </c>
      <c r="BX50" s="109" t="n">
        <f aca="false">-BX30*Hipótesis!$D$61*(1+Hipótesis!$D$45)^6*(1+Hipótesis!$D$42)</f>
        <v>-10717.8134136443</v>
      </c>
      <c r="BY50" s="109" t="n">
        <f aca="false">-BY30*Hipótesis!$D$61*(1+Hipótesis!$D$45)^6*(1+Hipótesis!$D$42)</f>
        <v>-10717.8134136443</v>
      </c>
      <c r="BZ50" s="109" t="n">
        <f aca="false">-BZ30*Hipótesis!$D$61*(1+Hipótesis!$D$45)^6*(1+Hipótesis!$D$42)</f>
        <v>-10717.8134136443</v>
      </c>
      <c r="CA50" s="109" t="n">
        <f aca="false">-CA30*Hipótesis!$D$61*(1+Hipótesis!$D$45)^6*(1+Hipótesis!$D$42)</f>
        <v>-10717.8134136443</v>
      </c>
      <c r="CB50" s="109" t="n">
        <f aca="false">-CB30*Hipótesis!$D$61*(1+Hipótesis!$D$45)^6*(1+Hipótesis!$D$42)</f>
        <v>-10717.8134136443</v>
      </c>
      <c r="CC50" s="109" t="n">
        <f aca="false">-CC30*Hipótesis!$D$61*(1+Hipótesis!$D$45)^6*(1+Hipótesis!$D$42)</f>
        <v>-10717.8134136443</v>
      </c>
      <c r="CD50" s="109" t="n">
        <f aca="false">-CD30*Hipótesis!$D$61*(1+Hipótesis!$D$45)^6*(1+Hipótesis!$D$42)</f>
        <v>-10717.8134136443</v>
      </c>
      <c r="CE50" s="109" t="n">
        <f aca="false">-CE30*Hipótesis!$D$61*(1+Hipótesis!$D$45)^6*(1+Hipótesis!$D$42)</f>
        <v>-10717.8134136443</v>
      </c>
      <c r="CF50" s="109" t="n">
        <f aca="false">-CF30*Hipótesis!$D$61*(1+Hipótesis!$D$45)^6*(1+Hipótesis!$D$42)</f>
        <v>-10717.8134136443</v>
      </c>
      <c r="CG50" s="109" t="n">
        <f aca="false">-CG30*Hipótesis!$D$61*(1+Hipótesis!$D$45)^6*(1+Hipótesis!$D$42)</f>
        <v>-10717.8134136443</v>
      </c>
      <c r="CH50" s="109" t="n">
        <f aca="false">-CH30*Hipótesis!$D$61*(1+Hipótesis!$D$45)^6*(1+Hipótesis!$D$42)</f>
        <v>-10717.8134136443</v>
      </c>
    </row>
    <row r="51" customFormat="false" ht="13.5" hidden="false" customHeight="true" outlineLevel="0" collapsed="false">
      <c r="A51" s="22" t="s">
        <v>556</v>
      </c>
      <c r="C51" s="109" t="n">
        <f aca="false">SUM(C44:C49)+C50</f>
        <v>-11352</v>
      </c>
      <c r="D51" s="109" t="n">
        <f aca="false">SUM(D44:D49)+D50</f>
        <v>-11352</v>
      </c>
      <c r="E51" s="109" t="n">
        <f aca="false">SUM(E44:E49)+E50</f>
        <v>-11352</v>
      </c>
      <c r="F51" s="109" t="n">
        <f aca="false">SUM(F44:F49)+F50</f>
        <v>-11352</v>
      </c>
      <c r="G51" s="109" t="n">
        <f aca="false">SUM(G44:G49)+G50</f>
        <v>-11352</v>
      </c>
      <c r="H51" s="109" t="n">
        <f aca="false">SUM(H44:H49)+H50</f>
        <v>-11352</v>
      </c>
      <c r="I51" s="109" t="n">
        <f aca="false">SUM(I44:I49)+I50</f>
        <v>-11352</v>
      </c>
      <c r="J51" s="109" t="n">
        <f aca="false">SUM(J44:J49)+J50</f>
        <v>-11352</v>
      </c>
      <c r="K51" s="109" t="n">
        <f aca="false">SUM(K44:K49)+K50</f>
        <v>-11352</v>
      </c>
      <c r="L51" s="109" t="n">
        <f aca="false">SUM(L44:L49)+L50</f>
        <v>-11352</v>
      </c>
      <c r="M51" s="109" t="n">
        <f aca="false">SUM(M44:M49)+M50</f>
        <v>-11352</v>
      </c>
      <c r="N51" s="109" t="n">
        <f aca="false">SUM(N44:N49)+N50</f>
        <v>-11352</v>
      </c>
      <c r="O51" s="109" t="n">
        <f aca="false">SUM(O44:O49)+O50</f>
        <v>-16579.2</v>
      </c>
      <c r="P51" s="109" t="n">
        <f aca="false">SUM(P44:P49)+P50</f>
        <v>-18890.52</v>
      </c>
      <c r="Q51" s="109" t="n">
        <f aca="false">SUM(Q44:Q49)+Q50</f>
        <v>-18890.52</v>
      </c>
      <c r="R51" s="109" t="n">
        <f aca="false">SUM(R44:R49)+R50</f>
        <v>-18890.52</v>
      </c>
      <c r="S51" s="109" t="n">
        <f aca="false">SUM(S44:S49)+S50</f>
        <v>-18890.52</v>
      </c>
      <c r="T51" s="109" t="n">
        <f aca="false">SUM(T44:T49)+T50</f>
        <v>-18890.52</v>
      </c>
      <c r="U51" s="109" t="n">
        <f aca="false">SUM(U44:U49)+U50</f>
        <v>-21201.84</v>
      </c>
      <c r="V51" s="109" t="n">
        <f aca="false">SUM(V44:V49)+V50</f>
        <v>-23921.04</v>
      </c>
      <c r="W51" s="109" t="n">
        <f aca="false">SUM(W44:W49)+W50</f>
        <v>-23921.04</v>
      </c>
      <c r="X51" s="109" t="n">
        <f aca="false">SUM(X44:X49)+X50</f>
        <v>-23921.04</v>
      </c>
      <c r="Y51" s="109" t="n">
        <f aca="false">SUM(Y44:Y49)+Y50</f>
        <v>-23921.04</v>
      </c>
      <c r="Z51" s="109" t="n">
        <f aca="false">SUM(Z44:Z49)+Z50</f>
        <v>-23921.04</v>
      </c>
      <c r="AA51" s="109" t="n">
        <f aca="false">SUM(AA44:AA49)+AA50</f>
        <v>-26202.8712</v>
      </c>
      <c r="AB51" s="109" t="n">
        <f aca="false">SUM(AB44:AB49)+AB50</f>
        <v>-28583.5308</v>
      </c>
      <c r="AC51" s="109" t="n">
        <f aca="false">SUM(AC44:AC49)+AC50</f>
        <v>-28583.5308</v>
      </c>
      <c r="AD51" s="109" t="n">
        <f aca="false">SUM(AD44:AD49)+AD50</f>
        <v>-28583.5308</v>
      </c>
      <c r="AE51" s="109" t="n">
        <f aca="false">SUM(AE44:AE49)+AE50</f>
        <v>-28583.5308</v>
      </c>
      <c r="AF51" s="109" t="n">
        <f aca="false">SUM(AF44:AF49)+AF50</f>
        <v>-28583.5308</v>
      </c>
      <c r="AG51" s="109" t="n">
        <f aca="false">SUM(AG44:AG49)+AG50</f>
        <v>-28583.5308</v>
      </c>
      <c r="AH51" s="109" t="n">
        <f aca="false">SUM(AH44:AH49)+AH50</f>
        <v>-28583.5308</v>
      </c>
      <c r="AI51" s="109" t="n">
        <f aca="false">SUM(AI44:AI49)+AI50</f>
        <v>-28583.5308</v>
      </c>
      <c r="AJ51" s="109" t="n">
        <f aca="false">SUM(AJ44:AJ49)+AJ50</f>
        <v>-28583.5308</v>
      </c>
      <c r="AK51" s="109" t="n">
        <f aca="false">SUM(AK44:AK49)+AK50</f>
        <v>-28583.5308</v>
      </c>
      <c r="AL51" s="109" t="n">
        <f aca="false">SUM(AL44:AL49)+AL50</f>
        <v>-28583.5308</v>
      </c>
      <c r="AM51" s="109" t="n">
        <f aca="false">SUM(AM44:AM49)+AM50</f>
        <v>-33397.916112</v>
      </c>
      <c r="AN51" s="109" t="n">
        <f aca="false">SUM(AN44:AN49)+AN50</f>
        <v>-33397.916112</v>
      </c>
      <c r="AO51" s="109" t="n">
        <f aca="false">SUM(AO44:AO49)+AO50</f>
        <v>-33397.916112</v>
      </c>
      <c r="AP51" s="109" t="n">
        <f aca="false">SUM(AP44:AP49)+AP50</f>
        <v>-33397.916112</v>
      </c>
      <c r="AQ51" s="109" t="n">
        <f aca="false">SUM(AQ44:AQ49)+AQ50</f>
        <v>-33397.916112</v>
      </c>
      <c r="AR51" s="109" t="n">
        <f aca="false">SUM(AR44:AR49)+AR50</f>
        <v>-33397.916112</v>
      </c>
      <c r="AS51" s="109" t="n">
        <f aca="false">SUM(AS44:AS49)+AS50</f>
        <v>-33397.916112</v>
      </c>
      <c r="AT51" s="109" t="n">
        <f aca="false">SUM(AT44:AT49)+AT50</f>
        <v>-33397.916112</v>
      </c>
      <c r="AU51" s="109" t="n">
        <f aca="false">SUM(AU44:AU49)+AU50</f>
        <v>-33397.916112</v>
      </c>
      <c r="AV51" s="109" t="n">
        <f aca="false">SUM(AV44:AV49)+AV50</f>
        <v>-33397.916112</v>
      </c>
      <c r="AW51" s="109" t="n">
        <f aca="false">SUM(AW44:AW49)+AW50</f>
        <v>-33397.916112</v>
      </c>
      <c r="AX51" s="109" t="n">
        <f aca="false">SUM(AX44:AX49)+AX50</f>
        <v>-33397.916112</v>
      </c>
      <c r="AY51" s="109" t="n">
        <f aca="false">SUM(AY44:AY49)+AY50</f>
        <v>-35845.25359536</v>
      </c>
      <c r="AZ51" s="109" t="n">
        <f aca="false">SUM(AZ44:AZ49)+AZ50</f>
        <v>-35845.25359536</v>
      </c>
      <c r="BA51" s="109" t="n">
        <f aca="false">SUM(BA44:BA49)+BA50</f>
        <v>-35845.25359536</v>
      </c>
      <c r="BB51" s="109" t="n">
        <f aca="false">SUM(BB44:BB49)+BB50</f>
        <v>-35845.25359536</v>
      </c>
      <c r="BC51" s="109" t="n">
        <f aca="false">SUM(BC44:BC49)+BC50</f>
        <v>-35845.25359536</v>
      </c>
      <c r="BD51" s="109" t="n">
        <f aca="false">SUM(BD44:BD49)+BD50</f>
        <v>-35845.25359536</v>
      </c>
      <c r="BE51" s="109" t="n">
        <f aca="false">SUM(BE44:BE49)+BE50</f>
        <v>-35845.25359536</v>
      </c>
      <c r="BF51" s="109" t="n">
        <f aca="false">SUM(BF44:BF49)+BF50</f>
        <v>-35845.25359536</v>
      </c>
      <c r="BG51" s="109" t="n">
        <f aca="false">SUM(BG44:BG49)+BG50</f>
        <v>-35845.25359536</v>
      </c>
      <c r="BH51" s="109" t="n">
        <f aca="false">SUM(BH44:BH49)+BH50</f>
        <v>-35845.25359536</v>
      </c>
      <c r="BI51" s="109" t="n">
        <f aca="false">SUM(BI44:BI49)+BI50</f>
        <v>-35845.25359536</v>
      </c>
      <c r="BJ51" s="109" t="n">
        <f aca="false">SUM(BJ44:BJ49)+BJ50</f>
        <v>-35845.25359536</v>
      </c>
      <c r="BK51" s="109" t="n">
        <f aca="false">SUM(BK44:BK49)+BK50</f>
        <v>-38306.6112032208</v>
      </c>
      <c r="BL51" s="109" t="n">
        <f aca="false">SUM(BL44:BL49)+BL50</f>
        <v>-38306.6112032208</v>
      </c>
      <c r="BM51" s="109" t="n">
        <f aca="false">SUM(BM44:BM49)+BM50</f>
        <v>-38306.6112032208</v>
      </c>
      <c r="BN51" s="109" t="n">
        <f aca="false">SUM(BN44:BN49)+BN50</f>
        <v>-38306.6112032208</v>
      </c>
      <c r="BO51" s="109" t="n">
        <f aca="false">SUM(BO44:BO49)+BO50</f>
        <v>-38306.6112032208</v>
      </c>
      <c r="BP51" s="109" t="n">
        <f aca="false">SUM(BP44:BP49)+BP50</f>
        <v>-38306.6112032208</v>
      </c>
      <c r="BQ51" s="109" t="n">
        <f aca="false">SUM(BQ44:BQ49)+BQ50</f>
        <v>-38306.6112032208</v>
      </c>
      <c r="BR51" s="109" t="n">
        <f aca="false">SUM(BR44:BR49)+BR50</f>
        <v>-38306.6112032208</v>
      </c>
      <c r="BS51" s="109" t="n">
        <f aca="false">SUM(BS44:BS49)+BS50</f>
        <v>-38306.6112032208</v>
      </c>
      <c r="BT51" s="109" t="n">
        <f aca="false">SUM(BT44:BT49)+BT50</f>
        <v>-38306.6112032208</v>
      </c>
      <c r="BU51" s="109" t="n">
        <f aca="false">SUM(BU44:BU49)+BU50</f>
        <v>-38306.6112032208</v>
      </c>
      <c r="BV51" s="109" t="n">
        <f aca="false">SUM(BV44:BV49)+BV50</f>
        <v>-38306.6112032208</v>
      </c>
      <c r="BW51" s="109" t="n">
        <f aca="false">SUM(BW44:BW49)+BW50</f>
        <v>-40782.4095393174</v>
      </c>
      <c r="BX51" s="109" t="n">
        <f aca="false">SUM(BX44:BX49)+BX50</f>
        <v>-40782.4095393174</v>
      </c>
      <c r="BY51" s="109" t="n">
        <f aca="false">SUM(BY44:BY49)+BY50</f>
        <v>-40782.4095393174</v>
      </c>
      <c r="BZ51" s="109" t="n">
        <f aca="false">SUM(BZ44:BZ49)+BZ50</f>
        <v>-40782.4095393174</v>
      </c>
      <c r="CA51" s="109" t="n">
        <f aca="false">SUM(CA44:CA49)+CA50</f>
        <v>-40782.4095393174</v>
      </c>
      <c r="CB51" s="109" t="n">
        <f aca="false">SUM(CB44:CB49)+CB50</f>
        <v>-40782.4095393174</v>
      </c>
      <c r="CC51" s="109" t="n">
        <f aca="false">SUM(CC44:CC49)+CC50</f>
        <v>-40782.4095393174</v>
      </c>
      <c r="CD51" s="109" t="n">
        <f aca="false">SUM(CD44:CD49)+CD50</f>
        <v>-40782.4095393174</v>
      </c>
      <c r="CE51" s="109" t="n">
        <f aca="false">SUM(CE44:CE49)+CE50</f>
        <v>-40782.4095393174</v>
      </c>
      <c r="CF51" s="109" t="n">
        <f aca="false">SUM(CF44:CF49)+CF50</f>
        <v>-40782.4095393174</v>
      </c>
      <c r="CG51" s="109" t="n">
        <f aca="false">SUM(CG44:CG49)+CG50</f>
        <v>-40782.4095393174</v>
      </c>
      <c r="CH51" s="109" t="n">
        <f aca="false">SUM(CH44:CH49)+CH50</f>
        <v>-40782.4095393174</v>
      </c>
    </row>
    <row r="52" customFormat="false" ht="13.5" hidden="false" customHeight="true" outlineLevel="0" collapsed="false">
      <c r="A52" s="6" t="s">
        <v>557</v>
      </c>
      <c r="C52" s="109" t="n">
        <f aca="false">-(C26*(1-Logistica!$B$5)*Logistica!$B$7+C26*Logistica!$B$5*Logistica!$B$39)</f>
        <v>-4.78047324930469</v>
      </c>
      <c r="D52" s="109" t="n">
        <f aca="false">-(D26*(1-Logistica!$B$5)*Logistica!$B$7+D26*Logistica!$B$5*Logistica!$B$39)</f>
        <v>-10.5673619195156</v>
      </c>
      <c r="E52" s="109" t="n">
        <f aca="false">-(E26*(1-Logistica!$B$5)*Logistica!$B$7+E26*Logistica!$B$5*Logistica!$B$39)</f>
        <v>-29.1860472062813</v>
      </c>
      <c r="F52" s="109" t="n">
        <f aca="false">-(F26*(1-Logistica!$B$5)*Logistica!$B$7+F26*Logistica!$B$5*Logistica!$B$39)</f>
        <v>-43.0242592437422</v>
      </c>
      <c r="G52" s="109" t="n">
        <f aca="false">-(G26*(1-Logistica!$B$5)*Logistica!$B$7+G26*Logistica!$B$5*Logistica!$B$39)</f>
        <v>-55.8560558602969</v>
      </c>
      <c r="H52" s="109" t="n">
        <f aca="false">-(H26*(1-Logistica!$B$5)*Logistica!$B$7+H26*Logistica!$B$5*Logistica!$B$39)</f>
        <v>-80.2196958414023</v>
      </c>
      <c r="I52" s="109" t="n">
        <f aca="false">-(I26*(1-Logistica!$B$5)*Logistica!$B$7+I26*Logistica!$B$5*Logistica!$B$39)</f>
        <v>-125.571064357234</v>
      </c>
      <c r="J52" s="109" t="n">
        <f aca="false">-(J26*(1-Logistica!$B$5)*Logistica!$B$7+J26*Logistica!$B$5*Logistica!$B$39)</f>
        <v>-170.922432873066</v>
      </c>
      <c r="K52" s="109" t="n">
        <f aca="false">-(K26*(1-Logistica!$B$5)*Logistica!$B$7+K26*Logistica!$B$5*Logistica!$B$39)</f>
        <v>-216.273801388897</v>
      </c>
      <c r="L52" s="109" t="n">
        <f aca="false">-(L26*(1-Logistica!$B$5)*Logistica!$B$7+L26*Logistica!$B$5*Logistica!$B$39)</f>
        <v>-261.625169904729</v>
      </c>
      <c r="M52" s="109" t="n">
        <f aca="false">-(M26*(1-Logistica!$B$5)*Logistica!$B$7+M26*Logistica!$B$5*Logistica!$B$39)</f>
        <v>-294.144741804006</v>
      </c>
      <c r="N52" s="109" t="n">
        <f aca="false">-(N26*(1-Logistica!$B$5)*Logistica!$B$7+N26*Logistica!$B$5*Logistica!$B$39)</f>
        <v>-343.43790405172</v>
      </c>
      <c r="O52" s="109" t="n">
        <f aca="false">-(O26*(1-Logistica!$B$5)*Logistica!$B$7+O26*Logistica!$B$5*Logistica!$B$39)</f>
        <v>-392.731066299435</v>
      </c>
      <c r="P52" s="109" t="n">
        <f aca="false">-(P26*(1-Logistica!$B$5)*Logistica!$B$7+P26*Logistica!$B$5*Logistica!$B$39)</f>
        <v>-437.201821321974</v>
      </c>
      <c r="Q52" s="109" t="n">
        <f aca="false">-(Q26*(1-Logistica!$B$5)*Logistica!$B$7+Q26*Logistica!$B$5*Logistica!$B$39)</f>
        <v>-481.672576344512</v>
      </c>
      <c r="R52" s="109" t="n">
        <f aca="false">-(R26*(1-Logistica!$B$5)*Logistica!$B$7+R26*Logistica!$B$5*Logistica!$B$39)</f>
        <v>-526.143331367051</v>
      </c>
      <c r="S52" s="109" t="n">
        <f aca="false">-(S26*(1-Logistica!$B$5)*Logistica!$B$7+S26*Logistica!$B$5*Logistica!$B$39)</f>
        <v>-570.61408638959</v>
      </c>
      <c r="T52" s="109" t="n">
        <f aca="false">-(T26*(1-Logistica!$B$5)*Logistica!$B$7+T26*Logistica!$B$5*Logistica!$B$39)</f>
        <v>-615.084841412128</v>
      </c>
      <c r="U52" s="109" t="n">
        <f aca="false">-(U26*(1-Logistica!$B$5)*Logistica!$B$7+U26*Logistica!$B$5*Logistica!$B$39)</f>
        <v>-659.555596434667</v>
      </c>
      <c r="V52" s="109" t="n">
        <f aca="false">-(V26*(1-Logistica!$B$5)*Logistica!$B$7+V26*Logistica!$B$5*Logistica!$B$39)</f>
        <v>-704.026351457206</v>
      </c>
      <c r="W52" s="109" t="n">
        <f aca="false">-(W26*(1-Logistica!$B$5)*Logistica!$B$7+W26*Logistica!$B$5*Logistica!$B$39)</f>
        <v>-748.497106479745</v>
      </c>
      <c r="X52" s="109" t="n">
        <f aca="false">-(X26*(1-Logistica!$B$5)*Logistica!$B$7+X26*Logistica!$B$5*Logistica!$B$39)</f>
        <v>-776.194271153846</v>
      </c>
      <c r="Y52" s="109" t="n">
        <f aca="false">-(Y26*(1-Logistica!$B$5)*Logistica!$B$7+Y26*Logistica!$B$5*Logistica!$B$39)</f>
        <v>-803.891435827947</v>
      </c>
      <c r="Z52" s="109" t="n">
        <f aca="false">-(Z26*(1-Logistica!$B$5)*Logistica!$B$7+Z26*Logistica!$B$5*Logistica!$B$39)</f>
        <v>-824.879164362673</v>
      </c>
      <c r="AA52" s="109" t="n">
        <f aca="false">-(AA26*(1-Logistica!$B$5)*Logistica!$B$7+AA26*Logistica!$B$5*Logistica!$B$39)</f>
        <v>-845.8668928974</v>
      </c>
      <c r="AB52" s="109" t="n">
        <f aca="false">-(AB26*(1-Logistica!$B$5)*Logistica!$B$7+AB26*Logistica!$B$5*Logistica!$B$39)</f>
        <v>-866.854621432126</v>
      </c>
      <c r="AC52" s="109" t="n">
        <f aca="false">-(AC26*(1-Logistica!$B$5)*Logistica!$B$7+AC26*Logistica!$B$5*Logistica!$B$39)</f>
        <v>-887.842349966852</v>
      </c>
      <c r="AD52" s="109" t="n">
        <f aca="false">-(AD26*(1-Logistica!$B$5)*Logistica!$B$7+AD26*Logistica!$B$5*Logistica!$B$39)</f>
        <v>-908.830078501578</v>
      </c>
      <c r="AE52" s="109" t="n">
        <f aca="false">-(AE26*(1-Logistica!$B$5)*Logistica!$B$7+AE26*Logistica!$B$5*Logistica!$B$39)</f>
        <v>-929.817807036304</v>
      </c>
      <c r="AF52" s="109" t="n">
        <f aca="false">-(AF26*(1-Logistica!$B$5)*Logistica!$B$7+AF26*Logistica!$B$5*Logistica!$B$39)</f>
        <v>-950.805535571031</v>
      </c>
      <c r="AG52" s="109" t="n">
        <f aca="false">-(AG26*(1-Logistica!$B$5)*Logistica!$B$7+AG26*Logistica!$B$5*Logistica!$B$39)</f>
        <v>-971.793264105757</v>
      </c>
      <c r="AH52" s="109" t="n">
        <f aca="false">-(AH26*(1-Logistica!$B$5)*Logistica!$B$7+AH26*Logistica!$B$5*Logistica!$B$39)</f>
        <v>-992.780992640483</v>
      </c>
      <c r="AI52" s="109" t="n">
        <f aca="false">-(AI26*(1-Logistica!$B$5)*Logistica!$B$7+AI26*Logistica!$B$5*Logistica!$B$39)</f>
        <v>-1013.76872117521</v>
      </c>
      <c r="AJ52" s="109" t="n">
        <f aca="false">-(AJ26*(1-Logistica!$B$5)*Logistica!$B$7+AJ26*Logistica!$B$5*Logistica!$B$39)</f>
        <v>-1034.75644970994</v>
      </c>
      <c r="AK52" s="109" t="n">
        <f aca="false">-(AK26*(1-Logistica!$B$5)*Logistica!$B$7+AK26*Logistica!$B$5*Logistica!$B$39)</f>
        <v>-1055.74417824466</v>
      </c>
      <c r="AL52" s="109" t="n">
        <f aca="false">-(AL26*(1-Logistica!$B$5)*Logistica!$B$7+AL26*Logistica!$B$5*Logistica!$B$39)</f>
        <v>-1076.73190677939</v>
      </c>
      <c r="AM52" s="109" t="n">
        <f aca="false">-(AM26*(1-Logistica!$B$5)*Logistica!$B$7+AM26*Logistica!$B$5*Logistica!$B$39)</f>
        <v>-1097.71963531411</v>
      </c>
      <c r="AN52" s="109" t="n">
        <f aca="false">-(AN26*(1-Logistica!$B$5)*Logistica!$B$7+AN26*Logistica!$B$5*Logistica!$B$39)</f>
        <v>-1118.70736384884</v>
      </c>
      <c r="AO52" s="109" t="n">
        <f aca="false">-(AO26*(1-Logistica!$B$5)*Logistica!$B$7+AO26*Logistica!$B$5*Logistica!$B$39)</f>
        <v>-1139.69509238357</v>
      </c>
      <c r="AP52" s="109" t="n">
        <f aca="false">-(AP26*(1-Logistica!$B$5)*Logistica!$B$7+AP26*Logistica!$B$5*Logistica!$B$39)</f>
        <v>-1160.68282091829</v>
      </c>
      <c r="AQ52" s="109" t="n">
        <f aca="false">-(AQ26*(1-Logistica!$B$5)*Logistica!$B$7+AQ26*Logistica!$B$5*Logistica!$B$39)</f>
        <v>-1181.67054945302</v>
      </c>
      <c r="AR52" s="109" t="n">
        <f aca="false">-(AR26*(1-Logistica!$B$5)*Logistica!$B$7+AR26*Logistica!$B$5*Logistica!$B$39)</f>
        <v>-1202.65827798775</v>
      </c>
      <c r="AS52" s="109" t="n">
        <f aca="false">-(AS26*(1-Logistica!$B$5)*Logistica!$B$7+AS26*Logistica!$B$5*Logistica!$B$39)</f>
        <v>-1202.65827798775</v>
      </c>
      <c r="AT52" s="109" t="n">
        <f aca="false">-(AT26*(1-Logistica!$B$5)*Logistica!$B$7+AT26*Logistica!$B$5*Logistica!$B$39)</f>
        <v>-1202.65827798775</v>
      </c>
      <c r="AU52" s="109" t="n">
        <f aca="false">-(AU26*(1-Logistica!$B$5)*Logistica!$B$7+AU26*Logistica!$B$5*Logistica!$B$39)</f>
        <v>-1202.65827798775</v>
      </c>
      <c r="AV52" s="109" t="n">
        <f aca="false">-(AV26*(1-Logistica!$B$5)*Logistica!$B$7+AV26*Logistica!$B$5*Logistica!$B$39)</f>
        <v>-1202.65827798775</v>
      </c>
      <c r="AW52" s="109" t="n">
        <f aca="false">-(AW26*(1-Logistica!$B$5)*Logistica!$B$7+AW26*Logistica!$B$5*Logistica!$B$39)</f>
        <v>-1202.65827798775</v>
      </c>
      <c r="AX52" s="109" t="n">
        <f aca="false">-(AX26*(1-Logistica!$B$5)*Logistica!$B$7+AX26*Logistica!$B$5*Logistica!$B$39)</f>
        <v>-1202.65827798775</v>
      </c>
      <c r="AY52" s="109" t="n">
        <f aca="false">-(AY26*(1-Logistica!$B$5)*Logistica!$B$7+AY26*Logistica!$B$5*Logistica!$B$39)</f>
        <v>-1202.65827798775</v>
      </c>
      <c r="AZ52" s="109" t="n">
        <f aca="false">-(AZ26*(1-Logistica!$B$5)*Logistica!$B$7+AZ26*Logistica!$B$5*Logistica!$B$39)</f>
        <v>-1202.65827798775</v>
      </c>
      <c r="BA52" s="109" t="n">
        <f aca="false">-(BA26*(1-Logistica!$B$5)*Logistica!$B$7+BA26*Logistica!$B$5*Logistica!$B$39)</f>
        <v>-1202.65827798775</v>
      </c>
      <c r="BB52" s="109" t="n">
        <f aca="false">-(BB26*(1-Logistica!$B$5)*Logistica!$B$7+BB26*Logistica!$B$5*Logistica!$B$39)</f>
        <v>-1202.65827798775</v>
      </c>
      <c r="BC52" s="109" t="n">
        <f aca="false">-(BC26*(1-Logistica!$B$5)*Logistica!$B$7+BC26*Logistica!$B$5*Logistica!$B$39)</f>
        <v>-1202.65827798775</v>
      </c>
      <c r="BD52" s="109" t="n">
        <f aca="false">-(BD26*(1-Logistica!$B$5)*Logistica!$B$7+BD26*Logistica!$B$5*Logistica!$B$39)</f>
        <v>-1202.65827798775</v>
      </c>
      <c r="BE52" s="109" t="n">
        <f aca="false">-(BE26*(1-Logistica!$B$5)*Logistica!$B$7+BE26*Logistica!$B$5*Logistica!$B$39)</f>
        <v>-1202.65827798775</v>
      </c>
      <c r="BF52" s="109" t="n">
        <f aca="false">-(BF26*(1-Logistica!$B$5)*Logistica!$B$7+BF26*Logistica!$B$5*Logistica!$B$39)</f>
        <v>-1202.65827798775</v>
      </c>
      <c r="BG52" s="109" t="n">
        <f aca="false">-(BG26*(1-Logistica!$B$5)*Logistica!$B$7+BG26*Logistica!$B$5*Logistica!$B$39)</f>
        <v>-1202.65827798775</v>
      </c>
      <c r="BH52" s="109" t="n">
        <f aca="false">-(BH26*(1-Logistica!$B$5)*Logistica!$B$7+BH26*Logistica!$B$5*Logistica!$B$39)</f>
        <v>-1202.65827798775</v>
      </c>
      <c r="BI52" s="109" t="n">
        <f aca="false">-(BI26*(1-Logistica!$B$5)*Logistica!$B$7+BI26*Logistica!$B$5*Logistica!$B$39)</f>
        <v>-1202.65827798775</v>
      </c>
      <c r="BJ52" s="109" t="n">
        <f aca="false">-(BJ26*(1-Logistica!$B$5)*Logistica!$B$7+BJ26*Logistica!$B$5*Logistica!$B$39)</f>
        <v>-1202.65827798775</v>
      </c>
      <c r="BK52" s="109" t="n">
        <f aca="false">-(BK26*(1-Logistica!$B$5)*Logistica!$B$7+BK26*Logistica!$B$5*Logistica!$B$39)</f>
        <v>-1202.65827798775</v>
      </c>
      <c r="BL52" s="109" t="n">
        <f aca="false">-(BL26*(1-Logistica!$B$5)*Logistica!$B$7+BL26*Logistica!$B$5*Logistica!$B$39)</f>
        <v>-1202.65827798775</v>
      </c>
      <c r="BM52" s="109" t="n">
        <f aca="false">-(BM26*(1-Logistica!$B$5)*Logistica!$B$7+BM26*Logistica!$B$5*Logistica!$B$39)</f>
        <v>-1202.65827798775</v>
      </c>
      <c r="BN52" s="109" t="n">
        <f aca="false">-(BN26*(1-Logistica!$B$5)*Logistica!$B$7+BN26*Logistica!$B$5*Logistica!$B$39)</f>
        <v>-1202.65827798775</v>
      </c>
      <c r="BO52" s="109" t="n">
        <f aca="false">-(BO26*(1-Logistica!$B$5)*Logistica!$B$7+BO26*Logistica!$B$5*Logistica!$B$39)</f>
        <v>-1202.65827798775</v>
      </c>
      <c r="BP52" s="109" t="n">
        <f aca="false">-(BP26*(1-Logistica!$B$5)*Logistica!$B$7+BP26*Logistica!$B$5*Logistica!$B$39)</f>
        <v>-1202.65827798775</v>
      </c>
      <c r="BQ52" s="109" t="n">
        <f aca="false">-(BQ26*(1-Logistica!$B$5)*Logistica!$B$7+BQ26*Logistica!$B$5*Logistica!$B$39)</f>
        <v>-1202.65827798775</v>
      </c>
      <c r="BR52" s="109" t="n">
        <f aca="false">-(BR26*(1-Logistica!$B$5)*Logistica!$B$7+BR26*Logistica!$B$5*Logistica!$B$39)</f>
        <v>-1202.65827798775</v>
      </c>
      <c r="BS52" s="109" t="n">
        <f aca="false">-(BS26*(1-Logistica!$B$5)*Logistica!$B$7+BS26*Logistica!$B$5*Logistica!$B$39)</f>
        <v>-1202.65827798775</v>
      </c>
      <c r="BT52" s="109" t="n">
        <f aca="false">-(BT26*(1-Logistica!$B$5)*Logistica!$B$7+BT26*Logistica!$B$5*Logistica!$B$39)</f>
        <v>-1202.65827798775</v>
      </c>
      <c r="BU52" s="109" t="n">
        <f aca="false">-(BU26*(1-Logistica!$B$5)*Logistica!$B$7+BU26*Logistica!$B$5*Logistica!$B$39)</f>
        <v>-1202.65827798775</v>
      </c>
      <c r="BV52" s="109" t="n">
        <f aca="false">-(BV26*(1-Logistica!$B$5)*Logistica!$B$7+BV26*Logistica!$B$5*Logistica!$B$39)</f>
        <v>-1202.65827798775</v>
      </c>
      <c r="BW52" s="109" t="n">
        <f aca="false">-(BW26*(1-Logistica!$B$5)*Logistica!$B$7+BW26*Logistica!$B$5*Logistica!$B$39)</f>
        <v>-1202.65827798775</v>
      </c>
      <c r="BX52" s="109" t="n">
        <f aca="false">-(BX26*(1-Logistica!$B$5)*Logistica!$B$7+BX26*Logistica!$B$5*Logistica!$B$39)</f>
        <v>-1202.65827798775</v>
      </c>
      <c r="BY52" s="109" t="n">
        <f aca="false">-(BY26*(1-Logistica!$B$5)*Logistica!$B$7+BY26*Logistica!$B$5*Logistica!$B$39)</f>
        <v>-1202.65827798775</v>
      </c>
      <c r="BZ52" s="109" t="n">
        <f aca="false">-(BZ26*(1-Logistica!$B$5)*Logistica!$B$7+BZ26*Logistica!$B$5*Logistica!$B$39)</f>
        <v>-1202.65827798775</v>
      </c>
      <c r="CA52" s="109" t="n">
        <f aca="false">-(CA26*(1-Logistica!$B$5)*Logistica!$B$7+CA26*Logistica!$B$5*Logistica!$B$39)</f>
        <v>-1202.65827798775</v>
      </c>
      <c r="CB52" s="109" t="n">
        <f aca="false">-(CB26*(1-Logistica!$B$5)*Logistica!$B$7+CB26*Logistica!$B$5*Logistica!$B$39)</f>
        <v>-1202.65827798775</v>
      </c>
      <c r="CC52" s="109" t="n">
        <f aca="false">-(CC26*(1-Logistica!$B$5)*Logistica!$B$7+CC26*Logistica!$B$5*Logistica!$B$39)</f>
        <v>-1202.65827798775</v>
      </c>
      <c r="CD52" s="109" t="n">
        <f aca="false">-(CD26*(1-Logistica!$B$5)*Logistica!$B$7+CD26*Logistica!$B$5*Logistica!$B$39)</f>
        <v>-1202.65827798775</v>
      </c>
      <c r="CE52" s="109" t="n">
        <f aca="false">-(CE26*(1-Logistica!$B$5)*Logistica!$B$7+CE26*Logistica!$B$5*Logistica!$B$39)</f>
        <v>-1202.65827798775</v>
      </c>
      <c r="CF52" s="109" t="n">
        <f aca="false">-(CF26*(1-Logistica!$B$5)*Logistica!$B$7+CF26*Logistica!$B$5*Logistica!$B$39)</f>
        <v>-1202.65827798775</v>
      </c>
      <c r="CG52" s="109" t="n">
        <f aca="false">-(CG26*(1-Logistica!$B$5)*Logistica!$B$7+CG26*Logistica!$B$5*Logistica!$B$39)</f>
        <v>-1202.65827798775</v>
      </c>
      <c r="CH52" s="109" t="n">
        <f aca="false">-(CH26*(1-Logistica!$B$5)*Logistica!$B$7+CH26*Logistica!$B$5*Logistica!$B$39)</f>
        <v>-1202.65827798775</v>
      </c>
    </row>
    <row r="53" customFormat="false" ht="13.5" hidden="false" customHeight="true" outlineLevel="0" collapsed="false">
      <c r="A53" s="6" t="s">
        <v>558</v>
      </c>
      <c r="C53" s="109" t="n">
        <f aca="false">-Hipótesis!$D$39</f>
        <v>-800</v>
      </c>
      <c r="D53" s="109" t="n">
        <f aca="false">-Hipótesis!$D$39</f>
        <v>-800</v>
      </c>
      <c r="E53" s="109" t="n">
        <f aca="false">-Hipótesis!$D$39</f>
        <v>-800</v>
      </c>
      <c r="F53" s="109" t="n">
        <f aca="false">-Hipótesis!$D$39</f>
        <v>-800</v>
      </c>
      <c r="G53" s="109" t="n">
        <f aca="false">-Hipótesis!$D$39</f>
        <v>-800</v>
      </c>
      <c r="H53" s="109" t="n">
        <f aca="false">-Hipótesis!$D$39</f>
        <v>-800</v>
      </c>
      <c r="I53" s="109" t="n">
        <f aca="false">-Hipótesis!$D$39</f>
        <v>-800</v>
      </c>
      <c r="J53" s="109" t="n">
        <f aca="false">-Hipótesis!$D$39</f>
        <v>-800</v>
      </c>
      <c r="K53" s="109" t="n">
        <f aca="false">-Hipótesis!$D$39</f>
        <v>-800</v>
      </c>
      <c r="L53" s="109" t="n">
        <f aca="false">-Hipótesis!$D$39</f>
        <v>-800</v>
      </c>
      <c r="M53" s="109" t="n">
        <f aca="false">-Hipótesis!$D$39</f>
        <v>-800</v>
      </c>
      <c r="N53" s="109" t="n">
        <f aca="false">-Hipótesis!$D$39</f>
        <v>-800</v>
      </c>
      <c r="O53" s="109" t="n">
        <f aca="false">-Hipótesis!$D$39</f>
        <v>-800</v>
      </c>
      <c r="P53" s="109" t="n">
        <f aca="false">-Hipótesis!$D$39</f>
        <v>-800</v>
      </c>
      <c r="Q53" s="109" t="n">
        <f aca="false">-Hipótesis!$D$39</f>
        <v>-800</v>
      </c>
      <c r="R53" s="109" t="n">
        <f aca="false">-Hipótesis!$D$39</f>
        <v>-800</v>
      </c>
      <c r="S53" s="109" t="n">
        <f aca="false">-Hipótesis!$D$39</f>
        <v>-800</v>
      </c>
      <c r="T53" s="109" t="n">
        <f aca="false">-Hipótesis!$D$39</f>
        <v>-800</v>
      </c>
      <c r="U53" s="109" t="n">
        <f aca="false">-Hipótesis!$D$39</f>
        <v>-800</v>
      </c>
      <c r="V53" s="109" t="n">
        <f aca="false">-Hipótesis!$D$39</f>
        <v>-800</v>
      </c>
      <c r="W53" s="109" t="n">
        <f aca="false">-Hipótesis!$D$39</f>
        <v>-800</v>
      </c>
      <c r="X53" s="109" t="n">
        <f aca="false">-Hipótesis!$D$39</f>
        <v>-800</v>
      </c>
      <c r="Y53" s="109" t="n">
        <f aca="false">-Hipótesis!$D$39</f>
        <v>-800</v>
      </c>
      <c r="Z53" s="109" t="n">
        <f aca="false">-Hipótesis!$D$39</f>
        <v>-800</v>
      </c>
      <c r="AA53" s="109" t="n">
        <f aca="false">-Hipótesis!$D$39</f>
        <v>-800</v>
      </c>
      <c r="AB53" s="109" t="n">
        <f aca="false">-Hipótesis!$D$39</f>
        <v>-800</v>
      </c>
      <c r="AC53" s="109" t="n">
        <f aca="false">-Hipótesis!$D$39</f>
        <v>-800</v>
      </c>
      <c r="AD53" s="109" t="n">
        <f aca="false">-Hipótesis!$D$39</f>
        <v>-800</v>
      </c>
      <c r="AE53" s="109" t="n">
        <f aca="false">-Hipótesis!$D$39</f>
        <v>-800</v>
      </c>
      <c r="AF53" s="109" t="n">
        <f aca="false">-Hipótesis!$D$39</f>
        <v>-800</v>
      </c>
      <c r="AG53" s="109" t="n">
        <f aca="false">-Hipótesis!$D$39</f>
        <v>-800</v>
      </c>
      <c r="AH53" s="109" t="n">
        <f aca="false">-Hipótesis!$D$39</f>
        <v>-800</v>
      </c>
      <c r="AI53" s="109" t="n">
        <f aca="false">-Hipótesis!$D$39</f>
        <v>-800</v>
      </c>
      <c r="AJ53" s="109" t="n">
        <f aca="false">-Hipótesis!$D$39</f>
        <v>-800</v>
      </c>
      <c r="AK53" s="109" t="n">
        <f aca="false">-Hipótesis!$D$39</f>
        <v>-800</v>
      </c>
      <c r="AL53" s="109" t="n">
        <f aca="false">-Hipótesis!$D$39</f>
        <v>-800</v>
      </c>
      <c r="AM53" s="109" t="n">
        <f aca="false">-Hipótesis!$D$39</f>
        <v>-800</v>
      </c>
      <c r="AN53" s="109" t="n">
        <f aca="false">-Hipótesis!$D$39</f>
        <v>-800</v>
      </c>
      <c r="AO53" s="109" t="n">
        <f aca="false">-Hipótesis!$D$39</f>
        <v>-800</v>
      </c>
      <c r="AP53" s="109" t="n">
        <f aca="false">-Hipótesis!$D$39</f>
        <v>-800</v>
      </c>
      <c r="AQ53" s="109" t="n">
        <f aca="false">-Hipótesis!$D$39</f>
        <v>-800</v>
      </c>
      <c r="AR53" s="109" t="n">
        <f aca="false">-Hipótesis!$D$39</f>
        <v>-800</v>
      </c>
      <c r="AS53" s="109" t="n">
        <f aca="false">-Hipótesis!$D$39</f>
        <v>-800</v>
      </c>
      <c r="AT53" s="109" t="n">
        <f aca="false">-Hipótesis!$D$39</f>
        <v>-800</v>
      </c>
      <c r="AU53" s="109" t="n">
        <f aca="false">-Hipótesis!$D$39</f>
        <v>-800</v>
      </c>
      <c r="AV53" s="109" t="n">
        <f aca="false">-Hipótesis!$D$39</f>
        <v>-800</v>
      </c>
      <c r="AW53" s="109" t="n">
        <f aca="false">-Hipótesis!$D$39</f>
        <v>-800</v>
      </c>
      <c r="AX53" s="109" t="n">
        <f aca="false">-Hipótesis!$D$39</f>
        <v>-800</v>
      </c>
      <c r="AY53" s="109" t="n">
        <f aca="false">-Hipótesis!$D$39</f>
        <v>-800</v>
      </c>
      <c r="AZ53" s="109" t="n">
        <f aca="false">-Hipótesis!$D$39</f>
        <v>-800</v>
      </c>
      <c r="BA53" s="109" t="n">
        <f aca="false">-Hipótesis!$D$39</f>
        <v>-800</v>
      </c>
      <c r="BB53" s="109" t="n">
        <f aca="false">-Hipótesis!$D$39</f>
        <v>-800</v>
      </c>
      <c r="BC53" s="109" t="n">
        <f aca="false">-Hipótesis!$D$39</f>
        <v>-800</v>
      </c>
      <c r="BD53" s="109" t="n">
        <f aca="false">-Hipótesis!$D$39</f>
        <v>-800</v>
      </c>
      <c r="BE53" s="109" t="n">
        <f aca="false">-Hipótesis!$D$39</f>
        <v>-800</v>
      </c>
      <c r="BF53" s="109" t="n">
        <f aca="false">-Hipótesis!$D$39</f>
        <v>-800</v>
      </c>
      <c r="BG53" s="109" t="n">
        <f aca="false">-Hipótesis!$D$39</f>
        <v>-800</v>
      </c>
      <c r="BH53" s="109" t="n">
        <f aca="false">-Hipótesis!$D$39</f>
        <v>-800</v>
      </c>
      <c r="BI53" s="109" t="n">
        <f aca="false">-Hipótesis!$D$39</f>
        <v>-800</v>
      </c>
      <c r="BJ53" s="109" t="n">
        <f aca="false">-Hipótesis!$D$39</f>
        <v>-800</v>
      </c>
      <c r="BK53" s="109" t="n">
        <f aca="false">-Hipótesis!$D$39</f>
        <v>-800</v>
      </c>
      <c r="BL53" s="109" t="n">
        <f aca="false">-Hipótesis!$D$39</f>
        <v>-800</v>
      </c>
      <c r="BM53" s="109" t="n">
        <f aca="false">-Hipótesis!$D$39</f>
        <v>-800</v>
      </c>
      <c r="BN53" s="109" t="n">
        <f aca="false">-Hipótesis!$D$39</f>
        <v>-800</v>
      </c>
      <c r="BO53" s="109" t="n">
        <f aca="false">-Hipótesis!$D$39</f>
        <v>-800</v>
      </c>
      <c r="BP53" s="109" t="n">
        <f aca="false">-Hipótesis!$D$39</f>
        <v>-800</v>
      </c>
      <c r="BQ53" s="109" t="n">
        <f aca="false">-Hipótesis!$D$39</f>
        <v>-800</v>
      </c>
      <c r="BR53" s="109" t="n">
        <f aca="false">-Hipótesis!$D$39</f>
        <v>-800</v>
      </c>
      <c r="BS53" s="109" t="n">
        <f aca="false">-Hipótesis!$D$39</f>
        <v>-800</v>
      </c>
      <c r="BT53" s="109" t="n">
        <f aca="false">-Hipótesis!$D$39</f>
        <v>-800</v>
      </c>
      <c r="BU53" s="109" t="n">
        <f aca="false">-Hipótesis!$D$39</f>
        <v>-800</v>
      </c>
      <c r="BV53" s="109" t="n">
        <f aca="false">-Hipótesis!$D$39</f>
        <v>-800</v>
      </c>
      <c r="BW53" s="109" t="n">
        <f aca="false">-Hipótesis!$D$39</f>
        <v>-800</v>
      </c>
      <c r="BX53" s="109" t="n">
        <f aca="false">-Hipótesis!$D$39</f>
        <v>-800</v>
      </c>
      <c r="BY53" s="109" t="n">
        <f aca="false">-Hipótesis!$D$39</f>
        <v>-800</v>
      </c>
      <c r="BZ53" s="109" t="n">
        <f aca="false">-Hipótesis!$D$39</f>
        <v>-800</v>
      </c>
      <c r="CA53" s="109" t="n">
        <f aca="false">-Hipótesis!$D$39</f>
        <v>-800</v>
      </c>
      <c r="CB53" s="109" t="n">
        <f aca="false">-Hipótesis!$D$39</f>
        <v>-800</v>
      </c>
      <c r="CC53" s="109" t="n">
        <f aca="false">-Hipótesis!$D$39</f>
        <v>-800</v>
      </c>
      <c r="CD53" s="109" t="n">
        <f aca="false">-Hipótesis!$D$39</f>
        <v>-800</v>
      </c>
      <c r="CE53" s="109" t="n">
        <f aca="false">-Hipótesis!$D$39</f>
        <v>-800</v>
      </c>
      <c r="CF53" s="109" t="n">
        <f aca="false">-Hipótesis!$D$39</f>
        <v>-800</v>
      </c>
      <c r="CG53" s="109" t="n">
        <f aca="false">-Hipótesis!$D$39</f>
        <v>-800</v>
      </c>
      <c r="CH53" s="109" t="n">
        <f aca="false">-Hipótesis!$D$39</f>
        <v>-800</v>
      </c>
    </row>
    <row r="54" customFormat="false" ht="13.5" hidden="false" customHeight="true" outlineLevel="0" collapsed="false">
      <c r="A54" s="6" t="s">
        <v>559</v>
      </c>
      <c r="C54" s="109" t="n">
        <f aca="false">-Hipótesis!$D$40</f>
        <v>-500</v>
      </c>
      <c r="D54" s="109" t="n">
        <f aca="false">-Hipótesis!$D$40</f>
        <v>-500</v>
      </c>
      <c r="E54" s="109" t="n">
        <f aca="false">-Hipótesis!$D$40</f>
        <v>-500</v>
      </c>
      <c r="F54" s="109" t="n">
        <f aca="false">-Hipótesis!$D$40</f>
        <v>-500</v>
      </c>
      <c r="G54" s="109" t="n">
        <f aca="false">-Hipótesis!$D$40</f>
        <v>-500</v>
      </c>
      <c r="H54" s="109" t="n">
        <f aca="false">-Hipótesis!$D$40</f>
        <v>-500</v>
      </c>
      <c r="I54" s="109" t="n">
        <f aca="false">-Hipótesis!$D$40</f>
        <v>-500</v>
      </c>
      <c r="J54" s="109" t="n">
        <f aca="false">-Hipótesis!$D$40</f>
        <v>-500</v>
      </c>
      <c r="K54" s="109" t="n">
        <f aca="false">-Hipótesis!$D$40</f>
        <v>-500</v>
      </c>
      <c r="L54" s="109" t="n">
        <f aca="false">-Hipótesis!$D$40</f>
        <v>-500</v>
      </c>
      <c r="M54" s="109" t="n">
        <f aca="false">-Hipótesis!$D$40</f>
        <v>-500</v>
      </c>
      <c r="N54" s="109" t="n">
        <f aca="false">-Hipótesis!$D$40</f>
        <v>-500</v>
      </c>
      <c r="O54" s="109" t="n">
        <f aca="false">-Hipótesis!$D$40</f>
        <v>-500</v>
      </c>
      <c r="P54" s="109" t="n">
        <f aca="false">-Hipótesis!$D$40</f>
        <v>-500</v>
      </c>
      <c r="Q54" s="109" t="n">
        <f aca="false">-Hipótesis!$D$40</f>
        <v>-500</v>
      </c>
      <c r="R54" s="109" t="n">
        <f aca="false">-Hipótesis!$D$40</f>
        <v>-500</v>
      </c>
      <c r="S54" s="109" t="n">
        <f aca="false">-Hipótesis!$D$40</f>
        <v>-500</v>
      </c>
      <c r="T54" s="109" t="n">
        <f aca="false">-Hipótesis!$D$40</f>
        <v>-500</v>
      </c>
      <c r="U54" s="109" t="n">
        <f aca="false">-Hipótesis!$D$40</f>
        <v>-500</v>
      </c>
      <c r="V54" s="109" t="n">
        <f aca="false">-Hipótesis!$D$40</f>
        <v>-500</v>
      </c>
      <c r="W54" s="109" t="n">
        <f aca="false">-Hipótesis!$D$40</f>
        <v>-500</v>
      </c>
      <c r="X54" s="109" t="n">
        <f aca="false">-Hipótesis!$D$40</f>
        <v>-500</v>
      </c>
      <c r="Y54" s="109" t="n">
        <f aca="false">-Hipótesis!$D$40</f>
        <v>-500</v>
      </c>
      <c r="Z54" s="109" t="n">
        <f aca="false">-Hipótesis!$D$40</f>
        <v>-500</v>
      </c>
      <c r="AA54" s="109" t="n">
        <f aca="false">-Hipótesis!$D$40</f>
        <v>-500</v>
      </c>
      <c r="AB54" s="109" t="n">
        <f aca="false">-Hipótesis!$D$40</f>
        <v>-500</v>
      </c>
      <c r="AC54" s="109" t="n">
        <f aca="false">-Hipótesis!$D$40</f>
        <v>-500</v>
      </c>
      <c r="AD54" s="109" t="n">
        <f aca="false">-Hipótesis!$D$40</f>
        <v>-500</v>
      </c>
      <c r="AE54" s="109" t="n">
        <f aca="false">-Hipótesis!$D$40</f>
        <v>-500</v>
      </c>
      <c r="AF54" s="109" t="n">
        <f aca="false">-Hipótesis!$D$40</f>
        <v>-500</v>
      </c>
      <c r="AG54" s="109" t="n">
        <f aca="false">-Hipótesis!$D$40</f>
        <v>-500</v>
      </c>
      <c r="AH54" s="109" t="n">
        <f aca="false">-Hipótesis!$D$40</f>
        <v>-500</v>
      </c>
      <c r="AI54" s="109" t="n">
        <f aca="false">-Hipótesis!$D$40</f>
        <v>-500</v>
      </c>
      <c r="AJ54" s="109" t="n">
        <f aca="false">-Hipótesis!$D$40</f>
        <v>-500</v>
      </c>
      <c r="AK54" s="109" t="n">
        <f aca="false">-Hipótesis!$D$40</f>
        <v>-500</v>
      </c>
      <c r="AL54" s="109" t="n">
        <f aca="false">-Hipótesis!$D$40</f>
        <v>-500</v>
      </c>
      <c r="AM54" s="109" t="n">
        <f aca="false">-Hipótesis!$D$40</f>
        <v>-500</v>
      </c>
      <c r="AN54" s="109" t="n">
        <f aca="false">-Hipótesis!$D$40</f>
        <v>-500</v>
      </c>
      <c r="AO54" s="109" t="n">
        <f aca="false">-Hipótesis!$D$40</f>
        <v>-500</v>
      </c>
      <c r="AP54" s="109" t="n">
        <f aca="false">-Hipótesis!$D$40</f>
        <v>-500</v>
      </c>
      <c r="AQ54" s="109" t="n">
        <f aca="false">-Hipótesis!$D$40</f>
        <v>-500</v>
      </c>
      <c r="AR54" s="109" t="n">
        <f aca="false">-Hipótesis!$D$40</f>
        <v>-500</v>
      </c>
      <c r="AS54" s="109" t="n">
        <f aca="false">-Hipótesis!$D$40</f>
        <v>-500</v>
      </c>
      <c r="AT54" s="109" t="n">
        <f aca="false">-Hipótesis!$D$40</f>
        <v>-500</v>
      </c>
      <c r="AU54" s="109" t="n">
        <f aca="false">-Hipótesis!$D$40</f>
        <v>-500</v>
      </c>
      <c r="AV54" s="109" t="n">
        <f aca="false">-Hipótesis!$D$40</f>
        <v>-500</v>
      </c>
      <c r="AW54" s="109" t="n">
        <f aca="false">-Hipótesis!$D$40</f>
        <v>-500</v>
      </c>
      <c r="AX54" s="109" t="n">
        <f aca="false">-Hipótesis!$D$40</f>
        <v>-500</v>
      </c>
      <c r="AY54" s="109" t="n">
        <f aca="false">-Hipótesis!$D$40</f>
        <v>-500</v>
      </c>
      <c r="AZ54" s="109" t="n">
        <f aca="false">-Hipótesis!$D$40</f>
        <v>-500</v>
      </c>
      <c r="BA54" s="109" t="n">
        <f aca="false">-Hipótesis!$D$40</f>
        <v>-500</v>
      </c>
      <c r="BB54" s="109" t="n">
        <f aca="false">-Hipótesis!$D$40</f>
        <v>-500</v>
      </c>
      <c r="BC54" s="109" t="n">
        <f aca="false">-Hipótesis!$D$40</f>
        <v>-500</v>
      </c>
      <c r="BD54" s="109" t="n">
        <f aca="false">-Hipótesis!$D$40</f>
        <v>-500</v>
      </c>
      <c r="BE54" s="109" t="n">
        <f aca="false">-Hipótesis!$D$40</f>
        <v>-500</v>
      </c>
      <c r="BF54" s="109" t="n">
        <f aca="false">-Hipótesis!$D$40</f>
        <v>-500</v>
      </c>
      <c r="BG54" s="109" t="n">
        <f aca="false">-Hipótesis!$D$40</f>
        <v>-500</v>
      </c>
      <c r="BH54" s="109" t="n">
        <f aca="false">-Hipótesis!$D$40</f>
        <v>-500</v>
      </c>
      <c r="BI54" s="109" t="n">
        <f aca="false">-Hipótesis!$D$40</f>
        <v>-500</v>
      </c>
      <c r="BJ54" s="109" t="n">
        <f aca="false">-Hipótesis!$D$40</f>
        <v>-500</v>
      </c>
      <c r="BK54" s="109" t="n">
        <f aca="false">-Hipótesis!$D$40</f>
        <v>-500</v>
      </c>
      <c r="BL54" s="109" t="n">
        <f aca="false">-Hipótesis!$D$40</f>
        <v>-500</v>
      </c>
      <c r="BM54" s="109" t="n">
        <f aca="false">-Hipótesis!$D$40</f>
        <v>-500</v>
      </c>
      <c r="BN54" s="109" t="n">
        <f aca="false">-Hipótesis!$D$40</f>
        <v>-500</v>
      </c>
      <c r="BO54" s="109" t="n">
        <f aca="false">-Hipótesis!$D$40</f>
        <v>-500</v>
      </c>
      <c r="BP54" s="109" t="n">
        <f aca="false">-Hipótesis!$D$40</f>
        <v>-500</v>
      </c>
      <c r="BQ54" s="109" t="n">
        <f aca="false">-Hipótesis!$D$40</f>
        <v>-500</v>
      </c>
      <c r="BR54" s="109" t="n">
        <f aca="false">-Hipótesis!$D$40</f>
        <v>-500</v>
      </c>
      <c r="BS54" s="109" t="n">
        <f aca="false">-Hipótesis!$D$40</f>
        <v>-500</v>
      </c>
      <c r="BT54" s="109" t="n">
        <f aca="false">-Hipótesis!$D$40</f>
        <v>-500</v>
      </c>
      <c r="BU54" s="109" t="n">
        <f aca="false">-Hipótesis!$D$40</f>
        <v>-500</v>
      </c>
      <c r="BV54" s="109" t="n">
        <f aca="false">-Hipótesis!$D$40</f>
        <v>-500</v>
      </c>
      <c r="BW54" s="109" t="n">
        <f aca="false">-Hipótesis!$D$40</f>
        <v>-500</v>
      </c>
      <c r="BX54" s="109" t="n">
        <f aca="false">-Hipótesis!$D$40</f>
        <v>-500</v>
      </c>
      <c r="BY54" s="109" t="n">
        <f aca="false">-Hipótesis!$D$40</f>
        <v>-500</v>
      </c>
      <c r="BZ54" s="109" t="n">
        <f aca="false">-Hipótesis!$D$40</f>
        <v>-500</v>
      </c>
      <c r="CA54" s="109" t="n">
        <f aca="false">-Hipótesis!$D$40</f>
        <v>-500</v>
      </c>
      <c r="CB54" s="109" t="n">
        <f aca="false">-Hipótesis!$D$40</f>
        <v>-500</v>
      </c>
      <c r="CC54" s="109" t="n">
        <f aca="false">-Hipótesis!$D$40</f>
        <v>-500</v>
      </c>
      <c r="CD54" s="109" t="n">
        <f aca="false">-Hipótesis!$D$40</f>
        <v>-500</v>
      </c>
      <c r="CE54" s="109" t="n">
        <f aca="false">-Hipótesis!$D$40</f>
        <v>-500</v>
      </c>
      <c r="CF54" s="109" t="n">
        <f aca="false">-Hipótesis!$D$40</f>
        <v>-500</v>
      </c>
      <c r="CG54" s="109" t="n">
        <f aca="false">-Hipótesis!$D$40</f>
        <v>-500</v>
      </c>
      <c r="CH54" s="109" t="n">
        <f aca="false">-Hipótesis!$D$40</f>
        <v>-500</v>
      </c>
    </row>
    <row r="55" customFormat="false" ht="13.5" hidden="false" customHeight="true" outlineLevel="0" collapsed="false">
      <c r="A55" s="22" t="s">
        <v>560</v>
      </c>
      <c r="C55" s="109" t="n">
        <f aca="false">C42+C43+C51+C52+C53+C54</f>
        <v>-15678.9091440799</v>
      </c>
      <c r="D55" s="109" t="n">
        <f aca="false">D42+D43+D51+D52+D53+D54</f>
        <v>-15707.8517658849</v>
      </c>
      <c r="E55" s="109" t="n">
        <f aca="false">E42+E43+E51+E52+E53+E54</f>
        <v>-15766.6756036181</v>
      </c>
      <c r="F55" s="109" t="n">
        <f aca="false">F42+F43+F51+F52+F53+F54</f>
        <v>-15798.5902972714</v>
      </c>
      <c r="G55" s="109" t="n">
        <f aca="false">G42+G43+G51+G52+G53+G54</f>
        <v>-15828.4715131995</v>
      </c>
      <c r="H55" s="109" t="n">
        <f aca="false">H42+H43+H51+H52+H53+H54</f>
        <v>-15881.652994728</v>
      </c>
      <c r="I55" s="109" t="n">
        <f aca="false">I42+I43+I51+I52+I53+I54</f>
        <v>-15980.0222047912</v>
      </c>
      <c r="J55" s="109" t="n">
        <f aca="false">J42+J43+J51+J52+J53+J54</f>
        <v>-16078.3914148544</v>
      </c>
      <c r="K55" s="109" t="n">
        <f aca="false">K42+K43+K51+K52+K53+K54</f>
        <v>-16176.7606249176</v>
      </c>
      <c r="L55" s="109" t="n">
        <f aca="false">L42+L43+L51+L52+L53+L54</f>
        <v>-16275.1298349808</v>
      </c>
      <c r="M55" s="109" t="n">
        <f aca="false">M42+M43+M51+M52+M53+M54</f>
        <v>-16343.6178291159</v>
      </c>
      <c r="N55" s="109" t="n">
        <f aca="false">N42+N43+N51+N52+N53+N54</f>
        <v>-16445.9971186695</v>
      </c>
      <c r="O55" s="109" t="n">
        <f aca="false">O42+O43+O51+O52+O53+O54</f>
        <v>-21775.5764082232</v>
      </c>
      <c r="P55" s="109" t="n">
        <f aca="false">P42+P43+P51+P52+P53+P54</f>
        <v>-24179.531950344</v>
      </c>
      <c r="Q55" s="109" t="n">
        <f aca="false">Q42+Q43+Q51+Q52+Q53+Q54</f>
        <v>-24272.1674924648</v>
      </c>
      <c r="R55" s="109" t="n">
        <f aca="false">R42+R43+R51+R52+R53+R54</f>
        <v>-24364.8030345856</v>
      </c>
      <c r="S55" s="109" t="n">
        <f aca="false">S42+S43+S51+S52+S53+S54</f>
        <v>-24457.4385767064</v>
      </c>
      <c r="T55" s="109" t="n">
        <f aca="false">T42+T43+T51+T52+T53+T54</f>
        <v>-24550.0741188272</v>
      </c>
      <c r="U55" s="109" t="n">
        <f aca="false">U42+U43+U51+U52+U53+U54</f>
        <v>-26954.029660948</v>
      </c>
      <c r="V55" s="109" t="n">
        <f aca="false">V42+V43+V51+V52+V53+V54</f>
        <v>-29765.8652030689</v>
      </c>
      <c r="W55" s="109" t="n">
        <f aca="false">W42+W43+W51+W52+W53+W54</f>
        <v>-29858.5007451897</v>
      </c>
      <c r="X55" s="109" t="n">
        <f aca="false">X42+X43+X51+X52+X53+X54</f>
        <v>-29917.2449918918</v>
      </c>
      <c r="Y55" s="109" t="n">
        <f aca="false">Y42+Y43+Y51+Y52+Y53+Y54</f>
        <v>-29975.989238594</v>
      </c>
      <c r="Z55" s="109" t="n">
        <f aca="false">Z42+Z43+Z51+Z52+Z53+Z54</f>
        <v>-30021.1769671288</v>
      </c>
      <c r="AA55" s="109" t="n">
        <f aca="false">AA42+AA43+AA51+AA52+AA53+AA54</f>
        <v>-32348.1958956635</v>
      </c>
      <c r="AB55" s="109" t="n">
        <f aca="false">AB42+AB43+AB51+AB52+AB53+AB54</f>
        <v>-34774.0432241982</v>
      </c>
      <c r="AC55" s="109" t="n">
        <f aca="false">AC42+AC43+AC51+AC52+AC53+AC54</f>
        <v>-34819.2309527329</v>
      </c>
      <c r="AD55" s="109" t="n">
        <f aca="false">AD42+AD43+AD51+AD52+AD53+AD54</f>
        <v>-34864.4186812677</v>
      </c>
      <c r="AE55" s="109" t="n">
        <f aca="false">AE42+AE43+AE51+AE52+AE53+AE54</f>
        <v>-34909.6064098024</v>
      </c>
      <c r="AF55" s="109" t="n">
        <f aca="false">AF42+AF43+AF51+AF52+AF53+AF54</f>
        <v>-34954.7941383371</v>
      </c>
      <c r="AG55" s="109" t="n">
        <f aca="false">AG42+AG43+AG51+AG52+AG53+AG54</f>
        <v>-34999.9818668718</v>
      </c>
      <c r="AH55" s="109" t="n">
        <f aca="false">AH42+AH43+AH51+AH52+AH53+AH54</f>
        <v>-35045.1695954066</v>
      </c>
      <c r="AI55" s="109" t="n">
        <f aca="false">AI42+AI43+AI51+AI52+AI53+AI54</f>
        <v>-35090.3573239413</v>
      </c>
      <c r="AJ55" s="109" t="n">
        <f aca="false">AJ42+AJ43+AJ51+AJ52+AJ53+AJ54</f>
        <v>-35135.545052476</v>
      </c>
      <c r="AK55" s="109" t="n">
        <f aca="false">AK42+AK43+AK51+AK52+AK53+AK54</f>
        <v>-35180.7327810107</v>
      </c>
      <c r="AL55" s="109" t="n">
        <f aca="false">AL42+AL43+AL51+AL52+AL53+AL54</f>
        <v>-35225.9205095455</v>
      </c>
      <c r="AM55" s="109" t="n">
        <f aca="false">AM42+AM43+AM51+AM52+AM53+AM54</f>
        <v>-40085.4935500802</v>
      </c>
      <c r="AN55" s="109" t="n">
        <f aca="false">AN42+AN43+AN51+AN52+AN53+AN54</f>
        <v>-40130.6812786149</v>
      </c>
      <c r="AO55" s="109" t="n">
        <f aca="false">AO42+AO43+AO51+AO52+AO53+AO54</f>
        <v>-40175.8690071496</v>
      </c>
      <c r="AP55" s="109" t="n">
        <f aca="false">AP42+AP43+AP51+AP52+AP53+AP54</f>
        <v>-40221.0567356844</v>
      </c>
      <c r="AQ55" s="109" t="n">
        <f aca="false">AQ42+AQ43+AQ51+AQ52+AQ53+AQ54</f>
        <v>-40266.2444642191</v>
      </c>
      <c r="AR55" s="109" t="n">
        <f aca="false">AR42+AR43+AR51+AR52+AR53+AR54</f>
        <v>-40311.4321927538</v>
      </c>
      <c r="AS55" s="109" t="n">
        <f aca="false">AS42+AS43+AS51+AS52+AS53+AS54</f>
        <v>-40311.4321927538</v>
      </c>
      <c r="AT55" s="109" t="n">
        <f aca="false">AT42+AT43+AT51+AT52+AT53+AT54</f>
        <v>-40311.4321927538</v>
      </c>
      <c r="AU55" s="109" t="n">
        <f aca="false">AU42+AU43+AU51+AU52+AU53+AU54</f>
        <v>-40311.4321927538</v>
      </c>
      <c r="AV55" s="109" t="n">
        <f aca="false">AV42+AV43+AV51+AV52+AV53+AV54</f>
        <v>-40311.4321927538</v>
      </c>
      <c r="AW55" s="109" t="n">
        <f aca="false">AW42+AW43+AW51+AW52+AW53+AW54</f>
        <v>-40311.4321927538</v>
      </c>
      <c r="AX55" s="109" t="n">
        <f aca="false">AX42+AX43+AX51+AX52+AX53+AX54</f>
        <v>-40311.4321927538</v>
      </c>
      <c r="AY55" s="109" t="n">
        <f aca="false">AY42+AY43+AY51+AY52+AY53+AY54</f>
        <v>-42758.7696761138</v>
      </c>
      <c r="AZ55" s="109" t="n">
        <f aca="false">AZ42+AZ43+AZ51+AZ52+AZ53+AZ54</f>
        <v>-42758.7696761138</v>
      </c>
      <c r="BA55" s="109" t="n">
        <f aca="false">BA42+BA43+BA51+BA52+BA53+BA54</f>
        <v>-42758.7696761138</v>
      </c>
      <c r="BB55" s="109" t="n">
        <f aca="false">BB42+BB43+BB51+BB52+BB53+BB54</f>
        <v>-42758.7696761138</v>
      </c>
      <c r="BC55" s="109" t="n">
        <f aca="false">BC42+BC43+BC51+BC52+BC53+BC54</f>
        <v>-42758.7696761138</v>
      </c>
      <c r="BD55" s="109" t="n">
        <f aca="false">BD42+BD43+BD51+BD52+BD53+BD54</f>
        <v>-42758.7696761138</v>
      </c>
      <c r="BE55" s="109" t="n">
        <f aca="false">BE42+BE43+BE51+BE52+BE53+BE54</f>
        <v>-42758.7696761138</v>
      </c>
      <c r="BF55" s="109" t="n">
        <f aca="false">BF42+BF43+BF51+BF52+BF53+BF54</f>
        <v>-42758.7696761138</v>
      </c>
      <c r="BG55" s="109" t="n">
        <f aca="false">BG42+BG43+BG51+BG52+BG53+BG54</f>
        <v>-42758.7696761138</v>
      </c>
      <c r="BH55" s="109" t="n">
        <f aca="false">BH42+BH43+BH51+BH52+BH53+BH54</f>
        <v>-42758.7696761138</v>
      </c>
      <c r="BI55" s="109" t="n">
        <f aca="false">BI42+BI43+BI51+BI52+BI53+BI54</f>
        <v>-42758.7696761138</v>
      </c>
      <c r="BJ55" s="109" t="n">
        <f aca="false">BJ42+BJ43+BJ51+BJ52+BJ53+BJ54</f>
        <v>-42758.7696761138</v>
      </c>
      <c r="BK55" s="109" t="n">
        <f aca="false">BK42+BK43+BK51+BK52+BK53+BK54</f>
        <v>-45220.1272839746</v>
      </c>
      <c r="BL55" s="109" t="n">
        <f aca="false">BL42+BL43+BL51+BL52+BL53+BL54</f>
        <v>-45220.1272839746</v>
      </c>
      <c r="BM55" s="109" t="n">
        <f aca="false">BM42+BM43+BM51+BM52+BM53+BM54</f>
        <v>-45220.1272839746</v>
      </c>
      <c r="BN55" s="109" t="n">
        <f aca="false">BN42+BN43+BN51+BN52+BN53+BN54</f>
        <v>-45220.1272839746</v>
      </c>
      <c r="BO55" s="109" t="n">
        <f aca="false">BO42+BO43+BO51+BO52+BO53+BO54</f>
        <v>-45220.1272839746</v>
      </c>
      <c r="BP55" s="109" t="n">
        <f aca="false">BP42+BP43+BP51+BP52+BP53+BP54</f>
        <v>-45220.1272839746</v>
      </c>
      <c r="BQ55" s="109" t="n">
        <f aca="false">BQ42+BQ43+BQ51+BQ52+BQ53+BQ54</f>
        <v>-45220.1272839746</v>
      </c>
      <c r="BR55" s="109" t="n">
        <f aca="false">BR42+BR43+BR51+BR52+BR53+BR54</f>
        <v>-45220.1272839746</v>
      </c>
      <c r="BS55" s="109" t="n">
        <f aca="false">BS42+BS43+BS51+BS52+BS53+BS54</f>
        <v>-45220.1272839746</v>
      </c>
      <c r="BT55" s="109" t="n">
        <f aca="false">BT42+BT43+BT51+BT52+BT53+BT54</f>
        <v>-45220.1272839746</v>
      </c>
      <c r="BU55" s="109" t="n">
        <f aca="false">BU42+BU43+BU51+BU52+BU53+BU54</f>
        <v>-45220.1272839746</v>
      </c>
      <c r="BV55" s="109" t="n">
        <f aca="false">BV42+BV43+BV51+BV52+BV53+BV54</f>
        <v>-45220.1272839746</v>
      </c>
      <c r="BW55" s="109" t="n">
        <f aca="false">BW42+BW43+BW51+BW52+BW53+BW54</f>
        <v>-47695.9256200713</v>
      </c>
      <c r="BX55" s="109" t="n">
        <f aca="false">BX42+BX43+BX51+BX52+BX53+BX54</f>
        <v>-47695.9256200713</v>
      </c>
      <c r="BY55" s="109" t="n">
        <f aca="false">BY42+BY43+BY51+BY52+BY53+BY54</f>
        <v>-47695.9256200713</v>
      </c>
      <c r="BZ55" s="109" t="n">
        <f aca="false">BZ42+BZ43+BZ51+BZ52+BZ53+BZ54</f>
        <v>-47695.9256200713</v>
      </c>
      <c r="CA55" s="109" t="n">
        <f aca="false">CA42+CA43+CA51+CA52+CA53+CA54</f>
        <v>-47695.9256200713</v>
      </c>
      <c r="CB55" s="109" t="n">
        <f aca="false">CB42+CB43+CB51+CB52+CB53+CB54</f>
        <v>-47695.9256200713</v>
      </c>
      <c r="CC55" s="109" t="n">
        <f aca="false">CC42+CC43+CC51+CC52+CC53+CC54</f>
        <v>-47695.9256200713</v>
      </c>
      <c r="CD55" s="109" t="n">
        <f aca="false">CD42+CD43+CD51+CD52+CD53+CD54</f>
        <v>-47695.9256200713</v>
      </c>
      <c r="CE55" s="109" t="n">
        <f aca="false">CE42+CE43+CE51+CE52+CE53+CE54</f>
        <v>-47695.9256200713</v>
      </c>
      <c r="CF55" s="109" t="n">
        <f aca="false">CF42+CF43+CF51+CF52+CF53+CF54</f>
        <v>-47695.9256200713</v>
      </c>
      <c r="CG55" s="109" t="n">
        <f aca="false">CG42+CG43+CG51+CG52+CG53+CG54</f>
        <v>-47695.9256200713</v>
      </c>
      <c r="CH55" s="109" t="n">
        <f aca="false">CH42+CH43+CH51+CH52+CH53+CH54</f>
        <v>-47695.9256200713</v>
      </c>
    </row>
    <row r="56" customFormat="false" ht="13.5" hidden="false" customHeight="true" outlineLevel="0" collapsed="false">
      <c r="A56" s="47" t="s">
        <v>561</v>
      </c>
      <c r="C56" s="71" t="n">
        <f aca="false">C40+C55</f>
        <v>-14683.0589774132</v>
      </c>
      <c r="D56" s="71" t="n">
        <f aca="false">D40+D55</f>
        <v>-13645.5509325516</v>
      </c>
      <c r="E56" s="71" t="n">
        <f aca="false">E40+E55</f>
        <v>-11548.9886374191</v>
      </c>
      <c r="F56" s="71" t="n">
        <f aca="false">F40+F55</f>
        <v>-10421.3673648734</v>
      </c>
      <c r="G56" s="71" t="n">
        <f aca="false">G40+G55</f>
        <v>-9362.31311460261</v>
      </c>
      <c r="H56" s="71" t="n">
        <f aca="false">H40+H55</f>
        <v>-7711.3875674321</v>
      </c>
      <c r="I56" s="71" t="n">
        <f aca="false">I40+I55</f>
        <v>-4439.14892858713</v>
      </c>
      <c r="J56" s="71" t="n">
        <f aca="false">J40+J55</f>
        <v>-1166.91028974217</v>
      </c>
      <c r="K56" s="71" t="n">
        <f aca="false">K40+K55</f>
        <v>2105.32834910281</v>
      </c>
      <c r="L56" s="71" t="n">
        <f aca="false">L40+L55</f>
        <v>5377.56698794777</v>
      </c>
      <c r="M56" s="71" t="n">
        <f aca="false">M40+M55</f>
        <v>7590.75137652192</v>
      </c>
      <c r="N56" s="71" t="n">
        <f aca="false">N40+N55</f>
        <v>10594.3694696774</v>
      </c>
      <c r="O56" s="71" t="n">
        <f aca="false">O40+O55</f>
        <v>8370.78756283297</v>
      </c>
      <c r="P56" s="71" t="n">
        <f aca="false">P40+P55</f>
        <v>8759.19984092135</v>
      </c>
      <c r="Q56" s="71" t="n">
        <f aca="false">Q40+Q55</f>
        <v>11458.9321190097</v>
      </c>
      <c r="R56" s="71" t="n">
        <f aca="false">R40+R55</f>
        <v>14158.6643970981</v>
      </c>
      <c r="S56" s="71" t="n">
        <f aca="false">S40+S55</f>
        <v>16858.3966751865</v>
      </c>
      <c r="T56" s="71" t="n">
        <f aca="false">T40+T55</f>
        <v>19558.1289532749</v>
      </c>
      <c r="U56" s="71" t="n">
        <f aca="false">U40+U55</f>
        <v>19946.5412313633</v>
      </c>
      <c r="V56" s="71" t="n">
        <f aca="false">V40+V55</f>
        <v>19927.0735094516</v>
      </c>
      <c r="W56" s="71" t="n">
        <f aca="false">W40+W55</f>
        <v>22626.80578754</v>
      </c>
      <c r="X56" s="71" t="n">
        <f aca="false">X40+X55</f>
        <v>24536.104361047</v>
      </c>
      <c r="Y56" s="71" t="n">
        <f aca="false">Y40+Y55</f>
        <v>26445.402934554</v>
      </c>
      <c r="Z56" s="71" t="n">
        <f aca="false">Z40+Z55</f>
        <v>28066.7160262285</v>
      </c>
      <c r="AA56" s="71" t="n">
        <f aca="false">AA40+AA55</f>
        <v>27406.197917903</v>
      </c>
      <c r="AB56" s="71" t="n">
        <f aca="false">AB40+AB55</f>
        <v>26646.8514095774</v>
      </c>
      <c r="AC56" s="71" t="n">
        <f aca="false">AC40+AC55</f>
        <v>28268.1645012519</v>
      </c>
      <c r="AD56" s="71" t="n">
        <f aca="false">AD40+AD55</f>
        <v>29889.4775929264</v>
      </c>
      <c r="AE56" s="71" t="n">
        <f aca="false">AE40+AE55</f>
        <v>31510.7906846008</v>
      </c>
      <c r="AF56" s="71" t="n">
        <f aca="false">AF40+AF55</f>
        <v>33132.1037762753</v>
      </c>
      <c r="AG56" s="71" t="n">
        <f aca="false">AG40+AG55</f>
        <v>34753.4168679497</v>
      </c>
      <c r="AH56" s="71" t="n">
        <f aca="false">AH40+AH55</f>
        <v>36374.7299596242</v>
      </c>
      <c r="AI56" s="71" t="n">
        <f aca="false">AI40+AI55</f>
        <v>37996.0430512987</v>
      </c>
      <c r="AJ56" s="71" t="n">
        <f aca="false">AJ40+AJ55</f>
        <v>39617.3561429731</v>
      </c>
      <c r="AK56" s="71" t="n">
        <f aca="false">AK40+AK55</f>
        <v>41238.6692346476</v>
      </c>
      <c r="AL56" s="71" t="n">
        <f aca="false">AL40+AL55</f>
        <v>42859.9823263221</v>
      </c>
      <c r="AM56" s="71" t="n">
        <f aca="false">AM40+AM55</f>
        <v>39666.9101059965</v>
      </c>
      <c r="AN56" s="71" t="n">
        <f aca="false">AN40+AN55</f>
        <v>41288.223197671</v>
      </c>
      <c r="AO56" s="71" t="n">
        <f aca="false">AO40+AO55</f>
        <v>42909.5362893454</v>
      </c>
      <c r="AP56" s="71" t="n">
        <f aca="false">AP40+AP55</f>
        <v>44530.8493810199</v>
      </c>
      <c r="AQ56" s="71" t="n">
        <f aca="false">AQ40+AQ55</f>
        <v>46152.1624726944</v>
      </c>
      <c r="AR56" s="71" t="n">
        <f aca="false">AR40+AR55</f>
        <v>47773.4755643688</v>
      </c>
      <c r="AS56" s="71" t="n">
        <f aca="false">AS40+AS55</f>
        <v>47773.4755643688</v>
      </c>
      <c r="AT56" s="71" t="n">
        <f aca="false">AT40+AT55</f>
        <v>47773.4755643688</v>
      </c>
      <c r="AU56" s="71" t="n">
        <f aca="false">AU40+AU55</f>
        <v>47773.4755643688</v>
      </c>
      <c r="AV56" s="71" t="n">
        <f aca="false">AV40+AV55</f>
        <v>47773.4755643688</v>
      </c>
      <c r="AW56" s="71" t="n">
        <f aca="false">AW40+AW55</f>
        <v>47773.4755643688</v>
      </c>
      <c r="AX56" s="71" t="n">
        <f aca="false">AX40+AX55</f>
        <v>47773.4755643688</v>
      </c>
      <c r="AY56" s="71" t="n">
        <f aca="false">AY40+AY55</f>
        <v>45326.1380810088</v>
      </c>
      <c r="AZ56" s="71" t="n">
        <f aca="false">AZ40+AZ55</f>
        <v>45326.1380810088</v>
      </c>
      <c r="BA56" s="71" t="n">
        <f aca="false">BA40+BA55</f>
        <v>45326.1380810088</v>
      </c>
      <c r="BB56" s="71" t="n">
        <f aca="false">BB40+BB55</f>
        <v>45326.1380810088</v>
      </c>
      <c r="BC56" s="71" t="n">
        <f aca="false">BC40+BC55</f>
        <v>45326.1380810088</v>
      </c>
      <c r="BD56" s="71" t="n">
        <f aca="false">BD40+BD55</f>
        <v>45326.1380810088</v>
      </c>
      <c r="BE56" s="71" t="n">
        <f aca="false">BE40+BE55</f>
        <v>45326.1380810088</v>
      </c>
      <c r="BF56" s="71" t="n">
        <f aca="false">BF40+BF55</f>
        <v>45326.1380810088</v>
      </c>
      <c r="BG56" s="71" t="n">
        <f aca="false">BG40+BG55</f>
        <v>45326.1380810088</v>
      </c>
      <c r="BH56" s="71" t="n">
        <f aca="false">BH40+BH55</f>
        <v>45326.1380810088</v>
      </c>
      <c r="BI56" s="71" t="n">
        <f aca="false">BI40+BI55</f>
        <v>45326.1380810088</v>
      </c>
      <c r="BJ56" s="71" t="n">
        <f aca="false">BJ40+BJ55</f>
        <v>45326.1380810088</v>
      </c>
      <c r="BK56" s="71" t="n">
        <f aca="false">BK40+BK55</f>
        <v>42864.780473148</v>
      </c>
      <c r="BL56" s="71" t="n">
        <f aca="false">BL40+BL55</f>
        <v>42864.780473148</v>
      </c>
      <c r="BM56" s="71" t="n">
        <f aca="false">BM40+BM55</f>
        <v>42864.780473148</v>
      </c>
      <c r="BN56" s="71" t="n">
        <f aca="false">BN40+BN55</f>
        <v>42864.780473148</v>
      </c>
      <c r="BO56" s="71" t="n">
        <f aca="false">BO40+BO55</f>
        <v>42864.780473148</v>
      </c>
      <c r="BP56" s="71" t="n">
        <f aca="false">BP40+BP55</f>
        <v>42864.780473148</v>
      </c>
      <c r="BQ56" s="71" t="n">
        <f aca="false">BQ40+BQ55</f>
        <v>42864.780473148</v>
      </c>
      <c r="BR56" s="71" t="n">
        <f aca="false">BR40+BR55</f>
        <v>42864.780473148</v>
      </c>
      <c r="BS56" s="71" t="n">
        <f aca="false">BS40+BS55</f>
        <v>42864.780473148</v>
      </c>
      <c r="BT56" s="71" t="n">
        <f aca="false">BT40+BT55</f>
        <v>42864.780473148</v>
      </c>
      <c r="BU56" s="71" t="n">
        <f aca="false">BU40+BU55</f>
        <v>42864.780473148</v>
      </c>
      <c r="BV56" s="71" t="n">
        <f aca="false">BV40+BV55</f>
        <v>42864.780473148</v>
      </c>
      <c r="BW56" s="71" t="n">
        <f aca="false">BW40+BW55</f>
        <v>40388.9821370514</v>
      </c>
      <c r="BX56" s="71" t="n">
        <f aca="false">BX40+BX55</f>
        <v>40388.9821370514</v>
      </c>
      <c r="BY56" s="71" t="n">
        <f aca="false">BY40+BY55</f>
        <v>40388.9821370514</v>
      </c>
      <c r="BZ56" s="71" t="n">
        <f aca="false">BZ40+BZ55</f>
        <v>40388.9821370514</v>
      </c>
      <c r="CA56" s="71" t="n">
        <f aca="false">CA40+CA55</f>
        <v>40388.9821370514</v>
      </c>
      <c r="CB56" s="71" t="n">
        <f aca="false">CB40+CB55</f>
        <v>40388.9821370514</v>
      </c>
      <c r="CC56" s="71" t="n">
        <f aca="false">CC40+CC55</f>
        <v>40388.9821370514</v>
      </c>
      <c r="CD56" s="71" t="n">
        <f aca="false">CD40+CD55</f>
        <v>40388.9821370514</v>
      </c>
      <c r="CE56" s="71" t="n">
        <f aca="false">CE40+CE55</f>
        <v>40388.9821370514</v>
      </c>
      <c r="CF56" s="71" t="n">
        <f aca="false">CF40+CF55</f>
        <v>40388.9821370514</v>
      </c>
      <c r="CG56" s="71" t="n">
        <f aca="false">CG40+CG55</f>
        <v>40388.9821370514</v>
      </c>
      <c r="CH56" s="71" t="n">
        <f aca="false">CH40+CH55</f>
        <v>40388.9821370514</v>
      </c>
    </row>
    <row r="57" customFormat="false" ht="13.5" hidden="false" customHeight="true" outlineLevel="0" collapsed="false">
      <c r="A57" s="6" t="s">
        <v>49</v>
      </c>
      <c r="C57" s="120" t="n">
        <f aca="false">IFERROR(C56/C38,0)</f>
        <v>-13.5200506964536</v>
      </c>
      <c r="D57" s="120" t="n">
        <f aca="false">IFERROR(D56/D38,0)</f>
        <v>-6.04693550072613</v>
      </c>
      <c r="E57" s="120" t="n">
        <f aca="false">IFERROR(E56/E38,0)</f>
        <v>-2.45720267443001</v>
      </c>
      <c r="F57" s="120" t="n">
        <f aca="false">IFERROR(F56/F38,0)</f>
        <v>-1.72041193917745</v>
      </c>
      <c r="G57" s="120" t="n">
        <f aca="false">IFERROR(G56/G38,0)</f>
        <v>-1.27719897540372</v>
      </c>
      <c r="H57" s="120" t="n">
        <f aca="false">IFERROR(H56/H38,0)</f>
        <v>-0.822251338909679</v>
      </c>
      <c r="I57" s="120" t="n">
        <f aca="false">IFERROR(I56/I38,0)</f>
        <v>-0.331423814689959</v>
      </c>
      <c r="J57" s="120" t="n">
        <f aca="false">IFERROR(J56/J38,0)</f>
        <v>-0.0670254063351089</v>
      </c>
      <c r="K57" s="120" t="n">
        <f aca="false">IFERROR(K56/K38,0)</f>
        <v>0.0982615334502599</v>
      </c>
      <c r="L57" s="120" t="n">
        <f aca="false">IFERROR(L56/L38,0)</f>
        <v>0.211369415492507</v>
      </c>
      <c r="M57" s="120" t="n">
        <f aca="false">IFERROR(M56/M38,0)</f>
        <v>0.269323747108497</v>
      </c>
      <c r="N57" s="120" t="n">
        <f aca="false">IFERROR(N56/N38,0)</f>
        <v>0.331234848178257</v>
      </c>
      <c r="O57" s="120" t="n">
        <f aca="false">IFERROR(O56/O38,0)</f>
        <v>0.233922524360226</v>
      </c>
      <c r="P57" s="120" t="n">
        <f aca="false">IFERROR(P56/P38,0)</f>
        <v>0.223426829031835</v>
      </c>
      <c r="Q57" s="120" t="n">
        <f aca="false">IFERROR(Q56/Q38,0)</f>
        <v>0.268841805304229</v>
      </c>
      <c r="R57" s="120" t="n">
        <f aca="false">IFERROR(R56/R38,0)</f>
        <v>0.307511147129363</v>
      </c>
      <c r="S57" s="120" t="n">
        <f aca="false">IFERROR(S56/S38,0)</f>
        <v>0.340833880190776</v>
      </c>
      <c r="T57" s="120" t="n">
        <f aca="false">IFERROR(T56/T38,0)</f>
        <v>0.369847174138755</v>
      </c>
      <c r="U57" s="120" t="n">
        <f aca="false">IFERROR(U56/U38,0)</f>
        <v>0.354283383783194</v>
      </c>
      <c r="V57" s="120" t="n">
        <f aca="false">IFERROR(V56/V38,0)</f>
        <v>0.333672065313292</v>
      </c>
      <c r="W57" s="120" t="n">
        <f aca="false">IFERROR(W56/W38,0)</f>
        <v>0.358359441212517</v>
      </c>
      <c r="X57" s="120" t="n">
        <f aca="false">IFERROR(X56/X38,0)</f>
        <v>0.374583487190562</v>
      </c>
      <c r="Y57" s="120" t="n">
        <f aca="false">IFERROR(Y56/Y38,0)</f>
        <v>0.389678005989442</v>
      </c>
      <c r="Z57" s="120" t="n">
        <f aca="false">IFERROR(Z56/Z38,0)</f>
        <v>0.401914721286251</v>
      </c>
      <c r="AA57" s="120" t="n">
        <f aca="false">IFERROR(AA56/AA38,0)</f>
        <v>0.381700460230137</v>
      </c>
      <c r="AB57" s="120" t="n">
        <f aca="false">IFERROR(AB56/AB38,0)</f>
        <v>0.361224909795157</v>
      </c>
      <c r="AC57" s="120" t="n">
        <f aca="false">IFERROR(AC56/AC38,0)</f>
        <v>0.373247091318585</v>
      </c>
      <c r="AD57" s="120" t="n">
        <f aca="false">IFERROR(AD56/AD38,0)</f>
        <v>0.384660375113325</v>
      </c>
      <c r="AE57" s="120" t="n">
        <f aca="false">IFERROR(AE56/AE38,0)</f>
        <v>0.395509877699344</v>
      </c>
      <c r="AF57" s="120" t="n">
        <f aca="false">IFERROR(AF56/AF38,0)</f>
        <v>0.405836365794665</v>
      </c>
      <c r="AG57" s="120" t="n">
        <f aca="false">IFERROR(AG56/AG38,0)</f>
        <v>0.41567676819716</v>
      </c>
      <c r="AH57" s="120" t="n">
        <f aca="false">IFERROR(AH56/AH38,0)</f>
        <v>0.425064617043033</v>
      </c>
      <c r="AI57" s="120" t="n">
        <f aca="false">IFERROR(AI56/AI38,0)</f>
        <v>0.434030429554191</v>
      </c>
      <c r="AJ57" s="120" t="n">
        <f aca="false">IFERROR(AJ56/AJ38,0)</f>
        <v>0.442602039432399</v>
      </c>
      <c r="AK57" s="120" t="n">
        <f aca="false">IFERROR(AK56/AK38,0)</f>
        <v>0.45080488548218</v>
      </c>
      <c r="AL57" s="120" t="n">
        <f aca="false">IFERROR(AL56/AL38,0)</f>
        <v>0.458662263767143</v>
      </c>
      <c r="AM57" s="120" t="n">
        <f aca="false">IFERROR(AM56/AM38,0)</f>
        <v>0.415737373269711</v>
      </c>
      <c r="AN57" s="120" t="n">
        <f aca="false">IFERROR(AN56/AN38,0)</f>
        <v>0.423985808398159</v>
      </c>
      <c r="AO57" s="120" t="n">
        <f aca="false">IFERROR(AO56/AO38,0)</f>
        <v>0.431907497412369</v>
      </c>
      <c r="AP57" s="120" t="n">
        <f aca="false">IFERROR(AP56/AP38,0)</f>
        <v>0.439521478375409</v>
      </c>
      <c r="AQ57" s="120" t="n">
        <f aca="false">IFERROR(AQ56/AQ38,0)</f>
        <v>0.446845338509146</v>
      </c>
      <c r="AR57" s="120" t="n">
        <f aca="false">IFERROR(AR56/AR38,0)</f>
        <v>0.453895349816427</v>
      </c>
      <c r="AS57" s="120" t="n">
        <f aca="false">IFERROR(AS56/AS38,0)</f>
        <v>0.453895349816427</v>
      </c>
      <c r="AT57" s="120" t="n">
        <f aca="false">IFERROR(AT56/AT38,0)</f>
        <v>0.453895349816427</v>
      </c>
      <c r="AU57" s="120" t="n">
        <f aca="false">IFERROR(AU56/AU38,0)</f>
        <v>0.453895349816427</v>
      </c>
      <c r="AV57" s="120" t="n">
        <f aca="false">IFERROR(AV56/AV38,0)</f>
        <v>0.453895349816427</v>
      </c>
      <c r="AW57" s="120" t="n">
        <f aca="false">IFERROR(AW56/AW38,0)</f>
        <v>0.453895349816427</v>
      </c>
      <c r="AX57" s="120" t="n">
        <f aca="false">IFERROR(AX56/AX38,0)</f>
        <v>0.453895349816427</v>
      </c>
      <c r="AY57" s="120" t="n">
        <f aca="false">IFERROR(AY56/AY38,0)</f>
        <v>0.430643219005223</v>
      </c>
      <c r="AZ57" s="120" t="n">
        <f aca="false">IFERROR(AZ56/AZ38,0)</f>
        <v>0.430643219005223</v>
      </c>
      <c r="BA57" s="120" t="n">
        <f aca="false">IFERROR(BA56/BA38,0)</f>
        <v>0.430643219005223</v>
      </c>
      <c r="BB57" s="120" t="n">
        <f aca="false">IFERROR(BB56/BB38,0)</f>
        <v>0.430643219005223</v>
      </c>
      <c r="BC57" s="120" t="n">
        <f aca="false">IFERROR(BC56/BC38,0)</f>
        <v>0.430643219005223</v>
      </c>
      <c r="BD57" s="120" t="n">
        <f aca="false">IFERROR(BD56/BD38,0)</f>
        <v>0.430643219005223</v>
      </c>
      <c r="BE57" s="120" t="n">
        <f aca="false">IFERROR(BE56/BE38,0)</f>
        <v>0.430643219005223</v>
      </c>
      <c r="BF57" s="120" t="n">
        <f aca="false">IFERROR(BF56/BF38,0)</f>
        <v>0.430643219005223</v>
      </c>
      <c r="BG57" s="120" t="n">
        <f aca="false">IFERROR(BG56/BG38,0)</f>
        <v>0.430643219005223</v>
      </c>
      <c r="BH57" s="120" t="n">
        <f aca="false">IFERROR(BH56/BH38,0)</f>
        <v>0.430643219005223</v>
      </c>
      <c r="BI57" s="120" t="n">
        <f aca="false">IFERROR(BI56/BI38,0)</f>
        <v>0.430643219005223</v>
      </c>
      <c r="BJ57" s="120" t="n">
        <f aca="false">IFERROR(BJ56/BJ38,0)</f>
        <v>0.430643219005223</v>
      </c>
      <c r="BK57" s="120" t="n">
        <f aca="false">IFERROR(BK56/BK38,0)</f>
        <v>0.407257883120711</v>
      </c>
      <c r="BL57" s="120" t="n">
        <f aca="false">IFERROR(BL56/BL38,0)</f>
        <v>0.407257883120711</v>
      </c>
      <c r="BM57" s="120" t="n">
        <f aca="false">IFERROR(BM56/BM38,0)</f>
        <v>0.407257883120711</v>
      </c>
      <c r="BN57" s="120" t="n">
        <f aca="false">IFERROR(BN56/BN38,0)</f>
        <v>0.407257883120711</v>
      </c>
      <c r="BO57" s="120" t="n">
        <f aca="false">IFERROR(BO56/BO38,0)</f>
        <v>0.407257883120711</v>
      </c>
      <c r="BP57" s="120" t="n">
        <f aca="false">IFERROR(BP56/BP38,0)</f>
        <v>0.407257883120711</v>
      </c>
      <c r="BQ57" s="120" t="n">
        <f aca="false">IFERROR(BQ56/BQ38,0)</f>
        <v>0.407257883120711</v>
      </c>
      <c r="BR57" s="120" t="n">
        <f aca="false">IFERROR(BR56/BR38,0)</f>
        <v>0.407257883120711</v>
      </c>
      <c r="BS57" s="120" t="n">
        <f aca="false">IFERROR(BS56/BS38,0)</f>
        <v>0.407257883120711</v>
      </c>
      <c r="BT57" s="120" t="n">
        <f aca="false">IFERROR(BT56/BT38,0)</f>
        <v>0.407257883120711</v>
      </c>
      <c r="BU57" s="120" t="n">
        <f aca="false">IFERROR(BU56/BU38,0)</f>
        <v>0.407257883120711</v>
      </c>
      <c r="BV57" s="120" t="n">
        <f aca="false">IFERROR(BV56/BV38,0)</f>
        <v>0.407257883120711</v>
      </c>
      <c r="BW57" s="120" t="n">
        <f aca="false">IFERROR(BW56/BW38,0)</f>
        <v>0.383735346010691</v>
      </c>
      <c r="BX57" s="120" t="n">
        <f aca="false">IFERROR(BX56/BX38,0)</f>
        <v>0.383735346010691</v>
      </c>
      <c r="BY57" s="120" t="n">
        <f aca="false">IFERROR(BY56/BY38,0)</f>
        <v>0.383735346010691</v>
      </c>
      <c r="BZ57" s="120" t="n">
        <f aca="false">IFERROR(BZ56/BZ38,0)</f>
        <v>0.383735346010691</v>
      </c>
      <c r="CA57" s="120" t="n">
        <f aca="false">IFERROR(CA56/CA38,0)</f>
        <v>0.383735346010691</v>
      </c>
      <c r="CB57" s="120" t="n">
        <f aca="false">IFERROR(CB56/CB38,0)</f>
        <v>0.383735346010691</v>
      </c>
      <c r="CC57" s="120" t="n">
        <f aca="false">IFERROR(CC56/CC38,0)</f>
        <v>0.383735346010691</v>
      </c>
      <c r="CD57" s="120" t="n">
        <f aca="false">IFERROR(CD56/CD38,0)</f>
        <v>0.383735346010691</v>
      </c>
      <c r="CE57" s="120" t="n">
        <f aca="false">IFERROR(CE56/CE38,0)</f>
        <v>0.383735346010691</v>
      </c>
      <c r="CF57" s="120" t="n">
        <f aca="false">IFERROR(CF56/CF38,0)</f>
        <v>0.383735346010691</v>
      </c>
      <c r="CG57" s="120" t="n">
        <f aca="false">IFERROR(CG56/CG38,0)</f>
        <v>0.383735346010691</v>
      </c>
      <c r="CH57" s="120" t="n">
        <f aca="false">IFERROR(CH56/CH38,0)</f>
        <v>0.383735346010691</v>
      </c>
    </row>
    <row r="58" customFormat="false" ht="13.5" hidden="false" customHeight="true" outlineLevel="0" collapsed="false">
      <c r="A58" s="6" t="s">
        <v>562</v>
      </c>
      <c r="C58" s="109" t="n">
        <f aca="false">-(CAPEX!$F$22)/(Hipótesis!$D$86*12)</f>
        <v>-1174.64285714286</v>
      </c>
      <c r="D58" s="109" t="n">
        <f aca="false">-(CAPEX!$F$22)/(Hipótesis!$D$86*12)</f>
        <v>-1174.64285714286</v>
      </c>
      <c r="E58" s="109" t="n">
        <f aca="false">-(CAPEX!$F$22)/(Hipótesis!$D$86*12)</f>
        <v>-1174.64285714286</v>
      </c>
      <c r="F58" s="109" t="n">
        <f aca="false">-(CAPEX!$F$22)/(Hipótesis!$D$86*12)</f>
        <v>-1174.64285714286</v>
      </c>
      <c r="G58" s="109" t="n">
        <f aca="false">-(CAPEX!$F$22)/(Hipótesis!$D$86*12)</f>
        <v>-1174.64285714286</v>
      </c>
      <c r="H58" s="109" t="n">
        <f aca="false">-(CAPEX!$F$22)/(Hipótesis!$D$86*12)</f>
        <v>-1174.64285714286</v>
      </c>
      <c r="I58" s="109" t="n">
        <f aca="false">-(CAPEX!$F$22)/(Hipótesis!$D$86*12)</f>
        <v>-1174.64285714286</v>
      </c>
      <c r="J58" s="109" t="n">
        <f aca="false">-(CAPEX!$F$22)/(Hipótesis!$D$86*12)</f>
        <v>-1174.64285714286</v>
      </c>
      <c r="K58" s="109" t="n">
        <f aca="false">-(CAPEX!$F$22)/(Hipótesis!$D$86*12)</f>
        <v>-1174.64285714286</v>
      </c>
      <c r="L58" s="109" t="n">
        <f aca="false">-(CAPEX!$F$22)/(Hipótesis!$D$86*12)</f>
        <v>-1174.64285714286</v>
      </c>
      <c r="M58" s="109" t="n">
        <f aca="false">-(CAPEX!$F$22)/(Hipótesis!$D$86*12)</f>
        <v>-1174.64285714286</v>
      </c>
      <c r="N58" s="109" t="n">
        <f aca="false">-(CAPEX!$F$22)/(Hipótesis!$D$86*12)</f>
        <v>-1174.64285714286</v>
      </c>
      <c r="O58" s="109" t="n">
        <f aca="false">-(CAPEX!$F$22)/(Hipótesis!$D$86*12)</f>
        <v>-1174.64285714286</v>
      </c>
      <c r="P58" s="109" t="n">
        <f aca="false">-(CAPEX!$F$22)/(Hipótesis!$D$86*12)</f>
        <v>-1174.64285714286</v>
      </c>
      <c r="Q58" s="109" t="n">
        <f aca="false">-(CAPEX!$F$22)/(Hipótesis!$D$86*12)</f>
        <v>-1174.64285714286</v>
      </c>
      <c r="R58" s="109" t="n">
        <f aca="false">-(CAPEX!$F$22)/(Hipótesis!$D$86*12)</f>
        <v>-1174.64285714286</v>
      </c>
      <c r="S58" s="109" t="n">
        <f aca="false">-(CAPEX!$F$22)/(Hipótesis!$D$86*12)</f>
        <v>-1174.64285714286</v>
      </c>
      <c r="T58" s="109" t="n">
        <f aca="false">-(CAPEX!$F$22)/(Hipótesis!$D$86*12)</f>
        <v>-1174.64285714286</v>
      </c>
      <c r="U58" s="109" t="n">
        <f aca="false">-(CAPEX!$F$22)/(Hipótesis!$D$86*12)</f>
        <v>-1174.64285714286</v>
      </c>
      <c r="V58" s="109" t="n">
        <f aca="false">-(CAPEX!$F$22)/(Hipótesis!$D$86*12)</f>
        <v>-1174.64285714286</v>
      </c>
      <c r="W58" s="109" t="n">
        <f aca="false">-(CAPEX!$F$22)/(Hipótesis!$D$86*12)</f>
        <v>-1174.64285714286</v>
      </c>
      <c r="X58" s="109" t="n">
        <f aca="false">-(CAPEX!$F$22)/(Hipótesis!$D$86*12)</f>
        <v>-1174.64285714286</v>
      </c>
      <c r="Y58" s="109" t="n">
        <f aca="false">-(CAPEX!$F$22)/(Hipótesis!$D$86*12)</f>
        <v>-1174.64285714286</v>
      </c>
      <c r="Z58" s="109" t="n">
        <f aca="false">-(CAPEX!$F$22)/(Hipótesis!$D$86*12)</f>
        <v>-1174.64285714286</v>
      </c>
      <c r="AA58" s="109" t="n">
        <f aca="false">-(CAPEX!$F$22)/(Hipótesis!$D$86*12)</f>
        <v>-1174.64285714286</v>
      </c>
      <c r="AB58" s="109" t="n">
        <f aca="false">-(CAPEX!$F$22)/(Hipótesis!$D$86*12)</f>
        <v>-1174.64285714286</v>
      </c>
      <c r="AC58" s="109" t="n">
        <f aca="false">-(CAPEX!$F$22)/(Hipótesis!$D$86*12)</f>
        <v>-1174.64285714286</v>
      </c>
      <c r="AD58" s="109" t="n">
        <f aca="false">-(CAPEX!$F$22)/(Hipótesis!$D$86*12)</f>
        <v>-1174.64285714286</v>
      </c>
      <c r="AE58" s="109" t="n">
        <f aca="false">-(CAPEX!$F$22)/(Hipótesis!$D$86*12)</f>
        <v>-1174.64285714286</v>
      </c>
      <c r="AF58" s="109" t="n">
        <f aca="false">-(CAPEX!$F$22)/(Hipótesis!$D$86*12)</f>
        <v>-1174.64285714286</v>
      </c>
      <c r="AG58" s="109" t="n">
        <f aca="false">-(CAPEX!$F$22)/(Hipótesis!$D$86*12)</f>
        <v>-1174.64285714286</v>
      </c>
      <c r="AH58" s="109" t="n">
        <f aca="false">-(CAPEX!$F$22)/(Hipótesis!$D$86*12)</f>
        <v>-1174.64285714286</v>
      </c>
      <c r="AI58" s="109" t="n">
        <f aca="false">-(CAPEX!$F$22)/(Hipótesis!$D$86*12)</f>
        <v>-1174.64285714286</v>
      </c>
      <c r="AJ58" s="109" t="n">
        <f aca="false">-(CAPEX!$F$22)/(Hipótesis!$D$86*12)</f>
        <v>-1174.64285714286</v>
      </c>
      <c r="AK58" s="109" t="n">
        <f aca="false">-(CAPEX!$F$22)/(Hipótesis!$D$86*12)</f>
        <v>-1174.64285714286</v>
      </c>
      <c r="AL58" s="109" t="n">
        <f aca="false">-(CAPEX!$F$22)/(Hipótesis!$D$86*12)</f>
        <v>-1174.64285714286</v>
      </c>
      <c r="AM58" s="109" t="n">
        <f aca="false">-(CAPEX!$F$22)/(Hipótesis!$D$86*12)</f>
        <v>-1174.64285714286</v>
      </c>
      <c r="AN58" s="109" t="n">
        <f aca="false">-(CAPEX!$F$22)/(Hipótesis!$D$86*12)</f>
        <v>-1174.64285714286</v>
      </c>
      <c r="AO58" s="109" t="n">
        <f aca="false">-(CAPEX!$F$22)/(Hipótesis!$D$86*12)</f>
        <v>-1174.64285714286</v>
      </c>
      <c r="AP58" s="109" t="n">
        <f aca="false">-(CAPEX!$F$22)/(Hipótesis!$D$86*12)</f>
        <v>-1174.64285714286</v>
      </c>
      <c r="AQ58" s="109" t="n">
        <f aca="false">-(CAPEX!$F$22)/(Hipótesis!$D$86*12)</f>
        <v>-1174.64285714286</v>
      </c>
      <c r="AR58" s="109" t="n">
        <f aca="false">-(CAPEX!$F$22)/(Hipótesis!$D$86*12)</f>
        <v>-1174.64285714286</v>
      </c>
      <c r="AS58" s="109" t="n">
        <f aca="false">-(CAPEX!$F$22)/(Hipótesis!$D$86*12)</f>
        <v>-1174.64285714286</v>
      </c>
      <c r="AT58" s="109" t="n">
        <f aca="false">-(CAPEX!$F$22)/(Hipótesis!$D$86*12)</f>
        <v>-1174.64285714286</v>
      </c>
      <c r="AU58" s="109" t="n">
        <f aca="false">-(CAPEX!$F$22)/(Hipótesis!$D$86*12)</f>
        <v>-1174.64285714286</v>
      </c>
      <c r="AV58" s="109" t="n">
        <f aca="false">-(CAPEX!$F$22)/(Hipótesis!$D$86*12)</f>
        <v>-1174.64285714286</v>
      </c>
      <c r="AW58" s="109" t="n">
        <f aca="false">-(CAPEX!$F$22)/(Hipótesis!$D$86*12)</f>
        <v>-1174.64285714286</v>
      </c>
      <c r="AX58" s="109" t="n">
        <f aca="false">-(CAPEX!$F$22)/(Hipótesis!$D$86*12)</f>
        <v>-1174.64285714286</v>
      </c>
      <c r="AY58" s="109" t="n">
        <f aca="false">-(CAPEX!$F$22)/(Hipótesis!$D$86*12)</f>
        <v>-1174.64285714286</v>
      </c>
      <c r="AZ58" s="109" t="n">
        <f aca="false">-(CAPEX!$F$22)/(Hipótesis!$D$86*12)</f>
        <v>-1174.64285714286</v>
      </c>
      <c r="BA58" s="109" t="n">
        <f aca="false">-(CAPEX!$F$22)/(Hipótesis!$D$86*12)</f>
        <v>-1174.64285714286</v>
      </c>
      <c r="BB58" s="109" t="n">
        <f aca="false">-(CAPEX!$F$22)/(Hipótesis!$D$86*12)</f>
        <v>-1174.64285714286</v>
      </c>
      <c r="BC58" s="109" t="n">
        <f aca="false">-(CAPEX!$F$22)/(Hipótesis!$D$86*12)</f>
        <v>-1174.64285714286</v>
      </c>
      <c r="BD58" s="109" t="n">
        <f aca="false">-(CAPEX!$F$22)/(Hipótesis!$D$86*12)</f>
        <v>-1174.64285714286</v>
      </c>
      <c r="BE58" s="109" t="n">
        <f aca="false">-(CAPEX!$F$22)/(Hipótesis!$D$86*12)</f>
        <v>-1174.64285714286</v>
      </c>
      <c r="BF58" s="109" t="n">
        <f aca="false">-(CAPEX!$F$22)/(Hipótesis!$D$86*12)</f>
        <v>-1174.64285714286</v>
      </c>
      <c r="BG58" s="109" t="n">
        <f aca="false">-(CAPEX!$F$22)/(Hipótesis!$D$86*12)</f>
        <v>-1174.64285714286</v>
      </c>
      <c r="BH58" s="109" t="n">
        <f aca="false">-(CAPEX!$F$22)/(Hipótesis!$D$86*12)</f>
        <v>-1174.64285714286</v>
      </c>
      <c r="BI58" s="109" t="n">
        <f aca="false">-(CAPEX!$F$22)/(Hipótesis!$D$86*12)</f>
        <v>-1174.64285714286</v>
      </c>
      <c r="BJ58" s="109" t="n">
        <f aca="false">-(CAPEX!$F$22)/(Hipótesis!$D$86*12)</f>
        <v>-1174.64285714286</v>
      </c>
      <c r="BK58" s="109" t="n">
        <f aca="false">-(CAPEX!$F$22)/(Hipótesis!$D$86*12)</f>
        <v>-1174.64285714286</v>
      </c>
      <c r="BL58" s="109" t="n">
        <f aca="false">-(CAPEX!$F$22)/(Hipótesis!$D$86*12)</f>
        <v>-1174.64285714286</v>
      </c>
      <c r="BM58" s="109" t="n">
        <f aca="false">-(CAPEX!$F$22)/(Hipótesis!$D$86*12)</f>
        <v>-1174.64285714286</v>
      </c>
      <c r="BN58" s="109" t="n">
        <f aca="false">-(CAPEX!$F$22)/(Hipótesis!$D$86*12)</f>
        <v>-1174.64285714286</v>
      </c>
      <c r="BO58" s="109" t="n">
        <f aca="false">-(CAPEX!$F$22)/(Hipótesis!$D$86*12)</f>
        <v>-1174.64285714286</v>
      </c>
      <c r="BP58" s="109" t="n">
        <f aca="false">-(CAPEX!$F$22)/(Hipótesis!$D$86*12)</f>
        <v>-1174.64285714286</v>
      </c>
      <c r="BQ58" s="109" t="n">
        <f aca="false">-(CAPEX!$F$22)/(Hipótesis!$D$86*12)</f>
        <v>-1174.64285714286</v>
      </c>
      <c r="BR58" s="109" t="n">
        <f aca="false">-(CAPEX!$F$22)/(Hipótesis!$D$86*12)</f>
        <v>-1174.64285714286</v>
      </c>
      <c r="BS58" s="109" t="n">
        <f aca="false">-(CAPEX!$F$22)/(Hipótesis!$D$86*12)</f>
        <v>-1174.64285714286</v>
      </c>
      <c r="BT58" s="109" t="n">
        <f aca="false">-(CAPEX!$F$22)/(Hipótesis!$D$86*12)</f>
        <v>-1174.64285714286</v>
      </c>
      <c r="BU58" s="109" t="n">
        <f aca="false">-(CAPEX!$F$22)/(Hipótesis!$D$86*12)</f>
        <v>-1174.64285714286</v>
      </c>
      <c r="BV58" s="109" t="n">
        <f aca="false">-(CAPEX!$F$22)/(Hipótesis!$D$86*12)</f>
        <v>-1174.64285714286</v>
      </c>
      <c r="BW58" s="109" t="n">
        <f aca="false">-(CAPEX!$F$22)/(Hipótesis!$D$86*12)</f>
        <v>-1174.64285714286</v>
      </c>
      <c r="BX58" s="109" t="n">
        <f aca="false">-(CAPEX!$F$22)/(Hipótesis!$D$86*12)</f>
        <v>-1174.64285714286</v>
      </c>
      <c r="BY58" s="109" t="n">
        <f aca="false">-(CAPEX!$F$22)/(Hipótesis!$D$86*12)</f>
        <v>-1174.64285714286</v>
      </c>
      <c r="BZ58" s="109" t="n">
        <f aca="false">-(CAPEX!$F$22)/(Hipótesis!$D$86*12)</f>
        <v>-1174.64285714286</v>
      </c>
      <c r="CA58" s="109" t="n">
        <f aca="false">-(CAPEX!$F$22)/(Hipótesis!$D$86*12)</f>
        <v>-1174.64285714286</v>
      </c>
      <c r="CB58" s="109" t="n">
        <f aca="false">-(CAPEX!$F$22)/(Hipótesis!$D$86*12)</f>
        <v>-1174.64285714286</v>
      </c>
      <c r="CC58" s="109" t="n">
        <f aca="false">-(CAPEX!$F$22)/(Hipótesis!$D$86*12)</f>
        <v>-1174.64285714286</v>
      </c>
      <c r="CD58" s="109" t="n">
        <f aca="false">-(CAPEX!$F$22)/(Hipótesis!$D$86*12)</f>
        <v>-1174.64285714286</v>
      </c>
      <c r="CE58" s="109" t="n">
        <f aca="false">-(CAPEX!$F$22)/(Hipótesis!$D$86*12)</f>
        <v>-1174.64285714286</v>
      </c>
      <c r="CF58" s="109" t="n">
        <f aca="false">-(CAPEX!$F$22)/(Hipótesis!$D$86*12)</f>
        <v>-1174.64285714286</v>
      </c>
      <c r="CG58" s="109" t="n">
        <f aca="false">-(CAPEX!$F$22)/(Hipótesis!$D$86*12)</f>
        <v>-1174.64285714286</v>
      </c>
      <c r="CH58" s="109" t="n">
        <f aca="false">-(CAPEX!$F$22)/(Hipótesis!$D$86*12)</f>
        <v>-1174.64285714286</v>
      </c>
    </row>
    <row r="59" customFormat="false" ht="13.5" hidden="false" customHeight="true" outlineLevel="0" collapsed="false">
      <c r="A59" s="22" t="s">
        <v>563</v>
      </c>
      <c r="C59" s="109" t="n">
        <f aca="false">C56+C58</f>
        <v>-15857.7018345561</v>
      </c>
      <c r="D59" s="109" t="n">
        <f aca="false">D56+D58</f>
        <v>-14820.1937896944</v>
      </c>
      <c r="E59" s="109" t="n">
        <f aca="false">E56+E58</f>
        <v>-12723.631494562</v>
      </c>
      <c r="F59" s="109" t="n">
        <f aca="false">F56+F58</f>
        <v>-11596.0102220163</v>
      </c>
      <c r="G59" s="109" t="n">
        <f aca="false">G56+G58</f>
        <v>-10536.9559717455</v>
      </c>
      <c r="H59" s="109" t="n">
        <f aca="false">H56+H58</f>
        <v>-8886.03042457496</v>
      </c>
      <c r="I59" s="109" t="n">
        <f aca="false">I56+I58</f>
        <v>-5613.79178572999</v>
      </c>
      <c r="J59" s="109" t="n">
        <f aca="false">J56+J58</f>
        <v>-2341.55314688502</v>
      </c>
      <c r="K59" s="109" t="n">
        <f aca="false">K56+K58</f>
        <v>930.68549195995</v>
      </c>
      <c r="L59" s="109" t="n">
        <f aca="false">L56+L58</f>
        <v>4202.92413080492</v>
      </c>
      <c r="M59" s="109" t="n">
        <f aca="false">M56+M58</f>
        <v>6416.10851937907</v>
      </c>
      <c r="N59" s="109" t="n">
        <f aca="false">N56+N58</f>
        <v>9419.72661253459</v>
      </c>
      <c r="O59" s="109" t="n">
        <f aca="false">O56+O58</f>
        <v>7196.14470569011</v>
      </c>
      <c r="P59" s="109" t="n">
        <f aca="false">P56+P58</f>
        <v>7584.55698377849</v>
      </c>
      <c r="Q59" s="109" t="n">
        <f aca="false">Q56+Q58</f>
        <v>10284.2892618669</v>
      </c>
      <c r="R59" s="109" t="n">
        <f aca="false">R56+R58</f>
        <v>12984.0215399552</v>
      </c>
      <c r="S59" s="109" t="n">
        <f aca="false">S56+S58</f>
        <v>15683.7538180436</v>
      </c>
      <c r="T59" s="109" t="n">
        <f aca="false">T56+T58</f>
        <v>18383.486096132</v>
      </c>
      <c r="U59" s="109" t="n">
        <f aca="false">U56+U58</f>
        <v>18771.8983742204</v>
      </c>
      <c r="V59" s="109" t="n">
        <f aca="false">V56+V58</f>
        <v>18752.4306523088</v>
      </c>
      <c r="W59" s="109" t="n">
        <f aca="false">W56+W58</f>
        <v>21452.1629303971</v>
      </c>
      <c r="X59" s="109" t="n">
        <f aca="false">X56+X58</f>
        <v>23361.4615039042</v>
      </c>
      <c r="Y59" s="109" t="n">
        <f aca="false">Y56+Y58</f>
        <v>25270.7600774112</v>
      </c>
      <c r="Z59" s="109" t="n">
        <f aca="false">Z56+Z58</f>
        <v>26892.0731690856</v>
      </c>
      <c r="AA59" s="109" t="n">
        <f aca="false">AA56+AA58</f>
        <v>26231.5550607601</v>
      </c>
      <c r="AB59" s="109" t="n">
        <f aca="false">AB56+AB58</f>
        <v>25472.2085524346</v>
      </c>
      <c r="AC59" s="109" t="n">
        <f aca="false">AC56+AC58</f>
        <v>27093.521644109</v>
      </c>
      <c r="AD59" s="109" t="n">
        <f aca="false">AD56+AD58</f>
        <v>28714.8347357835</v>
      </c>
      <c r="AE59" s="109" t="n">
        <f aca="false">AE56+AE58</f>
        <v>30336.147827458</v>
      </c>
      <c r="AF59" s="109" t="n">
        <f aca="false">AF56+AF58</f>
        <v>31957.4609191324</v>
      </c>
      <c r="AG59" s="109" t="n">
        <f aca="false">AG56+AG58</f>
        <v>33578.7740108069</v>
      </c>
      <c r="AH59" s="109" t="n">
        <f aca="false">AH56+AH58</f>
        <v>35200.0871024813</v>
      </c>
      <c r="AI59" s="109" t="n">
        <f aca="false">AI56+AI58</f>
        <v>36821.4001941558</v>
      </c>
      <c r="AJ59" s="109" t="n">
        <f aca="false">AJ56+AJ58</f>
        <v>38442.7132858303</v>
      </c>
      <c r="AK59" s="109" t="n">
        <f aca="false">AK56+AK58</f>
        <v>40064.0263775047</v>
      </c>
      <c r="AL59" s="109" t="n">
        <f aca="false">AL56+AL58</f>
        <v>41685.3394691792</v>
      </c>
      <c r="AM59" s="109" t="n">
        <f aca="false">AM56+AM58</f>
        <v>38492.2672488537</v>
      </c>
      <c r="AN59" s="109" t="n">
        <f aca="false">AN56+AN58</f>
        <v>40113.5803405281</v>
      </c>
      <c r="AO59" s="109" t="n">
        <f aca="false">AO56+AO58</f>
        <v>41734.8934322026</v>
      </c>
      <c r="AP59" s="109" t="n">
        <f aca="false">AP56+AP58</f>
        <v>43356.2065238771</v>
      </c>
      <c r="AQ59" s="109" t="n">
        <f aca="false">AQ56+AQ58</f>
        <v>44977.5196155515</v>
      </c>
      <c r="AR59" s="109" t="n">
        <f aca="false">AR56+AR58</f>
        <v>46598.832707226</v>
      </c>
      <c r="AS59" s="109" t="n">
        <f aca="false">AS56+AS58</f>
        <v>46598.832707226</v>
      </c>
      <c r="AT59" s="109" t="n">
        <f aca="false">AT56+AT58</f>
        <v>46598.832707226</v>
      </c>
      <c r="AU59" s="109" t="n">
        <f aca="false">AU56+AU58</f>
        <v>46598.832707226</v>
      </c>
      <c r="AV59" s="109" t="n">
        <f aca="false">AV56+AV58</f>
        <v>46598.832707226</v>
      </c>
      <c r="AW59" s="109" t="n">
        <f aca="false">AW56+AW58</f>
        <v>46598.832707226</v>
      </c>
      <c r="AX59" s="109" t="n">
        <f aca="false">AX56+AX58</f>
        <v>46598.832707226</v>
      </c>
      <c r="AY59" s="109" t="n">
        <f aca="false">AY56+AY58</f>
        <v>44151.495223866</v>
      </c>
      <c r="AZ59" s="109" t="n">
        <f aca="false">AZ56+AZ58</f>
        <v>44151.495223866</v>
      </c>
      <c r="BA59" s="109" t="n">
        <f aca="false">BA56+BA58</f>
        <v>44151.495223866</v>
      </c>
      <c r="BB59" s="109" t="n">
        <f aca="false">BB56+BB58</f>
        <v>44151.495223866</v>
      </c>
      <c r="BC59" s="109" t="n">
        <f aca="false">BC56+BC58</f>
        <v>44151.495223866</v>
      </c>
      <c r="BD59" s="109" t="n">
        <f aca="false">BD56+BD58</f>
        <v>44151.495223866</v>
      </c>
      <c r="BE59" s="109" t="n">
        <f aca="false">BE56+BE58</f>
        <v>44151.495223866</v>
      </c>
      <c r="BF59" s="109" t="n">
        <f aca="false">BF56+BF58</f>
        <v>44151.495223866</v>
      </c>
      <c r="BG59" s="109" t="n">
        <f aca="false">BG56+BG58</f>
        <v>44151.495223866</v>
      </c>
      <c r="BH59" s="109" t="n">
        <f aca="false">BH56+BH58</f>
        <v>44151.495223866</v>
      </c>
      <c r="BI59" s="109" t="n">
        <f aca="false">BI56+BI58</f>
        <v>44151.495223866</v>
      </c>
      <c r="BJ59" s="109" t="n">
        <f aca="false">BJ56+BJ58</f>
        <v>44151.495223866</v>
      </c>
      <c r="BK59" s="109" t="n">
        <f aca="false">BK56+BK58</f>
        <v>41690.1376160052</v>
      </c>
      <c r="BL59" s="109" t="n">
        <f aca="false">BL56+BL58</f>
        <v>41690.1376160052</v>
      </c>
      <c r="BM59" s="109" t="n">
        <f aca="false">BM56+BM58</f>
        <v>41690.1376160052</v>
      </c>
      <c r="BN59" s="109" t="n">
        <f aca="false">BN56+BN58</f>
        <v>41690.1376160052</v>
      </c>
      <c r="BO59" s="109" t="n">
        <f aca="false">BO56+BO58</f>
        <v>41690.1376160052</v>
      </c>
      <c r="BP59" s="109" t="n">
        <f aca="false">BP56+BP58</f>
        <v>41690.1376160052</v>
      </c>
      <c r="BQ59" s="109" t="n">
        <f aca="false">BQ56+BQ58</f>
        <v>41690.1376160052</v>
      </c>
      <c r="BR59" s="109" t="n">
        <f aca="false">BR56+BR58</f>
        <v>41690.1376160052</v>
      </c>
      <c r="BS59" s="109" t="n">
        <f aca="false">BS56+BS58</f>
        <v>41690.1376160052</v>
      </c>
      <c r="BT59" s="109" t="n">
        <f aca="false">BT56+BT58</f>
        <v>41690.1376160052</v>
      </c>
      <c r="BU59" s="109" t="n">
        <f aca="false">BU56+BU58</f>
        <v>41690.1376160052</v>
      </c>
      <c r="BV59" s="109" t="n">
        <f aca="false">BV56+BV58</f>
        <v>41690.1376160052</v>
      </c>
      <c r="BW59" s="109" t="n">
        <f aca="false">BW56+BW58</f>
        <v>39214.3392799086</v>
      </c>
      <c r="BX59" s="109" t="n">
        <f aca="false">BX56+BX58</f>
        <v>39214.3392799086</v>
      </c>
      <c r="BY59" s="109" t="n">
        <f aca="false">BY56+BY58</f>
        <v>39214.3392799086</v>
      </c>
      <c r="BZ59" s="109" t="n">
        <f aca="false">BZ56+BZ58</f>
        <v>39214.3392799086</v>
      </c>
      <c r="CA59" s="109" t="n">
        <f aca="false">CA56+CA58</f>
        <v>39214.3392799086</v>
      </c>
      <c r="CB59" s="109" t="n">
        <f aca="false">CB56+CB58</f>
        <v>39214.3392799086</v>
      </c>
      <c r="CC59" s="109" t="n">
        <f aca="false">CC56+CC58</f>
        <v>39214.3392799086</v>
      </c>
      <c r="CD59" s="109" t="n">
        <f aca="false">CD56+CD58</f>
        <v>39214.3392799086</v>
      </c>
      <c r="CE59" s="109" t="n">
        <f aca="false">CE56+CE58</f>
        <v>39214.3392799086</v>
      </c>
      <c r="CF59" s="109" t="n">
        <f aca="false">CF56+CF58</f>
        <v>39214.3392799086</v>
      </c>
      <c r="CG59" s="109" t="n">
        <f aca="false">CG56+CG58</f>
        <v>39214.3392799086</v>
      </c>
      <c r="CH59" s="109" t="n">
        <f aca="false">CH56+CH58</f>
        <v>39214.3392799086</v>
      </c>
    </row>
    <row r="60" customFormat="false" ht="13.5" hidden="false" customHeight="true" outlineLevel="0" collapsed="false">
      <c r="A60" s="6" t="s">
        <v>564</v>
      </c>
      <c r="C60" s="109" t="n">
        <f aca="false">-(C91+C98+C103+C77+C68*Hipótesis!$D$73*Hipótesis!$D$74/12)</f>
        <v>-337.405912083333</v>
      </c>
      <c r="D60" s="109" t="n">
        <f aca="false">-(D91+D98+D103+D77+D68*Hipótesis!$D$73*Hipótesis!$D$74/12)</f>
        <v>-341.795605833333</v>
      </c>
      <c r="E60" s="109" t="n">
        <f aca="false">-(E91+E98+E103+E77+E68*Hipótesis!$D$73*Hipótesis!$D$74/12)</f>
        <v>-350.958540989583</v>
      </c>
      <c r="F60" s="109" t="n">
        <f aca="false">-(F91+F98+F103+F77+F68*Hipótesis!$D$73*Hipótesis!$D$74/12)</f>
        <v>-356.048897395833</v>
      </c>
      <c r="G60" s="109" t="n">
        <f aca="false">-(G91+G98+G103+G77+G68*Hipótesis!$D$73*Hipótesis!$D$74/12)</f>
        <v>-360.822138802083</v>
      </c>
      <c r="H60" s="109" t="n">
        <f aca="false">-(H91+H98+H103+H77+H68*Hipótesis!$D$73*Hipótesis!$D$74/12)</f>
        <v>-368.502267708333</v>
      </c>
      <c r="I60" s="109" t="n">
        <f aca="false">-(I91+I98+I103+I77+I68*Hipótesis!$D$73*Hipótesis!$D$74/12)</f>
        <v>-383.561493605324</v>
      </c>
      <c r="J60" s="109" t="n">
        <f aca="false">-(J91+J98+J103+J77+J68*Hipótesis!$D$73*Hipótesis!$D$74/12)</f>
        <v>-398.620719502314</v>
      </c>
      <c r="K60" s="109" t="n">
        <f aca="false">-(K91+K98+K103+K77+K68*Hipótesis!$D$73*Hipótesis!$D$74/12)</f>
        <v>-455.786512381361</v>
      </c>
      <c r="L60" s="109" t="n">
        <f aca="false">-(L91+L98+L103+L77+L68*Hipótesis!$D$73*Hipótesis!$D$74/12)</f>
        <v>-550.140320993989</v>
      </c>
      <c r="M60" s="109" t="n">
        <f aca="false">-(M91+M98+M103+M77+M68*Hipótesis!$D$73*Hipótesis!$D$74/12)</f>
        <v>-605.20188146736</v>
      </c>
      <c r="N60" s="109" t="n">
        <f aca="false">-(N91+N98+N103+N77+N68*Hipótesis!$D$73*Hipótesis!$D$74/12)</f>
        <v>-665.847642815072</v>
      </c>
      <c r="O60" s="109" t="n">
        <f aca="false">-(O91+O98+O103+O77+O68*Hipótesis!$D$73*Hipótesis!$D$74/12)</f>
        <v>-634.940751025177</v>
      </c>
      <c r="P60" s="109" t="n">
        <f aca="false">-(P91+P98+P103+P77+P68*Hipótesis!$D$73*Hipótesis!$D$74/12)</f>
        <v>-655.531901077685</v>
      </c>
      <c r="Q60" s="109" t="n">
        <f aca="false">-(Q91+Q98+Q103+Q77+Q68*Hipótesis!$D$73*Hipótesis!$D$74/12)</f>
        <v>-722.349451130193</v>
      </c>
      <c r="R60" s="109" t="n">
        <f aca="false">-(R91+R98+R103+R77+R68*Hipótesis!$D$73*Hipótesis!$D$74/12)</f>
        <v>-789.167001182701</v>
      </c>
      <c r="S60" s="109" t="n">
        <f aca="false">-(S91+S98+S103+S77+S68*Hipótesis!$D$73*Hipótesis!$D$74/12)</f>
        <v>-855.984551235209</v>
      </c>
      <c r="T60" s="109" t="n">
        <f aca="false">-(T91+T98+T103+T77+T68*Hipótesis!$D$73*Hipótesis!$D$74/12)</f>
        <v>-922.802101287717</v>
      </c>
      <c r="U60" s="109" t="n">
        <f aca="false">-(U91+U98+U103+U77+U68*Hipótesis!$D$73*Hipótesis!$D$74/12)</f>
        <v>-943.393251340226</v>
      </c>
      <c r="V60" s="109" t="n">
        <f aca="false">-(V91+V98+V103+V77+V68*Hipótesis!$D$73*Hipótesis!$D$74/12)</f>
        <v>-955.826801392733</v>
      </c>
      <c r="W60" s="109" t="n">
        <f aca="false">-(W91+W98+W103+W77+W68*Hipótesis!$D$73*Hipótesis!$D$74/12)</f>
        <v>-1022.64435144524</v>
      </c>
      <c r="X60" s="109" t="n">
        <f aca="false">-(X91+X98+X103+X77+X68*Hipótesis!$D$73*Hipótesis!$D$74/12)</f>
        <v>-1069.68928990612</v>
      </c>
      <c r="Y60" s="109" t="n">
        <f aca="false">-(Y91+Y98+Y103+Y77+Y68*Hipótesis!$D$73*Hipótesis!$D$74/12)</f>
        <v>-1116.734228367</v>
      </c>
      <c r="Z60" s="109" t="n">
        <f aca="false">-(Z91+Z98+Z103+Z77+Z68*Hipótesis!$D$73*Hipótesis!$D$74/12)</f>
        <v>-1156.53958719123</v>
      </c>
      <c r="AA60" s="109" t="n">
        <f aca="false">-(AA91+AA98+AA103+AA77+AA68*Hipótesis!$D$73*Hipótesis!$D$74/12)</f>
        <v>-1150.70832201546</v>
      </c>
      <c r="AB60" s="109" t="n">
        <f aca="false">-(AB91+AB98+AB103+AB77+AB68*Hipótesis!$D$73*Hipótesis!$D$74/12)</f>
        <v>-1137.34493328414</v>
      </c>
      <c r="AC60" s="109" t="n">
        <f aca="false">-(AC91+AC98+AC103+AC77+AC68*Hipótesis!$D$73*Hipótesis!$D$74/12)</f>
        <v>-1171.59473655281</v>
      </c>
      <c r="AD60" s="109" t="n">
        <f aca="false">-(AD91+AD98+AD103+AD77+AD68*Hipótesis!$D$73*Hipótesis!$D$74/12)</f>
        <v>-1205.84453982149</v>
      </c>
      <c r="AE60" s="109" t="n">
        <f aca="false">-(AE91+AE98+AE103+AE77+AE68*Hipótesis!$D$73*Hipótesis!$D$74/12)</f>
        <v>-1240.09434309016</v>
      </c>
      <c r="AF60" s="109" t="n">
        <f aca="false">-(AF91+AF98+AF103+AF77+AF68*Hipótesis!$D$73*Hipótesis!$D$74/12)</f>
        <v>-1274.34414635883</v>
      </c>
      <c r="AG60" s="109" t="n">
        <f aca="false">-(AG91+AG98+AG103+AG77+AG68*Hipótesis!$D$73*Hipótesis!$D$74/12)</f>
        <v>-1308.59394962751</v>
      </c>
      <c r="AH60" s="109" t="n">
        <f aca="false">-(AH91+AH98+AH103+AH77+AH68*Hipótesis!$D$73*Hipótesis!$D$74/12)</f>
        <v>-1342.84375289618</v>
      </c>
      <c r="AI60" s="109" t="n">
        <f aca="false">-(AI91+AI98+AI103+AI77+AI68*Hipótesis!$D$73*Hipótesis!$D$74/12)</f>
        <v>-1377.09355616486</v>
      </c>
      <c r="AJ60" s="109" t="n">
        <f aca="false">-(AJ91+AJ98+AJ103+AJ77+AJ68*Hipótesis!$D$73*Hipótesis!$D$74/12)</f>
        <v>-1411.34335943353</v>
      </c>
      <c r="AK60" s="109" t="n">
        <f aca="false">-(AK91+AK98+AK103+AK77+AK68*Hipótesis!$D$73*Hipótesis!$D$74/12)</f>
        <v>-1445.5931627022</v>
      </c>
      <c r="AL60" s="109" t="n">
        <f aca="false">-(AL91+AL98+AL103+AL77+AL68*Hipótesis!$D$73*Hipótesis!$D$74/12)</f>
        <v>-1479.84296597088</v>
      </c>
      <c r="AM60" s="109" t="n">
        <f aca="false">-(AM91+AM98+AM103+AM77+AM68*Hipótesis!$D$73*Hipótesis!$D$74/12)</f>
        <v>-1417.80506299955</v>
      </c>
      <c r="AN60" s="109" t="n">
        <f aca="false">-(AN91+AN98+AN103+AN77+AN68*Hipótesis!$D$73*Hipótesis!$D$74/12)</f>
        <v>-1452.05486626823</v>
      </c>
      <c r="AO60" s="109" t="n">
        <f aca="false">-(AO91+AO98+AO103+AO77+AO68*Hipótesis!$D$73*Hipótesis!$D$74/12)</f>
        <v>-1486.3046695369</v>
      </c>
      <c r="AP60" s="109" t="n">
        <f aca="false">-(AP91+AP98+AP103+AP77+AP68*Hipótesis!$D$73*Hipótesis!$D$74/12)</f>
        <v>-1520.55447280558</v>
      </c>
      <c r="AQ60" s="109" t="n">
        <f aca="false">-(AQ91+AQ98+AQ103+AQ77+AQ68*Hipótesis!$D$73*Hipótesis!$D$74/12)</f>
        <v>-1554.80427607425</v>
      </c>
      <c r="AR60" s="109" t="n">
        <f aca="false">-(AR91+AR98+AR103+AR77+AR68*Hipótesis!$D$73*Hipótesis!$D$74/12)</f>
        <v>-1589.05407934292</v>
      </c>
      <c r="AS60" s="109" t="n">
        <f aca="false">-(AS91+AS98+AS103+AS77+AS68*Hipótesis!$D$73*Hipótesis!$D$74/12)</f>
        <v>-1583.49852378737</v>
      </c>
      <c r="AT60" s="109" t="n">
        <f aca="false">-(AT91+AT98+AT103+AT77+AT68*Hipótesis!$D$73*Hipótesis!$D$74/12)</f>
        <v>-1577.94296823181</v>
      </c>
      <c r="AU60" s="109" t="n">
        <f aca="false">-(AU91+AU98+AU103+AU77+AU68*Hipótesis!$D$73*Hipótesis!$D$74/12)</f>
        <v>-1572.38741267626</v>
      </c>
      <c r="AV60" s="109" t="n">
        <f aca="false">-(AV91+AV98+AV103+AV77+AV68*Hipótesis!$D$73*Hipótesis!$D$74/12)</f>
        <v>-1566.8318571207</v>
      </c>
      <c r="AW60" s="109" t="n">
        <f aca="false">-(AW91+AW98+AW103+AW77+AW68*Hipótesis!$D$73*Hipótesis!$D$74/12)</f>
        <v>-1561.27630156515</v>
      </c>
      <c r="AX60" s="109" t="n">
        <f aca="false">-(AX91+AX98+AX103+AX77+AX68*Hipótesis!$D$73*Hipótesis!$D$74/12)</f>
        <v>-1555.72074600959</v>
      </c>
      <c r="AY60" s="109" t="n">
        <f aca="false">-(AY91+AY98+AY103+AY77+AY68*Hipótesis!$D$73*Hipótesis!$D$74/12)</f>
        <v>-1501.21844078684</v>
      </c>
      <c r="AZ60" s="109" t="n">
        <f aca="false">-(AZ91+AZ98+AZ103+AZ77+AZ68*Hipótesis!$D$73*Hipótesis!$D$74/12)</f>
        <v>-1495.66288523128</v>
      </c>
      <c r="BA60" s="109" t="n">
        <f aca="false">-(BA91+BA98+BA103+BA77+BA68*Hipótesis!$D$73*Hipótesis!$D$74/12)</f>
        <v>-1490.10732967572</v>
      </c>
      <c r="BB60" s="109" t="n">
        <f aca="false">-(BB91+BB98+BB103+BB77+BB68*Hipótesis!$D$73*Hipótesis!$D$74/12)</f>
        <v>-1484.55177412017</v>
      </c>
      <c r="BC60" s="109" t="n">
        <f aca="false">-(BC91+BC98+BC103+BC77+BC68*Hipótesis!$D$73*Hipótesis!$D$74/12)</f>
        <v>-1478.99621856461</v>
      </c>
      <c r="BD60" s="109" t="n">
        <f aca="false">-(BD91+BD98+BD103+BD77+BD68*Hipótesis!$D$73*Hipótesis!$D$74/12)</f>
        <v>-1473.44066300906</v>
      </c>
      <c r="BE60" s="109" t="n">
        <f aca="false">-(BE91+BE98+BE103+BE77+BE68*Hipótesis!$D$73*Hipótesis!$D$74/12)</f>
        <v>-1467.8851074535</v>
      </c>
      <c r="BF60" s="109" t="n">
        <f aca="false">-(BF91+BF98+BF103+BF77+BF68*Hipótesis!$D$73*Hipótesis!$D$74/12)</f>
        <v>-1462.32955189795</v>
      </c>
      <c r="BG60" s="109" t="n">
        <f aca="false">-(BG91+BG98+BG103+BG77+BG68*Hipótesis!$D$73*Hipótesis!$D$74/12)</f>
        <v>-1456.77399634239</v>
      </c>
      <c r="BH60" s="109" t="n">
        <f aca="false">-(BH91+BH98+BH103+BH77+BH68*Hipótesis!$D$73*Hipótesis!$D$74/12)</f>
        <v>-1451.21844078684</v>
      </c>
      <c r="BI60" s="109" t="n">
        <f aca="false">-(BI91+BI98+BI103+BI77+BI68*Hipótesis!$D$73*Hipótesis!$D$74/12)</f>
        <v>-1445.66288523128</v>
      </c>
      <c r="BJ60" s="109" t="n">
        <f aca="false">-(BJ91+BJ98+BJ103+BJ77+BJ68*Hipótesis!$D$73*Hipótesis!$D$74/12)</f>
        <v>-1440.10732967572</v>
      </c>
      <c r="BK60" s="109" t="n">
        <f aca="false">-(BK91+BK98+BK103+BK77+BK68*Hipótesis!$D$73*Hipótesis!$D$74/12)</f>
        <v>-1385.32462196295</v>
      </c>
      <c r="BL60" s="109" t="n">
        <f aca="false">-(BL91+BL98+BL103+BL77+BL68*Hipótesis!$D$73*Hipótesis!$D$74/12)</f>
        <v>-1379.7690664074</v>
      </c>
      <c r="BM60" s="109" t="n">
        <f aca="false">-(BM91+BM98+BM103+BM77+BM68*Hipótesis!$D$73*Hipótesis!$D$74/12)</f>
        <v>-1374.21351085184</v>
      </c>
      <c r="BN60" s="109" t="n">
        <f aca="false">-(BN91+BN98+BN103+BN77+BN68*Hipótesis!$D$73*Hipótesis!$D$74/12)</f>
        <v>-1368.65795529629</v>
      </c>
      <c r="BO60" s="109" t="n">
        <f aca="false">-(BO91+BO98+BO103+BO77+BO68*Hipótesis!$D$73*Hipótesis!$D$74/12)</f>
        <v>-1363.10239974073</v>
      </c>
      <c r="BP60" s="109" t="n">
        <f aca="false">-(BP91+BP98+BP103+BP77+BP68*Hipótesis!$D$73*Hipótesis!$D$74/12)</f>
        <v>-1357.54684418518</v>
      </c>
      <c r="BQ60" s="109" t="n">
        <f aca="false">-(BQ91+BQ98+BQ103+BQ77+BQ68*Hipótesis!$D$73*Hipótesis!$D$74/12)</f>
        <v>-1351.99128862962</v>
      </c>
      <c r="BR60" s="109" t="n">
        <f aca="false">-(BR91+BR98+BR103+BR77+BR68*Hipótesis!$D$73*Hipótesis!$D$74/12)</f>
        <v>-1346.43573307406</v>
      </c>
      <c r="BS60" s="109" t="n">
        <f aca="false">-(BS91+BS98+BS103+BS77+BS68*Hipótesis!$D$73*Hipótesis!$D$74/12)</f>
        <v>-1340.88017751851</v>
      </c>
      <c r="BT60" s="109" t="n">
        <f aca="false">-(BT91+BT98+BT103+BT77+BT68*Hipótesis!$D$73*Hipótesis!$D$74/12)</f>
        <v>-1335.32462196295</v>
      </c>
      <c r="BU60" s="109" t="n">
        <f aca="false">-(BU91+BU98+BU103+BU77+BU68*Hipótesis!$D$73*Hipótesis!$D$74/12)</f>
        <v>-1329.7690664074</v>
      </c>
      <c r="BV60" s="109" t="n">
        <f aca="false">-(BV91+BV98+BV103+BV77+BV68*Hipótesis!$D$73*Hipótesis!$D$74/12)</f>
        <v>-1324.21351085184</v>
      </c>
      <c r="BW60" s="109" t="n">
        <f aca="false">-(BW91+BW98+BW103+BW77+BW68*Hipótesis!$D$73*Hipótesis!$D$74/12)</f>
        <v>-1269.14198857435</v>
      </c>
      <c r="BX60" s="109" t="n">
        <f aca="false">-(BX91+BX98+BX103+BX77+BX68*Hipótesis!$D$73*Hipótesis!$D$74/12)</f>
        <v>-1263.5864330188</v>
      </c>
      <c r="BY60" s="109" t="n">
        <f aca="false">-(BY91+BY98+BY103+BY77+BY68*Hipótesis!$D$73*Hipótesis!$D$74/12)</f>
        <v>-1258.03087746324</v>
      </c>
      <c r="BZ60" s="109" t="n">
        <f aca="false">-(BZ91+BZ98+BZ103+BZ77+BZ68*Hipótesis!$D$73*Hipótesis!$D$74/12)</f>
        <v>-1252.47532190769</v>
      </c>
      <c r="CA60" s="109" t="n">
        <f aca="false">-(CA91+CA98+CA103+CA77+CA68*Hipótesis!$D$73*Hipótesis!$D$74/12)</f>
        <v>-1246.91976635213</v>
      </c>
      <c r="CB60" s="109" t="n">
        <f aca="false">-(CB91+CB98+CB103+CB77+CB68*Hipótesis!$D$73*Hipótesis!$D$74/12)</f>
        <v>-1241.36421079658</v>
      </c>
      <c r="CC60" s="109" t="n">
        <f aca="false">-(CC91+CC98+CC103+CC77+CC68*Hipótesis!$D$73*Hipótesis!$D$74/12)</f>
        <v>-1235.80865524102</v>
      </c>
      <c r="CD60" s="109" t="n">
        <f aca="false">-(CD91+CD98+CD103+CD77+CD68*Hipótesis!$D$73*Hipótesis!$D$74/12)</f>
        <v>-1230.25309968547</v>
      </c>
      <c r="CE60" s="109" t="n">
        <f aca="false">-(CE91+CE98+CE103+CE77+CE68*Hipótesis!$D$73*Hipótesis!$D$74/12)</f>
        <v>-1224.69754412991</v>
      </c>
      <c r="CF60" s="109" t="n">
        <f aca="false">-(CF91+CF98+CF103+CF77+CF68*Hipótesis!$D$73*Hipótesis!$D$74/12)</f>
        <v>-1219.14198857435</v>
      </c>
      <c r="CG60" s="109" t="n">
        <f aca="false">-(CG91+CG98+CG103+CG77+CG68*Hipótesis!$D$73*Hipótesis!$D$74/12)</f>
        <v>-1213.5864330188</v>
      </c>
      <c r="CH60" s="109" t="n">
        <f aca="false">-(CH91+CH98+CH103+CH77+CH68*Hipótesis!$D$73*Hipótesis!$D$74/12)</f>
        <v>-1208.03087746324</v>
      </c>
    </row>
    <row r="61" customFormat="false" ht="13.5" hidden="false" customHeight="true" outlineLevel="0" collapsed="false">
      <c r="A61" s="22" t="s">
        <v>565</v>
      </c>
      <c r="C61" s="109" t="n">
        <f aca="false">C59+C60</f>
        <v>-16195.1077466394</v>
      </c>
      <c r="D61" s="109" t="n">
        <f aca="false">D59+D60</f>
        <v>-15161.9893955278</v>
      </c>
      <c r="E61" s="109" t="n">
        <f aca="false">E59+E60</f>
        <v>-13074.5900355516</v>
      </c>
      <c r="F61" s="109" t="n">
        <f aca="false">F59+F60</f>
        <v>-11952.0591194121</v>
      </c>
      <c r="G61" s="109" t="n">
        <f aca="false">G59+G60</f>
        <v>-10897.7781105475</v>
      </c>
      <c r="H61" s="109" t="n">
        <f aca="false">H59+H60</f>
        <v>-9254.53269228329</v>
      </c>
      <c r="I61" s="109" t="n">
        <f aca="false">I59+I60</f>
        <v>-5997.35327933531</v>
      </c>
      <c r="J61" s="109" t="n">
        <f aca="false">J59+J60</f>
        <v>-2740.17386638734</v>
      </c>
      <c r="K61" s="109" t="n">
        <f aca="false">K59+K60</f>
        <v>474.898979578589</v>
      </c>
      <c r="L61" s="109" t="n">
        <f aca="false">L59+L60</f>
        <v>3652.78380981093</v>
      </c>
      <c r="M61" s="109" t="n">
        <f aca="false">M59+M60</f>
        <v>5810.90663791171</v>
      </c>
      <c r="N61" s="109" t="n">
        <f aca="false">N59+N60</f>
        <v>8753.87896971952</v>
      </c>
      <c r="O61" s="109" t="n">
        <f aca="false">O59+O60</f>
        <v>6561.20395466494</v>
      </c>
      <c r="P61" s="109" t="n">
        <f aca="false">P59+P60</f>
        <v>6929.02508270081</v>
      </c>
      <c r="Q61" s="109" t="n">
        <f aca="false">Q59+Q60</f>
        <v>9561.93981073668</v>
      </c>
      <c r="R61" s="109" t="n">
        <f aca="false">R59+R60</f>
        <v>12194.8545387725</v>
      </c>
      <c r="S61" s="109" t="n">
        <f aca="false">S59+S60</f>
        <v>14827.7692668084</v>
      </c>
      <c r="T61" s="109" t="n">
        <f aca="false">T59+T60</f>
        <v>17460.6839948443</v>
      </c>
      <c r="U61" s="109" t="n">
        <f aca="false">U59+U60</f>
        <v>17828.5051228802</v>
      </c>
      <c r="V61" s="109" t="n">
        <f aca="false">V59+V60</f>
        <v>17796.603850916</v>
      </c>
      <c r="W61" s="109" t="n">
        <f aca="false">W59+W60</f>
        <v>20429.5185789519</v>
      </c>
      <c r="X61" s="109" t="n">
        <f aca="false">X59+X60</f>
        <v>22291.772213998</v>
      </c>
      <c r="Y61" s="109" t="n">
        <f aca="false">Y59+Y60</f>
        <v>24154.0258490442</v>
      </c>
      <c r="Z61" s="109" t="n">
        <f aca="false">Z59+Z60</f>
        <v>25735.5335818944</v>
      </c>
      <c r="AA61" s="109" t="n">
        <f aca="false">AA59+AA60</f>
        <v>25080.8467387446</v>
      </c>
      <c r="AB61" s="109" t="n">
        <f aca="false">AB59+AB60</f>
        <v>24334.8636191504</v>
      </c>
      <c r="AC61" s="109" t="n">
        <f aca="false">AC59+AC60</f>
        <v>25921.9269075562</v>
      </c>
      <c r="AD61" s="109" t="n">
        <f aca="false">AD59+AD60</f>
        <v>27508.990195962</v>
      </c>
      <c r="AE61" s="109" t="n">
        <f aca="false">AE59+AE60</f>
        <v>29096.0534843678</v>
      </c>
      <c r="AF61" s="109" t="n">
        <f aca="false">AF59+AF60</f>
        <v>30683.1167727736</v>
      </c>
      <c r="AG61" s="109" t="n">
        <f aca="false">AG59+AG60</f>
        <v>32270.1800611794</v>
      </c>
      <c r="AH61" s="109" t="n">
        <f aca="false">AH59+AH60</f>
        <v>33857.2433495852</v>
      </c>
      <c r="AI61" s="109" t="n">
        <f aca="false">AI59+AI60</f>
        <v>35444.306637991</v>
      </c>
      <c r="AJ61" s="109" t="n">
        <f aca="false">AJ59+AJ60</f>
        <v>37031.3699263968</v>
      </c>
      <c r="AK61" s="109" t="n">
        <f aca="false">AK59+AK60</f>
        <v>38618.4332148025</v>
      </c>
      <c r="AL61" s="109" t="n">
        <f aca="false">AL59+AL60</f>
        <v>40205.4965032083</v>
      </c>
      <c r="AM61" s="109" t="n">
        <f aca="false">AM59+AM60</f>
        <v>37074.4621858541</v>
      </c>
      <c r="AN61" s="109" t="n">
        <f aca="false">AN59+AN60</f>
        <v>38661.5254742599</v>
      </c>
      <c r="AO61" s="109" t="n">
        <f aca="false">AO59+AO60</f>
        <v>40248.5887626657</v>
      </c>
      <c r="AP61" s="109" t="n">
        <f aca="false">AP59+AP60</f>
        <v>41835.6520510715</v>
      </c>
      <c r="AQ61" s="109" t="n">
        <f aca="false">AQ59+AQ60</f>
        <v>43422.7153394773</v>
      </c>
      <c r="AR61" s="109" t="n">
        <f aca="false">AR59+AR60</f>
        <v>45009.7786278831</v>
      </c>
      <c r="AS61" s="109" t="n">
        <f aca="false">AS59+AS60</f>
        <v>45015.3341834386</v>
      </c>
      <c r="AT61" s="109" t="n">
        <f aca="false">AT59+AT60</f>
        <v>45020.8897389942</v>
      </c>
      <c r="AU61" s="109" t="n">
        <f aca="false">AU59+AU60</f>
        <v>45026.4452945497</v>
      </c>
      <c r="AV61" s="109" t="n">
        <f aca="false">AV59+AV60</f>
        <v>45032.0008501053</v>
      </c>
      <c r="AW61" s="109" t="n">
        <f aca="false">AW59+AW60</f>
        <v>45037.5564056608</v>
      </c>
      <c r="AX61" s="109" t="n">
        <f aca="false">AX59+AX60</f>
        <v>45043.1119612164</v>
      </c>
      <c r="AY61" s="109" t="n">
        <f aca="false">AY59+AY60</f>
        <v>42650.2767830791</v>
      </c>
      <c r="AZ61" s="109" t="n">
        <f aca="false">AZ59+AZ60</f>
        <v>42655.8323386347</v>
      </c>
      <c r="BA61" s="109" t="n">
        <f aca="false">BA59+BA60</f>
        <v>42661.3878941903</v>
      </c>
      <c r="BB61" s="109" t="n">
        <f aca="false">BB59+BB60</f>
        <v>42666.9434497458</v>
      </c>
      <c r="BC61" s="109" t="n">
        <f aca="false">BC59+BC60</f>
        <v>42672.4990053014</v>
      </c>
      <c r="BD61" s="109" t="n">
        <f aca="false">BD59+BD60</f>
        <v>42678.0545608569</v>
      </c>
      <c r="BE61" s="109" t="n">
        <f aca="false">BE59+BE60</f>
        <v>42683.6101164125</v>
      </c>
      <c r="BF61" s="109" t="n">
        <f aca="false">BF59+BF60</f>
        <v>42689.165671968</v>
      </c>
      <c r="BG61" s="109" t="n">
        <f aca="false">BG59+BG60</f>
        <v>42694.7212275236</v>
      </c>
      <c r="BH61" s="109" t="n">
        <f aca="false">BH59+BH60</f>
        <v>42700.2767830791</v>
      </c>
      <c r="BI61" s="109" t="n">
        <f aca="false">BI59+BI60</f>
        <v>42705.8323386347</v>
      </c>
      <c r="BJ61" s="109" t="n">
        <f aca="false">BJ59+BJ60</f>
        <v>42711.3878941903</v>
      </c>
      <c r="BK61" s="109" t="n">
        <f aca="false">BK59+BK60</f>
        <v>40304.8129940422</v>
      </c>
      <c r="BL61" s="109" t="n">
        <f aca="false">BL59+BL60</f>
        <v>40310.3685495978</v>
      </c>
      <c r="BM61" s="109" t="n">
        <f aca="false">BM59+BM60</f>
        <v>40315.9241051533</v>
      </c>
      <c r="BN61" s="109" t="n">
        <f aca="false">BN59+BN60</f>
        <v>40321.4796607089</v>
      </c>
      <c r="BO61" s="109" t="n">
        <f aca="false">BO59+BO60</f>
        <v>40327.0352162644</v>
      </c>
      <c r="BP61" s="109" t="n">
        <f aca="false">BP59+BP60</f>
        <v>40332.59077182</v>
      </c>
      <c r="BQ61" s="109" t="n">
        <f aca="false">BQ59+BQ60</f>
        <v>40338.1463273756</v>
      </c>
      <c r="BR61" s="109" t="n">
        <f aca="false">BR59+BR60</f>
        <v>40343.7018829311</v>
      </c>
      <c r="BS61" s="109" t="n">
        <f aca="false">BS59+BS60</f>
        <v>40349.2574384867</v>
      </c>
      <c r="BT61" s="109" t="n">
        <f aca="false">BT59+BT60</f>
        <v>40354.8129940422</v>
      </c>
      <c r="BU61" s="109" t="n">
        <f aca="false">BU59+BU60</f>
        <v>40360.3685495978</v>
      </c>
      <c r="BV61" s="109" t="n">
        <f aca="false">BV59+BV60</f>
        <v>40365.9241051533</v>
      </c>
      <c r="BW61" s="109" t="n">
        <f aca="false">BW59+BW60</f>
        <v>37945.1972913342</v>
      </c>
      <c r="BX61" s="109" t="n">
        <f aca="false">BX59+BX60</f>
        <v>37950.7528468898</v>
      </c>
      <c r="BY61" s="109" t="n">
        <f aca="false">BY59+BY60</f>
        <v>37956.3084024453</v>
      </c>
      <c r="BZ61" s="109" t="n">
        <f aca="false">BZ59+BZ60</f>
        <v>37961.8639580009</v>
      </c>
      <c r="CA61" s="109" t="n">
        <f aca="false">CA59+CA60</f>
        <v>37967.4195135564</v>
      </c>
      <c r="CB61" s="109" t="n">
        <f aca="false">CB59+CB60</f>
        <v>37972.975069112</v>
      </c>
      <c r="CC61" s="109" t="n">
        <f aca="false">CC59+CC60</f>
        <v>37978.5306246675</v>
      </c>
      <c r="CD61" s="109" t="n">
        <f aca="false">CD59+CD60</f>
        <v>37984.0861802231</v>
      </c>
      <c r="CE61" s="109" t="n">
        <f aca="false">CE59+CE60</f>
        <v>37989.6417357786</v>
      </c>
      <c r="CF61" s="109" t="n">
        <f aca="false">CF59+CF60</f>
        <v>37995.1972913342</v>
      </c>
      <c r="CG61" s="109" t="n">
        <f aca="false">CG59+CG60</f>
        <v>38000.7528468898</v>
      </c>
      <c r="CH61" s="109" t="n">
        <f aca="false">CH59+CH60</f>
        <v>38006.3084024453</v>
      </c>
    </row>
    <row r="62" customFormat="false" ht="13.5" hidden="false" customHeight="true" outlineLevel="0" collapsed="false">
      <c r="A62" s="6" t="s">
        <v>566</v>
      </c>
      <c r="C62" s="109" t="n">
        <f aca="false">-IF(1&lt;Hipótesis!$D$89,Hipótesis!$D$87,Hipótesis!$D$88)*MAX(0,C61)</f>
        <v>-0</v>
      </c>
      <c r="D62" s="109" t="n">
        <f aca="false">-IF(1&lt;Hipótesis!$D$89,Hipótesis!$D$87,Hipótesis!$D$88)*MAX(0,D61)</f>
        <v>-0</v>
      </c>
      <c r="E62" s="109" t="n">
        <f aca="false">-IF(1&lt;Hipótesis!$D$89,Hipótesis!$D$87,Hipótesis!$D$88)*MAX(0,E61)</f>
        <v>-0</v>
      </c>
      <c r="F62" s="109" t="n">
        <f aca="false">-IF(1&lt;Hipótesis!$D$89,Hipótesis!$D$87,Hipótesis!$D$88)*MAX(0,F61)</f>
        <v>-0</v>
      </c>
      <c r="G62" s="109" t="n">
        <f aca="false">-IF(1&lt;Hipótesis!$D$89,Hipótesis!$D$87,Hipótesis!$D$88)*MAX(0,G61)</f>
        <v>-0</v>
      </c>
      <c r="H62" s="109" t="n">
        <f aca="false">-IF(1&lt;Hipótesis!$D$89,Hipótesis!$D$87,Hipótesis!$D$88)*MAX(0,H61)</f>
        <v>-0</v>
      </c>
      <c r="I62" s="109" t="n">
        <f aca="false">-IF(1&lt;Hipótesis!$D$89,Hipótesis!$D$87,Hipótesis!$D$88)*MAX(0,I61)</f>
        <v>-0</v>
      </c>
      <c r="J62" s="109" t="n">
        <f aca="false">-IF(1&lt;Hipótesis!$D$89,Hipótesis!$D$87,Hipótesis!$D$88)*MAX(0,J61)</f>
        <v>-0</v>
      </c>
      <c r="K62" s="109" t="n">
        <f aca="false">-IF(1&lt;Hipótesis!$D$89,Hipótesis!$D$87,Hipótesis!$D$88)*MAX(0,K61)</f>
        <v>-71.2348469367883</v>
      </c>
      <c r="L62" s="109" t="n">
        <f aca="false">-IF(1&lt;Hipótesis!$D$89,Hipótesis!$D$87,Hipótesis!$D$88)*MAX(0,L61)</f>
        <v>-547.917571471639</v>
      </c>
      <c r="M62" s="109" t="n">
        <f aca="false">-IF(1&lt;Hipótesis!$D$89,Hipótesis!$D$87,Hipótesis!$D$88)*MAX(0,M61)</f>
        <v>-871.635995686756</v>
      </c>
      <c r="N62" s="109" t="n">
        <f aca="false">-IF(1&lt;Hipótesis!$D$89,Hipótesis!$D$87,Hipótesis!$D$88)*MAX(0,N61)</f>
        <v>-1313.08184545793</v>
      </c>
      <c r="O62" s="109" t="n">
        <f aca="false">-IF(2&lt;Hipótesis!$D$89,Hipótesis!$D$87,Hipótesis!$D$88)*MAX(0,O61)</f>
        <v>-984.180593199741</v>
      </c>
      <c r="P62" s="109" t="n">
        <f aca="false">-IF(2&lt;Hipótesis!$D$89,Hipótesis!$D$87,Hipótesis!$D$88)*MAX(0,P61)</f>
        <v>-1039.35376240512</v>
      </c>
      <c r="Q62" s="109" t="n">
        <f aca="false">-IF(2&lt;Hipótesis!$D$89,Hipótesis!$D$87,Hipótesis!$D$88)*MAX(0,Q61)</f>
        <v>-1434.2909716105</v>
      </c>
      <c r="R62" s="109" t="n">
        <f aca="false">-IF(2&lt;Hipótesis!$D$89,Hipótesis!$D$87,Hipótesis!$D$88)*MAX(0,R61)</f>
        <v>-1829.22818081588</v>
      </c>
      <c r="S62" s="109" t="n">
        <f aca="false">-IF(2&lt;Hipótesis!$D$89,Hipótesis!$D$87,Hipótesis!$D$88)*MAX(0,S61)</f>
        <v>-2224.16539002126</v>
      </c>
      <c r="T62" s="109" t="n">
        <f aca="false">-IF(2&lt;Hipótesis!$D$89,Hipótesis!$D$87,Hipótesis!$D$88)*MAX(0,T61)</f>
        <v>-2619.10259922664</v>
      </c>
      <c r="U62" s="109" t="n">
        <f aca="false">-IF(2&lt;Hipótesis!$D$89,Hipótesis!$D$87,Hipótesis!$D$88)*MAX(0,U61)</f>
        <v>-2674.27576843203</v>
      </c>
      <c r="V62" s="109" t="n">
        <f aca="false">-IF(2&lt;Hipótesis!$D$89,Hipótesis!$D$87,Hipótesis!$D$88)*MAX(0,V61)</f>
        <v>-2669.49057763741</v>
      </c>
      <c r="W62" s="109" t="n">
        <f aca="false">-IF(2&lt;Hipótesis!$D$89,Hipótesis!$D$87,Hipótesis!$D$88)*MAX(0,W61)</f>
        <v>-3064.42778684279</v>
      </c>
      <c r="X62" s="109" t="n">
        <f aca="false">-IF(2&lt;Hipótesis!$D$89,Hipótesis!$D$87,Hipótesis!$D$88)*MAX(0,X61)</f>
        <v>-3343.76583209971</v>
      </c>
      <c r="Y62" s="109" t="n">
        <f aca="false">-IF(2&lt;Hipótesis!$D$89,Hipótesis!$D$87,Hipótesis!$D$88)*MAX(0,Y61)</f>
        <v>-3623.10387735663</v>
      </c>
      <c r="Z62" s="109" t="n">
        <f aca="false">-IF(2&lt;Hipótesis!$D$89,Hipótesis!$D$87,Hipótesis!$D$88)*MAX(0,Z61)</f>
        <v>-3860.33003728416</v>
      </c>
      <c r="AA62" s="109" t="n">
        <f aca="false">-IF(3&lt;Hipótesis!$D$89,Hipótesis!$D$87,Hipótesis!$D$88)*MAX(0,AA61)</f>
        <v>-3762.1270108117</v>
      </c>
      <c r="AB62" s="109" t="n">
        <f aca="false">-IF(3&lt;Hipótesis!$D$89,Hipótesis!$D$87,Hipótesis!$D$88)*MAX(0,AB61)</f>
        <v>-3650.22954287256</v>
      </c>
      <c r="AC62" s="109" t="n">
        <f aca="false">-IF(3&lt;Hipótesis!$D$89,Hipótesis!$D$87,Hipótesis!$D$88)*MAX(0,AC61)</f>
        <v>-3888.28903613343</v>
      </c>
      <c r="AD62" s="109" t="n">
        <f aca="false">-IF(3&lt;Hipótesis!$D$89,Hipótesis!$D$87,Hipótesis!$D$88)*MAX(0,AD61)</f>
        <v>-4126.3485293943</v>
      </c>
      <c r="AE62" s="109" t="n">
        <f aca="false">-IF(3&lt;Hipótesis!$D$89,Hipótesis!$D$87,Hipótesis!$D$88)*MAX(0,AE61)</f>
        <v>-4364.40802265517</v>
      </c>
      <c r="AF62" s="109" t="n">
        <f aca="false">-IF(3&lt;Hipótesis!$D$89,Hipótesis!$D$87,Hipótesis!$D$88)*MAX(0,AF61)</f>
        <v>-4602.46751591604</v>
      </c>
      <c r="AG62" s="109" t="n">
        <f aca="false">-IF(3&lt;Hipótesis!$D$89,Hipótesis!$D$87,Hipótesis!$D$88)*MAX(0,AG61)</f>
        <v>-4840.5270091769</v>
      </c>
      <c r="AH62" s="109" t="n">
        <f aca="false">-IF(3&lt;Hipótesis!$D$89,Hipótesis!$D$87,Hipótesis!$D$88)*MAX(0,AH61)</f>
        <v>-5078.58650243777</v>
      </c>
      <c r="AI62" s="109" t="n">
        <f aca="false">-IF(3&lt;Hipótesis!$D$89,Hipótesis!$D$87,Hipótesis!$D$88)*MAX(0,AI61)</f>
        <v>-5316.64599569865</v>
      </c>
      <c r="AJ62" s="109" t="n">
        <f aca="false">-IF(3&lt;Hipótesis!$D$89,Hipótesis!$D$87,Hipótesis!$D$88)*MAX(0,AJ61)</f>
        <v>-5554.70548895951</v>
      </c>
      <c r="AK62" s="109" t="n">
        <f aca="false">-IF(3&lt;Hipótesis!$D$89,Hipótesis!$D$87,Hipótesis!$D$88)*MAX(0,AK61)</f>
        <v>-5792.76498222038</v>
      </c>
      <c r="AL62" s="109" t="n">
        <f aca="false">-IF(3&lt;Hipótesis!$D$89,Hipótesis!$D$87,Hipótesis!$D$88)*MAX(0,AL61)</f>
        <v>-6030.82447548125</v>
      </c>
      <c r="AM62" s="109" t="n">
        <f aca="false">-IF(4&lt;Hipótesis!$D$89,Hipótesis!$D$87,Hipótesis!$D$88)*MAX(0,AM61)</f>
        <v>-9268.61554646353</v>
      </c>
      <c r="AN62" s="109" t="n">
        <f aca="false">-IF(4&lt;Hipótesis!$D$89,Hipótesis!$D$87,Hipótesis!$D$88)*MAX(0,AN61)</f>
        <v>-9665.38136856497</v>
      </c>
      <c r="AO62" s="109" t="n">
        <f aca="false">-IF(4&lt;Hipótesis!$D$89,Hipótesis!$D$87,Hipótesis!$D$88)*MAX(0,AO61)</f>
        <v>-10062.1471906664</v>
      </c>
      <c r="AP62" s="109" t="n">
        <f aca="false">-IF(4&lt;Hipótesis!$D$89,Hipótesis!$D$87,Hipótesis!$D$88)*MAX(0,AP61)</f>
        <v>-10458.9130127679</v>
      </c>
      <c r="AQ62" s="109" t="n">
        <f aca="false">-IF(4&lt;Hipótesis!$D$89,Hipótesis!$D$87,Hipótesis!$D$88)*MAX(0,AQ61)</f>
        <v>-10855.6788348693</v>
      </c>
      <c r="AR62" s="109" t="n">
        <f aca="false">-IF(4&lt;Hipótesis!$D$89,Hipótesis!$D$87,Hipótesis!$D$88)*MAX(0,AR61)</f>
        <v>-11252.4446569708</v>
      </c>
      <c r="AS62" s="109" t="n">
        <f aca="false">-IF(4&lt;Hipótesis!$D$89,Hipótesis!$D$87,Hipótesis!$D$88)*MAX(0,AS61)</f>
        <v>-11253.8335458597</v>
      </c>
      <c r="AT62" s="109" t="n">
        <f aca="false">-IF(4&lt;Hipótesis!$D$89,Hipótesis!$D$87,Hipótesis!$D$88)*MAX(0,AT61)</f>
        <v>-11255.2224347485</v>
      </c>
      <c r="AU62" s="109" t="n">
        <f aca="false">-IF(4&lt;Hipótesis!$D$89,Hipótesis!$D$87,Hipótesis!$D$88)*MAX(0,AU61)</f>
        <v>-11256.6113236374</v>
      </c>
      <c r="AV62" s="109" t="n">
        <f aca="false">-IF(4&lt;Hipótesis!$D$89,Hipótesis!$D$87,Hipótesis!$D$88)*MAX(0,AV61)</f>
        <v>-11258.0002125263</v>
      </c>
      <c r="AW62" s="109" t="n">
        <f aca="false">-IF(4&lt;Hipótesis!$D$89,Hipótesis!$D$87,Hipótesis!$D$88)*MAX(0,AW61)</f>
        <v>-11259.3891014152</v>
      </c>
      <c r="AX62" s="109" t="n">
        <f aca="false">-IF(4&lt;Hipótesis!$D$89,Hipótesis!$D$87,Hipótesis!$D$88)*MAX(0,AX61)</f>
        <v>-11260.7779903041</v>
      </c>
      <c r="AY62" s="109" t="n">
        <f aca="false">-IF(5&lt;Hipótesis!$D$89,Hipótesis!$D$87,Hipótesis!$D$88)*MAX(0,AY61)</f>
        <v>-10662.5691957698</v>
      </c>
      <c r="AZ62" s="109" t="n">
        <f aca="false">-IF(5&lt;Hipótesis!$D$89,Hipótesis!$D$87,Hipótesis!$D$88)*MAX(0,AZ61)</f>
        <v>-10663.9580846587</v>
      </c>
      <c r="BA62" s="109" t="n">
        <f aca="false">-IF(5&lt;Hipótesis!$D$89,Hipótesis!$D$87,Hipótesis!$D$88)*MAX(0,BA61)</f>
        <v>-10665.3469735476</v>
      </c>
      <c r="BB62" s="109" t="n">
        <f aca="false">-IF(5&lt;Hipótesis!$D$89,Hipótesis!$D$87,Hipótesis!$D$88)*MAX(0,BB61)</f>
        <v>-10666.7358624365</v>
      </c>
      <c r="BC62" s="109" t="n">
        <f aca="false">-IF(5&lt;Hipótesis!$D$89,Hipótesis!$D$87,Hipótesis!$D$88)*MAX(0,BC61)</f>
        <v>-10668.1247513253</v>
      </c>
      <c r="BD62" s="109" t="n">
        <f aca="false">-IF(5&lt;Hipótesis!$D$89,Hipótesis!$D$87,Hipótesis!$D$88)*MAX(0,BD61)</f>
        <v>-10669.5136402142</v>
      </c>
      <c r="BE62" s="109" t="n">
        <f aca="false">-IF(5&lt;Hipótesis!$D$89,Hipótesis!$D$87,Hipótesis!$D$88)*MAX(0,BE61)</f>
        <v>-10670.9025291031</v>
      </c>
      <c r="BF62" s="109" t="n">
        <f aca="false">-IF(5&lt;Hipótesis!$D$89,Hipótesis!$D$87,Hipótesis!$D$88)*MAX(0,BF61)</f>
        <v>-10672.291417992</v>
      </c>
      <c r="BG62" s="109" t="n">
        <f aca="false">-IF(5&lt;Hipótesis!$D$89,Hipótesis!$D$87,Hipótesis!$D$88)*MAX(0,BG61)</f>
        <v>-10673.6803068809</v>
      </c>
      <c r="BH62" s="109" t="n">
        <f aca="false">-IF(5&lt;Hipótesis!$D$89,Hipótesis!$D$87,Hipótesis!$D$88)*MAX(0,BH61)</f>
        <v>-10675.0691957698</v>
      </c>
      <c r="BI62" s="109" t="n">
        <f aca="false">-IF(5&lt;Hipótesis!$D$89,Hipótesis!$D$87,Hipótesis!$D$88)*MAX(0,BI61)</f>
        <v>-10676.4580846587</v>
      </c>
      <c r="BJ62" s="109" t="n">
        <f aca="false">-IF(5&lt;Hipótesis!$D$89,Hipótesis!$D$87,Hipótesis!$D$88)*MAX(0,BJ61)</f>
        <v>-10677.8469735476</v>
      </c>
      <c r="BK62" s="109" t="n">
        <f aca="false">-IF(6&lt;Hipótesis!$D$89,Hipótesis!$D$87,Hipótesis!$D$88)*MAX(0,BK61)</f>
        <v>-10076.2032485106</v>
      </c>
      <c r="BL62" s="109" t="n">
        <f aca="false">-IF(6&lt;Hipótesis!$D$89,Hipótesis!$D$87,Hipótesis!$D$88)*MAX(0,BL61)</f>
        <v>-10077.5921373994</v>
      </c>
      <c r="BM62" s="109" t="n">
        <f aca="false">-IF(6&lt;Hipótesis!$D$89,Hipótesis!$D$87,Hipótesis!$D$88)*MAX(0,BM61)</f>
        <v>-10078.9810262883</v>
      </c>
      <c r="BN62" s="109" t="n">
        <f aca="false">-IF(6&lt;Hipótesis!$D$89,Hipótesis!$D$87,Hipótesis!$D$88)*MAX(0,BN61)</f>
        <v>-10080.3699151772</v>
      </c>
      <c r="BO62" s="109" t="n">
        <f aca="false">-IF(6&lt;Hipótesis!$D$89,Hipótesis!$D$87,Hipótesis!$D$88)*MAX(0,BO61)</f>
        <v>-10081.7588040661</v>
      </c>
      <c r="BP62" s="109" t="n">
        <f aca="false">-IF(6&lt;Hipótesis!$D$89,Hipótesis!$D$87,Hipótesis!$D$88)*MAX(0,BP61)</f>
        <v>-10083.147692955</v>
      </c>
      <c r="BQ62" s="109" t="n">
        <f aca="false">-IF(6&lt;Hipótesis!$D$89,Hipótesis!$D$87,Hipótesis!$D$88)*MAX(0,BQ61)</f>
        <v>-10084.5365818439</v>
      </c>
      <c r="BR62" s="109" t="n">
        <f aca="false">-IF(6&lt;Hipótesis!$D$89,Hipótesis!$D$87,Hipótesis!$D$88)*MAX(0,BR61)</f>
        <v>-10085.9254707328</v>
      </c>
      <c r="BS62" s="109" t="n">
        <f aca="false">-IF(6&lt;Hipótesis!$D$89,Hipótesis!$D$87,Hipótesis!$D$88)*MAX(0,BS61)</f>
        <v>-10087.3143596217</v>
      </c>
      <c r="BT62" s="109" t="n">
        <f aca="false">-IF(6&lt;Hipótesis!$D$89,Hipótesis!$D$87,Hipótesis!$D$88)*MAX(0,BT61)</f>
        <v>-10088.7032485106</v>
      </c>
      <c r="BU62" s="109" t="n">
        <f aca="false">-IF(6&lt;Hipótesis!$D$89,Hipótesis!$D$87,Hipótesis!$D$88)*MAX(0,BU61)</f>
        <v>-10090.0921373994</v>
      </c>
      <c r="BV62" s="109" t="n">
        <f aca="false">-IF(6&lt;Hipótesis!$D$89,Hipótesis!$D$87,Hipótesis!$D$88)*MAX(0,BV61)</f>
        <v>-10091.4810262883</v>
      </c>
      <c r="BW62" s="109" t="n">
        <f aca="false">-IF(7&lt;Hipótesis!$D$89,Hipótesis!$D$87,Hipótesis!$D$88)*MAX(0,BW61)</f>
        <v>-9486.29932283355</v>
      </c>
      <c r="BX62" s="109" t="n">
        <f aca="false">-IF(7&lt;Hipótesis!$D$89,Hipótesis!$D$87,Hipótesis!$D$88)*MAX(0,BX61)</f>
        <v>-9487.68821172244</v>
      </c>
      <c r="BY62" s="109" t="n">
        <f aca="false">-IF(7&lt;Hipótesis!$D$89,Hipótesis!$D$87,Hipótesis!$D$88)*MAX(0,BY61)</f>
        <v>-9489.07710061133</v>
      </c>
      <c r="BZ62" s="109" t="n">
        <f aca="false">-IF(7&lt;Hipótesis!$D$89,Hipótesis!$D$87,Hipótesis!$D$88)*MAX(0,BZ61)</f>
        <v>-9490.46598950022</v>
      </c>
      <c r="CA62" s="109" t="n">
        <f aca="false">-IF(7&lt;Hipótesis!$D$89,Hipótesis!$D$87,Hipótesis!$D$88)*MAX(0,CA61)</f>
        <v>-9491.8548783891</v>
      </c>
      <c r="CB62" s="109" t="n">
        <f aca="false">-IF(7&lt;Hipótesis!$D$89,Hipótesis!$D$87,Hipótesis!$D$88)*MAX(0,CB61)</f>
        <v>-9493.24376727799</v>
      </c>
      <c r="CC62" s="109" t="n">
        <f aca="false">-IF(7&lt;Hipótesis!$D$89,Hipótesis!$D$87,Hipótesis!$D$88)*MAX(0,CC61)</f>
        <v>-9494.63265616688</v>
      </c>
      <c r="CD62" s="109" t="n">
        <f aca="false">-IF(7&lt;Hipótesis!$D$89,Hipótesis!$D$87,Hipótesis!$D$88)*MAX(0,CD61)</f>
        <v>-9496.02154505577</v>
      </c>
      <c r="CE62" s="109" t="n">
        <f aca="false">-IF(7&lt;Hipótesis!$D$89,Hipótesis!$D$87,Hipótesis!$D$88)*MAX(0,CE61)</f>
        <v>-9497.41043394466</v>
      </c>
      <c r="CF62" s="109" t="n">
        <f aca="false">-IF(7&lt;Hipótesis!$D$89,Hipótesis!$D$87,Hipótesis!$D$88)*MAX(0,CF61)</f>
        <v>-9498.79932283355</v>
      </c>
      <c r="CG62" s="109" t="n">
        <f aca="false">-IF(7&lt;Hipótesis!$D$89,Hipótesis!$D$87,Hipótesis!$D$88)*MAX(0,CG61)</f>
        <v>-9500.18821172244</v>
      </c>
      <c r="CH62" s="109" t="n">
        <f aca="false">-IF(7&lt;Hipótesis!$D$89,Hipótesis!$D$87,Hipótesis!$D$88)*MAX(0,CH61)</f>
        <v>-9501.57710061133</v>
      </c>
    </row>
    <row r="63" customFormat="false" ht="13.5" hidden="false" customHeight="true" outlineLevel="0" collapsed="false">
      <c r="A63" s="22" t="s">
        <v>567</v>
      </c>
      <c r="C63" s="109" t="n">
        <f aca="false">C61+C62</f>
        <v>-16195.1077466394</v>
      </c>
      <c r="D63" s="109" t="n">
        <f aca="false">D61+D62</f>
        <v>-15161.9893955278</v>
      </c>
      <c r="E63" s="109" t="n">
        <f aca="false">E61+E62</f>
        <v>-13074.5900355516</v>
      </c>
      <c r="F63" s="109" t="n">
        <f aca="false">F61+F62</f>
        <v>-11952.0591194121</v>
      </c>
      <c r="G63" s="109" t="n">
        <f aca="false">G61+G62</f>
        <v>-10897.7781105475</v>
      </c>
      <c r="H63" s="109" t="n">
        <f aca="false">H61+H62</f>
        <v>-9254.53269228329</v>
      </c>
      <c r="I63" s="109" t="n">
        <f aca="false">I61+I62</f>
        <v>-5997.35327933531</v>
      </c>
      <c r="J63" s="109" t="n">
        <f aca="false">J61+J62</f>
        <v>-2740.17386638734</v>
      </c>
      <c r="K63" s="109" t="n">
        <f aca="false">K61+K62</f>
        <v>403.6641326418</v>
      </c>
      <c r="L63" s="109" t="n">
        <f aca="false">L61+L62</f>
        <v>3104.86623833929</v>
      </c>
      <c r="M63" s="109" t="n">
        <f aca="false">M61+M62</f>
        <v>4939.27064222495</v>
      </c>
      <c r="N63" s="109" t="n">
        <f aca="false">N61+N62</f>
        <v>7440.79712426159</v>
      </c>
      <c r="O63" s="109" t="n">
        <f aca="false">O61+O62</f>
        <v>5577.0233614652</v>
      </c>
      <c r="P63" s="109" t="n">
        <f aca="false">P61+P62</f>
        <v>5889.67132029569</v>
      </c>
      <c r="Q63" s="109" t="n">
        <f aca="false">Q61+Q62</f>
        <v>8127.64883912618</v>
      </c>
      <c r="R63" s="109" t="n">
        <f aca="false">R61+R62</f>
        <v>10365.6263579567</v>
      </c>
      <c r="S63" s="109" t="n">
        <f aca="false">S61+S62</f>
        <v>12603.6038767872</v>
      </c>
      <c r="T63" s="109" t="n">
        <f aca="false">T61+T62</f>
        <v>14841.5813956177</v>
      </c>
      <c r="U63" s="109" t="n">
        <f aca="false">U61+U62</f>
        <v>15154.2293544481</v>
      </c>
      <c r="V63" s="109" t="n">
        <f aca="false">V61+V62</f>
        <v>15127.1132732786</v>
      </c>
      <c r="W63" s="109" t="n">
        <f aca="false">W61+W62</f>
        <v>17365.0907921091</v>
      </c>
      <c r="X63" s="109" t="n">
        <f aca="false">X61+X62</f>
        <v>18948.0063818983</v>
      </c>
      <c r="Y63" s="109" t="n">
        <f aca="false">Y61+Y62</f>
        <v>20530.9219716875</v>
      </c>
      <c r="Z63" s="109" t="n">
        <f aca="false">Z61+Z62</f>
        <v>21875.2035446102</v>
      </c>
      <c r="AA63" s="109" t="n">
        <f aca="false">AA61+AA62</f>
        <v>21318.719727933</v>
      </c>
      <c r="AB63" s="109" t="n">
        <f aca="false">AB61+AB62</f>
        <v>20684.6340762779</v>
      </c>
      <c r="AC63" s="109" t="n">
        <f aca="false">AC61+AC62</f>
        <v>22033.6378714228</v>
      </c>
      <c r="AD63" s="109" t="n">
        <f aca="false">AD61+AD62</f>
        <v>23382.6416665677</v>
      </c>
      <c r="AE63" s="109" t="n">
        <f aca="false">AE61+AE62</f>
        <v>24731.6454617126</v>
      </c>
      <c r="AF63" s="109" t="n">
        <f aca="false">AF61+AF62</f>
        <v>26080.6492568576</v>
      </c>
      <c r="AG63" s="109" t="n">
        <f aca="false">AG61+AG62</f>
        <v>27429.6530520025</v>
      </c>
      <c r="AH63" s="109" t="n">
        <f aca="false">AH61+AH62</f>
        <v>28778.6568471474</v>
      </c>
      <c r="AI63" s="109" t="n">
        <f aca="false">AI61+AI62</f>
        <v>30127.6606422923</v>
      </c>
      <c r="AJ63" s="109" t="n">
        <f aca="false">AJ61+AJ62</f>
        <v>31476.6644374372</v>
      </c>
      <c r="AK63" s="109" t="n">
        <f aca="false">AK61+AK62</f>
        <v>32825.6682325821</v>
      </c>
      <c r="AL63" s="109" t="n">
        <f aca="false">AL61+AL62</f>
        <v>34174.6720277271</v>
      </c>
      <c r="AM63" s="109" t="n">
        <f aca="false">AM61+AM62</f>
        <v>27805.8466393906</v>
      </c>
      <c r="AN63" s="109" t="n">
        <f aca="false">AN61+AN62</f>
        <v>28996.1441056949</v>
      </c>
      <c r="AO63" s="109" t="n">
        <f aca="false">AO61+AO62</f>
        <v>30186.4415719993</v>
      </c>
      <c r="AP63" s="109" t="n">
        <f aca="false">AP61+AP62</f>
        <v>31376.7390383036</v>
      </c>
      <c r="AQ63" s="109" t="n">
        <f aca="false">AQ61+AQ62</f>
        <v>32567.0365046079</v>
      </c>
      <c r="AR63" s="109" t="n">
        <f aca="false">AR61+AR62</f>
        <v>33757.3339709123</v>
      </c>
      <c r="AS63" s="109" t="n">
        <f aca="false">AS61+AS62</f>
        <v>33761.500637579</v>
      </c>
      <c r="AT63" s="109" t="n">
        <f aca="false">AT61+AT62</f>
        <v>33765.6673042456</v>
      </c>
      <c r="AU63" s="109" t="n">
        <f aca="false">AU61+AU62</f>
        <v>33769.8339709123</v>
      </c>
      <c r="AV63" s="109" t="n">
        <f aca="false">AV61+AV62</f>
        <v>33774.000637579</v>
      </c>
      <c r="AW63" s="109" t="n">
        <f aca="false">AW61+AW62</f>
        <v>33778.1673042456</v>
      </c>
      <c r="AX63" s="109" t="n">
        <f aca="false">AX61+AX62</f>
        <v>33782.3339709123</v>
      </c>
      <c r="AY63" s="109" t="n">
        <f aca="false">AY61+AY62</f>
        <v>31987.7075873094</v>
      </c>
      <c r="AZ63" s="109" t="n">
        <f aca="false">AZ61+AZ62</f>
        <v>31991.874253976</v>
      </c>
      <c r="BA63" s="109" t="n">
        <f aca="false">BA61+BA62</f>
        <v>31996.0409206427</v>
      </c>
      <c r="BB63" s="109" t="n">
        <f aca="false">BB61+BB62</f>
        <v>32000.2075873094</v>
      </c>
      <c r="BC63" s="109" t="n">
        <f aca="false">BC61+BC62</f>
        <v>32004.374253976</v>
      </c>
      <c r="BD63" s="109" t="n">
        <f aca="false">BD61+BD62</f>
        <v>32008.5409206427</v>
      </c>
      <c r="BE63" s="109" t="n">
        <f aca="false">BE61+BE62</f>
        <v>32012.7075873094</v>
      </c>
      <c r="BF63" s="109" t="n">
        <f aca="false">BF61+BF62</f>
        <v>32016.874253976</v>
      </c>
      <c r="BG63" s="109" t="n">
        <f aca="false">BG61+BG62</f>
        <v>32021.0409206427</v>
      </c>
      <c r="BH63" s="109" t="n">
        <f aca="false">BH61+BH62</f>
        <v>32025.2075873094</v>
      </c>
      <c r="BI63" s="109" t="n">
        <f aca="false">BI61+BI62</f>
        <v>32029.374253976</v>
      </c>
      <c r="BJ63" s="109" t="n">
        <f aca="false">BJ61+BJ62</f>
        <v>32033.5409206427</v>
      </c>
      <c r="BK63" s="109" t="n">
        <f aca="false">BK61+BK62</f>
        <v>30228.6097455317</v>
      </c>
      <c r="BL63" s="109" t="n">
        <f aca="false">BL61+BL62</f>
        <v>30232.7764121983</v>
      </c>
      <c r="BM63" s="109" t="n">
        <f aca="false">BM61+BM62</f>
        <v>30236.943078865</v>
      </c>
      <c r="BN63" s="109" t="n">
        <f aca="false">BN61+BN62</f>
        <v>30241.1097455317</v>
      </c>
      <c r="BO63" s="109" t="n">
        <f aca="false">BO61+BO62</f>
        <v>30245.2764121983</v>
      </c>
      <c r="BP63" s="109" t="n">
        <f aca="false">BP61+BP62</f>
        <v>30249.443078865</v>
      </c>
      <c r="BQ63" s="109" t="n">
        <f aca="false">BQ61+BQ62</f>
        <v>30253.6097455317</v>
      </c>
      <c r="BR63" s="109" t="n">
        <f aca="false">BR61+BR62</f>
        <v>30257.7764121983</v>
      </c>
      <c r="BS63" s="109" t="n">
        <f aca="false">BS61+BS62</f>
        <v>30261.943078865</v>
      </c>
      <c r="BT63" s="109" t="n">
        <f aca="false">BT61+BT62</f>
        <v>30266.1097455317</v>
      </c>
      <c r="BU63" s="109" t="n">
        <f aca="false">BU61+BU62</f>
        <v>30270.2764121983</v>
      </c>
      <c r="BV63" s="109" t="n">
        <f aca="false">BV61+BV62</f>
        <v>30274.443078865</v>
      </c>
      <c r="BW63" s="109" t="n">
        <f aca="false">BW61+BW62</f>
        <v>28458.8979685007</v>
      </c>
      <c r="BX63" s="109" t="n">
        <f aca="false">BX61+BX62</f>
        <v>28463.0646351673</v>
      </c>
      <c r="BY63" s="109" t="n">
        <f aca="false">BY61+BY62</f>
        <v>28467.231301834</v>
      </c>
      <c r="BZ63" s="109" t="n">
        <f aca="false">BZ61+BZ62</f>
        <v>28471.3979685006</v>
      </c>
      <c r="CA63" s="109" t="n">
        <f aca="false">CA61+CA62</f>
        <v>28475.5646351673</v>
      </c>
      <c r="CB63" s="109" t="n">
        <f aca="false">CB61+CB62</f>
        <v>28479.731301834</v>
      </c>
      <c r="CC63" s="109" t="n">
        <f aca="false">CC61+CC62</f>
        <v>28483.8979685006</v>
      </c>
      <c r="CD63" s="109" t="n">
        <f aca="false">CD61+CD62</f>
        <v>28488.0646351673</v>
      </c>
      <c r="CE63" s="109" t="n">
        <f aca="false">CE61+CE62</f>
        <v>28492.231301834</v>
      </c>
      <c r="CF63" s="109" t="n">
        <f aca="false">CF61+CF62</f>
        <v>28496.3979685007</v>
      </c>
      <c r="CG63" s="109" t="n">
        <f aca="false">CG61+CG62</f>
        <v>28500.5646351673</v>
      </c>
      <c r="CH63" s="109" t="n">
        <f aca="false">CH61+CH62</f>
        <v>28504.731301834</v>
      </c>
    </row>
    <row r="64" customFormat="false" ht="13.5" hidden="false" customHeight="true" outlineLevel="0" collapsed="false"/>
    <row r="65" customFormat="false" ht="12.75" hidden="false" customHeight="true" outlineLevel="0" collapsed="false">
      <c r="A65" s="9" t="s">
        <v>568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  <c r="CD65" s="9"/>
      <c r="CE65" s="9"/>
      <c r="CF65" s="9"/>
      <c r="CG65" s="9"/>
      <c r="CH65" s="9"/>
    </row>
    <row r="66" customFormat="false" ht="13.5" hidden="false" customHeight="true" outlineLevel="0" collapsed="false">
      <c r="A66" s="6" t="s">
        <v>561</v>
      </c>
      <c r="C66" s="109" t="n">
        <f aca="false">C56</f>
        <v>-14683.0589774132</v>
      </c>
      <c r="D66" s="109" t="n">
        <f aca="false">D56</f>
        <v>-13645.5509325516</v>
      </c>
      <c r="E66" s="109" t="n">
        <f aca="false">E56</f>
        <v>-11548.9886374191</v>
      </c>
      <c r="F66" s="109" t="n">
        <f aca="false">F56</f>
        <v>-10421.3673648734</v>
      </c>
      <c r="G66" s="109" t="n">
        <f aca="false">G56</f>
        <v>-9362.31311460261</v>
      </c>
      <c r="H66" s="109" t="n">
        <f aca="false">H56</f>
        <v>-7711.3875674321</v>
      </c>
      <c r="I66" s="109" t="n">
        <f aca="false">I56</f>
        <v>-4439.14892858713</v>
      </c>
      <c r="J66" s="109" t="n">
        <f aca="false">J56</f>
        <v>-1166.91028974217</v>
      </c>
      <c r="K66" s="109" t="n">
        <f aca="false">K56</f>
        <v>2105.32834910281</v>
      </c>
      <c r="L66" s="109" t="n">
        <f aca="false">L56</f>
        <v>5377.56698794777</v>
      </c>
      <c r="M66" s="109" t="n">
        <f aca="false">M56</f>
        <v>7590.75137652192</v>
      </c>
      <c r="N66" s="109" t="n">
        <f aca="false">N56</f>
        <v>10594.3694696774</v>
      </c>
      <c r="O66" s="109" t="n">
        <f aca="false">O56</f>
        <v>8370.78756283297</v>
      </c>
      <c r="P66" s="109" t="n">
        <f aca="false">P56</f>
        <v>8759.19984092135</v>
      </c>
      <c r="Q66" s="109" t="n">
        <f aca="false">Q56</f>
        <v>11458.9321190097</v>
      </c>
      <c r="R66" s="109" t="n">
        <f aca="false">R56</f>
        <v>14158.6643970981</v>
      </c>
      <c r="S66" s="109" t="n">
        <f aca="false">S56</f>
        <v>16858.3966751865</v>
      </c>
      <c r="T66" s="109" t="n">
        <f aca="false">T56</f>
        <v>19558.1289532749</v>
      </c>
      <c r="U66" s="109" t="n">
        <f aca="false">U56</f>
        <v>19946.5412313633</v>
      </c>
      <c r="V66" s="109" t="n">
        <f aca="false">V56</f>
        <v>19927.0735094516</v>
      </c>
      <c r="W66" s="109" t="n">
        <f aca="false">W56</f>
        <v>22626.80578754</v>
      </c>
      <c r="X66" s="109" t="n">
        <f aca="false">X56</f>
        <v>24536.104361047</v>
      </c>
      <c r="Y66" s="109" t="n">
        <f aca="false">Y56</f>
        <v>26445.402934554</v>
      </c>
      <c r="Z66" s="109" t="n">
        <f aca="false">Z56</f>
        <v>28066.7160262285</v>
      </c>
      <c r="AA66" s="109" t="n">
        <f aca="false">AA56</f>
        <v>27406.197917903</v>
      </c>
      <c r="AB66" s="109" t="n">
        <f aca="false">AB56</f>
        <v>26646.8514095774</v>
      </c>
      <c r="AC66" s="109" t="n">
        <f aca="false">AC56</f>
        <v>28268.1645012519</v>
      </c>
      <c r="AD66" s="109" t="n">
        <f aca="false">AD56</f>
        <v>29889.4775929264</v>
      </c>
      <c r="AE66" s="109" t="n">
        <f aca="false">AE56</f>
        <v>31510.7906846008</v>
      </c>
      <c r="AF66" s="109" t="n">
        <f aca="false">AF56</f>
        <v>33132.1037762753</v>
      </c>
      <c r="AG66" s="109" t="n">
        <f aca="false">AG56</f>
        <v>34753.4168679497</v>
      </c>
      <c r="AH66" s="109" t="n">
        <f aca="false">AH56</f>
        <v>36374.7299596242</v>
      </c>
      <c r="AI66" s="109" t="n">
        <f aca="false">AI56</f>
        <v>37996.0430512987</v>
      </c>
      <c r="AJ66" s="109" t="n">
        <f aca="false">AJ56</f>
        <v>39617.3561429731</v>
      </c>
      <c r="AK66" s="109" t="n">
        <f aca="false">AK56</f>
        <v>41238.6692346476</v>
      </c>
      <c r="AL66" s="109" t="n">
        <f aca="false">AL56</f>
        <v>42859.9823263221</v>
      </c>
      <c r="AM66" s="109" t="n">
        <f aca="false">AM56</f>
        <v>39666.9101059965</v>
      </c>
      <c r="AN66" s="109" t="n">
        <f aca="false">AN56</f>
        <v>41288.223197671</v>
      </c>
      <c r="AO66" s="109" t="n">
        <f aca="false">AO56</f>
        <v>42909.5362893454</v>
      </c>
      <c r="AP66" s="109" t="n">
        <f aca="false">AP56</f>
        <v>44530.8493810199</v>
      </c>
      <c r="AQ66" s="109" t="n">
        <f aca="false">AQ56</f>
        <v>46152.1624726944</v>
      </c>
      <c r="AR66" s="109" t="n">
        <f aca="false">AR56</f>
        <v>47773.4755643688</v>
      </c>
      <c r="AS66" s="109" t="n">
        <f aca="false">AS56</f>
        <v>47773.4755643688</v>
      </c>
      <c r="AT66" s="109" t="n">
        <f aca="false">AT56</f>
        <v>47773.4755643688</v>
      </c>
      <c r="AU66" s="109" t="n">
        <f aca="false">AU56</f>
        <v>47773.4755643688</v>
      </c>
      <c r="AV66" s="109" t="n">
        <f aca="false">AV56</f>
        <v>47773.4755643688</v>
      </c>
      <c r="AW66" s="109" t="n">
        <f aca="false">AW56</f>
        <v>47773.4755643688</v>
      </c>
      <c r="AX66" s="109" t="n">
        <f aca="false">AX56</f>
        <v>47773.4755643688</v>
      </c>
      <c r="AY66" s="109" t="n">
        <f aca="false">AY56</f>
        <v>45326.1380810088</v>
      </c>
      <c r="AZ66" s="109" t="n">
        <f aca="false">AZ56</f>
        <v>45326.1380810088</v>
      </c>
      <c r="BA66" s="109" t="n">
        <f aca="false">BA56</f>
        <v>45326.1380810088</v>
      </c>
      <c r="BB66" s="109" t="n">
        <f aca="false">BB56</f>
        <v>45326.1380810088</v>
      </c>
      <c r="BC66" s="109" t="n">
        <f aca="false">BC56</f>
        <v>45326.1380810088</v>
      </c>
      <c r="BD66" s="109" t="n">
        <f aca="false">BD56</f>
        <v>45326.1380810088</v>
      </c>
      <c r="BE66" s="109" t="n">
        <f aca="false">BE56</f>
        <v>45326.1380810088</v>
      </c>
      <c r="BF66" s="109" t="n">
        <f aca="false">BF56</f>
        <v>45326.1380810088</v>
      </c>
      <c r="BG66" s="109" t="n">
        <f aca="false">BG56</f>
        <v>45326.1380810088</v>
      </c>
      <c r="BH66" s="109" t="n">
        <f aca="false">BH56</f>
        <v>45326.1380810088</v>
      </c>
      <c r="BI66" s="109" t="n">
        <f aca="false">BI56</f>
        <v>45326.1380810088</v>
      </c>
      <c r="BJ66" s="109" t="n">
        <f aca="false">BJ56</f>
        <v>45326.1380810088</v>
      </c>
      <c r="BK66" s="109" t="n">
        <f aca="false">BK56</f>
        <v>42864.780473148</v>
      </c>
      <c r="BL66" s="109" t="n">
        <f aca="false">BL56</f>
        <v>42864.780473148</v>
      </c>
      <c r="BM66" s="109" t="n">
        <f aca="false">BM56</f>
        <v>42864.780473148</v>
      </c>
      <c r="BN66" s="109" t="n">
        <f aca="false">BN56</f>
        <v>42864.780473148</v>
      </c>
      <c r="BO66" s="109" t="n">
        <f aca="false">BO56</f>
        <v>42864.780473148</v>
      </c>
      <c r="BP66" s="109" t="n">
        <f aca="false">BP56</f>
        <v>42864.780473148</v>
      </c>
      <c r="BQ66" s="109" t="n">
        <f aca="false">BQ56</f>
        <v>42864.780473148</v>
      </c>
      <c r="BR66" s="109" t="n">
        <f aca="false">BR56</f>
        <v>42864.780473148</v>
      </c>
      <c r="BS66" s="109" t="n">
        <f aca="false">BS56</f>
        <v>42864.780473148</v>
      </c>
      <c r="BT66" s="109" t="n">
        <f aca="false">BT56</f>
        <v>42864.780473148</v>
      </c>
      <c r="BU66" s="109" t="n">
        <f aca="false">BU56</f>
        <v>42864.780473148</v>
      </c>
      <c r="BV66" s="109" t="n">
        <f aca="false">BV56</f>
        <v>42864.780473148</v>
      </c>
      <c r="BW66" s="109" t="n">
        <f aca="false">BW56</f>
        <v>40388.9821370514</v>
      </c>
      <c r="BX66" s="109" t="n">
        <f aca="false">BX56</f>
        <v>40388.9821370514</v>
      </c>
      <c r="BY66" s="109" t="n">
        <f aca="false">BY56</f>
        <v>40388.9821370514</v>
      </c>
      <c r="BZ66" s="109" t="n">
        <f aca="false">BZ56</f>
        <v>40388.9821370514</v>
      </c>
      <c r="CA66" s="109" t="n">
        <f aca="false">CA56</f>
        <v>40388.9821370514</v>
      </c>
      <c r="CB66" s="109" t="n">
        <f aca="false">CB56</f>
        <v>40388.9821370514</v>
      </c>
      <c r="CC66" s="109" t="n">
        <f aca="false">CC56</f>
        <v>40388.9821370514</v>
      </c>
      <c r="CD66" s="109" t="n">
        <f aca="false">CD56</f>
        <v>40388.9821370514</v>
      </c>
      <c r="CE66" s="109" t="n">
        <f aca="false">CE56</f>
        <v>40388.9821370514</v>
      </c>
      <c r="CF66" s="109" t="n">
        <f aca="false">CF56</f>
        <v>40388.9821370514</v>
      </c>
      <c r="CG66" s="109" t="n">
        <f aca="false">CG56</f>
        <v>40388.9821370514</v>
      </c>
      <c r="CH66" s="109" t="n">
        <f aca="false">CH56</f>
        <v>40388.9821370514</v>
      </c>
    </row>
    <row r="67" customFormat="false" ht="13.5" hidden="false" customHeight="true" outlineLevel="0" collapsed="false">
      <c r="A67" s="6" t="s">
        <v>569</v>
      </c>
      <c r="C67" s="109" t="n">
        <f aca="false">C62</f>
        <v>-0</v>
      </c>
      <c r="D67" s="109" t="n">
        <f aca="false">D62</f>
        <v>-0</v>
      </c>
      <c r="E67" s="109" t="n">
        <f aca="false">E62</f>
        <v>-0</v>
      </c>
      <c r="F67" s="109" t="n">
        <f aca="false">F62</f>
        <v>-0</v>
      </c>
      <c r="G67" s="109" t="n">
        <f aca="false">G62</f>
        <v>-0</v>
      </c>
      <c r="H67" s="109" t="n">
        <f aca="false">H62</f>
        <v>-0</v>
      </c>
      <c r="I67" s="109" t="n">
        <f aca="false">I62</f>
        <v>-0</v>
      </c>
      <c r="J67" s="109" t="n">
        <f aca="false">J62</f>
        <v>-0</v>
      </c>
      <c r="K67" s="109" t="n">
        <f aca="false">K62</f>
        <v>-71.2348469367883</v>
      </c>
      <c r="L67" s="109" t="n">
        <f aca="false">L62</f>
        <v>-547.917571471639</v>
      </c>
      <c r="M67" s="109" t="n">
        <f aca="false">M62</f>
        <v>-871.635995686756</v>
      </c>
      <c r="N67" s="109" t="n">
        <f aca="false">N62</f>
        <v>-1313.08184545793</v>
      </c>
      <c r="O67" s="109" t="n">
        <f aca="false">O62</f>
        <v>-984.180593199741</v>
      </c>
      <c r="P67" s="109" t="n">
        <f aca="false">P62</f>
        <v>-1039.35376240512</v>
      </c>
      <c r="Q67" s="109" t="n">
        <f aca="false">Q62</f>
        <v>-1434.2909716105</v>
      </c>
      <c r="R67" s="109" t="n">
        <f aca="false">R62</f>
        <v>-1829.22818081588</v>
      </c>
      <c r="S67" s="109" t="n">
        <f aca="false">S62</f>
        <v>-2224.16539002126</v>
      </c>
      <c r="T67" s="109" t="n">
        <f aca="false">T62</f>
        <v>-2619.10259922664</v>
      </c>
      <c r="U67" s="109" t="n">
        <f aca="false">U62</f>
        <v>-2674.27576843203</v>
      </c>
      <c r="V67" s="109" t="n">
        <f aca="false">V62</f>
        <v>-2669.49057763741</v>
      </c>
      <c r="W67" s="109" t="n">
        <f aca="false">W62</f>
        <v>-3064.42778684279</v>
      </c>
      <c r="X67" s="109" t="n">
        <f aca="false">X62</f>
        <v>-3343.76583209971</v>
      </c>
      <c r="Y67" s="109" t="n">
        <f aca="false">Y62</f>
        <v>-3623.10387735663</v>
      </c>
      <c r="Z67" s="109" t="n">
        <f aca="false">Z62</f>
        <v>-3860.33003728416</v>
      </c>
      <c r="AA67" s="109" t="n">
        <f aca="false">AA62</f>
        <v>-3762.1270108117</v>
      </c>
      <c r="AB67" s="109" t="n">
        <f aca="false">AB62</f>
        <v>-3650.22954287256</v>
      </c>
      <c r="AC67" s="109" t="n">
        <f aca="false">AC62</f>
        <v>-3888.28903613343</v>
      </c>
      <c r="AD67" s="109" t="n">
        <f aca="false">AD62</f>
        <v>-4126.3485293943</v>
      </c>
      <c r="AE67" s="109" t="n">
        <f aca="false">AE62</f>
        <v>-4364.40802265517</v>
      </c>
      <c r="AF67" s="109" t="n">
        <f aca="false">AF62</f>
        <v>-4602.46751591604</v>
      </c>
      <c r="AG67" s="109" t="n">
        <f aca="false">AG62</f>
        <v>-4840.5270091769</v>
      </c>
      <c r="AH67" s="109" t="n">
        <f aca="false">AH62</f>
        <v>-5078.58650243777</v>
      </c>
      <c r="AI67" s="109" t="n">
        <f aca="false">AI62</f>
        <v>-5316.64599569865</v>
      </c>
      <c r="AJ67" s="109" t="n">
        <f aca="false">AJ62</f>
        <v>-5554.70548895951</v>
      </c>
      <c r="AK67" s="109" t="n">
        <f aca="false">AK62</f>
        <v>-5792.76498222038</v>
      </c>
      <c r="AL67" s="109" t="n">
        <f aca="false">AL62</f>
        <v>-6030.82447548125</v>
      </c>
      <c r="AM67" s="109" t="n">
        <f aca="false">AM62</f>
        <v>-9268.61554646353</v>
      </c>
      <c r="AN67" s="109" t="n">
        <f aca="false">AN62</f>
        <v>-9665.38136856497</v>
      </c>
      <c r="AO67" s="109" t="n">
        <f aca="false">AO62</f>
        <v>-10062.1471906664</v>
      </c>
      <c r="AP67" s="109" t="n">
        <f aca="false">AP62</f>
        <v>-10458.9130127679</v>
      </c>
      <c r="AQ67" s="109" t="n">
        <f aca="false">AQ62</f>
        <v>-10855.6788348693</v>
      </c>
      <c r="AR67" s="109" t="n">
        <f aca="false">AR62</f>
        <v>-11252.4446569708</v>
      </c>
      <c r="AS67" s="109" t="n">
        <f aca="false">AS62</f>
        <v>-11253.8335458597</v>
      </c>
      <c r="AT67" s="109" t="n">
        <f aca="false">AT62</f>
        <v>-11255.2224347485</v>
      </c>
      <c r="AU67" s="109" t="n">
        <f aca="false">AU62</f>
        <v>-11256.6113236374</v>
      </c>
      <c r="AV67" s="109" t="n">
        <f aca="false">AV62</f>
        <v>-11258.0002125263</v>
      </c>
      <c r="AW67" s="109" t="n">
        <f aca="false">AW62</f>
        <v>-11259.3891014152</v>
      </c>
      <c r="AX67" s="109" t="n">
        <f aca="false">AX62</f>
        <v>-11260.7779903041</v>
      </c>
      <c r="AY67" s="109" t="n">
        <f aca="false">AY62</f>
        <v>-10662.5691957698</v>
      </c>
      <c r="AZ67" s="109" t="n">
        <f aca="false">AZ62</f>
        <v>-10663.9580846587</v>
      </c>
      <c r="BA67" s="109" t="n">
        <f aca="false">BA62</f>
        <v>-10665.3469735476</v>
      </c>
      <c r="BB67" s="109" t="n">
        <f aca="false">BB62</f>
        <v>-10666.7358624365</v>
      </c>
      <c r="BC67" s="109" t="n">
        <f aca="false">BC62</f>
        <v>-10668.1247513253</v>
      </c>
      <c r="BD67" s="109" t="n">
        <f aca="false">BD62</f>
        <v>-10669.5136402142</v>
      </c>
      <c r="BE67" s="109" t="n">
        <f aca="false">BE62</f>
        <v>-10670.9025291031</v>
      </c>
      <c r="BF67" s="109" t="n">
        <f aca="false">BF62</f>
        <v>-10672.291417992</v>
      </c>
      <c r="BG67" s="109" t="n">
        <f aca="false">BG62</f>
        <v>-10673.6803068809</v>
      </c>
      <c r="BH67" s="109" t="n">
        <f aca="false">BH62</f>
        <v>-10675.0691957698</v>
      </c>
      <c r="BI67" s="109" t="n">
        <f aca="false">BI62</f>
        <v>-10676.4580846587</v>
      </c>
      <c r="BJ67" s="109" t="n">
        <f aca="false">BJ62</f>
        <v>-10677.8469735476</v>
      </c>
      <c r="BK67" s="109" t="n">
        <f aca="false">BK62</f>
        <v>-10076.2032485106</v>
      </c>
      <c r="BL67" s="109" t="n">
        <f aca="false">BL62</f>
        <v>-10077.5921373994</v>
      </c>
      <c r="BM67" s="109" t="n">
        <f aca="false">BM62</f>
        <v>-10078.9810262883</v>
      </c>
      <c r="BN67" s="109" t="n">
        <f aca="false">BN62</f>
        <v>-10080.3699151772</v>
      </c>
      <c r="BO67" s="109" t="n">
        <f aca="false">BO62</f>
        <v>-10081.7588040661</v>
      </c>
      <c r="BP67" s="109" t="n">
        <f aca="false">BP62</f>
        <v>-10083.147692955</v>
      </c>
      <c r="BQ67" s="109" t="n">
        <f aca="false">BQ62</f>
        <v>-10084.5365818439</v>
      </c>
      <c r="BR67" s="109" t="n">
        <f aca="false">BR62</f>
        <v>-10085.9254707328</v>
      </c>
      <c r="BS67" s="109" t="n">
        <f aca="false">BS62</f>
        <v>-10087.3143596217</v>
      </c>
      <c r="BT67" s="109" t="n">
        <f aca="false">BT62</f>
        <v>-10088.7032485106</v>
      </c>
      <c r="BU67" s="109" t="n">
        <f aca="false">BU62</f>
        <v>-10090.0921373994</v>
      </c>
      <c r="BV67" s="109" t="n">
        <f aca="false">BV62</f>
        <v>-10091.4810262883</v>
      </c>
      <c r="BW67" s="109" t="n">
        <f aca="false">BW62</f>
        <v>-9486.29932283355</v>
      </c>
      <c r="BX67" s="109" t="n">
        <f aca="false">BX62</f>
        <v>-9487.68821172244</v>
      </c>
      <c r="BY67" s="109" t="n">
        <f aca="false">BY62</f>
        <v>-9489.07710061133</v>
      </c>
      <c r="BZ67" s="109" t="n">
        <f aca="false">BZ62</f>
        <v>-9490.46598950022</v>
      </c>
      <c r="CA67" s="109" t="n">
        <f aca="false">CA62</f>
        <v>-9491.8548783891</v>
      </c>
      <c r="CB67" s="109" t="n">
        <f aca="false">CB62</f>
        <v>-9493.24376727799</v>
      </c>
      <c r="CC67" s="109" t="n">
        <f aca="false">CC62</f>
        <v>-9494.63265616688</v>
      </c>
      <c r="CD67" s="109" t="n">
        <f aca="false">CD62</f>
        <v>-9496.02154505577</v>
      </c>
      <c r="CE67" s="109" t="n">
        <f aca="false">CE62</f>
        <v>-9497.41043394466</v>
      </c>
      <c r="CF67" s="109" t="n">
        <f aca="false">CF62</f>
        <v>-9498.79932283355</v>
      </c>
      <c r="CG67" s="109" t="n">
        <f aca="false">CG62</f>
        <v>-9500.18821172244</v>
      </c>
      <c r="CH67" s="109" t="n">
        <f aca="false">CH62</f>
        <v>-9501.57710061133</v>
      </c>
    </row>
    <row r="68" customFormat="false" ht="13.5" hidden="false" customHeight="true" outlineLevel="0" collapsed="false">
      <c r="A68" s="6" t="s">
        <v>570</v>
      </c>
      <c r="C68" s="110" t="n">
        <f aca="false">C38*Hipótesis!$D$66/30</f>
        <v>1086.021</v>
      </c>
      <c r="D68" s="110" t="n">
        <f aca="false">D38*Hipótesis!$D$66/30</f>
        <v>2256.606</v>
      </c>
      <c r="E68" s="110" t="n">
        <f aca="false">E38*Hipótesis!$D$66/30</f>
        <v>4700.055375</v>
      </c>
      <c r="F68" s="110" t="n">
        <f aca="false">F38*Hipótesis!$D$66/30</f>
        <v>6057.48375</v>
      </c>
      <c r="G68" s="110" t="n">
        <f aca="false">G38*Hipótesis!$D$66/30</f>
        <v>7330.348125</v>
      </c>
      <c r="H68" s="110" t="n">
        <f aca="false">H38*Hipótesis!$D$66/30</f>
        <v>9378.3825</v>
      </c>
      <c r="I68" s="110" t="n">
        <f aca="false">I38*Hipótesis!$D$66/30</f>
        <v>13394.1760725308</v>
      </c>
      <c r="J68" s="110" t="n">
        <f aca="false">J38*Hipótesis!$D$66/30</f>
        <v>17409.9696450616</v>
      </c>
      <c r="K68" s="110" t="n">
        <f aca="false">K38*Hipótesis!$D$66/30</f>
        <v>21425.7632175924</v>
      </c>
      <c r="L68" s="110" t="n">
        <f aca="false">L38*Hipótesis!$D$66/30</f>
        <v>25441.5567901232</v>
      </c>
      <c r="M68" s="110" t="n">
        <f aca="false">M38*Hipótesis!$D$66/30</f>
        <v>28184.4859876541</v>
      </c>
      <c r="N68" s="110" t="n">
        <f aca="false">N38*Hipótesis!$D$66/30</f>
        <v>31984.4651851849</v>
      </c>
      <c r="O68" s="110" t="n">
        <f aca="false">O38*Hipótesis!$D$66/30</f>
        <v>35784.4443827157</v>
      </c>
      <c r="P68" s="110" t="n">
        <f aca="false">P38*Hipótesis!$D$66/30</f>
        <v>39203.8855802465</v>
      </c>
      <c r="Q68" s="110" t="n">
        <f aca="false">Q38*Hipótesis!$D$66/30</f>
        <v>42623.3267777773</v>
      </c>
      <c r="R68" s="110" t="n">
        <f aca="false">R38*Hipótesis!$D$66/30</f>
        <v>46042.7679753081</v>
      </c>
      <c r="S68" s="110" t="n">
        <f aca="false">S38*Hipótesis!$D$66/30</f>
        <v>49462.2091728389</v>
      </c>
      <c r="T68" s="110" t="n">
        <f aca="false">T38*Hipótesis!$D$66/30</f>
        <v>52881.6503703697</v>
      </c>
      <c r="U68" s="110" t="n">
        <f aca="false">U38*Hipótesis!$D$66/30</f>
        <v>56301.0915679006</v>
      </c>
      <c r="V68" s="110" t="n">
        <f aca="false">V38*Hipótesis!$D$66/30</f>
        <v>59720.5327654314</v>
      </c>
      <c r="W68" s="110" t="n">
        <f aca="false">W38*Hipótesis!$D$66/30</f>
        <v>63139.9739629622</v>
      </c>
      <c r="X68" s="110" t="n">
        <f aca="false">X38*Hipótesis!$D$66/30</f>
        <v>65502.365160493</v>
      </c>
      <c r="Y68" s="110" t="n">
        <f aca="false">Y38*Hipótesis!$D$66/30</f>
        <v>67864.7563580238</v>
      </c>
      <c r="Z68" s="110" t="n">
        <f aca="false">Z38*Hipótesis!$D$66/30</f>
        <v>69832.5155555546</v>
      </c>
      <c r="AA68" s="110" t="n">
        <f aca="false">AA38*Hipótesis!$D$66/30</f>
        <v>71800.2747530854</v>
      </c>
      <c r="AB68" s="110" t="n">
        <f aca="false">AB38*Hipótesis!$D$66/30</f>
        <v>73768.0339506162</v>
      </c>
      <c r="AC68" s="110" t="n">
        <f aca="false">AC38*Hipótesis!$D$66/30</f>
        <v>75735.793148147</v>
      </c>
      <c r="AD68" s="110" t="n">
        <f aca="false">AD38*Hipótesis!$D$66/30</f>
        <v>77703.5523456779</v>
      </c>
      <c r="AE68" s="110" t="n">
        <f aca="false">AE38*Hipótesis!$D$66/30</f>
        <v>79671.3115432087</v>
      </c>
      <c r="AF68" s="110" t="n">
        <f aca="false">AF38*Hipótesis!$D$66/30</f>
        <v>81639.0707407395</v>
      </c>
      <c r="AG68" s="110" t="n">
        <f aca="false">AG38*Hipótesis!$D$66/30</f>
        <v>83606.8299382703</v>
      </c>
      <c r="AH68" s="110" t="n">
        <f aca="false">AH38*Hipótesis!$D$66/30</f>
        <v>85574.5891358011</v>
      </c>
      <c r="AI68" s="110" t="n">
        <f aca="false">AI38*Hipótesis!$D$66/30</f>
        <v>87542.3483333319</v>
      </c>
      <c r="AJ68" s="110" t="n">
        <f aca="false">AJ38*Hipótesis!$D$66/30</f>
        <v>89510.1075308627</v>
      </c>
      <c r="AK68" s="110" t="n">
        <f aca="false">AK38*Hipótesis!$D$66/30</f>
        <v>91477.8667283935</v>
      </c>
      <c r="AL68" s="110" t="n">
        <f aca="false">AL38*Hipótesis!$D$66/30</f>
        <v>93445.6259259243</v>
      </c>
      <c r="AM68" s="110" t="n">
        <f aca="false">AM38*Hipótesis!$D$66/30</f>
        <v>95413.3851234551</v>
      </c>
      <c r="AN68" s="110" t="n">
        <f aca="false">AN38*Hipótesis!$D$66/30</f>
        <v>97381.1443209859</v>
      </c>
      <c r="AO68" s="110" t="n">
        <f aca="false">AO38*Hipótesis!$D$66/30</f>
        <v>99348.9035185168</v>
      </c>
      <c r="AP68" s="110" t="n">
        <f aca="false">AP38*Hipótesis!$D$66/30</f>
        <v>101316.662716048</v>
      </c>
      <c r="AQ68" s="110" t="n">
        <f aca="false">AQ38*Hipótesis!$D$66/30</f>
        <v>103284.421913578</v>
      </c>
      <c r="AR68" s="110" t="n">
        <f aca="false">AR38*Hipótesis!$D$66/30</f>
        <v>105252.181111109</v>
      </c>
      <c r="AS68" s="110" t="n">
        <f aca="false">AS38*Hipótesis!$D$66/30</f>
        <v>105252.181111109</v>
      </c>
      <c r="AT68" s="110" t="n">
        <f aca="false">AT38*Hipótesis!$D$66/30</f>
        <v>105252.181111109</v>
      </c>
      <c r="AU68" s="110" t="n">
        <f aca="false">AU38*Hipótesis!$D$66/30</f>
        <v>105252.181111109</v>
      </c>
      <c r="AV68" s="110" t="n">
        <f aca="false">AV38*Hipótesis!$D$66/30</f>
        <v>105252.181111109</v>
      </c>
      <c r="AW68" s="110" t="n">
        <f aca="false">AW38*Hipótesis!$D$66/30</f>
        <v>105252.181111109</v>
      </c>
      <c r="AX68" s="110" t="n">
        <f aca="false">AX38*Hipótesis!$D$66/30</f>
        <v>105252.181111109</v>
      </c>
      <c r="AY68" s="110" t="n">
        <f aca="false">AY38*Hipótesis!$D$66/30</f>
        <v>105252.181111109</v>
      </c>
      <c r="AZ68" s="110" t="n">
        <f aca="false">AZ38*Hipótesis!$D$66/30</f>
        <v>105252.181111109</v>
      </c>
      <c r="BA68" s="110" t="n">
        <f aca="false">BA38*Hipótesis!$D$66/30</f>
        <v>105252.181111109</v>
      </c>
      <c r="BB68" s="110" t="n">
        <f aca="false">BB38*Hipótesis!$D$66/30</f>
        <v>105252.181111109</v>
      </c>
      <c r="BC68" s="110" t="n">
        <f aca="false">BC38*Hipótesis!$D$66/30</f>
        <v>105252.181111109</v>
      </c>
      <c r="BD68" s="110" t="n">
        <f aca="false">BD38*Hipótesis!$D$66/30</f>
        <v>105252.181111109</v>
      </c>
      <c r="BE68" s="110" t="n">
        <f aca="false">BE38*Hipótesis!$D$66/30</f>
        <v>105252.181111109</v>
      </c>
      <c r="BF68" s="110" t="n">
        <f aca="false">BF38*Hipótesis!$D$66/30</f>
        <v>105252.181111109</v>
      </c>
      <c r="BG68" s="110" t="n">
        <f aca="false">BG38*Hipótesis!$D$66/30</f>
        <v>105252.181111109</v>
      </c>
      <c r="BH68" s="110" t="n">
        <f aca="false">BH38*Hipótesis!$D$66/30</f>
        <v>105252.181111109</v>
      </c>
      <c r="BI68" s="110" t="n">
        <f aca="false">BI38*Hipótesis!$D$66/30</f>
        <v>105252.181111109</v>
      </c>
      <c r="BJ68" s="110" t="n">
        <f aca="false">BJ38*Hipótesis!$D$66/30</f>
        <v>105252.181111109</v>
      </c>
      <c r="BK68" s="110" t="n">
        <f aca="false">BK38*Hipótesis!$D$66/30</f>
        <v>105252.181111109</v>
      </c>
      <c r="BL68" s="110" t="n">
        <f aca="false">BL38*Hipótesis!$D$66/30</f>
        <v>105252.181111109</v>
      </c>
      <c r="BM68" s="110" t="n">
        <f aca="false">BM38*Hipótesis!$D$66/30</f>
        <v>105252.181111109</v>
      </c>
      <c r="BN68" s="110" t="n">
        <f aca="false">BN38*Hipótesis!$D$66/30</f>
        <v>105252.181111109</v>
      </c>
      <c r="BO68" s="110" t="n">
        <f aca="false">BO38*Hipótesis!$D$66/30</f>
        <v>105252.181111109</v>
      </c>
      <c r="BP68" s="110" t="n">
        <f aca="false">BP38*Hipótesis!$D$66/30</f>
        <v>105252.181111109</v>
      </c>
      <c r="BQ68" s="110" t="n">
        <f aca="false">BQ38*Hipótesis!$D$66/30</f>
        <v>105252.181111109</v>
      </c>
      <c r="BR68" s="110" t="n">
        <f aca="false">BR38*Hipótesis!$D$66/30</f>
        <v>105252.181111109</v>
      </c>
      <c r="BS68" s="110" t="n">
        <f aca="false">BS38*Hipótesis!$D$66/30</f>
        <v>105252.181111109</v>
      </c>
      <c r="BT68" s="110" t="n">
        <f aca="false">BT38*Hipótesis!$D$66/30</f>
        <v>105252.181111109</v>
      </c>
      <c r="BU68" s="110" t="n">
        <f aca="false">BU38*Hipótesis!$D$66/30</f>
        <v>105252.181111109</v>
      </c>
      <c r="BV68" s="110" t="n">
        <f aca="false">BV38*Hipótesis!$D$66/30</f>
        <v>105252.181111109</v>
      </c>
      <c r="BW68" s="110" t="n">
        <f aca="false">BW38*Hipótesis!$D$66/30</f>
        <v>105252.181111109</v>
      </c>
      <c r="BX68" s="110" t="n">
        <f aca="false">BX38*Hipótesis!$D$66/30</f>
        <v>105252.181111109</v>
      </c>
      <c r="BY68" s="110" t="n">
        <f aca="false">BY38*Hipótesis!$D$66/30</f>
        <v>105252.181111109</v>
      </c>
      <c r="BZ68" s="110" t="n">
        <f aca="false">BZ38*Hipótesis!$D$66/30</f>
        <v>105252.181111109</v>
      </c>
      <c r="CA68" s="110" t="n">
        <f aca="false">CA38*Hipótesis!$D$66/30</f>
        <v>105252.181111109</v>
      </c>
      <c r="CB68" s="110" t="n">
        <f aca="false">CB38*Hipótesis!$D$66/30</f>
        <v>105252.181111109</v>
      </c>
      <c r="CC68" s="110" t="n">
        <f aca="false">CC38*Hipótesis!$D$66/30</f>
        <v>105252.181111109</v>
      </c>
      <c r="CD68" s="110" t="n">
        <f aca="false">CD38*Hipótesis!$D$66/30</f>
        <v>105252.181111109</v>
      </c>
      <c r="CE68" s="110" t="n">
        <f aca="false">CE38*Hipótesis!$D$66/30</f>
        <v>105252.181111109</v>
      </c>
      <c r="CF68" s="110" t="n">
        <f aca="false">CF38*Hipótesis!$D$66/30</f>
        <v>105252.181111109</v>
      </c>
      <c r="CG68" s="110" t="n">
        <f aca="false">CG38*Hipótesis!$D$66/30</f>
        <v>105252.181111109</v>
      </c>
      <c r="CH68" s="110" t="n">
        <f aca="false">CH38*Hipótesis!$D$66/30</f>
        <v>105252.181111109</v>
      </c>
    </row>
    <row r="69" customFormat="false" ht="13.5" hidden="false" customHeight="true" outlineLevel="0" collapsed="false">
      <c r="A69" s="6" t="s">
        <v>571</v>
      </c>
      <c r="C69" s="110" t="n">
        <f aca="false">-C39*Hipótesis!$D$67/30</f>
        <v>90.1708333333333</v>
      </c>
      <c r="D69" s="110" t="n">
        <f aca="false">-D39*Hipótesis!$D$67/30</f>
        <v>194.305166666667</v>
      </c>
      <c r="E69" s="110" t="n">
        <f aca="false">-E39*Hipótesis!$D$67/30</f>
        <v>482.36840880102</v>
      </c>
      <c r="F69" s="110" t="n">
        <f aca="false">-F39*Hipótesis!$D$67/30</f>
        <v>680.260817602041</v>
      </c>
      <c r="G69" s="110" t="n">
        <f aca="false">-G39*Hipótesis!$D$67/30</f>
        <v>864.189726403061</v>
      </c>
      <c r="H69" s="110" t="n">
        <f aca="false">-H39*Hipótesis!$D$67/30</f>
        <v>1208.11707270408</v>
      </c>
      <c r="I69" s="110" t="n">
        <f aca="false">-I39*Hipótesis!$D$67/30</f>
        <v>1853.30279632672</v>
      </c>
      <c r="J69" s="110" t="n">
        <f aca="false">-J39*Hipótesis!$D$67/30</f>
        <v>2498.48851994937</v>
      </c>
      <c r="K69" s="110" t="n">
        <f aca="false">-K39*Hipótesis!$D$67/30</f>
        <v>3143.67424357201</v>
      </c>
      <c r="L69" s="110" t="n">
        <f aca="false">-L39*Hipótesis!$D$67/30</f>
        <v>3788.85996719465</v>
      </c>
      <c r="M69" s="110" t="n">
        <f aca="false">-M39*Hipótesis!$D$67/30</f>
        <v>4250.11678201627</v>
      </c>
      <c r="N69" s="110" t="n">
        <f aca="false">-N39*Hipótesis!$D$67/30</f>
        <v>4944.09859683789</v>
      </c>
      <c r="O69" s="110" t="n">
        <f aca="false">-O39*Hipótesis!$D$67/30</f>
        <v>5638.08041165951</v>
      </c>
      <c r="P69" s="110" t="n">
        <f aca="false">-P39*Hipótesis!$D$67/30</f>
        <v>6265.15378898114</v>
      </c>
      <c r="Q69" s="110" t="n">
        <f aca="false">-Q39*Hipótesis!$D$67/30</f>
        <v>6892.22716630276</v>
      </c>
      <c r="R69" s="110" t="n">
        <f aca="false">-R39*Hipótesis!$D$67/30</f>
        <v>7519.30054362438</v>
      </c>
      <c r="S69" s="110" t="n">
        <f aca="false">-S39*Hipótesis!$D$67/30</f>
        <v>8146.373920946</v>
      </c>
      <c r="T69" s="110" t="n">
        <f aca="false">-T39*Hipótesis!$D$67/30</f>
        <v>8773.44729826762</v>
      </c>
      <c r="U69" s="110" t="n">
        <f aca="false">-U39*Hipótesis!$D$67/30</f>
        <v>9400.52067558925</v>
      </c>
      <c r="V69" s="110" t="n">
        <f aca="false">-V39*Hipótesis!$D$67/30</f>
        <v>10027.5940529109</v>
      </c>
      <c r="W69" s="110" t="n">
        <f aca="false">-W39*Hipótesis!$D$67/30</f>
        <v>10654.6674302325</v>
      </c>
      <c r="X69" s="110" t="n">
        <f aca="false">-X39*Hipótesis!$D$67/30</f>
        <v>11049.0158075541</v>
      </c>
      <c r="Y69" s="110" t="n">
        <f aca="false">-Y39*Hipótesis!$D$67/30</f>
        <v>11443.3641848757</v>
      </c>
      <c r="Z69" s="110" t="n">
        <f aca="false">-Z39*Hipótesis!$D$67/30</f>
        <v>11744.6225621974</v>
      </c>
      <c r="AA69" s="110" t="n">
        <f aca="false">-AA39*Hipótesis!$D$67/30</f>
        <v>12045.880939519</v>
      </c>
      <c r="AB69" s="110" t="n">
        <f aca="false">-AB39*Hipótesis!$D$67/30</f>
        <v>12347.1393168406</v>
      </c>
      <c r="AC69" s="110" t="n">
        <f aca="false">-AC39*Hipótesis!$D$67/30</f>
        <v>12648.3976941622</v>
      </c>
      <c r="AD69" s="110" t="n">
        <f aca="false">-AD39*Hipótesis!$D$67/30</f>
        <v>12949.6560714838</v>
      </c>
      <c r="AE69" s="110" t="n">
        <f aca="false">-AE39*Hipótesis!$D$67/30</f>
        <v>13250.9144488055</v>
      </c>
      <c r="AF69" s="110" t="n">
        <f aca="false">-AF39*Hipótesis!$D$67/30</f>
        <v>13552.1728261271</v>
      </c>
      <c r="AG69" s="110" t="n">
        <f aca="false">-AG39*Hipótesis!$D$67/30</f>
        <v>13853.4312034487</v>
      </c>
      <c r="AH69" s="110" t="n">
        <f aca="false">-AH39*Hipótesis!$D$67/30</f>
        <v>14154.6895807703</v>
      </c>
      <c r="AI69" s="110" t="n">
        <f aca="false">-AI39*Hipótesis!$D$67/30</f>
        <v>14455.9479580919</v>
      </c>
      <c r="AJ69" s="110" t="n">
        <f aca="false">-AJ39*Hipótesis!$D$67/30</f>
        <v>14757.2063354136</v>
      </c>
      <c r="AK69" s="110" t="n">
        <f aca="false">-AK39*Hipótesis!$D$67/30</f>
        <v>15058.4647127352</v>
      </c>
      <c r="AL69" s="110" t="n">
        <f aca="false">-AL39*Hipótesis!$D$67/30</f>
        <v>15359.7230900568</v>
      </c>
      <c r="AM69" s="110" t="n">
        <f aca="false">-AM39*Hipótesis!$D$67/30</f>
        <v>15660.9814673784</v>
      </c>
      <c r="AN69" s="110" t="n">
        <f aca="false">-AN39*Hipótesis!$D$67/30</f>
        <v>15962.2398447001</v>
      </c>
      <c r="AO69" s="110" t="n">
        <f aca="false">-AO39*Hipótesis!$D$67/30</f>
        <v>16263.4982220217</v>
      </c>
      <c r="AP69" s="110" t="n">
        <f aca="false">-AP39*Hipótesis!$D$67/30</f>
        <v>16564.7565993433</v>
      </c>
      <c r="AQ69" s="110" t="n">
        <f aca="false">-AQ39*Hipótesis!$D$67/30</f>
        <v>16866.0149766649</v>
      </c>
      <c r="AR69" s="110" t="n">
        <f aca="false">-AR39*Hipótesis!$D$67/30</f>
        <v>17167.2733539865</v>
      </c>
      <c r="AS69" s="110" t="n">
        <f aca="false">-AS39*Hipótesis!$D$67/30</f>
        <v>17167.2733539865</v>
      </c>
      <c r="AT69" s="110" t="n">
        <f aca="false">-AT39*Hipótesis!$D$67/30</f>
        <v>17167.2733539865</v>
      </c>
      <c r="AU69" s="110" t="n">
        <f aca="false">-AU39*Hipótesis!$D$67/30</f>
        <v>17167.2733539865</v>
      </c>
      <c r="AV69" s="110" t="n">
        <f aca="false">-AV39*Hipótesis!$D$67/30</f>
        <v>17167.2733539865</v>
      </c>
      <c r="AW69" s="110" t="n">
        <f aca="false">-AW39*Hipótesis!$D$67/30</f>
        <v>17167.2733539865</v>
      </c>
      <c r="AX69" s="110" t="n">
        <f aca="false">-AX39*Hipótesis!$D$67/30</f>
        <v>17167.2733539865</v>
      </c>
      <c r="AY69" s="110" t="n">
        <f aca="false">-AY39*Hipótesis!$D$67/30</f>
        <v>17167.2733539865</v>
      </c>
      <c r="AZ69" s="110" t="n">
        <f aca="false">-AZ39*Hipótesis!$D$67/30</f>
        <v>17167.2733539865</v>
      </c>
      <c r="BA69" s="110" t="n">
        <f aca="false">-BA39*Hipótesis!$D$67/30</f>
        <v>17167.2733539865</v>
      </c>
      <c r="BB69" s="110" t="n">
        <f aca="false">-BB39*Hipótesis!$D$67/30</f>
        <v>17167.2733539865</v>
      </c>
      <c r="BC69" s="110" t="n">
        <f aca="false">-BC39*Hipótesis!$D$67/30</f>
        <v>17167.2733539865</v>
      </c>
      <c r="BD69" s="110" t="n">
        <f aca="false">-BD39*Hipótesis!$D$67/30</f>
        <v>17167.2733539865</v>
      </c>
      <c r="BE69" s="110" t="n">
        <f aca="false">-BE39*Hipótesis!$D$67/30</f>
        <v>17167.2733539865</v>
      </c>
      <c r="BF69" s="110" t="n">
        <f aca="false">-BF39*Hipótesis!$D$67/30</f>
        <v>17167.2733539865</v>
      </c>
      <c r="BG69" s="110" t="n">
        <f aca="false">-BG39*Hipótesis!$D$67/30</f>
        <v>17167.2733539865</v>
      </c>
      <c r="BH69" s="110" t="n">
        <f aca="false">-BH39*Hipótesis!$D$67/30</f>
        <v>17167.2733539865</v>
      </c>
      <c r="BI69" s="110" t="n">
        <f aca="false">-BI39*Hipótesis!$D$67/30</f>
        <v>17167.2733539865</v>
      </c>
      <c r="BJ69" s="110" t="n">
        <f aca="false">-BJ39*Hipótesis!$D$67/30</f>
        <v>17167.2733539865</v>
      </c>
      <c r="BK69" s="110" t="n">
        <f aca="false">-BK39*Hipótesis!$D$67/30</f>
        <v>17167.2733539865</v>
      </c>
      <c r="BL69" s="110" t="n">
        <f aca="false">-BL39*Hipótesis!$D$67/30</f>
        <v>17167.2733539865</v>
      </c>
      <c r="BM69" s="110" t="n">
        <f aca="false">-BM39*Hipótesis!$D$67/30</f>
        <v>17167.2733539865</v>
      </c>
      <c r="BN69" s="110" t="n">
        <f aca="false">-BN39*Hipótesis!$D$67/30</f>
        <v>17167.2733539865</v>
      </c>
      <c r="BO69" s="110" t="n">
        <f aca="false">-BO39*Hipótesis!$D$67/30</f>
        <v>17167.2733539865</v>
      </c>
      <c r="BP69" s="110" t="n">
        <f aca="false">-BP39*Hipótesis!$D$67/30</f>
        <v>17167.2733539865</v>
      </c>
      <c r="BQ69" s="110" t="n">
        <f aca="false">-BQ39*Hipótesis!$D$67/30</f>
        <v>17167.2733539865</v>
      </c>
      <c r="BR69" s="110" t="n">
        <f aca="false">-BR39*Hipótesis!$D$67/30</f>
        <v>17167.2733539865</v>
      </c>
      <c r="BS69" s="110" t="n">
        <f aca="false">-BS39*Hipótesis!$D$67/30</f>
        <v>17167.2733539865</v>
      </c>
      <c r="BT69" s="110" t="n">
        <f aca="false">-BT39*Hipótesis!$D$67/30</f>
        <v>17167.2733539865</v>
      </c>
      <c r="BU69" s="110" t="n">
        <f aca="false">-BU39*Hipótesis!$D$67/30</f>
        <v>17167.2733539865</v>
      </c>
      <c r="BV69" s="110" t="n">
        <f aca="false">-BV39*Hipótesis!$D$67/30</f>
        <v>17167.2733539865</v>
      </c>
      <c r="BW69" s="110" t="n">
        <f aca="false">-BW39*Hipótesis!$D$67/30</f>
        <v>17167.2733539865</v>
      </c>
      <c r="BX69" s="110" t="n">
        <f aca="false">-BX39*Hipótesis!$D$67/30</f>
        <v>17167.2733539865</v>
      </c>
      <c r="BY69" s="110" t="n">
        <f aca="false">-BY39*Hipótesis!$D$67/30</f>
        <v>17167.2733539865</v>
      </c>
      <c r="BZ69" s="110" t="n">
        <f aca="false">-BZ39*Hipótesis!$D$67/30</f>
        <v>17167.2733539865</v>
      </c>
      <c r="CA69" s="110" t="n">
        <f aca="false">-CA39*Hipótesis!$D$67/30</f>
        <v>17167.2733539865</v>
      </c>
      <c r="CB69" s="110" t="n">
        <f aca="false">-CB39*Hipótesis!$D$67/30</f>
        <v>17167.2733539865</v>
      </c>
      <c r="CC69" s="110" t="n">
        <f aca="false">-CC39*Hipótesis!$D$67/30</f>
        <v>17167.2733539865</v>
      </c>
      <c r="CD69" s="110" t="n">
        <f aca="false">-CD39*Hipótesis!$D$67/30</f>
        <v>17167.2733539865</v>
      </c>
      <c r="CE69" s="110" t="n">
        <f aca="false">-CE39*Hipótesis!$D$67/30</f>
        <v>17167.2733539865</v>
      </c>
      <c r="CF69" s="110" t="n">
        <f aca="false">-CF39*Hipótesis!$D$67/30</f>
        <v>17167.2733539865</v>
      </c>
      <c r="CG69" s="110" t="n">
        <f aca="false">-CG39*Hipótesis!$D$67/30</f>
        <v>17167.2733539865</v>
      </c>
      <c r="CH69" s="110" t="n">
        <f aca="false">-CH39*Hipótesis!$D$67/30</f>
        <v>17167.2733539865</v>
      </c>
    </row>
    <row r="70" customFormat="false" ht="13.5" hidden="false" customHeight="true" outlineLevel="0" collapsed="false">
      <c r="A70" s="22" t="s">
        <v>572</v>
      </c>
      <c r="C70" s="110" t="n">
        <f aca="false">C68*(1-Hipótesis!$D$73)-C69</f>
        <v>344.237566666667</v>
      </c>
      <c r="D70" s="110" t="n">
        <f aca="false">D68*(1-Hipótesis!$D$73)-D69</f>
        <v>708.337233333333</v>
      </c>
      <c r="E70" s="110" t="n">
        <f aca="false">E68*(1-Hipótesis!$D$73)-E69</f>
        <v>1397.65374119898</v>
      </c>
      <c r="F70" s="110" t="n">
        <f aca="false">F68*(1-Hipótesis!$D$73)-F69</f>
        <v>1742.73268239796</v>
      </c>
      <c r="G70" s="110" t="n">
        <f aca="false">G68*(1-Hipótesis!$D$73)-G69</f>
        <v>2067.94952359694</v>
      </c>
      <c r="H70" s="110" t="n">
        <f aca="false">H68*(1-Hipótesis!$D$73)-H69</f>
        <v>2543.23592729592</v>
      </c>
      <c r="I70" s="110" t="n">
        <f aca="false">I68*(1-Hipótesis!$D$73)-I69</f>
        <v>3504.3676326856</v>
      </c>
      <c r="J70" s="110" t="n">
        <f aca="false">J68*(1-Hipótesis!$D$73)-J69</f>
        <v>4465.49933807528</v>
      </c>
      <c r="K70" s="110" t="n">
        <f aca="false">K68*(1-Hipótesis!$D$73)-K69</f>
        <v>5426.63104346497</v>
      </c>
      <c r="L70" s="110" t="n">
        <f aca="false">L68*(1-Hipótesis!$D$73)-L69</f>
        <v>6387.76274885465</v>
      </c>
      <c r="M70" s="110" t="n">
        <f aca="false">M68*(1-Hipótesis!$D$73)-M69</f>
        <v>7023.67761304535</v>
      </c>
      <c r="N70" s="110" t="n">
        <f aca="false">N68*(1-Hipótesis!$D$73)-N69</f>
        <v>7849.68747723605</v>
      </c>
      <c r="O70" s="110" t="n">
        <f aca="false">O68*(1-Hipótesis!$D$73)-O69</f>
        <v>8675.69734142676</v>
      </c>
      <c r="P70" s="110" t="n">
        <f aca="false">P68*(1-Hipótesis!$D$73)-P69</f>
        <v>9416.40044311746</v>
      </c>
      <c r="Q70" s="110" t="n">
        <f aca="false">Q68*(1-Hipótesis!$D$73)-Q69</f>
        <v>10157.1035448082</v>
      </c>
      <c r="R70" s="110" t="n">
        <f aca="false">R68*(1-Hipótesis!$D$73)-R69</f>
        <v>10897.8066464989</v>
      </c>
      <c r="S70" s="110" t="n">
        <f aca="false">S68*(1-Hipótesis!$D$73)-S69</f>
        <v>11638.5097481896</v>
      </c>
      <c r="T70" s="110" t="n">
        <f aca="false">T68*(1-Hipótesis!$D$73)-T69</f>
        <v>12379.2128498803</v>
      </c>
      <c r="U70" s="110" t="n">
        <f aca="false">U68*(1-Hipótesis!$D$73)-U69</f>
        <v>13119.915951571</v>
      </c>
      <c r="V70" s="110" t="n">
        <f aca="false">V68*(1-Hipótesis!$D$73)-V69</f>
        <v>13860.6190532617</v>
      </c>
      <c r="W70" s="110" t="n">
        <f aca="false">W68*(1-Hipótesis!$D$73)-W69</f>
        <v>14601.3221549524</v>
      </c>
      <c r="X70" s="110" t="n">
        <f aca="false">X68*(1-Hipótesis!$D$73)-X69</f>
        <v>15151.9302566431</v>
      </c>
      <c r="Y70" s="110" t="n">
        <f aca="false">Y68*(1-Hipótesis!$D$73)-Y69</f>
        <v>15702.5383583338</v>
      </c>
      <c r="Z70" s="110" t="n">
        <f aca="false">Z68*(1-Hipótesis!$D$73)-Z69</f>
        <v>16188.3836600245</v>
      </c>
      <c r="AA70" s="110" t="n">
        <f aca="false">AA68*(1-Hipótesis!$D$73)-AA69</f>
        <v>16674.2289617152</v>
      </c>
      <c r="AB70" s="110" t="n">
        <f aca="false">AB68*(1-Hipótesis!$D$73)-AB69</f>
        <v>17160.0742634059</v>
      </c>
      <c r="AC70" s="110" t="n">
        <f aca="false">AC68*(1-Hipótesis!$D$73)-AC69</f>
        <v>17645.9195650966</v>
      </c>
      <c r="AD70" s="110" t="n">
        <f aca="false">AD68*(1-Hipótesis!$D$73)-AD69</f>
        <v>18131.7648667873</v>
      </c>
      <c r="AE70" s="110" t="n">
        <f aca="false">AE68*(1-Hipótesis!$D$73)-AE69</f>
        <v>18617.610168478</v>
      </c>
      <c r="AF70" s="110" t="n">
        <f aca="false">AF68*(1-Hipótesis!$D$73)-AF69</f>
        <v>19103.4554701687</v>
      </c>
      <c r="AG70" s="110" t="n">
        <f aca="false">AG68*(1-Hipótesis!$D$73)-AG69</f>
        <v>19589.3007718594</v>
      </c>
      <c r="AH70" s="110" t="n">
        <f aca="false">AH68*(1-Hipótesis!$D$73)-AH69</f>
        <v>20075.1460735501</v>
      </c>
      <c r="AI70" s="110" t="n">
        <f aca="false">AI68*(1-Hipótesis!$D$73)-AI69</f>
        <v>20560.9913752408</v>
      </c>
      <c r="AJ70" s="110" t="n">
        <f aca="false">AJ68*(1-Hipótesis!$D$73)-AJ69</f>
        <v>21046.8366769315</v>
      </c>
      <c r="AK70" s="110" t="n">
        <f aca="false">AK68*(1-Hipótesis!$D$73)-AK69</f>
        <v>21532.6819786222</v>
      </c>
      <c r="AL70" s="110" t="n">
        <f aca="false">AL68*(1-Hipótesis!$D$73)-AL69</f>
        <v>22018.5272803129</v>
      </c>
      <c r="AM70" s="110" t="n">
        <f aca="false">AM68*(1-Hipótesis!$D$73)-AM69</f>
        <v>22504.3725820036</v>
      </c>
      <c r="AN70" s="110" t="n">
        <f aca="false">AN68*(1-Hipótesis!$D$73)-AN69</f>
        <v>22990.2178836943</v>
      </c>
      <c r="AO70" s="110" t="n">
        <f aca="false">AO68*(1-Hipótesis!$D$73)-AO69</f>
        <v>23476.063185385</v>
      </c>
      <c r="AP70" s="110" t="n">
        <f aca="false">AP68*(1-Hipótesis!$D$73)-AP69</f>
        <v>23961.9084870757</v>
      </c>
      <c r="AQ70" s="110" t="n">
        <f aca="false">AQ68*(1-Hipótesis!$D$73)-AQ69</f>
        <v>24447.7537887664</v>
      </c>
      <c r="AR70" s="110" t="n">
        <f aca="false">AR68*(1-Hipótesis!$D$73)-AR69</f>
        <v>24933.5990904571</v>
      </c>
      <c r="AS70" s="110" t="n">
        <f aca="false">AS68*(1-Hipótesis!$D$73)-AS69</f>
        <v>24933.5990904571</v>
      </c>
      <c r="AT70" s="110" t="n">
        <f aca="false">AT68*(1-Hipótesis!$D$73)-AT69</f>
        <v>24933.5990904571</v>
      </c>
      <c r="AU70" s="110" t="n">
        <f aca="false">AU68*(1-Hipótesis!$D$73)-AU69</f>
        <v>24933.5990904571</v>
      </c>
      <c r="AV70" s="110" t="n">
        <f aca="false">AV68*(1-Hipótesis!$D$73)-AV69</f>
        <v>24933.5990904571</v>
      </c>
      <c r="AW70" s="110" t="n">
        <f aca="false">AW68*(1-Hipótesis!$D$73)-AW69</f>
        <v>24933.5990904571</v>
      </c>
      <c r="AX70" s="110" t="n">
        <f aca="false">AX68*(1-Hipótesis!$D$73)-AX69</f>
        <v>24933.5990904571</v>
      </c>
      <c r="AY70" s="110" t="n">
        <f aca="false">AY68*(1-Hipótesis!$D$73)-AY69</f>
        <v>24933.5990904571</v>
      </c>
      <c r="AZ70" s="110" t="n">
        <f aca="false">AZ68*(1-Hipótesis!$D$73)-AZ69</f>
        <v>24933.5990904571</v>
      </c>
      <c r="BA70" s="110" t="n">
        <f aca="false">BA68*(1-Hipótesis!$D$73)-BA69</f>
        <v>24933.5990904571</v>
      </c>
      <c r="BB70" s="110" t="n">
        <f aca="false">BB68*(1-Hipótesis!$D$73)-BB69</f>
        <v>24933.5990904571</v>
      </c>
      <c r="BC70" s="110" t="n">
        <f aca="false">BC68*(1-Hipótesis!$D$73)-BC69</f>
        <v>24933.5990904571</v>
      </c>
      <c r="BD70" s="110" t="n">
        <f aca="false">BD68*(1-Hipótesis!$D$73)-BD69</f>
        <v>24933.5990904571</v>
      </c>
      <c r="BE70" s="110" t="n">
        <f aca="false">BE68*(1-Hipótesis!$D$73)-BE69</f>
        <v>24933.5990904571</v>
      </c>
      <c r="BF70" s="110" t="n">
        <f aca="false">BF68*(1-Hipótesis!$D$73)-BF69</f>
        <v>24933.5990904571</v>
      </c>
      <c r="BG70" s="110" t="n">
        <f aca="false">BG68*(1-Hipótesis!$D$73)-BG69</f>
        <v>24933.5990904571</v>
      </c>
      <c r="BH70" s="110" t="n">
        <f aca="false">BH68*(1-Hipótesis!$D$73)-BH69</f>
        <v>24933.5990904571</v>
      </c>
      <c r="BI70" s="110" t="n">
        <f aca="false">BI68*(1-Hipótesis!$D$73)-BI69</f>
        <v>24933.5990904571</v>
      </c>
      <c r="BJ70" s="110" t="n">
        <f aca="false">BJ68*(1-Hipótesis!$D$73)-BJ69</f>
        <v>24933.5990904571</v>
      </c>
      <c r="BK70" s="110" t="n">
        <f aca="false">BK68*(1-Hipótesis!$D$73)-BK69</f>
        <v>24933.5990904571</v>
      </c>
      <c r="BL70" s="110" t="n">
        <f aca="false">BL68*(1-Hipótesis!$D$73)-BL69</f>
        <v>24933.5990904571</v>
      </c>
      <c r="BM70" s="110" t="n">
        <f aca="false">BM68*(1-Hipótesis!$D$73)-BM69</f>
        <v>24933.5990904571</v>
      </c>
      <c r="BN70" s="110" t="n">
        <f aca="false">BN68*(1-Hipótesis!$D$73)-BN69</f>
        <v>24933.5990904571</v>
      </c>
      <c r="BO70" s="110" t="n">
        <f aca="false">BO68*(1-Hipótesis!$D$73)-BO69</f>
        <v>24933.5990904571</v>
      </c>
      <c r="BP70" s="110" t="n">
        <f aca="false">BP68*(1-Hipótesis!$D$73)-BP69</f>
        <v>24933.5990904571</v>
      </c>
      <c r="BQ70" s="110" t="n">
        <f aca="false">BQ68*(1-Hipótesis!$D$73)-BQ69</f>
        <v>24933.5990904571</v>
      </c>
      <c r="BR70" s="110" t="n">
        <f aca="false">BR68*(1-Hipótesis!$D$73)-BR69</f>
        <v>24933.5990904571</v>
      </c>
      <c r="BS70" s="110" t="n">
        <f aca="false">BS68*(1-Hipótesis!$D$73)-BS69</f>
        <v>24933.5990904571</v>
      </c>
      <c r="BT70" s="110" t="n">
        <f aca="false">BT68*(1-Hipótesis!$D$73)-BT69</f>
        <v>24933.5990904571</v>
      </c>
      <c r="BU70" s="110" t="n">
        <f aca="false">BU68*(1-Hipótesis!$D$73)-BU69</f>
        <v>24933.5990904571</v>
      </c>
      <c r="BV70" s="110" t="n">
        <f aca="false">BV68*(1-Hipótesis!$D$73)-BV69</f>
        <v>24933.5990904571</v>
      </c>
      <c r="BW70" s="110" t="n">
        <f aca="false">BW68*(1-Hipótesis!$D$73)-BW69</f>
        <v>24933.5990904571</v>
      </c>
      <c r="BX70" s="110" t="n">
        <f aca="false">BX68*(1-Hipótesis!$D$73)-BX69</f>
        <v>24933.5990904571</v>
      </c>
      <c r="BY70" s="110" t="n">
        <f aca="false">BY68*(1-Hipótesis!$D$73)-BY69</f>
        <v>24933.5990904571</v>
      </c>
      <c r="BZ70" s="110" t="n">
        <f aca="false">BZ68*(1-Hipótesis!$D$73)-BZ69</f>
        <v>24933.5990904571</v>
      </c>
      <c r="CA70" s="110" t="n">
        <f aca="false">CA68*(1-Hipótesis!$D$73)-CA69</f>
        <v>24933.5990904571</v>
      </c>
      <c r="CB70" s="110" t="n">
        <f aca="false">CB68*(1-Hipótesis!$D$73)-CB69</f>
        <v>24933.5990904571</v>
      </c>
      <c r="CC70" s="110" t="n">
        <f aca="false">CC68*(1-Hipótesis!$D$73)-CC69</f>
        <v>24933.5990904571</v>
      </c>
      <c r="CD70" s="110" t="n">
        <f aca="false">CD68*(1-Hipótesis!$D$73)-CD69</f>
        <v>24933.5990904571</v>
      </c>
      <c r="CE70" s="110" t="n">
        <f aca="false">CE68*(1-Hipótesis!$D$73)-CE69</f>
        <v>24933.5990904571</v>
      </c>
      <c r="CF70" s="110" t="n">
        <f aca="false">CF68*(1-Hipótesis!$D$73)-CF69</f>
        <v>24933.5990904571</v>
      </c>
      <c r="CG70" s="110" t="n">
        <f aca="false">CG68*(1-Hipótesis!$D$73)-CG69</f>
        <v>24933.5990904571</v>
      </c>
      <c r="CH70" s="110" t="n">
        <f aca="false">CH68*(1-Hipótesis!$D$73)-CH69</f>
        <v>24933.5990904571</v>
      </c>
    </row>
    <row r="71" customFormat="false" ht="13.5" hidden="false" customHeight="true" outlineLevel="0" collapsed="false">
      <c r="A71" s="6" t="s">
        <v>573</v>
      </c>
      <c r="C71" s="109" t="n">
        <f aca="false">-C70</f>
        <v>-344.237566666667</v>
      </c>
      <c r="D71" s="109" t="n">
        <f aca="false">-(D70-C70)</f>
        <v>-364.099666666667</v>
      </c>
      <c r="E71" s="109" t="n">
        <f aca="false">-(E70-D70)</f>
        <v>-689.316507865646</v>
      </c>
      <c r="F71" s="109" t="n">
        <f aca="false">-(F70-E70)</f>
        <v>-345.07894119898</v>
      </c>
      <c r="G71" s="109" t="n">
        <f aca="false">-(G70-F70)</f>
        <v>-325.21684119898</v>
      </c>
      <c r="H71" s="109" t="n">
        <f aca="false">-(H70-G70)</f>
        <v>-475.28640369898</v>
      </c>
      <c r="I71" s="109" t="n">
        <f aca="false">-(I70-H70)</f>
        <v>-961.131705389682</v>
      </c>
      <c r="J71" s="109" t="n">
        <f aca="false">-(J70-I70)</f>
        <v>-961.131705389681</v>
      </c>
      <c r="K71" s="109" t="n">
        <f aca="false">-(K70-J70)</f>
        <v>-961.131705389685</v>
      </c>
      <c r="L71" s="109" t="n">
        <f aca="false">-(L70-K70)</f>
        <v>-961.131705389682</v>
      </c>
      <c r="M71" s="109" t="n">
        <f aca="false">-(M70-L70)</f>
        <v>-635.9148641907</v>
      </c>
      <c r="N71" s="109" t="n">
        <f aca="false">-(N70-M70)</f>
        <v>-826.009864190703</v>
      </c>
      <c r="O71" s="109" t="n">
        <f aca="false">-(O70-N70)</f>
        <v>-826.009864190704</v>
      </c>
      <c r="P71" s="109" t="n">
        <f aca="false">-(P70-O70)</f>
        <v>-740.703101690702</v>
      </c>
      <c r="Q71" s="109" t="n">
        <f aca="false">-(Q70-P70)</f>
        <v>-740.703101690706</v>
      </c>
      <c r="R71" s="109" t="n">
        <f aca="false">-(R70-Q70)</f>
        <v>-740.703101690699</v>
      </c>
      <c r="S71" s="109" t="n">
        <f aca="false">-(S70-R70)</f>
        <v>-740.703101690704</v>
      </c>
      <c r="T71" s="109" t="n">
        <f aca="false">-(T70-S70)</f>
        <v>-740.703101690704</v>
      </c>
      <c r="U71" s="109" t="n">
        <f aca="false">-(U70-T70)</f>
        <v>-740.703101690704</v>
      </c>
      <c r="V71" s="109" t="n">
        <f aca="false">-(V70-U70)</f>
        <v>-740.7031016907</v>
      </c>
      <c r="W71" s="109" t="n">
        <f aca="false">-(W70-V70)</f>
        <v>-740.703101690702</v>
      </c>
      <c r="X71" s="109" t="n">
        <f aca="false">-(X70-W70)</f>
        <v>-550.608101690708</v>
      </c>
      <c r="Y71" s="109" t="n">
        <f aca="false">-(Y70-X70)</f>
        <v>-550.608101690701</v>
      </c>
      <c r="Z71" s="109" t="n">
        <f aca="false">-(Z70-Y70)</f>
        <v>-485.845301690701</v>
      </c>
      <c r="AA71" s="109" t="n">
        <f aca="false">-(AA70-Z70)</f>
        <v>-485.845301690704</v>
      </c>
      <c r="AB71" s="109" t="n">
        <f aca="false">-(AB70-AA70)</f>
        <v>-485.845301690701</v>
      </c>
      <c r="AC71" s="109" t="n">
        <f aca="false">-(AC70-AB70)</f>
        <v>-485.845301690704</v>
      </c>
      <c r="AD71" s="109" t="n">
        <f aca="false">-(AD70-AC70)</f>
        <v>-485.845301690704</v>
      </c>
      <c r="AE71" s="109" t="n">
        <f aca="false">-(AE70-AD70)</f>
        <v>-485.845301690701</v>
      </c>
      <c r="AF71" s="109" t="n">
        <f aca="false">-(AF70-AE70)</f>
        <v>-485.845301690708</v>
      </c>
      <c r="AG71" s="109" t="n">
        <f aca="false">-(AG70-AF70)</f>
        <v>-485.845301690704</v>
      </c>
      <c r="AH71" s="109" t="n">
        <f aca="false">-(AH70-AG70)</f>
        <v>-485.845301690697</v>
      </c>
      <c r="AI71" s="109" t="n">
        <f aca="false">-(AI70-AH70)</f>
        <v>-485.845301690704</v>
      </c>
      <c r="AJ71" s="109" t="n">
        <f aca="false">-(AJ70-AI70)</f>
        <v>-485.845301690704</v>
      </c>
      <c r="AK71" s="109" t="n">
        <f aca="false">-(AK70-AJ70)</f>
        <v>-485.845301690697</v>
      </c>
      <c r="AL71" s="109" t="n">
        <f aca="false">-(AL70-AK70)</f>
        <v>-485.845301690704</v>
      </c>
      <c r="AM71" s="109" t="n">
        <f aca="false">-(AM70-AL70)</f>
        <v>-485.845301690701</v>
      </c>
      <c r="AN71" s="109" t="n">
        <f aca="false">-(AN70-AM70)</f>
        <v>-485.845301690708</v>
      </c>
      <c r="AO71" s="109" t="n">
        <f aca="false">-(AO70-AN70)</f>
        <v>-485.845301690701</v>
      </c>
      <c r="AP71" s="109" t="n">
        <f aca="false">-(AP70-AO70)</f>
        <v>-485.845301690701</v>
      </c>
      <c r="AQ71" s="109" t="n">
        <f aca="false">-(AQ70-AP70)</f>
        <v>-485.845301690708</v>
      </c>
      <c r="AR71" s="109" t="n">
        <f aca="false">-(AR70-AQ70)</f>
        <v>-485.845301690701</v>
      </c>
      <c r="AS71" s="109" t="n">
        <f aca="false">-(AS70-AR70)</f>
        <v>-0</v>
      </c>
      <c r="AT71" s="109" t="n">
        <f aca="false">-(AT70-AS70)</f>
        <v>-0</v>
      </c>
      <c r="AU71" s="109" t="n">
        <f aca="false">-(AU70-AT70)</f>
        <v>-0</v>
      </c>
      <c r="AV71" s="109" t="n">
        <f aca="false">-(AV70-AU70)</f>
        <v>-0</v>
      </c>
      <c r="AW71" s="109" t="n">
        <f aca="false">-(AW70-AV70)</f>
        <v>-0</v>
      </c>
      <c r="AX71" s="109" t="n">
        <f aca="false">-(AX70-AW70)</f>
        <v>-0</v>
      </c>
      <c r="AY71" s="109" t="n">
        <f aca="false">-(AY70-AX70)</f>
        <v>-0</v>
      </c>
      <c r="AZ71" s="109" t="n">
        <f aca="false">-(AZ70-AY70)</f>
        <v>-0</v>
      </c>
      <c r="BA71" s="109" t="n">
        <f aca="false">-(BA70-AZ70)</f>
        <v>-0</v>
      </c>
      <c r="BB71" s="109" t="n">
        <f aca="false">-(BB70-BA70)</f>
        <v>-0</v>
      </c>
      <c r="BC71" s="109" t="n">
        <f aca="false">-(BC70-BB70)</f>
        <v>-0</v>
      </c>
      <c r="BD71" s="109" t="n">
        <f aca="false">-(BD70-BC70)</f>
        <v>-0</v>
      </c>
      <c r="BE71" s="109" t="n">
        <f aca="false">-(BE70-BD70)</f>
        <v>-0</v>
      </c>
      <c r="BF71" s="109" t="n">
        <f aca="false">-(BF70-BE70)</f>
        <v>-0</v>
      </c>
      <c r="BG71" s="109" t="n">
        <f aca="false">-(BG70-BF70)</f>
        <v>-0</v>
      </c>
      <c r="BH71" s="109" t="n">
        <f aca="false">-(BH70-BG70)</f>
        <v>-0</v>
      </c>
      <c r="BI71" s="109" t="n">
        <f aca="false">-(BI70-BH70)</f>
        <v>-0</v>
      </c>
      <c r="BJ71" s="109" t="n">
        <f aca="false">-(BJ70-BI70)</f>
        <v>-0</v>
      </c>
      <c r="BK71" s="109" t="n">
        <f aca="false">-(BK70-BJ70)</f>
        <v>-0</v>
      </c>
      <c r="BL71" s="109" t="n">
        <f aca="false">-(BL70-BK70)</f>
        <v>-0</v>
      </c>
      <c r="BM71" s="109" t="n">
        <f aca="false">-(BM70-BL70)</f>
        <v>-0</v>
      </c>
      <c r="BN71" s="109" t="n">
        <f aca="false">-(BN70-BM70)</f>
        <v>-0</v>
      </c>
      <c r="BO71" s="109" t="n">
        <f aca="false">-(BO70-BN70)</f>
        <v>-0</v>
      </c>
      <c r="BP71" s="109" t="n">
        <f aca="false">-(BP70-BO70)</f>
        <v>-0</v>
      </c>
      <c r="BQ71" s="109" t="n">
        <f aca="false">-(BQ70-BP70)</f>
        <v>-0</v>
      </c>
      <c r="BR71" s="109" t="n">
        <f aca="false">-(BR70-BQ70)</f>
        <v>-0</v>
      </c>
      <c r="BS71" s="109" t="n">
        <f aca="false">-(BS70-BR70)</f>
        <v>-0</v>
      </c>
      <c r="BT71" s="109" t="n">
        <f aca="false">-(BT70-BS70)</f>
        <v>-0</v>
      </c>
      <c r="BU71" s="109" t="n">
        <f aca="false">-(BU70-BT70)</f>
        <v>-0</v>
      </c>
      <c r="BV71" s="109" t="n">
        <f aca="false">-(BV70-BU70)</f>
        <v>-0</v>
      </c>
      <c r="BW71" s="109" t="n">
        <f aca="false">-(BW70-BV70)</f>
        <v>-0</v>
      </c>
      <c r="BX71" s="109" t="n">
        <f aca="false">-(BX70-BW70)</f>
        <v>-0</v>
      </c>
      <c r="BY71" s="109" t="n">
        <f aca="false">-(BY70-BX70)</f>
        <v>-0</v>
      </c>
      <c r="BZ71" s="109" t="n">
        <f aca="false">-(BZ70-BY70)</f>
        <v>-0</v>
      </c>
      <c r="CA71" s="109" t="n">
        <f aca="false">-(CA70-BZ70)</f>
        <v>-0</v>
      </c>
      <c r="CB71" s="109" t="n">
        <f aca="false">-(CB70-CA70)</f>
        <v>-0</v>
      </c>
      <c r="CC71" s="109" t="n">
        <f aca="false">-(CC70-CB70)</f>
        <v>-0</v>
      </c>
      <c r="CD71" s="109" t="n">
        <f aca="false">-(CD70-CC70)</f>
        <v>-0</v>
      </c>
      <c r="CE71" s="109" t="n">
        <f aca="false">-(CE70-CD70)</f>
        <v>-0</v>
      </c>
      <c r="CF71" s="109" t="n">
        <f aca="false">-(CF70-CE70)</f>
        <v>-0</v>
      </c>
      <c r="CG71" s="109" t="n">
        <f aca="false">-(CG70-CF70)</f>
        <v>-0</v>
      </c>
      <c r="CH71" s="109" t="n">
        <f aca="false">-(CH70-CG70)</f>
        <v>-0</v>
      </c>
    </row>
    <row r="72" customFormat="false" ht="13.5" hidden="false" customHeight="true" outlineLevel="0" collapsed="false">
      <c r="A72" s="6" t="s">
        <v>574</v>
      </c>
      <c r="C72" s="109" t="n">
        <f aca="false">-CAPEX!$F$22*CAPEX!$C$29</f>
        <v>-29601</v>
      </c>
      <c r="D72" s="109" t="n">
        <f aca="false">-CAPEX!$F$22*CAPEX!$D$29</f>
        <v>-13813.8</v>
      </c>
      <c r="E72" s="109" t="n">
        <f aca="false">-CAPEX!$F$22*CAPEX!$E$29</f>
        <v>-9867</v>
      </c>
      <c r="F72" s="109" t="n">
        <f aca="false">-CAPEX!$F$22*CAPEX!$F$29</f>
        <v>-8880.3</v>
      </c>
      <c r="G72" s="109" t="n">
        <f aca="false">-CAPEX!$F$22*CAPEX!$G$29</f>
        <v>-7893.6</v>
      </c>
      <c r="H72" s="109" t="n">
        <f aca="false">-CAPEX!$F$22*CAPEX!$H$29</f>
        <v>-6906.9</v>
      </c>
      <c r="I72" s="109" t="n">
        <f aca="false">-CAPEX!$F$22*CAPEX!$I$29</f>
        <v>-5920.2</v>
      </c>
      <c r="J72" s="109" t="n">
        <f aca="false">-CAPEX!$F$22*CAPEX!$J$29</f>
        <v>-4933.5</v>
      </c>
      <c r="K72" s="109" t="n">
        <f aca="false">-CAPEX!$F$22*CAPEX!$K$29</f>
        <v>-3946.8</v>
      </c>
      <c r="L72" s="109" t="n">
        <f aca="false">-CAPEX!$F$22*CAPEX!$L$29</f>
        <v>-2960.1</v>
      </c>
      <c r="M72" s="109" t="n">
        <f aca="false">-CAPEX!$F$22*CAPEX!$M$29</f>
        <v>-1973.4</v>
      </c>
      <c r="N72" s="109" t="n">
        <f aca="false">-CAPEX!$F$22*CAPEX!$N$29</f>
        <v>-1973.4</v>
      </c>
      <c r="O72" s="109" t="n">
        <f aca="false">0</f>
        <v>0</v>
      </c>
      <c r="P72" s="109" t="n">
        <f aca="false">0</f>
        <v>0</v>
      </c>
      <c r="Q72" s="109" t="n">
        <f aca="false">0</f>
        <v>0</v>
      </c>
      <c r="R72" s="109" t="n">
        <f aca="false">0</f>
        <v>0</v>
      </c>
      <c r="S72" s="109" t="n">
        <f aca="false">0</f>
        <v>0</v>
      </c>
      <c r="T72" s="109" t="n">
        <f aca="false">0</f>
        <v>0</v>
      </c>
      <c r="U72" s="109" t="n">
        <f aca="false">0</f>
        <v>0</v>
      </c>
      <c r="V72" s="109" t="n">
        <f aca="false">0</f>
        <v>0</v>
      </c>
      <c r="W72" s="109" t="n">
        <f aca="false">0</f>
        <v>0</v>
      </c>
      <c r="X72" s="109" t="n">
        <f aca="false">0</f>
        <v>0</v>
      </c>
      <c r="Y72" s="109" t="n">
        <f aca="false">0</f>
        <v>0</v>
      </c>
      <c r="Z72" s="109" t="n">
        <f aca="false">0</f>
        <v>0</v>
      </c>
      <c r="AA72" s="109" t="n">
        <f aca="false">0</f>
        <v>0</v>
      </c>
      <c r="AB72" s="109" t="n">
        <f aca="false">0</f>
        <v>0</v>
      </c>
      <c r="AC72" s="109" t="n">
        <f aca="false">0</f>
        <v>0</v>
      </c>
      <c r="AD72" s="109" t="n">
        <f aca="false">0</f>
        <v>0</v>
      </c>
      <c r="AE72" s="109" t="n">
        <f aca="false">0</f>
        <v>0</v>
      </c>
      <c r="AF72" s="109" t="n">
        <f aca="false">0</f>
        <v>0</v>
      </c>
      <c r="AG72" s="109" t="n">
        <f aca="false">0</f>
        <v>0</v>
      </c>
      <c r="AH72" s="109" t="n">
        <f aca="false">0</f>
        <v>0</v>
      </c>
      <c r="AI72" s="109" t="n">
        <f aca="false">0</f>
        <v>0</v>
      </c>
      <c r="AJ72" s="109" t="n">
        <f aca="false">0</f>
        <v>0</v>
      </c>
      <c r="AK72" s="109" t="n">
        <f aca="false">0</f>
        <v>0</v>
      </c>
      <c r="AL72" s="109" t="n">
        <f aca="false">0</f>
        <v>0</v>
      </c>
      <c r="AM72" s="109" t="n">
        <f aca="false">0</f>
        <v>0</v>
      </c>
      <c r="AN72" s="109" t="n">
        <f aca="false">0</f>
        <v>0</v>
      </c>
      <c r="AO72" s="109" t="n">
        <f aca="false">0</f>
        <v>0</v>
      </c>
      <c r="AP72" s="109" t="n">
        <f aca="false">0</f>
        <v>0</v>
      </c>
      <c r="AQ72" s="109" t="n">
        <f aca="false">0</f>
        <v>0</v>
      </c>
      <c r="AR72" s="109" t="n">
        <f aca="false">0</f>
        <v>0</v>
      </c>
      <c r="AS72" s="109" t="n">
        <f aca="false">0</f>
        <v>0</v>
      </c>
      <c r="AT72" s="109" t="n">
        <f aca="false">0</f>
        <v>0</v>
      </c>
      <c r="AU72" s="109" t="n">
        <f aca="false">0</f>
        <v>0</v>
      </c>
      <c r="AV72" s="109" t="n">
        <f aca="false">0</f>
        <v>0</v>
      </c>
      <c r="AW72" s="109" t="n">
        <f aca="false">0</f>
        <v>0</v>
      </c>
      <c r="AX72" s="109" t="n">
        <f aca="false">0</f>
        <v>0</v>
      </c>
      <c r="AY72" s="109" t="n">
        <f aca="false">0</f>
        <v>0</v>
      </c>
      <c r="AZ72" s="109" t="n">
        <f aca="false">0</f>
        <v>0</v>
      </c>
      <c r="BA72" s="109" t="n">
        <f aca="false">0</f>
        <v>0</v>
      </c>
      <c r="BB72" s="109" t="n">
        <f aca="false">0</f>
        <v>0</v>
      </c>
      <c r="BC72" s="109" t="n">
        <f aca="false">0</f>
        <v>0</v>
      </c>
      <c r="BD72" s="109" t="n">
        <f aca="false">0</f>
        <v>0</v>
      </c>
      <c r="BE72" s="109" t="n">
        <f aca="false">0</f>
        <v>0</v>
      </c>
      <c r="BF72" s="109" t="n">
        <f aca="false">0</f>
        <v>0</v>
      </c>
      <c r="BG72" s="109" t="n">
        <f aca="false">0</f>
        <v>0</v>
      </c>
      <c r="BH72" s="109" t="n">
        <f aca="false">0</f>
        <v>0</v>
      </c>
      <c r="BI72" s="109" t="n">
        <f aca="false">0</f>
        <v>0</v>
      </c>
      <c r="BJ72" s="109" t="n">
        <f aca="false">0</f>
        <v>0</v>
      </c>
      <c r="BK72" s="109" t="n">
        <f aca="false">0</f>
        <v>0</v>
      </c>
      <c r="BL72" s="109" t="n">
        <f aca="false">0</f>
        <v>0</v>
      </c>
      <c r="BM72" s="109" t="n">
        <f aca="false">0</f>
        <v>0</v>
      </c>
      <c r="BN72" s="109" t="n">
        <f aca="false">0</f>
        <v>0</v>
      </c>
      <c r="BO72" s="109" t="n">
        <f aca="false">0</f>
        <v>0</v>
      </c>
      <c r="BP72" s="109" t="n">
        <f aca="false">0</f>
        <v>0</v>
      </c>
      <c r="BQ72" s="109" t="n">
        <f aca="false">0</f>
        <v>0</v>
      </c>
      <c r="BR72" s="109" t="n">
        <f aca="false">0</f>
        <v>0</v>
      </c>
      <c r="BS72" s="109" t="n">
        <f aca="false">0</f>
        <v>0</v>
      </c>
      <c r="BT72" s="109" t="n">
        <f aca="false">0</f>
        <v>0</v>
      </c>
      <c r="BU72" s="109" t="n">
        <f aca="false">0</f>
        <v>0</v>
      </c>
      <c r="BV72" s="109" t="n">
        <f aca="false">0</f>
        <v>0</v>
      </c>
      <c r="BW72" s="109" t="n">
        <f aca="false">0</f>
        <v>0</v>
      </c>
      <c r="BX72" s="109" t="n">
        <f aca="false">0</f>
        <v>0</v>
      </c>
      <c r="BY72" s="109" t="n">
        <f aca="false">0</f>
        <v>0</v>
      </c>
      <c r="BZ72" s="109" t="n">
        <f aca="false">0</f>
        <v>0</v>
      </c>
      <c r="CA72" s="109" t="n">
        <f aca="false">0</f>
        <v>0</v>
      </c>
      <c r="CB72" s="109" t="n">
        <f aca="false">0</f>
        <v>0</v>
      </c>
      <c r="CC72" s="109" t="n">
        <f aca="false">0</f>
        <v>0</v>
      </c>
      <c r="CD72" s="109" t="n">
        <f aca="false">0</f>
        <v>0</v>
      </c>
      <c r="CE72" s="109" t="n">
        <f aca="false">0</f>
        <v>0</v>
      </c>
      <c r="CF72" s="109" t="n">
        <f aca="false">0</f>
        <v>0</v>
      </c>
      <c r="CG72" s="109" t="n">
        <f aca="false">0</f>
        <v>0</v>
      </c>
      <c r="CH72" s="109" t="n">
        <f aca="false">0</f>
        <v>0</v>
      </c>
    </row>
    <row r="73" customFormat="false" ht="13.5" hidden="false" customHeight="true" outlineLevel="0" collapsed="false">
      <c r="A73" s="6" t="s">
        <v>575</v>
      </c>
      <c r="C73" s="109" t="n">
        <f aca="false">-C36*Hipótesis!$D$68</f>
        <v>-24.1338</v>
      </c>
      <c r="D73" s="109" t="n">
        <f aca="false">-D36*Hipótesis!$D$68</f>
        <v>-50.1468</v>
      </c>
      <c r="E73" s="109" t="n">
        <f aca="false">-E36*Hipótesis!$D$68</f>
        <v>-104.445675</v>
      </c>
      <c r="F73" s="109" t="n">
        <f aca="false">-F36*Hipótesis!$D$68</f>
        <v>-134.61075</v>
      </c>
      <c r="G73" s="109" t="n">
        <f aca="false">-G36*Hipótesis!$D$68</f>
        <v>-162.896625</v>
      </c>
      <c r="H73" s="109" t="n">
        <f aca="false">-H36*Hipótesis!$D$68</f>
        <v>-208.4085</v>
      </c>
      <c r="I73" s="109" t="n">
        <f aca="false">-I36*Hipótesis!$D$68</f>
        <v>-297.648357167351</v>
      </c>
      <c r="J73" s="109" t="n">
        <f aca="false">-J36*Hipótesis!$D$68</f>
        <v>-386.888214334703</v>
      </c>
      <c r="K73" s="109" t="n">
        <f aca="false">-K36*Hipótesis!$D$68</f>
        <v>-476.128071502054</v>
      </c>
      <c r="L73" s="109" t="n">
        <f aca="false">-L36*Hipótesis!$D$68</f>
        <v>-565.367928669405</v>
      </c>
      <c r="M73" s="109" t="n">
        <f aca="false">-M36*Hipótesis!$D$68</f>
        <v>-626.321910836757</v>
      </c>
      <c r="N73" s="109" t="n">
        <f aca="false">-N36*Hipótesis!$D$68</f>
        <v>-710.765893004108</v>
      </c>
      <c r="O73" s="109" t="n">
        <f aca="false">-O36*Hipótesis!$D$68</f>
        <v>-795.209875171459</v>
      </c>
      <c r="P73" s="109" t="n">
        <f aca="false">-P36*Hipótesis!$D$68</f>
        <v>-871.197457338811</v>
      </c>
      <c r="Q73" s="109" t="n">
        <f aca="false">-Q36*Hipótesis!$D$68</f>
        <v>-947.185039506162</v>
      </c>
      <c r="R73" s="109" t="n">
        <f aca="false">-R36*Hipótesis!$D$68</f>
        <v>-1023.17262167351</v>
      </c>
      <c r="S73" s="109" t="n">
        <f aca="false">-S36*Hipótesis!$D$68</f>
        <v>-1099.16020384086</v>
      </c>
      <c r="T73" s="109" t="n">
        <f aca="false">-T36*Hipótesis!$D$68</f>
        <v>-1175.14778600822</v>
      </c>
      <c r="U73" s="109" t="n">
        <f aca="false">-U36*Hipótesis!$D$68</f>
        <v>-1251.13536817557</v>
      </c>
      <c r="V73" s="109" t="n">
        <f aca="false">-V36*Hipótesis!$D$68</f>
        <v>-1327.12295034292</v>
      </c>
      <c r="W73" s="109" t="n">
        <f aca="false">-W36*Hipótesis!$D$68</f>
        <v>-1403.11053251027</v>
      </c>
      <c r="X73" s="109" t="n">
        <f aca="false">-X36*Hipótesis!$D$68</f>
        <v>-1455.60811467762</v>
      </c>
      <c r="Y73" s="109" t="n">
        <f aca="false">-Y36*Hipótesis!$D$68</f>
        <v>-1508.10569684497</v>
      </c>
      <c r="Z73" s="109" t="n">
        <f aca="false">-Z36*Hipótesis!$D$68</f>
        <v>-1551.83367901232</v>
      </c>
      <c r="AA73" s="109" t="n">
        <f aca="false">-AA36*Hipótesis!$D$68</f>
        <v>-1595.56166117968</v>
      </c>
      <c r="AB73" s="109" t="n">
        <f aca="false">-AB36*Hipótesis!$D$68</f>
        <v>-1639.28964334703</v>
      </c>
      <c r="AC73" s="109" t="n">
        <f aca="false">-AC36*Hipótesis!$D$68</f>
        <v>-1683.01762551438</v>
      </c>
      <c r="AD73" s="109" t="n">
        <f aca="false">-AD36*Hipótesis!$D$68</f>
        <v>-1726.74560768173</v>
      </c>
      <c r="AE73" s="109" t="n">
        <f aca="false">-AE36*Hipótesis!$D$68</f>
        <v>-1770.47358984908</v>
      </c>
      <c r="AF73" s="109" t="n">
        <f aca="false">-AF36*Hipótesis!$D$68</f>
        <v>-1814.20157201643</v>
      </c>
      <c r="AG73" s="109" t="n">
        <f aca="false">-AG36*Hipótesis!$D$68</f>
        <v>-1857.92955418378</v>
      </c>
      <c r="AH73" s="109" t="n">
        <f aca="false">-AH36*Hipótesis!$D$68</f>
        <v>-1901.65753635114</v>
      </c>
      <c r="AI73" s="109" t="n">
        <f aca="false">-AI36*Hipótesis!$D$68</f>
        <v>-1945.38551851849</v>
      </c>
      <c r="AJ73" s="109" t="n">
        <f aca="false">-AJ36*Hipótesis!$D$68</f>
        <v>-1989.11350068584</v>
      </c>
      <c r="AK73" s="109" t="n">
        <f aca="false">-AK36*Hipótesis!$D$68</f>
        <v>-2032.84148285319</v>
      </c>
      <c r="AL73" s="109" t="n">
        <f aca="false">-AL36*Hipótesis!$D$68</f>
        <v>-2076.56946502054</v>
      </c>
      <c r="AM73" s="109" t="n">
        <f aca="false">-AM36*Hipótesis!$D$68</f>
        <v>-2120.29744718789</v>
      </c>
      <c r="AN73" s="109" t="n">
        <f aca="false">-AN36*Hipótesis!$D$68</f>
        <v>-2164.02542935524</v>
      </c>
      <c r="AO73" s="109" t="n">
        <f aca="false">-AO36*Hipótesis!$D$68</f>
        <v>-2207.7534115226</v>
      </c>
      <c r="AP73" s="109" t="n">
        <f aca="false">-AP36*Hipótesis!$D$68</f>
        <v>-2251.48139368995</v>
      </c>
      <c r="AQ73" s="109" t="n">
        <f aca="false">-AQ36*Hipótesis!$D$68</f>
        <v>-2295.2093758573</v>
      </c>
      <c r="AR73" s="109" t="n">
        <f aca="false">-AR36*Hipótesis!$D$68</f>
        <v>-2338.93735802465</v>
      </c>
      <c r="AS73" s="109" t="n">
        <f aca="false">-AS36*Hipótesis!$D$68</f>
        <v>-2338.93735802465</v>
      </c>
      <c r="AT73" s="109" t="n">
        <f aca="false">-AT36*Hipótesis!$D$68</f>
        <v>-2338.93735802465</v>
      </c>
      <c r="AU73" s="109" t="n">
        <f aca="false">-AU36*Hipótesis!$D$68</f>
        <v>-2338.93735802465</v>
      </c>
      <c r="AV73" s="109" t="n">
        <f aca="false">-AV36*Hipótesis!$D$68</f>
        <v>-2338.93735802465</v>
      </c>
      <c r="AW73" s="109" t="n">
        <f aca="false">-AW36*Hipótesis!$D$68</f>
        <v>-2338.93735802465</v>
      </c>
      <c r="AX73" s="109" t="n">
        <f aca="false">-AX36*Hipótesis!$D$68</f>
        <v>-2338.93735802465</v>
      </c>
      <c r="AY73" s="109" t="n">
        <f aca="false">-AY36*Hipótesis!$D$68</f>
        <v>-2338.93735802465</v>
      </c>
      <c r="AZ73" s="109" t="n">
        <f aca="false">-AZ36*Hipótesis!$D$68</f>
        <v>-2338.93735802465</v>
      </c>
      <c r="BA73" s="109" t="n">
        <f aca="false">-BA36*Hipótesis!$D$68</f>
        <v>-2338.93735802465</v>
      </c>
      <c r="BB73" s="109" t="n">
        <f aca="false">-BB36*Hipótesis!$D$68</f>
        <v>-2338.93735802465</v>
      </c>
      <c r="BC73" s="109" t="n">
        <f aca="false">-BC36*Hipótesis!$D$68</f>
        <v>-2338.93735802465</v>
      </c>
      <c r="BD73" s="109" t="n">
        <f aca="false">-BD36*Hipótesis!$D$68</f>
        <v>-2338.93735802465</v>
      </c>
      <c r="BE73" s="109" t="n">
        <f aca="false">-BE36*Hipótesis!$D$68</f>
        <v>-2338.93735802465</v>
      </c>
      <c r="BF73" s="109" t="n">
        <f aca="false">-BF36*Hipótesis!$D$68</f>
        <v>-2338.93735802465</v>
      </c>
      <c r="BG73" s="109" t="n">
        <f aca="false">-BG36*Hipótesis!$D$68</f>
        <v>-2338.93735802465</v>
      </c>
      <c r="BH73" s="109" t="n">
        <f aca="false">-BH36*Hipótesis!$D$68</f>
        <v>-2338.93735802465</v>
      </c>
      <c r="BI73" s="109" t="n">
        <f aca="false">-BI36*Hipótesis!$D$68</f>
        <v>-2338.93735802465</v>
      </c>
      <c r="BJ73" s="109" t="n">
        <f aca="false">-BJ36*Hipótesis!$D$68</f>
        <v>-2338.93735802465</v>
      </c>
      <c r="BK73" s="109" t="n">
        <f aca="false">-BK36*Hipótesis!$D$68</f>
        <v>-2338.93735802465</v>
      </c>
      <c r="BL73" s="109" t="n">
        <f aca="false">-BL36*Hipótesis!$D$68</f>
        <v>-2338.93735802465</v>
      </c>
      <c r="BM73" s="109" t="n">
        <f aca="false">-BM36*Hipótesis!$D$68</f>
        <v>-2338.93735802465</v>
      </c>
      <c r="BN73" s="109" t="n">
        <f aca="false">-BN36*Hipótesis!$D$68</f>
        <v>-2338.93735802465</v>
      </c>
      <c r="BO73" s="109" t="n">
        <f aca="false">-BO36*Hipótesis!$D$68</f>
        <v>-2338.93735802465</v>
      </c>
      <c r="BP73" s="109" t="n">
        <f aca="false">-BP36*Hipótesis!$D$68</f>
        <v>-2338.93735802465</v>
      </c>
      <c r="BQ73" s="109" t="n">
        <f aca="false">-BQ36*Hipótesis!$D$68</f>
        <v>-2338.93735802465</v>
      </c>
      <c r="BR73" s="109" t="n">
        <f aca="false">-BR36*Hipótesis!$D$68</f>
        <v>-2338.93735802465</v>
      </c>
      <c r="BS73" s="109" t="n">
        <f aca="false">-BS36*Hipótesis!$D$68</f>
        <v>-2338.93735802465</v>
      </c>
      <c r="BT73" s="109" t="n">
        <f aca="false">-BT36*Hipótesis!$D$68</f>
        <v>-2338.93735802465</v>
      </c>
      <c r="BU73" s="109" t="n">
        <f aca="false">-BU36*Hipótesis!$D$68</f>
        <v>-2338.93735802465</v>
      </c>
      <c r="BV73" s="109" t="n">
        <f aca="false">-BV36*Hipótesis!$D$68</f>
        <v>-2338.93735802465</v>
      </c>
      <c r="BW73" s="109" t="n">
        <f aca="false">-BW36*Hipótesis!$D$68</f>
        <v>-2338.93735802465</v>
      </c>
      <c r="BX73" s="109" t="n">
        <f aca="false">-BX36*Hipótesis!$D$68</f>
        <v>-2338.93735802465</v>
      </c>
      <c r="BY73" s="109" t="n">
        <f aca="false">-BY36*Hipótesis!$D$68</f>
        <v>-2338.93735802465</v>
      </c>
      <c r="BZ73" s="109" t="n">
        <f aca="false">-BZ36*Hipótesis!$D$68</f>
        <v>-2338.93735802465</v>
      </c>
      <c r="CA73" s="109" t="n">
        <f aca="false">-CA36*Hipótesis!$D$68</f>
        <v>-2338.93735802465</v>
      </c>
      <c r="CB73" s="109" t="n">
        <f aca="false">-CB36*Hipótesis!$D$68</f>
        <v>-2338.93735802465</v>
      </c>
      <c r="CC73" s="109" t="n">
        <f aca="false">-CC36*Hipótesis!$D$68</f>
        <v>-2338.93735802465</v>
      </c>
      <c r="CD73" s="109" t="n">
        <f aca="false">-CD36*Hipótesis!$D$68</f>
        <v>-2338.93735802465</v>
      </c>
      <c r="CE73" s="109" t="n">
        <f aca="false">-CE36*Hipótesis!$D$68</f>
        <v>-2338.93735802465</v>
      </c>
      <c r="CF73" s="109" t="n">
        <f aca="false">-CF36*Hipótesis!$D$68</f>
        <v>-2338.93735802465</v>
      </c>
      <c r="CG73" s="109" t="n">
        <f aca="false">-CG36*Hipótesis!$D$68</f>
        <v>-2338.93735802465</v>
      </c>
      <c r="CH73" s="109" t="n">
        <f aca="false">-CH36*Hipótesis!$D$68</f>
        <v>-2338.93735802465</v>
      </c>
    </row>
    <row r="74" customFormat="false" ht="13.5" hidden="false" customHeight="true" outlineLevel="0" collapsed="false">
      <c r="A74" s="22" t="s">
        <v>576</v>
      </c>
      <c r="C74" s="109" t="n">
        <f aca="false">C66+C67+C71+C72+C73</f>
        <v>-44652.4303440799</v>
      </c>
      <c r="D74" s="109" t="n">
        <f aca="false">D66+D67+D71+D72+D73</f>
        <v>-27873.5973992182</v>
      </c>
      <c r="E74" s="109" t="n">
        <f aca="false">E66+E67+E71+E72+E73</f>
        <v>-22209.7508202848</v>
      </c>
      <c r="F74" s="109" t="n">
        <f aca="false">F66+F67+F71+F72+F73</f>
        <v>-19781.3570560724</v>
      </c>
      <c r="G74" s="109" t="n">
        <f aca="false">G66+G67+G71+G72+G73</f>
        <v>-17744.0265808016</v>
      </c>
      <c r="H74" s="109" t="n">
        <f aca="false">H66+H67+H71+H72+H73</f>
        <v>-15301.9824711311</v>
      </c>
      <c r="I74" s="109" t="n">
        <f aca="false">I66+I67+I71+I72+I73</f>
        <v>-11618.1289911442</v>
      </c>
      <c r="J74" s="109" t="n">
        <f aca="false">J66+J67+J71+J72+J73</f>
        <v>-7448.43020946655</v>
      </c>
      <c r="K74" s="109" t="n">
        <f aca="false">K66+K67+K71+K72+K73</f>
        <v>-3349.96627472572</v>
      </c>
      <c r="L74" s="109" t="n">
        <f aca="false">L66+L67+L71+L72+L73</f>
        <v>343.049782417047</v>
      </c>
      <c r="M74" s="109" t="n">
        <f aca="false">M66+M67+M71+M72+M73</f>
        <v>3483.47860580771</v>
      </c>
      <c r="N74" s="109" t="n">
        <f aca="false">N66+N67+N71+N72+N73</f>
        <v>5771.11186702471</v>
      </c>
      <c r="O74" s="109" t="n">
        <f aca="false">O66+O67+O71+O72+O73</f>
        <v>5765.38723027107</v>
      </c>
      <c r="P74" s="109" t="n">
        <f aca="false">P66+P67+P71+P72+P73</f>
        <v>6107.94551948672</v>
      </c>
      <c r="Q74" s="109" t="n">
        <f aca="false">Q66+Q67+Q71+Q72+Q73</f>
        <v>8336.75300620236</v>
      </c>
      <c r="R74" s="109" t="n">
        <f aca="false">R66+R67+R71+R72+R73</f>
        <v>10565.560492918</v>
      </c>
      <c r="S74" s="109" t="n">
        <f aca="false">S66+S67+S71+S72+S73</f>
        <v>12794.3679796337</v>
      </c>
      <c r="T74" s="109" t="n">
        <f aca="false">T66+T67+T71+T72+T73</f>
        <v>15023.1754663493</v>
      </c>
      <c r="U74" s="109" t="n">
        <f aca="false">U66+U67+U71+U72+U73</f>
        <v>15280.426993065</v>
      </c>
      <c r="V74" s="109" t="n">
        <f aca="false">V66+V67+V71+V72+V73</f>
        <v>15189.7568797806</v>
      </c>
      <c r="W74" s="109" t="n">
        <f aca="false">W66+W67+W71+W72+W73</f>
        <v>17418.5643664962</v>
      </c>
      <c r="X74" s="109" t="n">
        <f aca="false">X66+X67+X71+X72+X73</f>
        <v>19186.122312579</v>
      </c>
      <c r="Y74" s="109" t="n">
        <f aca="false">Y66+Y67+Y71+Y72+Y73</f>
        <v>20763.5852586617</v>
      </c>
      <c r="Z74" s="109" t="n">
        <f aca="false">Z66+Z67+Z71+Z72+Z73</f>
        <v>22168.7070082413</v>
      </c>
      <c r="AA74" s="109" t="n">
        <f aca="false">AA66+AA67+AA71+AA72+AA73</f>
        <v>21562.6639442209</v>
      </c>
      <c r="AB74" s="109" t="n">
        <f aca="false">AB66+AB67+AB71+AB72+AB73</f>
        <v>20871.4869216671</v>
      </c>
      <c r="AC74" s="109" t="n">
        <f aca="false">AC66+AC67+AC71+AC72+AC73</f>
        <v>22211.0125379134</v>
      </c>
      <c r="AD74" s="109" t="n">
        <f aca="false">AD66+AD67+AD71+AD72+AD73</f>
        <v>23550.5381541596</v>
      </c>
      <c r="AE74" s="109" t="n">
        <f aca="false">AE66+AE67+AE71+AE72+AE73</f>
        <v>24890.0637704059</v>
      </c>
      <c r="AF74" s="109" t="n">
        <f aca="false">AF66+AF67+AF71+AF72+AF73</f>
        <v>26229.5893866521</v>
      </c>
      <c r="AG74" s="109" t="n">
        <f aca="false">AG66+AG67+AG71+AG72+AG73</f>
        <v>27569.1150028983</v>
      </c>
      <c r="AH74" s="109" t="n">
        <f aca="false">AH66+AH67+AH71+AH72+AH73</f>
        <v>28908.6406191446</v>
      </c>
      <c r="AI74" s="109" t="n">
        <f aca="false">AI66+AI67+AI71+AI72+AI73</f>
        <v>30248.1662353908</v>
      </c>
      <c r="AJ74" s="109" t="n">
        <f aca="false">AJ66+AJ67+AJ71+AJ72+AJ73</f>
        <v>31587.6918516371</v>
      </c>
      <c r="AK74" s="109" t="n">
        <f aca="false">AK66+AK67+AK71+AK72+AK73</f>
        <v>32927.2174678833</v>
      </c>
      <c r="AL74" s="109" t="n">
        <f aca="false">AL66+AL67+AL71+AL72+AL73</f>
        <v>34266.7430841296</v>
      </c>
      <c r="AM74" s="109" t="n">
        <f aca="false">AM66+AM67+AM71+AM72+AM73</f>
        <v>27792.1518106544</v>
      </c>
      <c r="AN74" s="109" t="n">
        <f aca="false">AN66+AN67+AN71+AN72+AN73</f>
        <v>28972.9710980601</v>
      </c>
      <c r="AO74" s="109" t="n">
        <f aca="false">AO66+AO67+AO71+AO72+AO73</f>
        <v>30153.7903854657</v>
      </c>
      <c r="AP74" s="109" t="n">
        <f aca="false">AP66+AP67+AP71+AP72+AP73</f>
        <v>31334.6096728714</v>
      </c>
      <c r="AQ74" s="109" t="n">
        <f aca="false">AQ66+AQ67+AQ71+AQ72+AQ73</f>
        <v>32515.4289602771</v>
      </c>
      <c r="AR74" s="109" t="n">
        <f aca="false">AR66+AR67+AR71+AR72+AR73</f>
        <v>33696.2482476827</v>
      </c>
      <c r="AS74" s="109" t="n">
        <f aca="false">AS66+AS67+AS71+AS72+AS73</f>
        <v>34180.7046604845</v>
      </c>
      <c r="AT74" s="109" t="n">
        <f aca="false">AT66+AT67+AT71+AT72+AT73</f>
        <v>34179.3157715957</v>
      </c>
      <c r="AU74" s="109" t="n">
        <f aca="false">AU66+AU67+AU71+AU72+AU73</f>
        <v>34177.9268827068</v>
      </c>
      <c r="AV74" s="109" t="n">
        <f aca="false">AV66+AV67+AV71+AV72+AV73</f>
        <v>34176.5379938179</v>
      </c>
      <c r="AW74" s="109" t="n">
        <f aca="false">AW66+AW67+AW71+AW72+AW73</f>
        <v>34175.149104929</v>
      </c>
      <c r="AX74" s="109" t="n">
        <f aca="false">AX66+AX67+AX71+AX72+AX73</f>
        <v>34173.7602160401</v>
      </c>
      <c r="AY74" s="109" t="n">
        <f aca="false">AY66+AY67+AY71+AY72+AY73</f>
        <v>32324.6315272144</v>
      </c>
      <c r="AZ74" s="109" t="n">
        <f aca="false">AZ66+AZ67+AZ71+AZ72+AZ73</f>
        <v>32323.2426383255</v>
      </c>
      <c r="BA74" s="109" t="n">
        <f aca="false">BA66+BA67+BA71+BA72+BA73</f>
        <v>32321.8537494366</v>
      </c>
      <c r="BB74" s="109" t="n">
        <f aca="false">BB66+BB67+BB71+BB72+BB73</f>
        <v>32320.4648605477</v>
      </c>
      <c r="BC74" s="109" t="n">
        <f aca="false">BC66+BC67+BC71+BC72+BC73</f>
        <v>32319.0759716588</v>
      </c>
      <c r="BD74" s="109" t="n">
        <f aca="false">BD66+BD67+BD71+BD72+BD73</f>
        <v>32317.68708277</v>
      </c>
      <c r="BE74" s="109" t="n">
        <f aca="false">BE66+BE67+BE71+BE72+BE73</f>
        <v>32316.2981938811</v>
      </c>
      <c r="BF74" s="109" t="n">
        <f aca="false">BF66+BF67+BF71+BF72+BF73</f>
        <v>32314.9093049922</v>
      </c>
      <c r="BG74" s="109" t="n">
        <f aca="false">BG66+BG67+BG71+BG72+BG73</f>
        <v>32313.5204161033</v>
      </c>
      <c r="BH74" s="109" t="n">
        <f aca="false">BH66+BH67+BH71+BH72+BH73</f>
        <v>32312.1315272144</v>
      </c>
      <c r="BI74" s="109" t="n">
        <f aca="false">BI66+BI67+BI71+BI72+BI73</f>
        <v>32310.7426383255</v>
      </c>
      <c r="BJ74" s="109" t="n">
        <f aca="false">BJ66+BJ67+BJ71+BJ72+BJ73</f>
        <v>32309.3537494366</v>
      </c>
      <c r="BK74" s="109" t="n">
        <f aca="false">BK66+BK67+BK71+BK72+BK73</f>
        <v>30449.6398666128</v>
      </c>
      <c r="BL74" s="109" t="n">
        <f aca="false">BL66+BL67+BL71+BL72+BL73</f>
        <v>30448.2509777239</v>
      </c>
      <c r="BM74" s="109" t="n">
        <f aca="false">BM66+BM67+BM71+BM72+BM73</f>
        <v>30446.862088835</v>
      </c>
      <c r="BN74" s="109" t="n">
        <f aca="false">BN66+BN67+BN71+BN72+BN73</f>
        <v>30445.4731999462</v>
      </c>
      <c r="BO74" s="109" t="n">
        <f aca="false">BO66+BO67+BO71+BO72+BO73</f>
        <v>30444.0843110573</v>
      </c>
      <c r="BP74" s="109" t="n">
        <f aca="false">BP66+BP67+BP71+BP72+BP73</f>
        <v>30442.6954221684</v>
      </c>
      <c r="BQ74" s="109" t="n">
        <f aca="false">BQ66+BQ67+BQ71+BQ72+BQ73</f>
        <v>30441.3065332795</v>
      </c>
      <c r="BR74" s="109" t="n">
        <f aca="false">BR66+BR67+BR71+BR72+BR73</f>
        <v>30439.9176443906</v>
      </c>
      <c r="BS74" s="109" t="n">
        <f aca="false">BS66+BS67+BS71+BS72+BS73</f>
        <v>30438.5287555017</v>
      </c>
      <c r="BT74" s="109" t="n">
        <f aca="false">BT66+BT67+BT71+BT72+BT73</f>
        <v>30437.1398666128</v>
      </c>
      <c r="BU74" s="109" t="n">
        <f aca="false">BU66+BU67+BU71+BU72+BU73</f>
        <v>30435.7509777239</v>
      </c>
      <c r="BV74" s="109" t="n">
        <f aca="false">BV66+BV67+BV71+BV72+BV73</f>
        <v>30434.362088835</v>
      </c>
      <c r="BW74" s="109" t="n">
        <f aca="false">BW66+BW67+BW71+BW72+BW73</f>
        <v>28563.7454561932</v>
      </c>
      <c r="BX74" s="109" t="n">
        <f aca="false">BX66+BX67+BX71+BX72+BX73</f>
        <v>28562.3565673043</v>
      </c>
      <c r="BY74" s="109" t="n">
        <f aca="false">BY66+BY67+BY71+BY72+BY73</f>
        <v>28560.9676784154</v>
      </c>
      <c r="BZ74" s="109" t="n">
        <f aca="false">BZ66+BZ67+BZ71+BZ72+BZ73</f>
        <v>28559.5787895265</v>
      </c>
      <c r="CA74" s="109" t="n">
        <f aca="false">CA66+CA67+CA71+CA72+CA73</f>
        <v>28558.1899006377</v>
      </c>
      <c r="CB74" s="109" t="n">
        <f aca="false">CB66+CB67+CB71+CB72+CB73</f>
        <v>28556.8010117488</v>
      </c>
      <c r="CC74" s="109" t="n">
        <f aca="false">CC66+CC67+CC71+CC72+CC73</f>
        <v>28555.4121228599</v>
      </c>
      <c r="CD74" s="109" t="n">
        <f aca="false">CD66+CD67+CD71+CD72+CD73</f>
        <v>28554.023233971</v>
      </c>
      <c r="CE74" s="109" t="n">
        <f aca="false">CE66+CE67+CE71+CE72+CE73</f>
        <v>28552.6343450821</v>
      </c>
      <c r="CF74" s="109" t="n">
        <f aca="false">CF66+CF67+CF71+CF72+CF73</f>
        <v>28551.2454561932</v>
      </c>
      <c r="CG74" s="109" t="n">
        <f aca="false">CG66+CG67+CG71+CG72+CG73</f>
        <v>28549.8565673043</v>
      </c>
      <c r="CH74" s="109" t="n">
        <f aca="false">CH66+CH67+CH71+CH72+CH73</f>
        <v>28548.4676784154</v>
      </c>
    </row>
    <row r="75" customFormat="false" ht="13.5" hidden="false" customHeight="true" outlineLevel="0" collapsed="false">
      <c r="A75" s="6" t="s">
        <v>577</v>
      </c>
      <c r="C75" s="109" t="n">
        <f aca="false">Hipótesis!$D$122</f>
        <v>200000</v>
      </c>
      <c r="D75" s="109" t="n">
        <f aca="false">0</f>
        <v>0</v>
      </c>
      <c r="E75" s="109" t="n">
        <f aca="false">0</f>
        <v>0</v>
      </c>
      <c r="F75" s="109" t="n">
        <f aca="false">0</f>
        <v>0</v>
      </c>
      <c r="G75" s="109" t="n">
        <f aca="false">0</f>
        <v>0</v>
      </c>
      <c r="H75" s="109" t="n">
        <f aca="false">0</f>
        <v>0</v>
      </c>
      <c r="I75" s="109" t="n">
        <f aca="false">0</f>
        <v>0</v>
      </c>
      <c r="J75" s="109" t="n">
        <f aca="false">0</f>
        <v>0</v>
      </c>
      <c r="K75" s="109" t="n">
        <f aca="false">0</f>
        <v>0</v>
      </c>
      <c r="L75" s="109" t="n">
        <f aca="false">0</f>
        <v>0</v>
      </c>
      <c r="M75" s="109" t="n">
        <f aca="false">0</f>
        <v>0</v>
      </c>
      <c r="N75" s="109" t="n">
        <f aca="false">0</f>
        <v>0</v>
      </c>
      <c r="O75" s="109" t="n">
        <f aca="false">0</f>
        <v>0</v>
      </c>
      <c r="P75" s="109" t="n">
        <f aca="false">0</f>
        <v>0</v>
      </c>
      <c r="Q75" s="109" t="n">
        <f aca="false">0</f>
        <v>0</v>
      </c>
      <c r="R75" s="109" t="n">
        <f aca="false">0</f>
        <v>0</v>
      </c>
      <c r="S75" s="109" t="n">
        <f aca="false">0</f>
        <v>0</v>
      </c>
      <c r="T75" s="109" t="n">
        <f aca="false">0</f>
        <v>0</v>
      </c>
      <c r="U75" s="109" t="n">
        <f aca="false">0</f>
        <v>0</v>
      </c>
      <c r="V75" s="109" t="n">
        <f aca="false">0</f>
        <v>0</v>
      </c>
      <c r="W75" s="109" t="n">
        <f aca="false">0</f>
        <v>0</v>
      </c>
      <c r="X75" s="109" t="n">
        <f aca="false">0</f>
        <v>0</v>
      </c>
      <c r="Y75" s="109" t="n">
        <f aca="false">0</f>
        <v>0</v>
      </c>
      <c r="Z75" s="109" t="n">
        <f aca="false">0</f>
        <v>0</v>
      </c>
      <c r="AA75" s="109" t="n">
        <f aca="false">0</f>
        <v>0</v>
      </c>
      <c r="AB75" s="109" t="n">
        <f aca="false">0</f>
        <v>0</v>
      </c>
      <c r="AC75" s="109" t="n">
        <f aca="false">0</f>
        <v>0</v>
      </c>
      <c r="AD75" s="109" t="n">
        <f aca="false">0</f>
        <v>0</v>
      </c>
      <c r="AE75" s="109" t="n">
        <f aca="false">0</f>
        <v>0</v>
      </c>
      <c r="AF75" s="109" t="n">
        <f aca="false">0</f>
        <v>0</v>
      </c>
      <c r="AG75" s="109" t="n">
        <f aca="false">0</f>
        <v>0</v>
      </c>
      <c r="AH75" s="109" t="n">
        <f aca="false">0</f>
        <v>0</v>
      </c>
      <c r="AI75" s="109" t="n">
        <f aca="false">0</f>
        <v>0</v>
      </c>
      <c r="AJ75" s="109" t="n">
        <f aca="false">0</f>
        <v>0</v>
      </c>
      <c r="AK75" s="109" t="n">
        <f aca="false">0</f>
        <v>0</v>
      </c>
      <c r="AL75" s="109" t="n">
        <f aca="false">0</f>
        <v>0</v>
      </c>
      <c r="AM75" s="109" t="n">
        <f aca="false">0</f>
        <v>0</v>
      </c>
      <c r="AN75" s="109" t="n">
        <f aca="false">0</f>
        <v>0</v>
      </c>
      <c r="AO75" s="109" t="n">
        <f aca="false">0</f>
        <v>0</v>
      </c>
      <c r="AP75" s="109" t="n">
        <f aca="false">0</f>
        <v>0</v>
      </c>
      <c r="AQ75" s="109" t="n">
        <f aca="false">0</f>
        <v>0</v>
      </c>
      <c r="AR75" s="109" t="n">
        <f aca="false">0</f>
        <v>0</v>
      </c>
      <c r="AS75" s="109" t="n">
        <f aca="false">0</f>
        <v>0</v>
      </c>
      <c r="AT75" s="109" t="n">
        <f aca="false">0</f>
        <v>0</v>
      </c>
      <c r="AU75" s="109" t="n">
        <f aca="false">0</f>
        <v>0</v>
      </c>
      <c r="AV75" s="109" t="n">
        <f aca="false">0</f>
        <v>0</v>
      </c>
      <c r="AW75" s="109" t="n">
        <f aca="false">0</f>
        <v>0</v>
      </c>
      <c r="AX75" s="109" t="n">
        <f aca="false">0</f>
        <v>0</v>
      </c>
      <c r="AY75" s="109" t="n">
        <f aca="false">0</f>
        <v>0</v>
      </c>
      <c r="AZ75" s="109" t="n">
        <f aca="false">0</f>
        <v>0</v>
      </c>
      <c r="BA75" s="109" t="n">
        <f aca="false">0</f>
        <v>0</v>
      </c>
      <c r="BB75" s="109" t="n">
        <f aca="false">0</f>
        <v>0</v>
      </c>
      <c r="BC75" s="109" t="n">
        <f aca="false">0</f>
        <v>0</v>
      </c>
      <c r="BD75" s="109" t="n">
        <f aca="false">0</f>
        <v>0</v>
      </c>
      <c r="BE75" s="109" t="n">
        <f aca="false">0</f>
        <v>0</v>
      </c>
      <c r="BF75" s="109" t="n">
        <f aca="false">0</f>
        <v>0</v>
      </c>
      <c r="BG75" s="109" t="n">
        <f aca="false">0</f>
        <v>0</v>
      </c>
      <c r="BH75" s="109" t="n">
        <f aca="false">0</f>
        <v>0</v>
      </c>
      <c r="BI75" s="109" t="n">
        <f aca="false">0</f>
        <v>0</v>
      </c>
      <c r="BJ75" s="109" t="n">
        <f aca="false">0</f>
        <v>0</v>
      </c>
      <c r="BK75" s="109" t="n">
        <f aca="false">0</f>
        <v>0</v>
      </c>
      <c r="BL75" s="109" t="n">
        <f aca="false">0</f>
        <v>0</v>
      </c>
      <c r="BM75" s="109" t="n">
        <f aca="false">0</f>
        <v>0</v>
      </c>
      <c r="BN75" s="109" t="n">
        <f aca="false">0</f>
        <v>0</v>
      </c>
      <c r="BO75" s="109" t="n">
        <f aca="false">0</f>
        <v>0</v>
      </c>
      <c r="BP75" s="109" t="n">
        <f aca="false">0</f>
        <v>0</v>
      </c>
      <c r="BQ75" s="109" t="n">
        <f aca="false">0</f>
        <v>0</v>
      </c>
      <c r="BR75" s="109" t="n">
        <f aca="false">0</f>
        <v>0</v>
      </c>
      <c r="BS75" s="109" t="n">
        <f aca="false">0</f>
        <v>0</v>
      </c>
      <c r="BT75" s="109" t="n">
        <f aca="false">0</f>
        <v>0</v>
      </c>
      <c r="BU75" s="109" t="n">
        <f aca="false">0</f>
        <v>0</v>
      </c>
      <c r="BV75" s="109" t="n">
        <f aca="false">0</f>
        <v>0</v>
      </c>
      <c r="BW75" s="109" t="n">
        <f aca="false">0</f>
        <v>0</v>
      </c>
      <c r="BX75" s="109" t="n">
        <f aca="false">0</f>
        <v>0</v>
      </c>
      <c r="BY75" s="109" t="n">
        <f aca="false">0</f>
        <v>0</v>
      </c>
      <c r="BZ75" s="109" t="n">
        <f aca="false">0</f>
        <v>0</v>
      </c>
      <c r="CA75" s="109" t="n">
        <f aca="false">0</f>
        <v>0</v>
      </c>
      <c r="CB75" s="109" t="n">
        <f aca="false">0</f>
        <v>0</v>
      </c>
      <c r="CC75" s="109" t="n">
        <f aca="false">0</f>
        <v>0</v>
      </c>
      <c r="CD75" s="109" t="n">
        <f aca="false">0</f>
        <v>0</v>
      </c>
      <c r="CE75" s="109" t="n">
        <f aca="false">0</f>
        <v>0</v>
      </c>
      <c r="CF75" s="109" t="n">
        <f aca="false">0</f>
        <v>0</v>
      </c>
      <c r="CG75" s="109" t="n">
        <f aca="false">0</f>
        <v>0</v>
      </c>
      <c r="CH75" s="109" t="n">
        <f aca="false">0</f>
        <v>0</v>
      </c>
    </row>
    <row r="76" customFormat="false" ht="13.5" hidden="false" customHeight="true" outlineLevel="0" collapsed="false">
      <c r="A76" s="6" t="s">
        <v>578</v>
      </c>
      <c r="C76" s="109" t="n">
        <f aca="false">-C106</f>
        <v>-333.333333333333</v>
      </c>
      <c r="D76" s="109" t="n">
        <f aca="false">-D106</f>
        <v>-333.333333333333</v>
      </c>
      <c r="E76" s="109" t="n">
        <f aca="false">-E106</f>
        <v>-333.333333333333</v>
      </c>
      <c r="F76" s="109" t="n">
        <f aca="false">-F106</f>
        <v>-333.333333333333</v>
      </c>
      <c r="G76" s="109" t="n">
        <f aca="false">-G106</f>
        <v>-333.333333333333</v>
      </c>
      <c r="H76" s="109" t="n">
        <f aca="false">-H106</f>
        <v>-333.333333333333</v>
      </c>
      <c r="I76" s="109" t="n">
        <f aca="false">-I106</f>
        <v>-333.333333333333</v>
      </c>
      <c r="J76" s="109" t="n">
        <f aca="false">-J106</f>
        <v>-333.333333333333</v>
      </c>
      <c r="K76" s="109" t="n">
        <f aca="false">-K106</f>
        <v>-375.439900315389</v>
      </c>
      <c r="L76" s="109" t="n">
        <f aca="false">-L106</f>
        <v>-440.884673092289</v>
      </c>
      <c r="M76" s="109" t="n">
        <f aca="false">-M106</f>
        <v>-485.148360863772</v>
      </c>
      <c r="N76" s="109" t="n">
        <f aca="false">-N106</f>
        <v>-545.220722726882</v>
      </c>
      <c r="O76" s="109" t="n">
        <f aca="false">-O106</f>
        <v>-500.749084589993</v>
      </c>
      <c r="P76" s="109" t="n">
        <f aca="false">-P106</f>
        <v>-508.51733015176</v>
      </c>
      <c r="Q76" s="109" t="n">
        <f aca="false">-Q106</f>
        <v>-562.511975713528</v>
      </c>
      <c r="R76" s="109" t="n">
        <f aca="false">-R106</f>
        <v>-616.506621275295</v>
      </c>
      <c r="S76" s="109" t="n">
        <f aca="false">-S106</f>
        <v>-670.501266837063</v>
      </c>
      <c r="T76" s="109" t="n">
        <f aca="false">-T106</f>
        <v>-724.495912398831</v>
      </c>
      <c r="U76" s="109" t="n">
        <f aca="false">-U106</f>
        <v>-732.264157960599</v>
      </c>
      <c r="V76" s="109" t="n">
        <f aca="false">-V106</f>
        <v>-731.874803522366</v>
      </c>
      <c r="W76" s="109" t="n">
        <f aca="false">-W106</f>
        <v>-785.869449084133</v>
      </c>
      <c r="X76" s="109" t="n">
        <f aca="false">-X106</f>
        <v>-824.055420554274</v>
      </c>
      <c r="Y76" s="109" t="n">
        <f aca="false">-Y106</f>
        <v>-862.241392024414</v>
      </c>
      <c r="Z76" s="109" t="n">
        <f aca="false">-Z106</f>
        <v>-894.667653857903</v>
      </c>
      <c r="AA76" s="109" t="n">
        <f aca="false">-AA106</f>
        <v>-2548.12395835806</v>
      </c>
      <c r="AB76" s="109" t="n">
        <f aca="false">-AB106</f>
        <v>-2527.38147263599</v>
      </c>
      <c r="AC76" s="109" t="n">
        <f aca="false">-AC106</f>
        <v>-2554.25217891393</v>
      </c>
      <c r="AD76" s="109" t="n">
        <f aca="false">-AD106</f>
        <v>-2581.12288519186</v>
      </c>
      <c r="AE76" s="109" t="n">
        <f aca="false">-AE106</f>
        <v>-2607.99359146979</v>
      </c>
      <c r="AF76" s="109" t="n">
        <f aca="false">-AF106</f>
        <v>-2634.86429774773</v>
      </c>
      <c r="AG76" s="109" t="n">
        <f aca="false">-AG106</f>
        <v>-2661.73500402566</v>
      </c>
      <c r="AH76" s="109" t="n">
        <f aca="false">-AH106</f>
        <v>-2688.6057103036</v>
      </c>
      <c r="AI76" s="109" t="n">
        <f aca="false">-AI106</f>
        <v>-2715.47641658153</v>
      </c>
      <c r="AJ76" s="109" t="n">
        <f aca="false">-AJ106</f>
        <v>-2742.34712285946</v>
      </c>
      <c r="AK76" s="109" t="n">
        <f aca="false">-AK106</f>
        <v>-2769.2178291374</v>
      </c>
      <c r="AL76" s="109" t="n">
        <f aca="false">-AL106</f>
        <v>-2796.08853541533</v>
      </c>
      <c r="AM76" s="109" t="n">
        <f aca="false">-AM106</f>
        <v>-2726.67153545326</v>
      </c>
      <c r="AN76" s="109" t="n">
        <f aca="false">-AN106</f>
        <v>-2753.5422417312</v>
      </c>
      <c r="AO76" s="109" t="n">
        <f aca="false">-AO106</f>
        <v>-2780.41294800913</v>
      </c>
      <c r="AP76" s="109" t="n">
        <f aca="false">-AP106</f>
        <v>-2807.28365428706</v>
      </c>
      <c r="AQ76" s="109" t="n">
        <f aca="false">-AQ106</f>
        <v>-2834.154360565</v>
      </c>
      <c r="AR76" s="109" t="n">
        <f aca="false">-AR106</f>
        <v>-2861.02506684293</v>
      </c>
      <c r="AS76" s="109" t="n">
        <f aca="false">-AS106</f>
        <v>-2855.46951128738</v>
      </c>
      <c r="AT76" s="109" t="n">
        <f aca="false">-AT106</f>
        <v>-2849.91395573182</v>
      </c>
      <c r="AU76" s="109" t="n">
        <f aca="false">-AU106</f>
        <v>-2844.35840017627</v>
      </c>
      <c r="AV76" s="109" t="n">
        <f aca="false">-AV106</f>
        <v>-2838.80284462071</v>
      </c>
      <c r="AW76" s="109" t="n">
        <f aca="false">-AW106</f>
        <v>-2833.24728906515</v>
      </c>
      <c r="AX76" s="109" t="n">
        <f aca="false">-AX106</f>
        <v>-2827.6917335096</v>
      </c>
      <c r="AY76" s="109" t="n">
        <f aca="false">-AY106</f>
        <v>-2773.18942828684</v>
      </c>
      <c r="AZ76" s="109" t="n">
        <f aca="false">-AZ106</f>
        <v>-2767.63387273129</v>
      </c>
      <c r="BA76" s="109" t="n">
        <f aca="false">-BA106</f>
        <v>-2762.07831717573</v>
      </c>
      <c r="BB76" s="109" t="n">
        <f aca="false">-BB106</f>
        <v>-2756.52276162018</v>
      </c>
      <c r="BC76" s="109" t="n">
        <f aca="false">-BC106</f>
        <v>-2750.96720606462</v>
      </c>
      <c r="BD76" s="109" t="n">
        <f aca="false">-BD106</f>
        <v>-2745.41165050907</v>
      </c>
      <c r="BE76" s="109" t="n">
        <f aca="false">-BE106</f>
        <v>-2739.85609495351</v>
      </c>
      <c r="BF76" s="109" t="n">
        <f aca="false">-BF106</f>
        <v>-2734.30053939795</v>
      </c>
      <c r="BG76" s="109" t="n">
        <f aca="false">-BG106</f>
        <v>-2728.7449838424</v>
      </c>
      <c r="BH76" s="109" t="n">
        <f aca="false">-BH106</f>
        <v>-2723.18942828684</v>
      </c>
      <c r="BI76" s="109" t="n">
        <f aca="false">-BI106</f>
        <v>-2717.63387273129</v>
      </c>
      <c r="BJ76" s="109" t="n">
        <f aca="false">-BJ106</f>
        <v>-2712.07831717573</v>
      </c>
      <c r="BK76" s="109" t="n">
        <f aca="false">-BK106</f>
        <v>-2657.29560946296</v>
      </c>
      <c r="BL76" s="109" t="n">
        <f aca="false">-BL106</f>
        <v>-2651.74005390741</v>
      </c>
      <c r="BM76" s="109" t="n">
        <f aca="false">-BM106</f>
        <v>-2646.18449835185</v>
      </c>
      <c r="BN76" s="109" t="n">
        <f aca="false">-BN106</f>
        <v>-2640.62894279629</v>
      </c>
      <c r="BO76" s="109" t="n">
        <f aca="false">-BO106</f>
        <v>-2635.07338724074</v>
      </c>
      <c r="BP76" s="109" t="n">
        <f aca="false">-BP106</f>
        <v>-2629.51783168518</v>
      </c>
      <c r="BQ76" s="109" t="n">
        <f aca="false">-BQ106</f>
        <v>-2623.96227612963</v>
      </c>
      <c r="BR76" s="109" t="n">
        <f aca="false">-BR106</f>
        <v>-2618.40672057407</v>
      </c>
      <c r="BS76" s="109" t="n">
        <f aca="false">-BS106</f>
        <v>-2612.85116501852</v>
      </c>
      <c r="BT76" s="109" t="n">
        <f aca="false">-BT106</f>
        <v>-2607.29560946296</v>
      </c>
      <c r="BU76" s="109" t="n">
        <f aca="false">-BU106</f>
        <v>-2601.74005390741</v>
      </c>
      <c r="BV76" s="109" t="n">
        <f aca="false">-BV106</f>
        <v>-2596.18449835185</v>
      </c>
      <c r="BW76" s="109" t="n">
        <f aca="false">-BW106</f>
        <v>-2541.11297607436</v>
      </c>
      <c r="BX76" s="109" t="n">
        <f aca="false">-BX106</f>
        <v>-2535.55742051881</v>
      </c>
      <c r="BY76" s="109" t="n">
        <f aca="false">-BY106</f>
        <v>-2530.00186496325</v>
      </c>
      <c r="BZ76" s="109" t="n">
        <f aca="false">-BZ106</f>
        <v>-2524.44630940769</v>
      </c>
      <c r="CA76" s="109" t="n">
        <f aca="false">-CA106</f>
        <v>-2518.89075385214</v>
      </c>
      <c r="CB76" s="109" t="n">
        <f aca="false">-CB106</f>
        <v>-2513.33519829658</v>
      </c>
      <c r="CC76" s="109" t="n">
        <f aca="false">-CC106</f>
        <v>-2507.77964274103</v>
      </c>
      <c r="CD76" s="109" t="n">
        <f aca="false">-CD106</f>
        <v>-2502.22408718547</v>
      </c>
      <c r="CE76" s="109" t="n">
        <f aca="false">-CE106</f>
        <v>-2496.66853162992</v>
      </c>
      <c r="CF76" s="109" t="n">
        <f aca="false">-CF106</f>
        <v>-2491.11297607436</v>
      </c>
      <c r="CG76" s="109" t="n">
        <f aca="false">-CG106</f>
        <v>-2485.55742051881</v>
      </c>
      <c r="CH76" s="109" t="n">
        <f aca="false">-CH106</f>
        <v>-2480.00186496319</v>
      </c>
    </row>
    <row r="77" customFormat="false" ht="13.5" hidden="false" customHeight="true" outlineLevel="0" collapsed="false">
      <c r="A77" s="6" t="s">
        <v>579</v>
      </c>
      <c r="C77" s="109" t="n">
        <f aca="false">0</f>
        <v>0</v>
      </c>
      <c r="D77" s="109" t="n">
        <f aca="false">C81*Hipótesis!$D$71/12</f>
        <v>-0</v>
      </c>
      <c r="E77" s="109" t="n">
        <f aca="false">D81*Hipótesis!$D$71/12</f>
        <v>0</v>
      </c>
      <c r="F77" s="109" t="n">
        <f aca="false">E81*Hipótesis!$D$71/12</f>
        <v>0</v>
      </c>
      <c r="G77" s="109" t="n">
        <f aca="false">F81*Hipótesis!$D$71/12</f>
        <v>0</v>
      </c>
      <c r="H77" s="109" t="n">
        <f aca="false">G81*Hipótesis!$D$71/12</f>
        <v>0</v>
      </c>
      <c r="I77" s="109" t="n">
        <f aca="false">H81*Hipótesis!$D$71/12</f>
        <v>0</v>
      </c>
      <c r="J77" s="109" t="n">
        <f aca="false">I81*Hipótesis!$D$71/12</f>
        <v>0</v>
      </c>
      <c r="K77" s="109" t="n">
        <f aca="false">J81*Hipótesis!$D$71/12</f>
        <v>0</v>
      </c>
      <c r="L77" s="109" t="n">
        <f aca="false">K81*Hipótesis!$D$71/12</f>
        <v>13.8498099387381</v>
      </c>
      <c r="M77" s="109" t="n">
        <f aca="false">L81*Hipótesis!$D$71/12</f>
        <v>14.3616981498855</v>
      </c>
      <c r="N77" s="109" t="n">
        <f aca="false">M81*Hipótesis!$D$71/12</f>
        <v>0.685175643746132</v>
      </c>
      <c r="O77" s="109" t="n">
        <f aca="false">N81*Hipótesis!$D$71/12</f>
        <v>0</v>
      </c>
      <c r="P77" s="109" t="n">
        <f aca="false">O81*Hipótesis!$D$71/12</f>
        <v>0</v>
      </c>
      <c r="Q77" s="109" t="n">
        <f aca="false">P81*Hipótesis!$D$71/12</f>
        <v>0</v>
      </c>
      <c r="R77" s="109" t="n">
        <f aca="false">Q81*Hipótesis!$D$71/12</f>
        <v>0</v>
      </c>
      <c r="S77" s="109" t="n">
        <f aca="false">R81*Hipótesis!$D$71/12</f>
        <v>0</v>
      </c>
      <c r="T77" s="109" t="n">
        <f aca="false">S81*Hipótesis!$D$71/12</f>
        <v>0</v>
      </c>
      <c r="U77" s="109" t="n">
        <f aca="false">T81*Hipótesis!$D$71/12</f>
        <v>0</v>
      </c>
      <c r="V77" s="109" t="n">
        <f aca="false">U81*Hipótesis!$D$71/12</f>
        <v>0</v>
      </c>
      <c r="W77" s="109" t="n">
        <f aca="false">V81*Hipótesis!$D$71/12</f>
        <v>0</v>
      </c>
      <c r="X77" s="109" t="n">
        <f aca="false">W81*Hipótesis!$D$71/12</f>
        <v>0</v>
      </c>
      <c r="Y77" s="109" t="n">
        <f aca="false">X81*Hipótesis!$D$71/12</f>
        <v>0</v>
      </c>
      <c r="Z77" s="109" t="n">
        <f aca="false">Y81*Hipótesis!$D$71/12</f>
        <v>0</v>
      </c>
      <c r="AA77" s="109" t="n">
        <f aca="false">Z81*Hipótesis!$D$71/12</f>
        <v>0</v>
      </c>
      <c r="AB77" s="109" t="n">
        <f aca="false">AA81*Hipótesis!$D$71/12</f>
        <v>0</v>
      </c>
      <c r="AC77" s="109" t="n">
        <f aca="false">AB81*Hipótesis!$D$71/12</f>
        <v>0</v>
      </c>
      <c r="AD77" s="109" t="n">
        <f aca="false">AC81*Hipótesis!$D$71/12</f>
        <v>0</v>
      </c>
      <c r="AE77" s="109" t="n">
        <f aca="false">AD81*Hipótesis!$D$71/12</f>
        <v>0</v>
      </c>
      <c r="AF77" s="109" t="n">
        <f aca="false">AE81*Hipótesis!$D$71/12</f>
        <v>0</v>
      </c>
      <c r="AG77" s="109" t="n">
        <f aca="false">AF81*Hipótesis!$D$71/12</f>
        <v>0</v>
      </c>
      <c r="AH77" s="109" t="n">
        <f aca="false">AG81*Hipótesis!$D$71/12</f>
        <v>0</v>
      </c>
      <c r="AI77" s="109" t="n">
        <f aca="false">AH81*Hipótesis!$D$71/12</f>
        <v>0</v>
      </c>
      <c r="AJ77" s="109" t="n">
        <f aca="false">AI81*Hipótesis!$D$71/12</f>
        <v>0</v>
      </c>
      <c r="AK77" s="109" t="n">
        <f aca="false">AJ81*Hipótesis!$D$71/12</f>
        <v>0</v>
      </c>
      <c r="AL77" s="109" t="n">
        <f aca="false">AK81*Hipótesis!$D$71/12</f>
        <v>0</v>
      </c>
      <c r="AM77" s="109" t="n">
        <f aca="false">AL81*Hipótesis!$D$71/12</f>
        <v>0</v>
      </c>
      <c r="AN77" s="109" t="n">
        <f aca="false">AM81*Hipótesis!$D$71/12</f>
        <v>0</v>
      </c>
      <c r="AO77" s="109" t="n">
        <f aca="false">AN81*Hipótesis!$D$71/12</f>
        <v>0</v>
      </c>
      <c r="AP77" s="109" t="n">
        <f aca="false">AO81*Hipótesis!$D$71/12</f>
        <v>0</v>
      </c>
      <c r="AQ77" s="109" t="n">
        <f aca="false">AP81*Hipótesis!$D$71/12</f>
        <v>0</v>
      </c>
      <c r="AR77" s="109" t="n">
        <f aca="false">AQ81*Hipótesis!$D$71/12</f>
        <v>0</v>
      </c>
      <c r="AS77" s="109" t="n">
        <f aca="false">AR81*Hipótesis!$D$71/12</f>
        <v>0</v>
      </c>
      <c r="AT77" s="109" t="n">
        <f aca="false">AS81*Hipótesis!$D$71/12</f>
        <v>0</v>
      </c>
      <c r="AU77" s="109" t="n">
        <f aca="false">AT81*Hipótesis!$D$71/12</f>
        <v>0</v>
      </c>
      <c r="AV77" s="109" t="n">
        <f aca="false">AU81*Hipótesis!$D$71/12</f>
        <v>0</v>
      </c>
      <c r="AW77" s="109" t="n">
        <f aca="false">AV81*Hipótesis!$D$71/12</f>
        <v>0</v>
      </c>
      <c r="AX77" s="109" t="n">
        <f aca="false">AW81*Hipótesis!$D$71/12</f>
        <v>0</v>
      </c>
      <c r="AY77" s="109" t="n">
        <f aca="false">AX81*Hipótesis!$D$71/12</f>
        <v>0</v>
      </c>
      <c r="AZ77" s="109" t="n">
        <f aca="false">AY81*Hipótesis!$D$71/12</f>
        <v>0</v>
      </c>
      <c r="BA77" s="109" t="n">
        <f aca="false">AZ81*Hipótesis!$D$71/12</f>
        <v>0</v>
      </c>
      <c r="BB77" s="109" t="n">
        <f aca="false">BA81*Hipótesis!$D$71/12</f>
        <v>0</v>
      </c>
      <c r="BC77" s="109" t="n">
        <f aca="false">BB81*Hipótesis!$D$71/12</f>
        <v>0</v>
      </c>
      <c r="BD77" s="109" t="n">
        <f aca="false">BC81*Hipótesis!$D$71/12</f>
        <v>0</v>
      </c>
      <c r="BE77" s="109" t="n">
        <f aca="false">BD81*Hipótesis!$D$71/12</f>
        <v>0</v>
      </c>
      <c r="BF77" s="109" t="n">
        <f aca="false">BE81*Hipótesis!$D$71/12</f>
        <v>0</v>
      </c>
      <c r="BG77" s="109" t="n">
        <f aca="false">BF81*Hipótesis!$D$71/12</f>
        <v>0</v>
      </c>
      <c r="BH77" s="109" t="n">
        <f aca="false">BG81*Hipótesis!$D$71/12</f>
        <v>0</v>
      </c>
      <c r="BI77" s="109" t="n">
        <f aca="false">BH81*Hipótesis!$D$71/12</f>
        <v>0</v>
      </c>
      <c r="BJ77" s="109" t="n">
        <f aca="false">BI81*Hipótesis!$D$71/12</f>
        <v>0</v>
      </c>
      <c r="BK77" s="109" t="n">
        <f aca="false">BJ81*Hipótesis!$D$71/12</f>
        <v>0</v>
      </c>
      <c r="BL77" s="109" t="n">
        <f aca="false">BK81*Hipótesis!$D$71/12</f>
        <v>0</v>
      </c>
      <c r="BM77" s="109" t="n">
        <f aca="false">BL81*Hipótesis!$D$71/12</f>
        <v>0</v>
      </c>
      <c r="BN77" s="109" t="n">
        <f aca="false">BM81*Hipótesis!$D$71/12</f>
        <v>0</v>
      </c>
      <c r="BO77" s="109" t="n">
        <f aca="false">BN81*Hipótesis!$D$71/12</f>
        <v>0</v>
      </c>
      <c r="BP77" s="109" t="n">
        <f aca="false">BO81*Hipótesis!$D$71/12</f>
        <v>0</v>
      </c>
      <c r="BQ77" s="109" t="n">
        <f aca="false">BP81*Hipótesis!$D$71/12</f>
        <v>0</v>
      </c>
      <c r="BR77" s="109" t="n">
        <f aca="false">BQ81*Hipótesis!$D$71/12</f>
        <v>0</v>
      </c>
      <c r="BS77" s="109" t="n">
        <f aca="false">BR81*Hipótesis!$D$71/12</f>
        <v>0</v>
      </c>
      <c r="BT77" s="109" t="n">
        <f aca="false">BS81*Hipótesis!$D$71/12</f>
        <v>0</v>
      </c>
      <c r="BU77" s="109" t="n">
        <f aca="false">BT81*Hipótesis!$D$71/12</f>
        <v>0</v>
      </c>
      <c r="BV77" s="109" t="n">
        <f aca="false">BU81*Hipótesis!$D$71/12</f>
        <v>0</v>
      </c>
      <c r="BW77" s="109" t="n">
        <f aca="false">BV81*Hipótesis!$D$71/12</f>
        <v>0</v>
      </c>
      <c r="BX77" s="109" t="n">
        <f aca="false">BW81*Hipótesis!$D$71/12</f>
        <v>0</v>
      </c>
      <c r="BY77" s="109" t="n">
        <f aca="false">BX81*Hipótesis!$D$71/12</f>
        <v>0</v>
      </c>
      <c r="BZ77" s="109" t="n">
        <f aca="false">BY81*Hipótesis!$D$71/12</f>
        <v>0</v>
      </c>
      <c r="CA77" s="109" t="n">
        <f aca="false">BZ81*Hipótesis!$D$71/12</f>
        <v>0</v>
      </c>
      <c r="CB77" s="109" t="n">
        <f aca="false">CA81*Hipótesis!$D$71/12</f>
        <v>0</v>
      </c>
      <c r="CC77" s="109" t="n">
        <f aca="false">CB81*Hipótesis!$D$71/12</f>
        <v>0</v>
      </c>
      <c r="CD77" s="109" t="n">
        <f aca="false">CC81*Hipótesis!$D$71/12</f>
        <v>0</v>
      </c>
      <c r="CE77" s="109" t="n">
        <f aca="false">CD81*Hipótesis!$D$71/12</f>
        <v>0</v>
      </c>
      <c r="CF77" s="109" t="n">
        <f aca="false">CE81*Hipótesis!$D$71/12</f>
        <v>0</v>
      </c>
      <c r="CG77" s="109" t="n">
        <f aca="false">CF81*Hipótesis!$D$71/12</f>
        <v>0</v>
      </c>
      <c r="CH77" s="109" t="n">
        <f aca="false">CG81*Hipótesis!$D$71/12</f>
        <v>0</v>
      </c>
    </row>
    <row r="78" customFormat="false" ht="13.5" hidden="false" customHeight="true" outlineLevel="0" collapsed="false">
      <c r="A78" s="22" t="s">
        <v>580</v>
      </c>
      <c r="C78" s="109" t="n">
        <f aca="false">C74+C75+C76-C77</f>
        <v>155014.236322587</v>
      </c>
      <c r="D78" s="109" t="n">
        <f aca="false">D74+D75+D76-D77</f>
        <v>-28206.9307325516</v>
      </c>
      <c r="E78" s="109" t="n">
        <f aca="false">E74+E75+E76-E77</f>
        <v>-22543.0841536181</v>
      </c>
      <c r="F78" s="109" t="n">
        <f aca="false">F74+F75+F76-F77</f>
        <v>-20114.6903894057</v>
      </c>
      <c r="G78" s="109" t="n">
        <f aca="false">G74+G75+G76-G77</f>
        <v>-18077.3599141349</v>
      </c>
      <c r="H78" s="109" t="n">
        <f aca="false">H74+H75+H76-H77</f>
        <v>-15635.3158044644</v>
      </c>
      <c r="I78" s="109" t="n">
        <f aca="false">I74+I75+I76-I77</f>
        <v>-11951.4623244775</v>
      </c>
      <c r="J78" s="109" t="n">
        <f aca="false">J74+J75+J76-J77</f>
        <v>-7781.76354279989</v>
      </c>
      <c r="K78" s="109" t="n">
        <f aca="false">K74+K75+K76-K77</f>
        <v>-3725.40617504111</v>
      </c>
      <c r="L78" s="109" t="n">
        <f aca="false">L74+L75+L76-L77</f>
        <v>-111.68470061398</v>
      </c>
      <c r="M78" s="109" t="n">
        <f aca="false">M74+M75+M76-M77</f>
        <v>2983.96854679405</v>
      </c>
      <c r="N78" s="109" t="n">
        <f aca="false">N74+N75+N76-N77</f>
        <v>5225.20596865408</v>
      </c>
      <c r="O78" s="109" t="n">
        <f aca="false">O74+O75+O76-O77</f>
        <v>5264.63814568107</v>
      </c>
      <c r="P78" s="109" t="n">
        <f aca="false">P74+P75+P76-P77</f>
        <v>5599.42818933495</v>
      </c>
      <c r="Q78" s="109" t="n">
        <f aca="false">Q74+Q75+Q76-Q77</f>
        <v>7774.24103048883</v>
      </c>
      <c r="R78" s="109" t="n">
        <f aca="false">R74+R75+R76-R77</f>
        <v>9949.05387164271</v>
      </c>
      <c r="S78" s="109" t="n">
        <f aca="false">S74+S75+S76-S77</f>
        <v>12123.8667127966</v>
      </c>
      <c r="T78" s="109" t="n">
        <f aca="false">T74+T75+T76-T77</f>
        <v>14298.6795539505</v>
      </c>
      <c r="U78" s="109" t="n">
        <f aca="false">U74+U75+U76-U77</f>
        <v>14548.1628351044</v>
      </c>
      <c r="V78" s="109" t="n">
        <f aca="false">V74+V75+V76-V77</f>
        <v>14457.8820762582</v>
      </c>
      <c r="W78" s="109" t="n">
        <f aca="false">W74+W75+W76-W77</f>
        <v>16632.6949174121</v>
      </c>
      <c r="X78" s="109" t="n">
        <f aca="false">X74+X75+X76-X77</f>
        <v>18362.0668920247</v>
      </c>
      <c r="Y78" s="109" t="n">
        <f aca="false">Y74+Y75+Y76-Y77</f>
        <v>19901.3438666373</v>
      </c>
      <c r="Z78" s="109" t="n">
        <f aca="false">Z74+Z75+Z76-Z77</f>
        <v>21274.0393543834</v>
      </c>
      <c r="AA78" s="109" t="n">
        <f aca="false">AA74+AA75+AA76-AA77</f>
        <v>19014.5399858628</v>
      </c>
      <c r="AB78" s="109" t="n">
        <f aca="false">AB74+AB75+AB76-AB77</f>
        <v>18344.1054490311</v>
      </c>
      <c r="AC78" s="109" t="n">
        <f aca="false">AC74+AC75+AC76-AC77</f>
        <v>19656.7603589994</v>
      </c>
      <c r="AD78" s="109" t="n">
        <f aca="false">AD74+AD75+AD76-AD77</f>
        <v>20969.4152689678</v>
      </c>
      <c r="AE78" s="109" t="n">
        <f aca="false">AE74+AE75+AE76-AE77</f>
        <v>22282.0701789361</v>
      </c>
      <c r="AF78" s="109" t="n">
        <f aca="false">AF74+AF75+AF76-AF77</f>
        <v>23594.7250889044</v>
      </c>
      <c r="AG78" s="109" t="n">
        <f aca="false">AG74+AG75+AG76-AG77</f>
        <v>24907.3799988727</v>
      </c>
      <c r="AH78" s="109" t="n">
        <f aca="false">AH74+AH75+AH76-AH77</f>
        <v>26220.034908841</v>
      </c>
      <c r="AI78" s="109" t="n">
        <f aca="false">AI74+AI75+AI76-AI77</f>
        <v>27532.6898188093</v>
      </c>
      <c r="AJ78" s="109" t="n">
        <f aca="false">AJ74+AJ75+AJ76-AJ77</f>
        <v>28845.3447287776</v>
      </c>
      <c r="AK78" s="109" t="n">
        <f aca="false">AK74+AK75+AK76-AK77</f>
        <v>30157.9996387459</v>
      </c>
      <c r="AL78" s="109" t="n">
        <f aca="false">AL74+AL75+AL76-AL77</f>
        <v>31470.6545487142</v>
      </c>
      <c r="AM78" s="109" t="n">
        <f aca="false">AM74+AM75+AM76-AM77</f>
        <v>25065.4802752011</v>
      </c>
      <c r="AN78" s="109" t="n">
        <f aca="false">AN74+AN75+AN76-AN77</f>
        <v>26219.4288563289</v>
      </c>
      <c r="AO78" s="109" t="n">
        <f aca="false">AO74+AO75+AO76-AO77</f>
        <v>27373.3774374566</v>
      </c>
      <c r="AP78" s="109" t="n">
        <f aca="false">AP74+AP75+AP76-AP77</f>
        <v>28527.3260185843</v>
      </c>
      <c r="AQ78" s="109" t="n">
        <f aca="false">AQ74+AQ75+AQ76-AQ77</f>
        <v>29681.2745997121</v>
      </c>
      <c r="AR78" s="109" t="n">
        <f aca="false">AR74+AR75+AR76-AR77</f>
        <v>30835.2231808398</v>
      </c>
      <c r="AS78" s="109" t="n">
        <f aca="false">AS74+AS75+AS76-AS77</f>
        <v>31325.2351491972</v>
      </c>
      <c r="AT78" s="109" t="n">
        <f aca="false">AT74+AT75+AT76-AT77</f>
        <v>31329.4018158638</v>
      </c>
      <c r="AU78" s="109" t="n">
        <f aca="false">AU74+AU75+AU76-AU77</f>
        <v>31333.5684825305</v>
      </c>
      <c r="AV78" s="109" t="n">
        <f aca="false">AV74+AV75+AV76-AV77</f>
        <v>31337.7351491972</v>
      </c>
      <c r="AW78" s="109" t="n">
        <f aca="false">AW74+AW75+AW76-AW77</f>
        <v>31341.9018158638</v>
      </c>
      <c r="AX78" s="109" t="n">
        <f aca="false">AX74+AX75+AX76-AX77</f>
        <v>31346.0684825305</v>
      </c>
      <c r="AY78" s="109" t="n">
        <f aca="false">AY74+AY75+AY76-AY77</f>
        <v>29551.4420989276</v>
      </c>
      <c r="AZ78" s="109" t="n">
        <f aca="false">AZ74+AZ75+AZ76-AZ77</f>
        <v>29555.6087655942</v>
      </c>
      <c r="BA78" s="109" t="n">
        <f aca="false">BA74+BA75+BA76-BA77</f>
        <v>29559.7754322609</v>
      </c>
      <c r="BB78" s="109" t="n">
        <f aca="false">BB74+BB75+BB76-BB77</f>
        <v>29563.9420989276</v>
      </c>
      <c r="BC78" s="109" t="n">
        <f aca="false">BC74+BC75+BC76-BC77</f>
        <v>29568.1087655942</v>
      </c>
      <c r="BD78" s="109" t="n">
        <f aca="false">BD74+BD75+BD76-BD77</f>
        <v>29572.2754322609</v>
      </c>
      <c r="BE78" s="109" t="n">
        <f aca="false">BE74+BE75+BE76-BE77</f>
        <v>29576.4420989276</v>
      </c>
      <c r="BF78" s="109" t="n">
        <f aca="false">BF74+BF75+BF76-BF77</f>
        <v>29580.6087655942</v>
      </c>
      <c r="BG78" s="109" t="n">
        <f aca="false">BG74+BG75+BG76-BG77</f>
        <v>29584.7754322609</v>
      </c>
      <c r="BH78" s="109" t="n">
        <f aca="false">BH74+BH75+BH76-BH77</f>
        <v>29588.9420989276</v>
      </c>
      <c r="BI78" s="109" t="n">
        <f aca="false">BI74+BI75+BI76-BI77</f>
        <v>29593.1087655942</v>
      </c>
      <c r="BJ78" s="109" t="n">
        <f aca="false">BJ74+BJ75+BJ76-BJ77</f>
        <v>29597.2754322609</v>
      </c>
      <c r="BK78" s="109" t="n">
        <f aca="false">BK74+BK75+BK76-BK77</f>
        <v>27792.3442571499</v>
      </c>
      <c r="BL78" s="109" t="n">
        <f aca="false">BL74+BL75+BL76-BL77</f>
        <v>27796.5109238165</v>
      </c>
      <c r="BM78" s="109" t="n">
        <f aca="false">BM74+BM75+BM76-BM77</f>
        <v>27800.6775904832</v>
      </c>
      <c r="BN78" s="109" t="n">
        <f aca="false">BN74+BN75+BN76-BN77</f>
        <v>27804.8442571499</v>
      </c>
      <c r="BO78" s="109" t="n">
        <f aca="false">BO74+BO75+BO76-BO77</f>
        <v>27809.0109238165</v>
      </c>
      <c r="BP78" s="109" t="n">
        <f aca="false">BP74+BP75+BP76-BP77</f>
        <v>27813.1775904832</v>
      </c>
      <c r="BQ78" s="109" t="n">
        <f aca="false">BQ74+BQ75+BQ76-BQ77</f>
        <v>27817.3442571499</v>
      </c>
      <c r="BR78" s="109" t="n">
        <f aca="false">BR74+BR75+BR76-BR77</f>
        <v>27821.5109238165</v>
      </c>
      <c r="BS78" s="109" t="n">
        <f aca="false">BS74+BS75+BS76-BS77</f>
        <v>27825.6775904832</v>
      </c>
      <c r="BT78" s="109" t="n">
        <f aca="false">BT74+BT75+BT76-BT77</f>
        <v>27829.8442571499</v>
      </c>
      <c r="BU78" s="109" t="n">
        <f aca="false">BU74+BU75+BU76-BU77</f>
        <v>27834.0109238165</v>
      </c>
      <c r="BV78" s="109" t="n">
        <f aca="false">BV74+BV75+BV76-BV77</f>
        <v>27838.1775904832</v>
      </c>
      <c r="BW78" s="109" t="n">
        <f aca="false">BW74+BW75+BW76-BW77</f>
        <v>26022.6324801188</v>
      </c>
      <c r="BX78" s="109" t="n">
        <f aca="false">BX74+BX75+BX76-BX77</f>
        <v>26026.7991467855</v>
      </c>
      <c r="BY78" s="109" t="n">
        <f aca="false">BY74+BY75+BY76-BY77</f>
        <v>26030.9658134522</v>
      </c>
      <c r="BZ78" s="109" t="n">
        <f aca="false">BZ74+BZ75+BZ76-BZ77</f>
        <v>26035.1324801188</v>
      </c>
      <c r="CA78" s="109" t="n">
        <f aca="false">CA74+CA75+CA76-CA77</f>
        <v>26039.2991467855</v>
      </c>
      <c r="CB78" s="109" t="n">
        <f aca="false">CB74+CB75+CB76-CB77</f>
        <v>26043.4658134522</v>
      </c>
      <c r="CC78" s="109" t="n">
        <f aca="false">CC74+CC75+CC76-CC77</f>
        <v>26047.6324801188</v>
      </c>
      <c r="CD78" s="109" t="n">
        <f aca="false">CD74+CD75+CD76-CD77</f>
        <v>26051.7991467855</v>
      </c>
      <c r="CE78" s="109" t="n">
        <f aca="false">CE74+CE75+CE76-CE77</f>
        <v>26055.9658134522</v>
      </c>
      <c r="CF78" s="109" t="n">
        <f aca="false">CF74+CF75+CF76-CF77</f>
        <v>26060.1324801188</v>
      </c>
      <c r="CG78" s="109" t="n">
        <f aca="false">CG74+CG75+CG76-CG77</f>
        <v>26064.2991467855</v>
      </c>
      <c r="CH78" s="109" t="n">
        <f aca="false">CH74+CH75+CH76-CH77</f>
        <v>26068.4658134522</v>
      </c>
    </row>
    <row r="79" customFormat="false" ht="13.5" hidden="false" customHeight="true" outlineLevel="0" collapsed="false">
      <c r="A79" s="6" t="s">
        <v>581</v>
      </c>
      <c r="C79" s="109" t="n">
        <f aca="false">C78</f>
        <v>155014.236322587</v>
      </c>
      <c r="D79" s="109" t="n">
        <f aca="false">C86+D78</f>
        <v>126807.305590035</v>
      </c>
      <c r="E79" s="109" t="n">
        <f aca="false">D86+E78</f>
        <v>104264.221436417</v>
      </c>
      <c r="F79" s="109" t="n">
        <f aca="false">E86+F78</f>
        <v>84149.5310470113</v>
      </c>
      <c r="G79" s="109" t="n">
        <f aca="false">F86+G78</f>
        <v>66072.1711328764</v>
      </c>
      <c r="H79" s="109" t="n">
        <f aca="false">G86+H78</f>
        <v>50436.855328412</v>
      </c>
      <c r="I79" s="109" t="n">
        <f aca="false">H86+I78</f>
        <v>38485.3930039345</v>
      </c>
      <c r="J79" s="109" t="n">
        <f aca="false">I86+J78</f>
        <v>30703.6294611346</v>
      </c>
      <c r="K79" s="109" t="n">
        <f aca="false">J86+K78</f>
        <v>26978.2232860935</v>
      </c>
      <c r="L79" s="109" t="n">
        <f aca="false">K86+L78</f>
        <v>29888.315299386</v>
      </c>
      <c r="M79" s="109" t="n">
        <f aca="false">L86+M78</f>
        <v>32983.9685467941</v>
      </c>
      <c r="N79" s="109" t="n">
        <f aca="false">M86+N78</f>
        <v>35225.2059686541</v>
      </c>
      <c r="O79" s="109" t="n">
        <f aca="false">N86+O78</f>
        <v>40340.3512466087</v>
      </c>
      <c r="P79" s="109" t="n">
        <f aca="false">O86+P78</f>
        <v>45939.7794359437</v>
      </c>
      <c r="Q79" s="109" t="n">
        <f aca="false">P86+Q78</f>
        <v>53714.0204664325</v>
      </c>
      <c r="R79" s="109" t="n">
        <f aca="false">Q86+R78</f>
        <v>63663.0743380752</v>
      </c>
      <c r="S79" s="109" t="n">
        <f aca="false">R86+S78</f>
        <v>75786.9410508718</v>
      </c>
      <c r="T79" s="109" t="n">
        <f aca="false">S86+T78</f>
        <v>90085.6206048223</v>
      </c>
      <c r="U79" s="109" t="n">
        <f aca="false">T86+U78</f>
        <v>104633.783439927</v>
      </c>
      <c r="V79" s="109" t="n">
        <f aca="false">U86+V78</f>
        <v>119091.665516185</v>
      </c>
      <c r="W79" s="109" t="n">
        <f aca="false">V86+W78</f>
        <v>135724.360433597</v>
      </c>
      <c r="X79" s="109" t="n">
        <f aca="false">W86+X78</f>
        <v>154086.427325622</v>
      </c>
      <c r="Y79" s="109" t="n">
        <f aca="false">X86+Y78</f>
        <v>173987.771192259</v>
      </c>
      <c r="Z79" s="109" t="n">
        <f aca="false">Y86+Z78</f>
        <v>195261.810546642</v>
      </c>
      <c r="AA79" s="109" t="n">
        <f aca="false">Z86+AA78</f>
        <v>214276.350532505</v>
      </c>
      <c r="AB79" s="109" t="n">
        <f aca="false">AA86+AB78</f>
        <v>232620.455981536</v>
      </c>
      <c r="AC79" s="109" t="n">
        <f aca="false">AB86+AC78</f>
        <v>252277.216340536</v>
      </c>
      <c r="AD79" s="109" t="n">
        <f aca="false">AC86+AD78</f>
        <v>273246.631609504</v>
      </c>
      <c r="AE79" s="109" t="n">
        <f aca="false">AD86+AE78</f>
        <v>295528.70178844</v>
      </c>
      <c r="AF79" s="109" t="n">
        <f aca="false">AE86+AF78</f>
        <v>319123.426877344</v>
      </c>
      <c r="AG79" s="109" t="n">
        <f aca="false">AF86+AG78</f>
        <v>344030.806876217</v>
      </c>
      <c r="AH79" s="109" t="n">
        <f aca="false">AG86+AH78</f>
        <v>370250.841785058</v>
      </c>
      <c r="AI79" s="109" t="n">
        <f aca="false">AH86+AI78</f>
        <v>397783.531603867</v>
      </c>
      <c r="AJ79" s="109" t="n">
        <f aca="false">AI86+AJ78</f>
        <v>426628.876332645</v>
      </c>
      <c r="AK79" s="109" t="n">
        <f aca="false">AJ86+AK78</f>
        <v>456786.875971391</v>
      </c>
      <c r="AL79" s="109" t="n">
        <f aca="false">AK86+AL78</f>
        <v>488257.530520105</v>
      </c>
      <c r="AM79" s="109" t="n">
        <f aca="false">AL86+AM78</f>
        <v>513323.010795306</v>
      </c>
      <c r="AN79" s="109" t="n">
        <f aca="false">AM86+AN78</f>
        <v>539542.439651635</v>
      </c>
      <c r="AO79" s="109" t="n">
        <f aca="false">AN86+AO78</f>
        <v>566915.817089091</v>
      </c>
      <c r="AP79" s="109" t="n">
        <f aca="false">AO86+AP78</f>
        <v>595443.143107676</v>
      </c>
      <c r="AQ79" s="109" t="n">
        <f aca="false">AP86+AQ78</f>
        <v>625124.417707388</v>
      </c>
      <c r="AR79" s="109" t="n">
        <f aca="false">AQ86+AR78</f>
        <v>655959.640888228</v>
      </c>
      <c r="AS79" s="109" t="n">
        <f aca="false">AR86+AS78</f>
        <v>687284.876037425</v>
      </c>
      <c r="AT79" s="109" t="n">
        <f aca="false">AS86+AT78</f>
        <v>718614.277853289</v>
      </c>
      <c r="AU79" s="109" t="n">
        <f aca="false">AT86+AU78</f>
        <v>749947.846335819</v>
      </c>
      <c r="AV79" s="109" t="n">
        <f aca="false">AU86+AV78</f>
        <v>781285.581485016</v>
      </c>
      <c r="AW79" s="109" t="n">
        <f aca="false">AV86+AW78</f>
        <v>812627.48330088</v>
      </c>
      <c r="AX79" s="109" t="n">
        <f aca="false">AW86+AX78</f>
        <v>843973.551783411</v>
      </c>
      <c r="AY79" s="109" t="n">
        <f aca="false">AX86+AY78</f>
        <v>718596.575619785</v>
      </c>
      <c r="AZ79" s="109" t="n">
        <f aca="false">AY86+AZ78</f>
        <v>748152.184385379</v>
      </c>
      <c r="BA79" s="109" t="n">
        <f aca="false">AZ86+BA78</f>
        <v>777711.95981764</v>
      </c>
      <c r="BB79" s="109" t="n">
        <f aca="false">BA86+BB78</f>
        <v>807275.901916568</v>
      </c>
      <c r="BC79" s="109" t="n">
        <f aca="false">BB86+BC78</f>
        <v>836844.010682162</v>
      </c>
      <c r="BD79" s="109" t="n">
        <f aca="false">BC86+BD78</f>
        <v>866416.286114423</v>
      </c>
      <c r="BE79" s="109" t="n">
        <f aca="false">BD86+BE78</f>
        <v>895992.728213351</v>
      </c>
      <c r="BF79" s="109" t="n">
        <f aca="false">BE86+BF78</f>
        <v>925573.336978945</v>
      </c>
      <c r="BG79" s="109" t="n">
        <f aca="false">BF86+BG78</f>
        <v>955158.112411206</v>
      </c>
      <c r="BH79" s="109" t="n">
        <f aca="false">BG86+BH78</f>
        <v>984747.054510133</v>
      </c>
      <c r="BI79" s="109" t="n">
        <f aca="false">BH86+BI78</f>
        <v>1014340.16327573</v>
      </c>
      <c r="BJ79" s="109" t="n">
        <f aca="false">BI86+BJ78</f>
        <v>1043937.43870799</v>
      </c>
      <c r="BK79" s="109" t="n">
        <f aca="false">BJ86+BK78</f>
        <v>918078.786546053</v>
      </c>
      <c r="BL79" s="109" t="n">
        <f aca="false">BK86+BL78</f>
        <v>945875.29746987</v>
      </c>
      <c r="BM79" s="109" t="n">
        <f aca="false">BL86+BM78</f>
        <v>973675.975060353</v>
      </c>
      <c r="BN79" s="109" t="n">
        <f aca="false">BM86+BN78</f>
        <v>1001480.8193175</v>
      </c>
      <c r="BO79" s="109" t="n">
        <f aca="false">BN86+BO78</f>
        <v>1029289.83024132</v>
      </c>
      <c r="BP79" s="109" t="n">
        <f aca="false">BO86+BP78</f>
        <v>1057103.0078318</v>
      </c>
      <c r="BQ79" s="109" t="n">
        <f aca="false">BP86+BQ78</f>
        <v>1084920.35208895</v>
      </c>
      <c r="BR79" s="109" t="n">
        <f aca="false">BQ86+BR78</f>
        <v>1112741.86301277</v>
      </c>
      <c r="BS79" s="109" t="n">
        <f aca="false">BR86+BS78</f>
        <v>1140567.54060325</v>
      </c>
      <c r="BT79" s="109" t="n">
        <f aca="false">BS86+BT78</f>
        <v>1168397.3848604</v>
      </c>
      <c r="BU79" s="109" t="n">
        <f aca="false">BT86+BU78</f>
        <v>1196231.39578422</v>
      </c>
      <c r="BV79" s="109" t="n">
        <f aca="false">BU86+BV78</f>
        <v>1224069.5733747</v>
      </c>
      <c r="BW79" s="109" t="n">
        <f aca="false">BV86+BW78</f>
        <v>1104884.87907627</v>
      </c>
      <c r="BX79" s="109" t="n">
        <f aca="false">BW86+BX78</f>
        <v>1130911.67822305</v>
      </c>
      <c r="BY79" s="109" t="n">
        <f aca="false">BX86+BY78</f>
        <v>1156942.64403651</v>
      </c>
      <c r="BZ79" s="109" t="n">
        <f aca="false">BY86+BZ78</f>
        <v>1182977.77651663</v>
      </c>
      <c r="CA79" s="109" t="n">
        <f aca="false">BZ86+CA78</f>
        <v>1209017.07566341</v>
      </c>
      <c r="CB79" s="109" t="n">
        <f aca="false">CA86+CB78</f>
        <v>1235060.54147686</v>
      </c>
      <c r="CC79" s="109" t="n">
        <f aca="false">CB86+CC78</f>
        <v>1261108.17395698</v>
      </c>
      <c r="CD79" s="109" t="n">
        <f aca="false">CC86+CD78</f>
        <v>1287159.97310377</v>
      </c>
      <c r="CE79" s="109" t="n">
        <f aca="false">CD86+CE78</f>
        <v>1313215.93891722</v>
      </c>
      <c r="CF79" s="109" t="n">
        <f aca="false">CE86+CF78</f>
        <v>1339276.07139734</v>
      </c>
      <c r="CG79" s="109" t="n">
        <f aca="false">CF86+CG78</f>
        <v>1365340.37054412</v>
      </c>
      <c r="CH79" s="109" t="n">
        <f aca="false">CG86+CH78</f>
        <v>1391408.83635758</v>
      </c>
    </row>
    <row r="80" customFormat="false" ht="13.5" hidden="false" customHeight="true" outlineLevel="0" collapsed="false">
      <c r="A80" s="22" t="s">
        <v>582</v>
      </c>
      <c r="C80" s="109" t="n">
        <f aca="false">IF(C79&lt;Hipótesis!$D$72,MIN(Hipótesis!$D$70-0,Hipótesis!$D$72-C79),-MIN(0,MAX(0,C79-Hipótesis!$D$72)))</f>
        <v>-0</v>
      </c>
      <c r="D80" s="109" t="n">
        <f aca="false">IF(D79&lt;Hipótesis!$D$72,MIN(Hipótesis!$D$70-C81,Hipótesis!$D$72-D79),-MIN(C81,MAX(0,D79-Hipótesis!$D$72)))</f>
        <v>0</v>
      </c>
      <c r="E80" s="109" t="n">
        <f aca="false">IF(E79&lt;Hipótesis!$D$72,MIN(Hipótesis!$D$70-D81,Hipótesis!$D$72-E79),-MIN(D81,MAX(0,E79-Hipótesis!$D$72)))</f>
        <v>-0</v>
      </c>
      <c r="F80" s="109" t="n">
        <f aca="false">IF(F79&lt;Hipótesis!$D$72,MIN(Hipótesis!$D$70-E81,Hipótesis!$D$72-F79),-MIN(E81,MAX(0,F79-Hipótesis!$D$72)))</f>
        <v>-0</v>
      </c>
      <c r="G80" s="109" t="n">
        <f aca="false">IF(G79&lt;Hipótesis!$D$72,MIN(Hipótesis!$D$70-F81,Hipótesis!$D$72-G79),-MIN(F81,MAX(0,G79-Hipótesis!$D$72)))</f>
        <v>-0</v>
      </c>
      <c r="H80" s="109" t="n">
        <f aca="false">IF(H79&lt;Hipótesis!$D$72,MIN(Hipótesis!$D$70-G81,Hipótesis!$D$72-H79),-MIN(G81,MAX(0,H79-Hipótesis!$D$72)))</f>
        <v>-0</v>
      </c>
      <c r="I80" s="109" t="n">
        <f aca="false">IF(I79&lt;Hipótesis!$D$72,MIN(Hipótesis!$D$70-H81,Hipótesis!$D$72-I79),-MIN(H81,MAX(0,I79-Hipótesis!$D$72)))</f>
        <v>-0</v>
      </c>
      <c r="J80" s="109" t="n">
        <f aca="false">IF(J79&lt;Hipótesis!$D$72,MIN(Hipótesis!$D$70-I81,Hipótesis!$D$72-J79),-MIN(I81,MAX(0,J79-Hipótesis!$D$72)))</f>
        <v>-0</v>
      </c>
      <c r="K80" s="109" t="n">
        <f aca="false">IF(K79&lt;Hipótesis!$D$72,MIN(Hipótesis!$D$70-J81,Hipótesis!$D$72-K79),-MIN(J81,MAX(0,K79-Hipótesis!$D$72)))</f>
        <v>3021.7767139065</v>
      </c>
      <c r="L80" s="109" t="n">
        <f aca="false">IF(L79&lt;Hipótesis!$D$72,MIN(Hipótesis!$D$70-K81,Hipótesis!$D$72-L79),-MIN(K81,MAX(0,L79-Hipótesis!$D$72)))</f>
        <v>111.68470061398</v>
      </c>
      <c r="M80" s="109" t="n">
        <f aca="false">IF(M79&lt;Hipótesis!$D$72,MIN(Hipótesis!$D$70-L81,Hipótesis!$D$72-M79),-MIN(L81,MAX(0,M79-Hipótesis!$D$72)))</f>
        <v>-2983.96854679405</v>
      </c>
      <c r="N80" s="109" t="n">
        <f aca="false">IF(N79&lt;Hipótesis!$D$72,MIN(Hipótesis!$D$70-M81,Hipótesis!$D$72-N79),-MIN(M81,MAX(0,N79-Hipótesis!$D$72)))</f>
        <v>-149.492867726429</v>
      </c>
      <c r="O80" s="109" t="n">
        <f aca="false">IF(O79&lt;Hipótesis!$D$72,MIN(Hipótesis!$D$70-N81,Hipótesis!$D$72-O79),-MIN(N81,MAX(0,O79-Hipótesis!$D$72)))</f>
        <v>-0</v>
      </c>
      <c r="P80" s="109" t="n">
        <f aca="false">IF(P79&lt;Hipótesis!$D$72,MIN(Hipótesis!$D$70-O81,Hipótesis!$D$72-P79),-MIN(O81,MAX(0,P79-Hipótesis!$D$72)))</f>
        <v>-0</v>
      </c>
      <c r="Q80" s="109" t="n">
        <f aca="false">IF(Q79&lt;Hipótesis!$D$72,MIN(Hipótesis!$D$70-P81,Hipótesis!$D$72-Q79),-MIN(P81,MAX(0,Q79-Hipótesis!$D$72)))</f>
        <v>-0</v>
      </c>
      <c r="R80" s="109" t="n">
        <f aca="false">IF(R79&lt;Hipótesis!$D$72,MIN(Hipótesis!$D$70-Q81,Hipótesis!$D$72-R79),-MIN(Q81,MAX(0,R79-Hipótesis!$D$72)))</f>
        <v>-0</v>
      </c>
      <c r="S80" s="109" t="n">
        <f aca="false">IF(S79&lt;Hipótesis!$D$72,MIN(Hipótesis!$D$70-R81,Hipótesis!$D$72-S79),-MIN(R81,MAX(0,S79-Hipótesis!$D$72)))</f>
        <v>-0</v>
      </c>
      <c r="T80" s="109" t="n">
        <f aca="false">IF(T79&lt;Hipótesis!$D$72,MIN(Hipótesis!$D$70-S81,Hipótesis!$D$72-T79),-MIN(S81,MAX(0,T79-Hipótesis!$D$72)))</f>
        <v>-0</v>
      </c>
      <c r="U80" s="109" t="n">
        <f aca="false">IF(U79&lt;Hipótesis!$D$72,MIN(Hipótesis!$D$70-T81,Hipótesis!$D$72-U79),-MIN(T81,MAX(0,U79-Hipótesis!$D$72)))</f>
        <v>-0</v>
      </c>
      <c r="V80" s="109" t="n">
        <f aca="false">IF(V79&lt;Hipótesis!$D$72,MIN(Hipótesis!$D$70-U81,Hipótesis!$D$72-V79),-MIN(U81,MAX(0,V79-Hipótesis!$D$72)))</f>
        <v>-0</v>
      </c>
      <c r="W80" s="109" t="n">
        <f aca="false">IF(W79&lt;Hipótesis!$D$72,MIN(Hipótesis!$D$70-V81,Hipótesis!$D$72-W79),-MIN(V81,MAX(0,W79-Hipótesis!$D$72)))</f>
        <v>-0</v>
      </c>
      <c r="X80" s="109" t="n">
        <f aca="false">IF(X79&lt;Hipótesis!$D$72,MIN(Hipótesis!$D$70-W81,Hipótesis!$D$72-X79),-MIN(W81,MAX(0,X79-Hipótesis!$D$72)))</f>
        <v>-0</v>
      </c>
      <c r="Y80" s="109" t="n">
        <f aca="false">IF(Y79&lt;Hipótesis!$D$72,MIN(Hipótesis!$D$70-X81,Hipótesis!$D$72-Y79),-MIN(X81,MAX(0,Y79-Hipótesis!$D$72)))</f>
        <v>-0</v>
      </c>
      <c r="Z80" s="109" t="n">
        <f aca="false">IF(Z79&lt;Hipótesis!$D$72,MIN(Hipótesis!$D$70-Y81,Hipótesis!$D$72-Z79),-MIN(Y81,MAX(0,Z79-Hipótesis!$D$72)))</f>
        <v>-0</v>
      </c>
      <c r="AA80" s="109" t="n">
        <f aca="false">IF(AA79&lt;Hipótesis!$D$72,MIN(Hipótesis!$D$70-Z81,Hipótesis!$D$72-AA79),-MIN(Z81,MAX(0,AA79-Hipótesis!$D$72)))</f>
        <v>-0</v>
      </c>
      <c r="AB80" s="109" t="n">
        <f aca="false">IF(AB79&lt;Hipótesis!$D$72,MIN(Hipótesis!$D$70-AA81,Hipótesis!$D$72-AB79),-MIN(AA81,MAX(0,AB79-Hipótesis!$D$72)))</f>
        <v>-0</v>
      </c>
      <c r="AC80" s="109" t="n">
        <f aca="false">IF(AC79&lt;Hipótesis!$D$72,MIN(Hipótesis!$D$70-AB81,Hipótesis!$D$72-AC79),-MIN(AB81,MAX(0,AC79-Hipótesis!$D$72)))</f>
        <v>-0</v>
      </c>
      <c r="AD80" s="109" t="n">
        <f aca="false">IF(AD79&lt;Hipótesis!$D$72,MIN(Hipótesis!$D$70-AC81,Hipótesis!$D$72-AD79),-MIN(AC81,MAX(0,AD79-Hipótesis!$D$72)))</f>
        <v>-0</v>
      </c>
      <c r="AE80" s="109" t="n">
        <f aca="false">IF(AE79&lt;Hipótesis!$D$72,MIN(Hipótesis!$D$70-AD81,Hipótesis!$D$72-AE79),-MIN(AD81,MAX(0,AE79-Hipótesis!$D$72)))</f>
        <v>-0</v>
      </c>
      <c r="AF80" s="109" t="n">
        <f aca="false">IF(AF79&lt;Hipótesis!$D$72,MIN(Hipótesis!$D$70-AE81,Hipótesis!$D$72-AF79),-MIN(AE81,MAX(0,AF79-Hipótesis!$D$72)))</f>
        <v>-0</v>
      </c>
      <c r="AG80" s="109" t="n">
        <f aca="false">IF(AG79&lt;Hipótesis!$D$72,MIN(Hipótesis!$D$70-AF81,Hipótesis!$D$72-AG79),-MIN(AF81,MAX(0,AG79-Hipótesis!$D$72)))</f>
        <v>-0</v>
      </c>
      <c r="AH80" s="109" t="n">
        <f aca="false">IF(AH79&lt;Hipótesis!$D$72,MIN(Hipótesis!$D$70-AG81,Hipótesis!$D$72-AH79),-MIN(AG81,MAX(0,AH79-Hipótesis!$D$72)))</f>
        <v>-0</v>
      </c>
      <c r="AI80" s="109" t="n">
        <f aca="false">IF(AI79&lt;Hipótesis!$D$72,MIN(Hipótesis!$D$70-AH81,Hipótesis!$D$72-AI79),-MIN(AH81,MAX(0,AI79-Hipótesis!$D$72)))</f>
        <v>-0</v>
      </c>
      <c r="AJ80" s="109" t="n">
        <f aca="false">IF(AJ79&lt;Hipótesis!$D$72,MIN(Hipótesis!$D$70-AI81,Hipótesis!$D$72-AJ79),-MIN(AI81,MAX(0,AJ79-Hipótesis!$D$72)))</f>
        <v>-0</v>
      </c>
      <c r="AK80" s="109" t="n">
        <f aca="false">IF(AK79&lt;Hipótesis!$D$72,MIN(Hipótesis!$D$70-AJ81,Hipótesis!$D$72-AK79),-MIN(AJ81,MAX(0,AK79-Hipótesis!$D$72)))</f>
        <v>-0</v>
      </c>
      <c r="AL80" s="109" t="n">
        <f aca="false">IF(AL79&lt;Hipótesis!$D$72,MIN(Hipótesis!$D$70-AK81,Hipótesis!$D$72-AL79),-MIN(AK81,MAX(0,AL79-Hipótesis!$D$72)))</f>
        <v>-0</v>
      </c>
      <c r="AM80" s="109" t="n">
        <f aca="false">IF(AM79&lt;Hipótesis!$D$72,MIN(Hipótesis!$D$70-AL81,Hipótesis!$D$72-AM79),-MIN(AL81,MAX(0,AM79-Hipótesis!$D$72)))</f>
        <v>-0</v>
      </c>
      <c r="AN80" s="109" t="n">
        <f aca="false">IF(AN79&lt;Hipótesis!$D$72,MIN(Hipótesis!$D$70-AM81,Hipótesis!$D$72-AN79),-MIN(AM81,MAX(0,AN79-Hipótesis!$D$72)))</f>
        <v>-0</v>
      </c>
      <c r="AO80" s="109" t="n">
        <f aca="false">IF(AO79&lt;Hipótesis!$D$72,MIN(Hipótesis!$D$70-AN81,Hipótesis!$D$72-AO79),-MIN(AN81,MAX(0,AO79-Hipótesis!$D$72)))</f>
        <v>-0</v>
      </c>
      <c r="AP80" s="109" t="n">
        <f aca="false">IF(AP79&lt;Hipótesis!$D$72,MIN(Hipótesis!$D$70-AO81,Hipótesis!$D$72-AP79),-MIN(AO81,MAX(0,AP79-Hipótesis!$D$72)))</f>
        <v>-0</v>
      </c>
      <c r="AQ80" s="109" t="n">
        <f aca="false">IF(AQ79&lt;Hipótesis!$D$72,MIN(Hipótesis!$D$70-AP81,Hipótesis!$D$72-AQ79),-MIN(AP81,MAX(0,AQ79-Hipótesis!$D$72)))</f>
        <v>-0</v>
      </c>
      <c r="AR80" s="109" t="n">
        <f aca="false">IF(AR79&lt;Hipótesis!$D$72,MIN(Hipótesis!$D$70-AQ81,Hipótesis!$D$72-AR79),-MIN(AQ81,MAX(0,AR79-Hipótesis!$D$72)))</f>
        <v>-0</v>
      </c>
      <c r="AS80" s="109" t="n">
        <f aca="false">IF(AS79&lt;Hipótesis!$D$72,MIN(Hipótesis!$D$70-AR81,Hipótesis!$D$72-AS79),-MIN(AR81,MAX(0,AS79-Hipótesis!$D$72)))</f>
        <v>-0</v>
      </c>
      <c r="AT80" s="109" t="n">
        <f aca="false">IF(AT79&lt;Hipótesis!$D$72,MIN(Hipótesis!$D$70-AS81,Hipótesis!$D$72-AT79),-MIN(AS81,MAX(0,AT79-Hipótesis!$D$72)))</f>
        <v>-0</v>
      </c>
      <c r="AU80" s="109" t="n">
        <f aca="false">IF(AU79&lt;Hipótesis!$D$72,MIN(Hipótesis!$D$70-AT81,Hipótesis!$D$72-AU79),-MIN(AT81,MAX(0,AU79-Hipótesis!$D$72)))</f>
        <v>-0</v>
      </c>
      <c r="AV80" s="109" t="n">
        <f aca="false">IF(AV79&lt;Hipótesis!$D$72,MIN(Hipótesis!$D$70-AU81,Hipótesis!$D$72-AV79),-MIN(AU81,MAX(0,AV79-Hipótesis!$D$72)))</f>
        <v>-0</v>
      </c>
      <c r="AW80" s="109" t="n">
        <f aca="false">IF(AW79&lt;Hipótesis!$D$72,MIN(Hipótesis!$D$70-AV81,Hipótesis!$D$72-AW79),-MIN(AV81,MAX(0,AW79-Hipótesis!$D$72)))</f>
        <v>-0</v>
      </c>
      <c r="AX80" s="109" t="n">
        <f aca="false">IF(AX79&lt;Hipótesis!$D$72,MIN(Hipótesis!$D$70-AW81,Hipótesis!$D$72-AX79),-MIN(AW81,MAX(0,AX79-Hipótesis!$D$72)))</f>
        <v>-0</v>
      </c>
      <c r="AY80" s="109" t="n">
        <f aca="false">IF(AY79&lt;Hipótesis!$D$72,MIN(Hipótesis!$D$70-AX81,Hipótesis!$D$72-AY79),-MIN(AX81,MAX(0,AY79-Hipótesis!$D$72)))</f>
        <v>-0</v>
      </c>
      <c r="AZ80" s="109" t="n">
        <f aca="false">IF(AZ79&lt;Hipótesis!$D$72,MIN(Hipótesis!$D$70-AY81,Hipótesis!$D$72-AZ79),-MIN(AY81,MAX(0,AZ79-Hipótesis!$D$72)))</f>
        <v>-0</v>
      </c>
      <c r="BA80" s="109" t="n">
        <f aca="false">IF(BA79&lt;Hipótesis!$D$72,MIN(Hipótesis!$D$70-AZ81,Hipótesis!$D$72-BA79),-MIN(AZ81,MAX(0,BA79-Hipótesis!$D$72)))</f>
        <v>-0</v>
      </c>
      <c r="BB80" s="109" t="n">
        <f aca="false">IF(BB79&lt;Hipótesis!$D$72,MIN(Hipótesis!$D$70-BA81,Hipótesis!$D$72-BB79),-MIN(BA81,MAX(0,BB79-Hipótesis!$D$72)))</f>
        <v>-0</v>
      </c>
      <c r="BC80" s="109" t="n">
        <f aca="false">IF(BC79&lt;Hipótesis!$D$72,MIN(Hipótesis!$D$70-BB81,Hipótesis!$D$72-BC79),-MIN(BB81,MAX(0,BC79-Hipótesis!$D$72)))</f>
        <v>-0</v>
      </c>
      <c r="BD80" s="109" t="n">
        <f aca="false">IF(BD79&lt;Hipótesis!$D$72,MIN(Hipótesis!$D$70-BC81,Hipótesis!$D$72-BD79),-MIN(BC81,MAX(0,BD79-Hipótesis!$D$72)))</f>
        <v>-0</v>
      </c>
      <c r="BE80" s="109" t="n">
        <f aca="false">IF(BE79&lt;Hipótesis!$D$72,MIN(Hipótesis!$D$70-BD81,Hipótesis!$D$72-BE79),-MIN(BD81,MAX(0,BE79-Hipótesis!$D$72)))</f>
        <v>-0</v>
      </c>
      <c r="BF80" s="109" t="n">
        <f aca="false">IF(BF79&lt;Hipótesis!$D$72,MIN(Hipótesis!$D$70-BE81,Hipótesis!$D$72-BF79),-MIN(BE81,MAX(0,BF79-Hipótesis!$D$72)))</f>
        <v>-0</v>
      </c>
      <c r="BG80" s="109" t="n">
        <f aca="false">IF(BG79&lt;Hipótesis!$D$72,MIN(Hipótesis!$D$70-BF81,Hipótesis!$D$72-BG79),-MIN(BF81,MAX(0,BG79-Hipótesis!$D$72)))</f>
        <v>-0</v>
      </c>
      <c r="BH80" s="109" t="n">
        <f aca="false">IF(BH79&lt;Hipótesis!$D$72,MIN(Hipótesis!$D$70-BG81,Hipótesis!$D$72-BH79),-MIN(BG81,MAX(0,BH79-Hipótesis!$D$72)))</f>
        <v>-0</v>
      </c>
      <c r="BI80" s="109" t="n">
        <f aca="false">IF(BI79&lt;Hipótesis!$D$72,MIN(Hipótesis!$D$70-BH81,Hipótesis!$D$72-BI79),-MIN(BH81,MAX(0,BI79-Hipótesis!$D$72)))</f>
        <v>-0</v>
      </c>
      <c r="BJ80" s="109" t="n">
        <f aca="false">IF(BJ79&lt;Hipótesis!$D$72,MIN(Hipótesis!$D$70-BI81,Hipótesis!$D$72-BJ79),-MIN(BI81,MAX(0,BJ79-Hipótesis!$D$72)))</f>
        <v>-0</v>
      </c>
      <c r="BK80" s="109" t="n">
        <f aca="false">IF(BK79&lt;Hipótesis!$D$72,MIN(Hipótesis!$D$70-BJ81,Hipótesis!$D$72-BK79),-MIN(BJ81,MAX(0,BK79-Hipótesis!$D$72)))</f>
        <v>-0</v>
      </c>
      <c r="BL80" s="109" t="n">
        <f aca="false">IF(BL79&lt;Hipótesis!$D$72,MIN(Hipótesis!$D$70-BK81,Hipótesis!$D$72-BL79),-MIN(BK81,MAX(0,BL79-Hipótesis!$D$72)))</f>
        <v>-0</v>
      </c>
      <c r="BM80" s="109" t="n">
        <f aca="false">IF(BM79&lt;Hipótesis!$D$72,MIN(Hipótesis!$D$70-BL81,Hipótesis!$D$72-BM79),-MIN(BL81,MAX(0,BM79-Hipótesis!$D$72)))</f>
        <v>-0</v>
      </c>
      <c r="BN80" s="109" t="n">
        <f aca="false">IF(BN79&lt;Hipótesis!$D$72,MIN(Hipótesis!$D$70-BM81,Hipótesis!$D$72-BN79),-MIN(BM81,MAX(0,BN79-Hipótesis!$D$72)))</f>
        <v>-0</v>
      </c>
      <c r="BO80" s="109" t="n">
        <f aca="false">IF(BO79&lt;Hipótesis!$D$72,MIN(Hipótesis!$D$70-BN81,Hipótesis!$D$72-BO79),-MIN(BN81,MAX(0,BO79-Hipótesis!$D$72)))</f>
        <v>-0</v>
      </c>
      <c r="BP80" s="109" t="n">
        <f aca="false">IF(BP79&lt;Hipótesis!$D$72,MIN(Hipótesis!$D$70-BO81,Hipótesis!$D$72-BP79),-MIN(BO81,MAX(0,BP79-Hipótesis!$D$72)))</f>
        <v>-0</v>
      </c>
      <c r="BQ80" s="109" t="n">
        <f aca="false">IF(BQ79&lt;Hipótesis!$D$72,MIN(Hipótesis!$D$70-BP81,Hipótesis!$D$72-BQ79),-MIN(BP81,MAX(0,BQ79-Hipótesis!$D$72)))</f>
        <v>-0</v>
      </c>
      <c r="BR80" s="109" t="n">
        <f aca="false">IF(BR79&lt;Hipótesis!$D$72,MIN(Hipótesis!$D$70-BQ81,Hipótesis!$D$72-BR79),-MIN(BQ81,MAX(0,BR79-Hipótesis!$D$72)))</f>
        <v>-0</v>
      </c>
      <c r="BS80" s="109" t="n">
        <f aca="false">IF(BS79&lt;Hipótesis!$D$72,MIN(Hipótesis!$D$70-BR81,Hipótesis!$D$72-BS79),-MIN(BR81,MAX(0,BS79-Hipótesis!$D$72)))</f>
        <v>-0</v>
      </c>
      <c r="BT80" s="109" t="n">
        <f aca="false">IF(BT79&lt;Hipótesis!$D$72,MIN(Hipótesis!$D$70-BS81,Hipótesis!$D$72-BT79),-MIN(BS81,MAX(0,BT79-Hipótesis!$D$72)))</f>
        <v>-0</v>
      </c>
      <c r="BU80" s="109" t="n">
        <f aca="false">IF(BU79&lt;Hipótesis!$D$72,MIN(Hipótesis!$D$70-BT81,Hipótesis!$D$72-BU79),-MIN(BT81,MAX(0,BU79-Hipótesis!$D$72)))</f>
        <v>-0</v>
      </c>
      <c r="BV80" s="109" t="n">
        <f aca="false">IF(BV79&lt;Hipótesis!$D$72,MIN(Hipótesis!$D$70-BU81,Hipótesis!$D$72-BV79),-MIN(BU81,MAX(0,BV79-Hipótesis!$D$72)))</f>
        <v>-0</v>
      </c>
      <c r="BW80" s="109" t="n">
        <f aca="false">IF(BW79&lt;Hipótesis!$D$72,MIN(Hipótesis!$D$70-BV81,Hipótesis!$D$72-BW79),-MIN(BV81,MAX(0,BW79-Hipótesis!$D$72)))</f>
        <v>-0</v>
      </c>
      <c r="BX80" s="109" t="n">
        <f aca="false">IF(BX79&lt;Hipótesis!$D$72,MIN(Hipótesis!$D$70-BW81,Hipótesis!$D$72-BX79),-MIN(BW81,MAX(0,BX79-Hipótesis!$D$72)))</f>
        <v>-0</v>
      </c>
      <c r="BY80" s="109" t="n">
        <f aca="false">IF(BY79&lt;Hipótesis!$D$72,MIN(Hipótesis!$D$70-BX81,Hipótesis!$D$72-BY79),-MIN(BX81,MAX(0,BY79-Hipótesis!$D$72)))</f>
        <v>-0</v>
      </c>
      <c r="BZ80" s="109" t="n">
        <f aca="false">IF(BZ79&lt;Hipótesis!$D$72,MIN(Hipótesis!$D$70-BY81,Hipótesis!$D$72-BZ79),-MIN(BY81,MAX(0,BZ79-Hipótesis!$D$72)))</f>
        <v>-0</v>
      </c>
      <c r="CA80" s="109" t="n">
        <f aca="false">IF(CA79&lt;Hipótesis!$D$72,MIN(Hipótesis!$D$70-BZ81,Hipótesis!$D$72-CA79),-MIN(BZ81,MAX(0,CA79-Hipótesis!$D$72)))</f>
        <v>-0</v>
      </c>
      <c r="CB80" s="109" t="n">
        <f aca="false">IF(CB79&lt;Hipótesis!$D$72,MIN(Hipótesis!$D$70-CA81,Hipótesis!$D$72-CB79),-MIN(CA81,MAX(0,CB79-Hipótesis!$D$72)))</f>
        <v>-0</v>
      </c>
      <c r="CC80" s="109" t="n">
        <f aca="false">IF(CC79&lt;Hipótesis!$D$72,MIN(Hipótesis!$D$70-CB81,Hipótesis!$D$72-CC79),-MIN(CB81,MAX(0,CC79-Hipótesis!$D$72)))</f>
        <v>-0</v>
      </c>
      <c r="CD80" s="109" t="n">
        <f aca="false">IF(CD79&lt;Hipótesis!$D$72,MIN(Hipótesis!$D$70-CC81,Hipótesis!$D$72-CD79),-MIN(CC81,MAX(0,CD79-Hipótesis!$D$72)))</f>
        <v>-0</v>
      </c>
      <c r="CE80" s="109" t="n">
        <f aca="false">IF(CE79&lt;Hipótesis!$D$72,MIN(Hipótesis!$D$70-CD81,Hipótesis!$D$72-CE79),-MIN(CD81,MAX(0,CE79-Hipótesis!$D$72)))</f>
        <v>-0</v>
      </c>
      <c r="CF80" s="109" t="n">
        <f aca="false">IF(CF79&lt;Hipótesis!$D$72,MIN(Hipótesis!$D$70-CE81,Hipótesis!$D$72-CF79),-MIN(CE81,MAX(0,CF79-Hipótesis!$D$72)))</f>
        <v>-0</v>
      </c>
      <c r="CG80" s="109" t="n">
        <f aca="false">IF(CG79&lt;Hipótesis!$D$72,MIN(Hipótesis!$D$70-CF81,Hipótesis!$D$72-CG79),-MIN(CF81,MAX(0,CG79-Hipótesis!$D$72)))</f>
        <v>-0</v>
      </c>
      <c r="CH80" s="109" t="n">
        <f aca="false">IF(CH79&lt;Hipótesis!$D$72,MIN(Hipótesis!$D$70-CG81,Hipótesis!$D$72-CH79),-MIN(CG81,MAX(0,CH79-Hipótesis!$D$72)))</f>
        <v>-0</v>
      </c>
    </row>
    <row r="81" customFormat="false" ht="13.5" hidden="false" customHeight="true" outlineLevel="0" collapsed="false">
      <c r="A81" s="47" t="s">
        <v>583</v>
      </c>
      <c r="C81" s="71" t="n">
        <f aca="false">C80</f>
        <v>-0</v>
      </c>
      <c r="D81" s="71" t="n">
        <f aca="false">C81+D80</f>
        <v>0</v>
      </c>
      <c r="E81" s="71" t="n">
        <f aca="false">D81+E80</f>
        <v>0</v>
      </c>
      <c r="F81" s="71" t="n">
        <f aca="false">E81+F80</f>
        <v>0</v>
      </c>
      <c r="G81" s="71" t="n">
        <f aca="false">F81+G80</f>
        <v>0</v>
      </c>
      <c r="H81" s="71" t="n">
        <f aca="false">G81+H80</f>
        <v>0</v>
      </c>
      <c r="I81" s="71" t="n">
        <f aca="false">H81+I80</f>
        <v>0</v>
      </c>
      <c r="J81" s="71" t="n">
        <f aca="false">I81+J80</f>
        <v>0</v>
      </c>
      <c r="K81" s="71" t="n">
        <f aca="false">J81+K80</f>
        <v>3021.7767139065</v>
      </c>
      <c r="L81" s="71" t="n">
        <f aca="false">K81+L80</f>
        <v>3133.46141452048</v>
      </c>
      <c r="M81" s="71" t="n">
        <f aca="false">L81+M80</f>
        <v>149.492867726429</v>
      </c>
      <c r="N81" s="71" t="n">
        <f aca="false">M81+N80</f>
        <v>0</v>
      </c>
      <c r="O81" s="71" t="n">
        <f aca="false">N81+O80</f>
        <v>0</v>
      </c>
      <c r="P81" s="71" t="n">
        <f aca="false">O81+P80</f>
        <v>0</v>
      </c>
      <c r="Q81" s="71" t="n">
        <f aca="false">P81+Q80</f>
        <v>0</v>
      </c>
      <c r="R81" s="71" t="n">
        <f aca="false">Q81+R80</f>
        <v>0</v>
      </c>
      <c r="S81" s="71" t="n">
        <f aca="false">R81+S80</f>
        <v>0</v>
      </c>
      <c r="T81" s="71" t="n">
        <f aca="false">S81+T80</f>
        <v>0</v>
      </c>
      <c r="U81" s="71" t="n">
        <f aca="false">T81+U80</f>
        <v>0</v>
      </c>
      <c r="V81" s="71" t="n">
        <f aca="false">U81+V80</f>
        <v>0</v>
      </c>
      <c r="W81" s="71" t="n">
        <f aca="false">V81+W80</f>
        <v>0</v>
      </c>
      <c r="X81" s="71" t="n">
        <f aca="false">W81+X80</f>
        <v>0</v>
      </c>
      <c r="Y81" s="71" t="n">
        <f aca="false">X81+Y80</f>
        <v>0</v>
      </c>
      <c r="Z81" s="71" t="n">
        <f aca="false">Y81+Z80</f>
        <v>0</v>
      </c>
      <c r="AA81" s="71" t="n">
        <f aca="false">Z81+AA80</f>
        <v>0</v>
      </c>
      <c r="AB81" s="71" t="n">
        <f aca="false">AA81+AB80</f>
        <v>0</v>
      </c>
      <c r="AC81" s="71" t="n">
        <f aca="false">AB81+AC80</f>
        <v>0</v>
      </c>
      <c r="AD81" s="71" t="n">
        <f aca="false">AC81+AD80</f>
        <v>0</v>
      </c>
      <c r="AE81" s="71" t="n">
        <f aca="false">AD81+AE80</f>
        <v>0</v>
      </c>
      <c r="AF81" s="71" t="n">
        <f aca="false">AE81+AF80</f>
        <v>0</v>
      </c>
      <c r="AG81" s="71" t="n">
        <f aca="false">AF81+AG80</f>
        <v>0</v>
      </c>
      <c r="AH81" s="71" t="n">
        <f aca="false">AG81+AH80</f>
        <v>0</v>
      </c>
      <c r="AI81" s="71" t="n">
        <f aca="false">AH81+AI80</f>
        <v>0</v>
      </c>
      <c r="AJ81" s="71" t="n">
        <f aca="false">AI81+AJ80</f>
        <v>0</v>
      </c>
      <c r="AK81" s="71" t="n">
        <f aca="false">AJ81+AK80</f>
        <v>0</v>
      </c>
      <c r="AL81" s="71" t="n">
        <f aca="false">AK81+AL80</f>
        <v>0</v>
      </c>
      <c r="AM81" s="71" t="n">
        <f aca="false">AL81+AM80</f>
        <v>0</v>
      </c>
      <c r="AN81" s="71" t="n">
        <f aca="false">AM81+AN80</f>
        <v>0</v>
      </c>
      <c r="AO81" s="71" t="n">
        <f aca="false">AN81+AO80</f>
        <v>0</v>
      </c>
      <c r="AP81" s="71" t="n">
        <f aca="false">AO81+AP80</f>
        <v>0</v>
      </c>
      <c r="AQ81" s="71" t="n">
        <f aca="false">AP81+AQ80</f>
        <v>0</v>
      </c>
      <c r="AR81" s="71" t="n">
        <f aca="false">AQ81+AR80</f>
        <v>0</v>
      </c>
      <c r="AS81" s="71" t="n">
        <f aca="false">AR81+AS80</f>
        <v>0</v>
      </c>
      <c r="AT81" s="71" t="n">
        <f aca="false">AS81+AT80</f>
        <v>0</v>
      </c>
      <c r="AU81" s="71" t="n">
        <f aca="false">AT81+AU80</f>
        <v>0</v>
      </c>
      <c r="AV81" s="71" t="n">
        <f aca="false">AU81+AV80</f>
        <v>0</v>
      </c>
      <c r="AW81" s="71" t="n">
        <f aca="false">AV81+AW80</f>
        <v>0</v>
      </c>
      <c r="AX81" s="71" t="n">
        <f aca="false">AW81+AX80</f>
        <v>0</v>
      </c>
      <c r="AY81" s="71" t="n">
        <f aca="false">AX81+AY80</f>
        <v>0</v>
      </c>
      <c r="AZ81" s="71" t="n">
        <f aca="false">AY81+AZ80</f>
        <v>0</v>
      </c>
      <c r="BA81" s="71" t="n">
        <f aca="false">AZ81+BA80</f>
        <v>0</v>
      </c>
      <c r="BB81" s="71" t="n">
        <f aca="false">BA81+BB80</f>
        <v>0</v>
      </c>
      <c r="BC81" s="71" t="n">
        <f aca="false">BB81+BC80</f>
        <v>0</v>
      </c>
      <c r="BD81" s="71" t="n">
        <f aca="false">BC81+BD80</f>
        <v>0</v>
      </c>
      <c r="BE81" s="71" t="n">
        <f aca="false">BD81+BE80</f>
        <v>0</v>
      </c>
      <c r="BF81" s="71" t="n">
        <f aca="false">BE81+BF80</f>
        <v>0</v>
      </c>
      <c r="BG81" s="71" t="n">
        <f aca="false">BF81+BG80</f>
        <v>0</v>
      </c>
      <c r="BH81" s="71" t="n">
        <f aca="false">BG81+BH80</f>
        <v>0</v>
      </c>
      <c r="BI81" s="71" t="n">
        <f aca="false">BH81+BI80</f>
        <v>0</v>
      </c>
      <c r="BJ81" s="71" t="n">
        <f aca="false">BI81+BJ80</f>
        <v>0</v>
      </c>
      <c r="BK81" s="71" t="n">
        <f aca="false">BJ81+BK80</f>
        <v>0</v>
      </c>
      <c r="BL81" s="71" t="n">
        <f aca="false">BK81+BL80</f>
        <v>0</v>
      </c>
      <c r="BM81" s="71" t="n">
        <f aca="false">BL81+BM80</f>
        <v>0</v>
      </c>
      <c r="BN81" s="71" t="n">
        <f aca="false">BM81+BN80</f>
        <v>0</v>
      </c>
      <c r="BO81" s="71" t="n">
        <f aca="false">BN81+BO80</f>
        <v>0</v>
      </c>
      <c r="BP81" s="71" t="n">
        <f aca="false">BO81+BP80</f>
        <v>0</v>
      </c>
      <c r="BQ81" s="71" t="n">
        <f aca="false">BP81+BQ80</f>
        <v>0</v>
      </c>
      <c r="BR81" s="71" t="n">
        <f aca="false">BQ81+BR80</f>
        <v>0</v>
      </c>
      <c r="BS81" s="71" t="n">
        <f aca="false">BR81+BS80</f>
        <v>0</v>
      </c>
      <c r="BT81" s="71" t="n">
        <f aca="false">BS81+BT80</f>
        <v>0</v>
      </c>
      <c r="BU81" s="71" t="n">
        <f aca="false">BT81+BU80</f>
        <v>0</v>
      </c>
      <c r="BV81" s="71" t="n">
        <f aca="false">BU81+BV80</f>
        <v>0</v>
      </c>
      <c r="BW81" s="71" t="n">
        <f aca="false">BV81+BW80</f>
        <v>0</v>
      </c>
      <c r="BX81" s="71" t="n">
        <f aca="false">BW81+BX80</f>
        <v>0</v>
      </c>
      <c r="BY81" s="71" t="n">
        <f aca="false">BX81+BY80</f>
        <v>0</v>
      </c>
      <c r="BZ81" s="71" t="n">
        <f aca="false">BY81+BZ80</f>
        <v>0</v>
      </c>
      <c r="CA81" s="71" t="n">
        <f aca="false">BZ81+CA80</f>
        <v>0</v>
      </c>
      <c r="CB81" s="71" t="n">
        <f aca="false">CA81+CB80</f>
        <v>0</v>
      </c>
      <c r="CC81" s="71" t="n">
        <f aca="false">CB81+CC80</f>
        <v>0</v>
      </c>
      <c r="CD81" s="71" t="n">
        <f aca="false">CC81+CD80</f>
        <v>0</v>
      </c>
      <c r="CE81" s="71" t="n">
        <f aca="false">CD81+CE80</f>
        <v>0</v>
      </c>
      <c r="CF81" s="71" t="n">
        <f aca="false">CE81+CF80</f>
        <v>0</v>
      </c>
      <c r="CG81" s="71" t="n">
        <f aca="false">CF81+CG80</f>
        <v>0</v>
      </c>
      <c r="CH81" s="71" t="n">
        <f aca="false">CG81+CH80</f>
        <v>0</v>
      </c>
    </row>
    <row r="82" customFormat="false" ht="13.5" hidden="false" customHeight="true" outlineLevel="0" collapsed="false">
      <c r="A82" s="6" t="s">
        <v>584</v>
      </c>
      <c r="C82" s="109" t="n">
        <f aca="false">C79+C80</f>
        <v>155014.236322587</v>
      </c>
      <c r="D82" s="109" t="n">
        <f aca="false">D79+D80</f>
        <v>126807.305590035</v>
      </c>
      <c r="E82" s="109" t="n">
        <f aca="false">E79+E80</f>
        <v>104264.221436417</v>
      </c>
      <c r="F82" s="109" t="n">
        <f aca="false">F79+F80</f>
        <v>84149.5310470113</v>
      </c>
      <c r="G82" s="109" t="n">
        <f aca="false">G79+G80</f>
        <v>66072.1711328764</v>
      </c>
      <c r="H82" s="109" t="n">
        <f aca="false">H79+H80</f>
        <v>50436.855328412</v>
      </c>
      <c r="I82" s="109" t="n">
        <f aca="false">I79+I80</f>
        <v>38485.3930039345</v>
      </c>
      <c r="J82" s="109" t="n">
        <f aca="false">J79+J80</f>
        <v>30703.6294611346</v>
      </c>
      <c r="K82" s="109" t="n">
        <f aca="false">K79+K80</f>
        <v>30000</v>
      </c>
      <c r="L82" s="109" t="n">
        <f aca="false">L79+L80</f>
        <v>30000</v>
      </c>
      <c r="M82" s="109" t="n">
        <f aca="false">M79+M80</f>
        <v>30000</v>
      </c>
      <c r="N82" s="109" t="n">
        <f aca="false">N79+N80</f>
        <v>35075.7131009277</v>
      </c>
      <c r="O82" s="109" t="n">
        <f aca="false">O79+O80</f>
        <v>40340.3512466087</v>
      </c>
      <c r="P82" s="109" t="n">
        <f aca="false">P79+P80</f>
        <v>45939.7794359437</v>
      </c>
      <c r="Q82" s="109" t="n">
        <f aca="false">Q79+Q80</f>
        <v>53714.0204664325</v>
      </c>
      <c r="R82" s="109" t="n">
        <f aca="false">R79+R80</f>
        <v>63663.0743380752</v>
      </c>
      <c r="S82" s="109" t="n">
        <f aca="false">S79+S80</f>
        <v>75786.9410508718</v>
      </c>
      <c r="T82" s="109" t="n">
        <f aca="false">T79+T80</f>
        <v>90085.6206048223</v>
      </c>
      <c r="U82" s="109" t="n">
        <f aca="false">U79+U80</f>
        <v>104633.783439927</v>
      </c>
      <c r="V82" s="109" t="n">
        <f aca="false">V79+V80</f>
        <v>119091.665516185</v>
      </c>
      <c r="W82" s="109" t="n">
        <f aca="false">W79+W80</f>
        <v>135724.360433597</v>
      </c>
      <c r="X82" s="109" t="n">
        <f aca="false">X79+X80</f>
        <v>154086.427325622</v>
      </c>
      <c r="Y82" s="109" t="n">
        <f aca="false">Y79+Y80</f>
        <v>173987.771192259</v>
      </c>
      <c r="Z82" s="109" t="n">
        <f aca="false">Z79+Z80</f>
        <v>195261.810546642</v>
      </c>
      <c r="AA82" s="109" t="n">
        <f aca="false">AA79+AA80</f>
        <v>214276.350532505</v>
      </c>
      <c r="AB82" s="109" t="n">
        <f aca="false">AB79+AB80</f>
        <v>232620.455981536</v>
      </c>
      <c r="AC82" s="109" t="n">
        <f aca="false">AC79+AC80</f>
        <v>252277.216340536</v>
      </c>
      <c r="AD82" s="109" t="n">
        <f aca="false">AD79+AD80</f>
        <v>273246.631609504</v>
      </c>
      <c r="AE82" s="109" t="n">
        <f aca="false">AE79+AE80</f>
        <v>295528.70178844</v>
      </c>
      <c r="AF82" s="109" t="n">
        <f aca="false">AF79+AF80</f>
        <v>319123.426877344</v>
      </c>
      <c r="AG82" s="109" t="n">
        <f aca="false">AG79+AG80</f>
        <v>344030.806876217</v>
      </c>
      <c r="AH82" s="109" t="n">
        <f aca="false">AH79+AH80</f>
        <v>370250.841785058</v>
      </c>
      <c r="AI82" s="109" t="n">
        <f aca="false">AI79+AI80</f>
        <v>397783.531603867</v>
      </c>
      <c r="AJ82" s="109" t="n">
        <f aca="false">AJ79+AJ80</f>
        <v>426628.876332645</v>
      </c>
      <c r="AK82" s="109" t="n">
        <f aca="false">AK79+AK80</f>
        <v>456786.875971391</v>
      </c>
      <c r="AL82" s="109" t="n">
        <f aca="false">AL79+AL80</f>
        <v>488257.530520105</v>
      </c>
      <c r="AM82" s="109" t="n">
        <f aca="false">AM79+AM80</f>
        <v>513323.010795306</v>
      </c>
      <c r="AN82" s="109" t="n">
        <f aca="false">AN79+AN80</f>
        <v>539542.439651635</v>
      </c>
      <c r="AO82" s="109" t="n">
        <f aca="false">AO79+AO80</f>
        <v>566915.817089091</v>
      </c>
      <c r="AP82" s="109" t="n">
        <f aca="false">AP79+AP80</f>
        <v>595443.143107676</v>
      </c>
      <c r="AQ82" s="109" t="n">
        <f aca="false">AQ79+AQ80</f>
        <v>625124.417707388</v>
      </c>
      <c r="AR82" s="109" t="n">
        <f aca="false">AR79+AR80</f>
        <v>655959.640888228</v>
      </c>
      <c r="AS82" s="109" t="n">
        <f aca="false">AS79+AS80</f>
        <v>687284.876037425</v>
      </c>
      <c r="AT82" s="109" t="n">
        <f aca="false">AT79+AT80</f>
        <v>718614.277853289</v>
      </c>
      <c r="AU82" s="109" t="n">
        <f aca="false">AU79+AU80</f>
        <v>749947.846335819</v>
      </c>
      <c r="AV82" s="109" t="n">
        <f aca="false">AV79+AV80</f>
        <v>781285.581485016</v>
      </c>
      <c r="AW82" s="109" t="n">
        <f aca="false">AW79+AW80</f>
        <v>812627.48330088</v>
      </c>
      <c r="AX82" s="109" t="n">
        <f aca="false">AX79+AX80</f>
        <v>843973.551783411</v>
      </c>
      <c r="AY82" s="109" t="n">
        <f aca="false">AY79+AY80</f>
        <v>718596.575619785</v>
      </c>
      <c r="AZ82" s="109" t="n">
        <f aca="false">AZ79+AZ80</f>
        <v>748152.184385379</v>
      </c>
      <c r="BA82" s="109" t="n">
        <f aca="false">BA79+BA80</f>
        <v>777711.95981764</v>
      </c>
      <c r="BB82" s="109" t="n">
        <f aca="false">BB79+BB80</f>
        <v>807275.901916568</v>
      </c>
      <c r="BC82" s="109" t="n">
        <f aca="false">BC79+BC80</f>
        <v>836844.010682162</v>
      </c>
      <c r="BD82" s="109" t="n">
        <f aca="false">BD79+BD80</f>
        <v>866416.286114423</v>
      </c>
      <c r="BE82" s="109" t="n">
        <f aca="false">BE79+BE80</f>
        <v>895992.728213351</v>
      </c>
      <c r="BF82" s="109" t="n">
        <f aca="false">BF79+BF80</f>
        <v>925573.336978945</v>
      </c>
      <c r="BG82" s="109" t="n">
        <f aca="false">BG79+BG80</f>
        <v>955158.112411206</v>
      </c>
      <c r="BH82" s="109" t="n">
        <f aca="false">BH79+BH80</f>
        <v>984747.054510133</v>
      </c>
      <c r="BI82" s="109" t="n">
        <f aca="false">BI79+BI80</f>
        <v>1014340.16327573</v>
      </c>
      <c r="BJ82" s="109" t="n">
        <f aca="false">BJ79+BJ80</f>
        <v>1043937.43870799</v>
      </c>
      <c r="BK82" s="109" t="n">
        <f aca="false">BK79+BK80</f>
        <v>918078.786546053</v>
      </c>
      <c r="BL82" s="109" t="n">
        <f aca="false">BL79+BL80</f>
        <v>945875.29746987</v>
      </c>
      <c r="BM82" s="109" t="n">
        <f aca="false">BM79+BM80</f>
        <v>973675.975060353</v>
      </c>
      <c r="BN82" s="109" t="n">
        <f aca="false">BN79+BN80</f>
        <v>1001480.8193175</v>
      </c>
      <c r="BO82" s="109" t="n">
        <f aca="false">BO79+BO80</f>
        <v>1029289.83024132</v>
      </c>
      <c r="BP82" s="109" t="n">
        <f aca="false">BP79+BP80</f>
        <v>1057103.0078318</v>
      </c>
      <c r="BQ82" s="109" t="n">
        <f aca="false">BQ79+BQ80</f>
        <v>1084920.35208895</v>
      </c>
      <c r="BR82" s="109" t="n">
        <f aca="false">BR79+BR80</f>
        <v>1112741.86301277</v>
      </c>
      <c r="BS82" s="109" t="n">
        <f aca="false">BS79+BS80</f>
        <v>1140567.54060325</v>
      </c>
      <c r="BT82" s="109" t="n">
        <f aca="false">BT79+BT80</f>
        <v>1168397.3848604</v>
      </c>
      <c r="BU82" s="109" t="n">
        <f aca="false">BU79+BU80</f>
        <v>1196231.39578422</v>
      </c>
      <c r="BV82" s="109" t="n">
        <f aca="false">BV79+BV80</f>
        <v>1224069.5733747</v>
      </c>
      <c r="BW82" s="109" t="n">
        <f aca="false">BW79+BW80</f>
        <v>1104884.87907627</v>
      </c>
      <c r="BX82" s="109" t="n">
        <f aca="false">BX79+BX80</f>
        <v>1130911.67822305</v>
      </c>
      <c r="BY82" s="109" t="n">
        <f aca="false">BY79+BY80</f>
        <v>1156942.64403651</v>
      </c>
      <c r="BZ82" s="109" t="n">
        <f aca="false">BZ79+BZ80</f>
        <v>1182977.77651663</v>
      </c>
      <c r="CA82" s="109" t="n">
        <f aca="false">CA79+CA80</f>
        <v>1209017.07566341</v>
      </c>
      <c r="CB82" s="109" t="n">
        <f aca="false">CB79+CB80</f>
        <v>1235060.54147686</v>
      </c>
      <c r="CC82" s="109" t="n">
        <f aca="false">CC79+CC80</f>
        <v>1261108.17395698</v>
      </c>
      <c r="CD82" s="109" t="n">
        <f aca="false">CD79+CD80</f>
        <v>1287159.97310377</v>
      </c>
      <c r="CE82" s="109" t="n">
        <f aca="false">CE79+CE80</f>
        <v>1313215.93891722</v>
      </c>
      <c r="CF82" s="109" t="n">
        <f aca="false">CF79+CF80</f>
        <v>1339276.07139734</v>
      </c>
      <c r="CG82" s="109" t="n">
        <f aca="false">CG79+CG80</f>
        <v>1365340.37054412</v>
      </c>
      <c r="CH82" s="109" t="n">
        <f aca="false">CH79+CH80</f>
        <v>1391408.83635758</v>
      </c>
    </row>
    <row r="83" customFormat="false" ht="13.5" hidden="false" customHeight="true" outlineLevel="0" collapsed="false">
      <c r="A83" s="6" t="s">
        <v>585</v>
      </c>
      <c r="C83" s="109" t="n">
        <f aca="false">-IF(AND(1&gt;=Hipótesis!$D$76,MOD(1,12)=0,C81=0),MIN(Hipótesis!$D$77*MAX(0,SUM(C63:C63)),MAX(0,C82-Hipótesis!$D$80)),0)</f>
        <v>-0</v>
      </c>
      <c r="D83" s="109" t="n">
        <f aca="false">-IF(AND(2&gt;=Hipótesis!$D$76,MOD(2,12)=0,D81=0),MIN(Hipótesis!$D$77*MAX(0,SUM(C63:D63)),MAX(0,D82-Hipótesis!$D$80)),0)</f>
        <v>-0</v>
      </c>
      <c r="E83" s="109" t="n">
        <f aca="false">-IF(AND(3&gt;=Hipótesis!$D$76,MOD(3,12)=0,E81=0),MIN(Hipótesis!$D$77*MAX(0,SUM(C63:E63)),MAX(0,E82-Hipótesis!$D$80)),0)</f>
        <v>-0</v>
      </c>
      <c r="F83" s="109" t="n">
        <f aca="false">-IF(AND(4&gt;=Hipótesis!$D$76,MOD(4,12)=0,F81=0),MIN(Hipótesis!$D$77*MAX(0,SUM(C63:F63)),MAX(0,F82-Hipótesis!$D$80)),0)</f>
        <v>-0</v>
      </c>
      <c r="G83" s="109" t="n">
        <f aca="false">-IF(AND(5&gt;=Hipótesis!$D$76,MOD(5,12)=0,G81=0),MIN(Hipótesis!$D$77*MAX(0,SUM(C63:G63)),MAX(0,G82-Hipótesis!$D$80)),0)</f>
        <v>-0</v>
      </c>
      <c r="H83" s="109" t="n">
        <f aca="false">-IF(AND(6&gt;=Hipótesis!$D$76,MOD(6,12)=0,H81=0),MIN(Hipótesis!$D$77*MAX(0,SUM(C63:H63)),MAX(0,H82-Hipótesis!$D$80)),0)</f>
        <v>-0</v>
      </c>
      <c r="I83" s="109" t="n">
        <f aca="false">-IF(AND(7&gt;=Hipótesis!$D$76,MOD(7,12)=0,I81=0),MIN(Hipótesis!$D$77*MAX(0,SUM(C63:I63)),MAX(0,I82-Hipótesis!$D$80)),0)</f>
        <v>-0</v>
      </c>
      <c r="J83" s="109" t="n">
        <f aca="false">-IF(AND(8&gt;=Hipótesis!$D$76,MOD(8,12)=0,J81=0),MIN(Hipótesis!$D$77*MAX(0,SUM(C63:J63)),MAX(0,J82-Hipótesis!$D$80)),0)</f>
        <v>-0</v>
      </c>
      <c r="K83" s="109" t="n">
        <f aca="false">-IF(AND(9&gt;=Hipótesis!$D$76,MOD(9,12)=0,K81=0),MIN(Hipótesis!$D$77*MAX(0,SUM(C63:K63)),MAX(0,K82-Hipótesis!$D$80)),0)</f>
        <v>-0</v>
      </c>
      <c r="L83" s="109" t="n">
        <f aca="false">-IF(AND(10&gt;=Hipótesis!$D$76,MOD(10,12)=0,L81=0),MIN(Hipótesis!$D$77*MAX(0,SUM(C63:L63)),MAX(0,L82-Hipótesis!$D$80)),0)</f>
        <v>-0</v>
      </c>
      <c r="M83" s="109" t="n">
        <f aca="false">-IF(AND(11&gt;=Hipótesis!$D$76,MOD(11,12)=0,M81=0),MIN(Hipótesis!$D$77*MAX(0,SUM(C63:M63)),MAX(0,M82-Hipótesis!$D$80)),0)</f>
        <v>-0</v>
      </c>
      <c r="N83" s="109" t="n">
        <f aca="false">-IF(AND(12&gt;=Hipótesis!$D$76,MOD(12,12)=0,N81=0),MIN(Hipótesis!$D$77*MAX(0,SUM(C63:N63)),MAX(0,N82-Hipótesis!$D$80)),0)</f>
        <v>-0</v>
      </c>
      <c r="O83" s="109" t="n">
        <f aca="false">-IF(AND(13&gt;=Hipótesis!$D$76,MOD(13,12)=0,O81=0),MIN(Hipótesis!$D$77*MAX(0,SUM(D63:O63)),MAX(0,O82-Hipótesis!$D$80)),0)</f>
        <v>-0</v>
      </c>
      <c r="P83" s="109" t="n">
        <f aca="false">-IF(AND(14&gt;=Hipótesis!$D$76,MOD(14,12)=0,P81=0),MIN(Hipótesis!$D$77*MAX(0,SUM(E63:P63)),MAX(0,P82-Hipótesis!$D$80)),0)</f>
        <v>-0</v>
      </c>
      <c r="Q83" s="109" t="n">
        <f aca="false">-IF(AND(15&gt;=Hipótesis!$D$76,MOD(15,12)=0,Q81=0),MIN(Hipótesis!$D$77*MAX(0,SUM(F63:Q63)),MAX(0,Q82-Hipótesis!$D$80)),0)</f>
        <v>-0</v>
      </c>
      <c r="R83" s="109" t="n">
        <f aca="false">-IF(AND(16&gt;=Hipótesis!$D$76,MOD(16,12)=0,R81=0),MIN(Hipótesis!$D$77*MAX(0,SUM(G63:R63)),MAX(0,R82-Hipótesis!$D$80)),0)</f>
        <v>-0</v>
      </c>
      <c r="S83" s="109" t="n">
        <f aca="false">-IF(AND(17&gt;=Hipótesis!$D$76,MOD(17,12)=0,S81=0),MIN(Hipótesis!$D$77*MAX(0,SUM(H63:S63)),MAX(0,S82-Hipótesis!$D$80)),0)</f>
        <v>-0</v>
      </c>
      <c r="T83" s="109" t="n">
        <f aca="false">-IF(AND(18&gt;=Hipótesis!$D$76,MOD(18,12)=0,T81=0),MIN(Hipótesis!$D$77*MAX(0,SUM(I63:T63)),MAX(0,T82-Hipótesis!$D$80)),0)</f>
        <v>-0</v>
      </c>
      <c r="U83" s="109" t="n">
        <f aca="false">-IF(AND(19&gt;=Hipótesis!$D$76,MOD(19,12)=0,U81=0),MIN(Hipótesis!$D$77*MAX(0,SUM(J63:U63)),MAX(0,U82-Hipótesis!$D$80)),0)</f>
        <v>-0</v>
      </c>
      <c r="V83" s="109" t="n">
        <f aca="false">-IF(AND(20&gt;=Hipótesis!$D$76,MOD(20,12)=0,V81=0),MIN(Hipótesis!$D$77*MAX(0,SUM(K63:V63)),MAX(0,V82-Hipótesis!$D$80)),0)</f>
        <v>-0</v>
      </c>
      <c r="W83" s="109" t="n">
        <f aca="false">-IF(AND(21&gt;=Hipótesis!$D$76,MOD(21,12)=0,W81=0),MIN(Hipótesis!$D$77*MAX(0,SUM(L63:W63)),MAX(0,W82-Hipótesis!$D$80)),0)</f>
        <v>-0</v>
      </c>
      <c r="X83" s="109" t="n">
        <f aca="false">-IF(AND(22&gt;=Hipótesis!$D$76,MOD(22,12)=0,X81=0),MIN(Hipótesis!$D$77*MAX(0,SUM(M63:X63)),MAX(0,X82-Hipótesis!$D$80)),0)</f>
        <v>-0</v>
      </c>
      <c r="Y83" s="109" t="n">
        <f aca="false">-IF(AND(23&gt;=Hipótesis!$D$76,MOD(23,12)=0,Y81=0),MIN(Hipótesis!$D$77*MAX(0,SUM(N63:Y63)),MAX(0,Y82-Hipótesis!$D$80)),0)</f>
        <v>-0</v>
      </c>
      <c r="Z83" s="109" t="n">
        <f aca="false">-IF(AND(24&gt;=Hipótesis!$D$76,MOD(24,12)=0,Z81=0),MIN(Hipótesis!$D$77*MAX(0,SUM(O63:Z63)),MAX(0,Z82-Hipótesis!$D$80)),0)</f>
        <v>-0</v>
      </c>
      <c r="AA83" s="109" t="n">
        <f aca="false">-IF(AND(25&gt;=Hipótesis!$D$76,MOD(25,12)=0,AA81=0),MIN(Hipótesis!$D$77*MAX(0,SUM(P63:AA63)),MAX(0,AA82-Hipótesis!$D$80)),0)</f>
        <v>-0</v>
      </c>
      <c r="AB83" s="109" t="n">
        <f aca="false">-IF(AND(26&gt;=Hipótesis!$D$76,MOD(26,12)=0,AB81=0),MIN(Hipótesis!$D$77*MAX(0,SUM(Q63:AB63)),MAX(0,AB82-Hipótesis!$D$80)),0)</f>
        <v>-0</v>
      </c>
      <c r="AC83" s="109" t="n">
        <f aca="false">-IF(AND(27&gt;=Hipótesis!$D$76,MOD(27,12)=0,AC81=0),MIN(Hipótesis!$D$77*MAX(0,SUM(R63:AC63)),MAX(0,AC82-Hipótesis!$D$80)),0)</f>
        <v>-0</v>
      </c>
      <c r="AD83" s="109" t="n">
        <f aca="false">-IF(AND(28&gt;=Hipótesis!$D$76,MOD(28,12)=0,AD81=0),MIN(Hipótesis!$D$77*MAX(0,SUM(S63:AD63)),MAX(0,AD82-Hipótesis!$D$80)),0)</f>
        <v>-0</v>
      </c>
      <c r="AE83" s="109" t="n">
        <f aca="false">-IF(AND(29&gt;=Hipótesis!$D$76,MOD(29,12)=0,AE81=0),MIN(Hipótesis!$D$77*MAX(0,SUM(T63:AE63)),MAX(0,AE82-Hipótesis!$D$80)),0)</f>
        <v>-0</v>
      </c>
      <c r="AF83" s="109" t="n">
        <f aca="false">-IF(AND(30&gt;=Hipótesis!$D$76,MOD(30,12)=0,AF81=0),MIN(Hipótesis!$D$77*MAX(0,SUM(U63:AF63)),MAX(0,AF82-Hipótesis!$D$80)),0)</f>
        <v>-0</v>
      </c>
      <c r="AG83" s="109" t="n">
        <f aca="false">-IF(AND(31&gt;=Hipótesis!$D$76,MOD(31,12)=0,AG81=0),MIN(Hipótesis!$D$77*MAX(0,SUM(V63:AG63)),MAX(0,AG82-Hipótesis!$D$80)),0)</f>
        <v>-0</v>
      </c>
      <c r="AH83" s="109" t="n">
        <f aca="false">-IF(AND(32&gt;=Hipótesis!$D$76,MOD(32,12)=0,AH81=0),MIN(Hipótesis!$D$77*MAX(0,SUM(W63:AH63)),MAX(0,AH82-Hipótesis!$D$80)),0)</f>
        <v>-0</v>
      </c>
      <c r="AI83" s="109" t="n">
        <f aca="false">-IF(AND(33&gt;=Hipótesis!$D$76,MOD(33,12)=0,AI81=0),MIN(Hipótesis!$D$77*MAX(0,SUM(X63:AI63)),MAX(0,AI82-Hipótesis!$D$80)),0)</f>
        <v>-0</v>
      </c>
      <c r="AJ83" s="109" t="n">
        <f aca="false">-IF(AND(34&gt;=Hipótesis!$D$76,MOD(34,12)=0,AJ81=0),MIN(Hipótesis!$D$77*MAX(0,SUM(Y63:AJ63)),MAX(0,AJ82-Hipótesis!$D$80)),0)</f>
        <v>-0</v>
      </c>
      <c r="AK83" s="109" t="n">
        <f aca="false">-IF(AND(35&gt;=Hipótesis!$D$76,MOD(35,12)=0,AK81=0),MIN(Hipótesis!$D$77*MAX(0,SUM(Z63:AK63)),MAX(0,AK82-Hipótesis!$D$80)),0)</f>
        <v>-0</v>
      </c>
      <c r="AL83" s="109" t="n">
        <f aca="false">-IF(AND(36&gt;=Hipótesis!$D$76,MOD(36,12)=0,AL81=0),MIN(Hipótesis!$D$77*MAX(0,SUM(AA63:AL63)),MAX(0,AL82-Hipótesis!$D$80)),0)</f>
        <v>-0</v>
      </c>
      <c r="AM83" s="109" t="n">
        <f aca="false">-IF(AND(37&gt;=Hipótesis!$D$76,MOD(37,12)=0,AM81=0),MIN(Hipótesis!$D$77*MAX(0,SUM(AB63:AM63)),MAX(0,AM82-Hipótesis!$D$80)),0)</f>
        <v>-0</v>
      </c>
      <c r="AN83" s="109" t="n">
        <f aca="false">-IF(AND(38&gt;=Hipótesis!$D$76,MOD(38,12)=0,AN81=0),MIN(Hipótesis!$D$77*MAX(0,SUM(AC63:AN63)),MAX(0,AN82-Hipótesis!$D$80)),0)</f>
        <v>-0</v>
      </c>
      <c r="AO83" s="109" t="n">
        <f aca="false">-IF(AND(39&gt;=Hipótesis!$D$76,MOD(39,12)=0,AO81=0),MIN(Hipótesis!$D$77*MAX(0,SUM(AD63:AO63)),MAX(0,AO82-Hipótesis!$D$80)),0)</f>
        <v>-0</v>
      </c>
      <c r="AP83" s="109" t="n">
        <f aca="false">-IF(AND(40&gt;=Hipótesis!$D$76,MOD(40,12)=0,AP81=0),MIN(Hipótesis!$D$77*MAX(0,SUM(AE63:AP63)),MAX(0,AP82-Hipótesis!$D$80)),0)</f>
        <v>-0</v>
      </c>
      <c r="AQ83" s="109" t="n">
        <f aca="false">-IF(AND(41&gt;=Hipótesis!$D$76,MOD(41,12)=0,AQ81=0),MIN(Hipótesis!$D$77*MAX(0,SUM(AF63:AQ63)),MAX(0,AQ82-Hipótesis!$D$80)),0)</f>
        <v>-0</v>
      </c>
      <c r="AR83" s="109" t="n">
        <f aca="false">-IF(AND(42&gt;=Hipótesis!$D$76,MOD(42,12)=0,AR81=0),MIN(Hipótesis!$D$77*MAX(0,SUM(AG63:AR63)),MAX(0,AR82-Hipótesis!$D$80)),0)</f>
        <v>-0</v>
      </c>
      <c r="AS83" s="109" t="n">
        <f aca="false">-IF(AND(43&gt;=Hipótesis!$D$76,MOD(43,12)=0,AS81=0),MIN(Hipótesis!$D$77*MAX(0,SUM(AH63:AS63)),MAX(0,AS82-Hipótesis!$D$80)),0)</f>
        <v>-0</v>
      </c>
      <c r="AT83" s="109" t="n">
        <f aca="false">-IF(AND(44&gt;=Hipótesis!$D$76,MOD(44,12)=0,AT81=0),MIN(Hipótesis!$D$77*MAX(0,SUM(AI63:AT63)),MAX(0,AT82-Hipótesis!$D$80)),0)</f>
        <v>-0</v>
      </c>
      <c r="AU83" s="109" t="n">
        <f aca="false">-IF(AND(45&gt;=Hipótesis!$D$76,MOD(45,12)=0,AU81=0),MIN(Hipótesis!$D$77*MAX(0,SUM(AJ63:AU63)),MAX(0,AU82-Hipótesis!$D$80)),0)</f>
        <v>-0</v>
      </c>
      <c r="AV83" s="109" t="n">
        <f aca="false">-IF(AND(46&gt;=Hipótesis!$D$76,MOD(46,12)=0,AV81=0),MIN(Hipótesis!$D$77*MAX(0,SUM(AK63:AV63)),MAX(0,AV82-Hipótesis!$D$80)),0)</f>
        <v>-0</v>
      </c>
      <c r="AW83" s="109" t="n">
        <f aca="false">-IF(AND(47&gt;=Hipótesis!$D$76,MOD(47,12)=0,AW81=0),MIN(Hipótesis!$D$77*MAX(0,SUM(AL63:AW63)),MAX(0,AW82-Hipótesis!$D$80)),0)</f>
        <v>-0</v>
      </c>
      <c r="AX83" s="109" t="n">
        <f aca="false">-IF(AND(48&gt;=Hipótesis!$D$76,MOD(48,12)=0,AX81=0),MIN(Hipótesis!$D$77*MAX(0,SUM(AM63:AX63)),MAX(0,AX82-Hipótesis!$D$80)),0)</f>
        <v>-154928.418262553</v>
      </c>
      <c r="AY83" s="109" t="n">
        <f aca="false">-IF(AND(49&gt;=Hipótesis!$D$76,MOD(49,12)=0,AY81=0),MIN(Hipótesis!$D$77*MAX(0,SUM(AN63:AY63)),MAX(0,AY82-Hipótesis!$D$80)),0)</f>
        <v>-0</v>
      </c>
      <c r="AZ83" s="109" t="n">
        <f aca="false">-IF(AND(50&gt;=Hipótesis!$D$76,MOD(50,12)=0,AZ81=0),MIN(Hipótesis!$D$77*MAX(0,SUM(AO63:AZ63)),MAX(0,AZ82-Hipótesis!$D$80)),0)</f>
        <v>-0</v>
      </c>
      <c r="BA83" s="109" t="n">
        <f aca="false">-IF(AND(51&gt;=Hipótesis!$D$76,MOD(51,12)=0,BA81=0),MIN(Hipótesis!$D$77*MAX(0,SUM(AP63:BA63)),MAX(0,BA82-Hipótesis!$D$80)),0)</f>
        <v>-0</v>
      </c>
      <c r="BB83" s="109" t="n">
        <f aca="false">-IF(AND(52&gt;=Hipótesis!$D$76,MOD(52,12)=0,BB81=0),MIN(Hipótesis!$D$77*MAX(0,SUM(AQ63:BB63)),MAX(0,BB82-Hipótesis!$D$80)),0)</f>
        <v>-0</v>
      </c>
      <c r="BC83" s="109" t="n">
        <f aca="false">-IF(AND(53&gt;=Hipótesis!$D$76,MOD(53,12)=0,BC81=0),MIN(Hipótesis!$D$77*MAX(0,SUM(AR63:BC63)),MAX(0,BC82-Hipótesis!$D$80)),0)</f>
        <v>-0</v>
      </c>
      <c r="BD83" s="109" t="n">
        <f aca="false">-IF(AND(54&gt;=Hipótesis!$D$76,MOD(54,12)=0,BD81=0),MIN(Hipótesis!$D$77*MAX(0,SUM(AS63:BD63)),MAX(0,BD82-Hipótesis!$D$80)),0)</f>
        <v>-0</v>
      </c>
      <c r="BE83" s="109" t="n">
        <f aca="false">-IF(AND(55&gt;=Hipótesis!$D$76,MOD(55,12)=0,BE81=0),MIN(Hipótesis!$D$77*MAX(0,SUM(AT63:BE63)),MAX(0,BE82-Hipótesis!$D$80)),0)</f>
        <v>-0</v>
      </c>
      <c r="BF83" s="109" t="n">
        <f aca="false">-IF(AND(56&gt;=Hipótesis!$D$76,MOD(56,12)=0,BF81=0),MIN(Hipótesis!$D$77*MAX(0,SUM(AU63:BF63)),MAX(0,BF82-Hipótesis!$D$80)),0)</f>
        <v>-0</v>
      </c>
      <c r="BG83" s="109" t="n">
        <f aca="false">-IF(AND(57&gt;=Hipótesis!$D$76,MOD(57,12)=0,BG81=0),MIN(Hipótesis!$D$77*MAX(0,SUM(AV63:BG63)),MAX(0,BG82-Hipótesis!$D$80)),0)</f>
        <v>-0</v>
      </c>
      <c r="BH83" s="109" t="n">
        <f aca="false">-IF(AND(58&gt;=Hipótesis!$D$76,MOD(58,12)=0,BH81=0),MIN(Hipótesis!$D$77*MAX(0,SUM(AW63:BH63)),MAX(0,BH82-Hipótesis!$D$80)),0)</f>
        <v>-0</v>
      </c>
      <c r="BI83" s="109" t="n">
        <f aca="false">-IF(AND(59&gt;=Hipótesis!$D$76,MOD(59,12)=0,BI81=0),MIN(Hipótesis!$D$77*MAX(0,SUM(AX63:BI63)),MAX(0,BI82-Hipótesis!$D$80)),0)</f>
        <v>-0</v>
      </c>
      <c r="BJ83" s="109" t="n">
        <f aca="false">-IF(AND(60&gt;=Hipótesis!$D$76,MOD(60,12)=0,BJ81=0),MIN(Hipótesis!$D$77*MAX(0,SUM(AY63:BJ63)),MAX(0,BJ82-Hipótesis!$D$80)),0)</f>
        <v>-153650.996419085</v>
      </c>
      <c r="BK83" s="109" t="n">
        <f aca="false">-IF(AND(61&gt;=Hipótesis!$D$76,MOD(61,12)=0,BK81=0),MIN(Hipótesis!$D$77*MAX(0,SUM(AZ63:BK63)),MAX(0,BK82-Hipótesis!$D$80)),0)</f>
        <v>-0</v>
      </c>
      <c r="BL83" s="109" t="n">
        <f aca="false">-IF(AND(62&gt;=Hipótesis!$D$76,MOD(62,12)=0,BL81=0),MIN(Hipótesis!$D$77*MAX(0,SUM(BA63:BL63)),MAX(0,BL82-Hipótesis!$D$80)),0)</f>
        <v>-0</v>
      </c>
      <c r="BM83" s="109" t="n">
        <f aca="false">-IF(AND(63&gt;=Hipótesis!$D$76,MOD(63,12)=0,BM81=0),MIN(Hipótesis!$D$77*MAX(0,SUM(BB63:BM63)),MAX(0,BM82-Hipótesis!$D$80)),0)</f>
        <v>-0</v>
      </c>
      <c r="BN83" s="109" t="n">
        <f aca="false">-IF(AND(64&gt;=Hipótesis!$D$76,MOD(64,12)=0,BN81=0),MIN(Hipótesis!$D$77*MAX(0,SUM(BC63:BN63)),MAX(0,BN82-Hipótesis!$D$80)),0)</f>
        <v>-0</v>
      </c>
      <c r="BO83" s="109" t="n">
        <f aca="false">-IF(AND(65&gt;=Hipótesis!$D$76,MOD(65,12)=0,BO81=0),MIN(Hipótesis!$D$77*MAX(0,SUM(BD63:BO63)),MAX(0,BO82-Hipótesis!$D$80)),0)</f>
        <v>-0</v>
      </c>
      <c r="BP83" s="109" t="n">
        <f aca="false">-IF(AND(66&gt;=Hipótesis!$D$76,MOD(66,12)=0,BP81=0),MIN(Hipótesis!$D$77*MAX(0,SUM(BE63:BP63)),MAX(0,BP82-Hipótesis!$D$80)),0)</f>
        <v>-0</v>
      </c>
      <c r="BQ83" s="109" t="n">
        <f aca="false">-IF(AND(67&gt;=Hipótesis!$D$76,MOD(67,12)=0,BQ81=0),MIN(Hipótesis!$D$77*MAX(0,SUM(BF63:BQ63)),MAX(0,BQ82-Hipótesis!$D$80)),0)</f>
        <v>-0</v>
      </c>
      <c r="BR83" s="109" t="n">
        <f aca="false">-IF(AND(68&gt;=Hipótesis!$D$76,MOD(68,12)=0,BR81=0),MIN(Hipótesis!$D$77*MAX(0,SUM(BG63:BR63)),MAX(0,BR82-Hipótesis!$D$80)),0)</f>
        <v>-0</v>
      </c>
      <c r="BS83" s="109" t="n">
        <f aca="false">-IF(AND(69&gt;=Hipótesis!$D$76,MOD(69,12)=0,BS81=0),MIN(Hipótesis!$D$77*MAX(0,SUM(BH63:BS63)),MAX(0,BS82-Hipótesis!$D$80)),0)</f>
        <v>-0</v>
      </c>
      <c r="BT83" s="109" t="n">
        <f aca="false">-IF(AND(70&gt;=Hipótesis!$D$76,MOD(70,12)=0,BT81=0),MIN(Hipótesis!$D$77*MAX(0,SUM(BI63:BT63)),MAX(0,BT82-Hipótesis!$D$80)),0)</f>
        <v>-0</v>
      </c>
      <c r="BU83" s="109" t="n">
        <f aca="false">-IF(AND(71&gt;=Hipótesis!$D$76,MOD(71,12)=0,BU81=0),MIN(Hipótesis!$D$77*MAX(0,SUM(BJ63:BU63)),MAX(0,BU82-Hipótesis!$D$80)),0)</f>
        <v>-0</v>
      </c>
      <c r="BV83" s="109" t="n">
        <f aca="false">-IF(AND(72&gt;=Hipótesis!$D$76,MOD(72,12)=0,BV81=0),MIN(Hipótesis!$D$77*MAX(0,SUM(BK63:BV63)),MAX(0,BV82-Hipótesis!$D$80)),0)</f>
        <v>-145207.326778552</v>
      </c>
      <c r="BW83" s="109" t="n">
        <f aca="false">-IF(AND(73&gt;=Hipótesis!$D$76,MOD(73,12)=0,BW81=0),MIN(Hipótesis!$D$77*MAX(0,SUM(BL63:BW63)),MAX(0,BW82-Hipótesis!$D$80)),0)</f>
        <v>-0</v>
      </c>
      <c r="BX83" s="109" t="n">
        <f aca="false">-IF(AND(74&gt;=Hipótesis!$D$76,MOD(74,12)=0,BX81=0),MIN(Hipótesis!$D$77*MAX(0,SUM(BM63:BX63)),MAX(0,BX82-Hipótesis!$D$80)),0)</f>
        <v>-0</v>
      </c>
      <c r="BY83" s="109" t="n">
        <f aca="false">-IF(AND(75&gt;=Hipótesis!$D$76,MOD(75,12)=0,BY81=0),MIN(Hipótesis!$D$77*MAX(0,SUM(BN63:BY63)),MAX(0,BY82-Hipótesis!$D$80)),0)</f>
        <v>-0</v>
      </c>
      <c r="BZ83" s="109" t="n">
        <f aca="false">-IF(AND(76&gt;=Hipótesis!$D$76,MOD(76,12)=0,BZ81=0),MIN(Hipótesis!$D$77*MAX(0,SUM(BO63:BZ63)),MAX(0,BZ82-Hipótesis!$D$80)),0)</f>
        <v>-0</v>
      </c>
      <c r="CA83" s="109" t="n">
        <f aca="false">-IF(AND(77&gt;=Hipótesis!$D$76,MOD(77,12)=0,CA81=0),MIN(Hipótesis!$D$77*MAX(0,SUM(BP63:CA63)),MAX(0,CA82-Hipótesis!$D$80)),0)</f>
        <v>-0</v>
      </c>
      <c r="CB83" s="109" t="n">
        <f aca="false">-IF(AND(78&gt;=Hipótesis!$D$76,MOD(78,12)=0,CB81=0),MIN(Hipótesis!$D$77*MAX(0,SUM(BQ63:CB63)),MAX(0,CB82-Hipótesis!$D$80)),0)</f>
        <v>-0</v>
      </c>
      <c r="CC83" s="109" t="n">
        <f aca="false">-IF(AND(79&gt;=Hipótesis!$D$76,MOD(79,12)=0,CC81=0),MIN(Hipótesis!$D$77*MAX(0,SUM(BR63:CC63)),MAX(0,CC82-Hipótesis!$D$80)),0)</f>
        <v>-0</v>
      </c>
      <c r="CD83" s="109" t="n">
        <f aca="false">-IF(AND(80&gt;=Hipótesis!$D$76,MOD(80,12)=0,CD81=0),MIN(Hipótesis!$D$77*MAX(0,SUM(BS63:CD63)),MAX(0,CD82-Hipótesis!$D$80)),0)</f>
        <v>-0</v>
      </c>
      <c r="CE83" s="109" t="n">
        <f aca="false">-IF(AND(81&gt;=Hipótesis!$D$76,MOD(81,12)=0,CE81=0),MIN(Hipótesis!$D$77*MAX(0,SUM(BT63:CE63)),MAX(0,CE82-Hipótesis!$D$80)),0)</f>
        <v>-0</v>
      </c>
      <c r="CF83" s="109" t="n">
        <f aca="false">-IF(AND(82&gt;=Hipótesis!$D$76,MOD(82,12)=0,CF81=0),MIN(Hipótesis!$D$77*MAX(0,SUM(BU63:CF63)),MAX(0,CF82-Hipótesis!$D$80)),0)</f>
        <v>-0</v>
      </c>
      <c r="CG83" s="109" t="n">
        <f aca="false">-IF(AND(83&gt;=Hipótesis!$D$76,MOD(83,12)=0,CG81=0),MIN(Hipótesis!$D$77*MAX(0,SUM(BV63:CG63)),MAX(0,CG82-Hipótesis!$D$80)),0)</f>
        <v>-0</v>
      </c>
      <c r="CH83" s="109" t="n">
        <f aca="false">-IF(AND(84&gt;=Hipótesis!$D$76,MOD(84,12)=0,CH81=0),MIN(Hipótesis!$D$77*MAX(0,SUM(BW63:CH63)),MAX(0,CH82-Hipótesis!$D$80)),0)</f>
        <v>-136712.710248803</v>
      </c>
    </row>
    <row r="84" customFormat="false" ht="13.5" hidden="false" customHeight="true" outlineLevel="0" collapsed="false">
      <c r="A84" s="22" t="s">
        <v>586</v>
      </c>
      <c r="C84" s="109" t="n">
        <f aca="false">-IF(AND(1&gt;=Hipótesis!$D$78,MOD(1,12)=0,C96=0,C89=0,C101=0,C81=0),MIN(Hipótesis!$D$79*MAX(0,C112),MAX(0,C82+C83-Hipótesis!$D$80)),0)</f>
        <v>-0</v>
      </c>
      <c r="D84" s="109" t="n">
        <f aca="false">-IF(AND(2&gt;=Hipótesis!$D$78,MOD(2,12)=0,D96=0,D89=0,D101=0,D81=0),MIN(Hipótesis!$D$79*MAX(0,D112),MAX(0,D82+D83-Hipótesis!$D$80)),0)</f>
        <v>-0</v>
      </c>
      <c r="E84" s="109" t="n">
        <f aca="false">-IF(AND(3&gt;=Hipótesis!$D$78,MOD(3,12)=0,E96=0,E89=0,E101=0,E81=0),MIN(Hipótesis!$D$79*MAX(0,E112),MAX(0,E82+E83-Hipótesis!$D$80)),0)</f>
        <v>-0</v>
      </c>
      <c r="F84" s="109" t="n">
        <f aca="false">-IF(AND(4&gt;=Hipótesis!$D$78,MOD(4,12)=0,F96=0,F89=0,F101=0,F81=0),MIN(Hipótesis!$D$79*MAX(0,F112),MAX(0,F82+F83-Hipótesis!$D$80)),0)</f>
        <v>-0</v>
      </c>
      <c r="G84" s="109" t="n">
        <f aca="false">-IF(AND(5&gt;=Hipótesis!$D$78,MOD(5,12)=0,G96=0,G89=0,G101=0,G81=0),MIN(Hipótesis!$D$79*MAX(0,G112),MAX(0,G82+G83-Hipótesis!$D$80)),0)</f>
        <v>-0</v>
      </c>
      <c r="H84" s="109" t="n">
        <f aca="false">-IF(AND(6&gt;=Hipótesis!$D$78,MOD(6,12)=0,H96=0,H89=0,H101=0,H81=0),MIN(Hipótesis!$D$79*MAX(0,H112),MAX(0,H82+H83-Hipótesis!$D$80)),0)</f>
        <v>-0</v>
      </c>
      <c r="I84" s="109" t="n">
        <f aca="false">-IF(AND(7&gt;=Hipótesis!$D$78,MOD(7,12)=0,I96=0,I89=0,I101=0,I81=0),MIN(Hipótesis!$D$79*MAX(0,I112),MAX(0,I82+I83-Hipótesis!$D$80)),0)</f>
        <v>-0</v>
      </c>
      <c r="J84" s="109" t="n">
        <f aca="false">-IF(AND(8&gt;=Hipótesis!$D$78,MOD(8,12)=0,J96=0,J89=0,J101=0,J81=0),MIN(Hipótesis!$D$79*MAX(0,J112),MAX(0,J82+J83-Hipótesis!$D$80)),0)</f>
        <v>-0</v>
      </c>
      <c r="K84" s="109" t="n">
        <f aca="false">-IF(AND(9&gt;=Hipótesis!$D$78,MOD(9,12)=0,K96=0,K89=0,K101=0,K81=0),MIN(Hipótesis!$D$79*MAX(0,K112),MAX(0,K82+K83-Hipótesis!$D$80)),0)</f>
        <v>-0</v>
      </c>
      <c r="L84" s="109" t="n">
        <f aca="false">-IF(AND(10&gt;=Hipótesis!$D$78,MOD(10,12)=0,L96=0,L89=0,L101=0,L81=0),MIN(Hipótesis!$D$79*MAX(0,L112),MAX(0,L82+L83-Hipótesis!$D$80)),0)</f>
        <v>-0</v>
      </c>
      <c r="M84" s="109" t="n">
        <f aca="false">-IF(AND(11&gt;=Hipótesis!$D$78,MOD(11,12)=0,M96=0,M89=0,M101=0,M81=0),MIN(Hipótesis!$D$79*MAX(0,M112),MAX(0,M82+M83-Hipótesis!$D$80)),0)</f>
        <v>-0</v>
      </c>
      <c r="N84" s="109" t="n">
        <f aca="false">-IF(AND(12&gt;=Hipótesis!$D$78,MOD(12,12)=0,N96=0,N89=0,N101=0,N81=0),MIN(Hipótesis!$D$79*MAX(0,N112),MAX(0,N82+N83-Hipótesis!$D$80)),0)</f>
        <v>-0</v>
      </c>
      <c r="O84" s="109" t="n">
        <f aca="false">-IF(AND(13&gt;=Hipótesis!$D$78,MOD(13,12)=0,O96=0,O89=0,O101=0,O81=0),MIN(Hipótesis!$D$79*MAX(0,O112),MAX(0,O82+O83-Hipótesis!$D$80)),0)</f>
        <v>-0</v>
      </c>
      <c r="P84" s="109" t="n">
        <f aca="false">-IF(AND(14&gt;=Hipótesis!$D$78,MOD(14,12)=0,P96=0,P89=0,P101=0,P81=0),MIN(Hipótesis!$D$79*MAX(0,P112),MAX(0,P82+P83-Hipótesis!$D$80)),0)</f>
        <v>-0</v>
      </c>
      <c r="Q84" s="109" t="n">
        <f aca="false">-IF(AND(15&gt;=Hipótesis!$D$78,MOD(15,12)=0,Q96=0,Q89=0,Q101=0,Q81=0),MIN(Hipótesis!$D$79*MAX(0,Q112),MAX(0,Q82+Q83-Hipótesis!$D$80)),0)</f>
        <v>-0</v>
      </c>
      <c r="R84" s="109" t="n">
        <f aca="false">-IF(AND(16&gt;=Hipótesis!$D$78,MOD(16,12)=0,R96=0,R89=0,R101=0,R81=0),MIN(Hipótesis!$D$79*MAX(0,R112),MAX(0,R82+R83-Hipótesis!$D$80)),0)</f>
        <v>-0</v>
      </c>
      <c r="S84" s="109" t="n">
        <f aca="false">-IF(AND(17&gt;=Hipótesis!$D$78,MOD(17,12)=0,S96=0,S89=0,S101=0,S81=0),MIN(Hipótesis!$D$79*MAX(0,S112),MAX(0,S82+S83-Hipótesis!$D$80)),0)</f>
        <v>-0</v>
      </c>
      <c r="T84" s="109" t="n">
        <f aca="false">-IF(AND(18&gt;=Hipótesis!$D$78,MOD(18,12)=0,T96=0,T89=0,T101=0,T81=0),MIN(Hipótesis!$D$79*MAX(0,T112),MAX(0,T82+T83-Hipótesis!$D$80)),0)</f>
        <v>-0</v>
      </c>
      <c r="U84" s="109" t="n">
        <f aca="false">-IF(AND(19&gt;=Hipótesis!$D$78,MOD(19,12)=0,U96=0,U89=0,U101=0,U81=0),MIN(Hipótesis!$D$79*MAX(0,U112),MAX(0,U82+U83-Hipótesis!$D$80)),0)</f>
        <v>-0</v>
      </c>
      <c r="V84" s="109" t="n">
        <f aca="false">-IF(AND(20&gt;=Hipótesis!$D$78,MOD(20,12)=0,V96=0,V89=0,V101=0,V81=0),MIN(Hipótesis!$D$79*MAX(0,V112),MAX(0,V82+V83-Hipótesis!$D$80)),0)</f>
        <v>-0</v>
      </c>
      <c r="W84" s="109" t="n">
        <f aca="false">-IF(AND(21&gt;=Hipótesis!$D$78,MOD(21,12)=0,W96=0,W89=0,W101=0,W81=0),MIN(Hipótesis!$D$79*MAX(0,W112),MAX(0,W82+W83-Hipótesis!$D$80)),0)</f>
        <v>-0</v>
      </c>
      <c r="X84" s="109" t="n">
        <f aca="false">-IF(AND(22&gt;=Hipótesis!$D$78,MOD(22,12)=0,X96=0,X89=0,X101=0,X81=0),MIN(Hipótesis!$D$79*MAX(0,X112),MAX(0,X82+X83-Hipótesis!$D$80)),0)</f>
        <v>-0</v>
      </c>
      <c r="Y84" s="109" t="n">
        <f aca="false">-IF(AND(23&gt;=Hipótesis!$D$78,MOD(23,12)=0,Y96=0,Y89=0,Y101=0,Y81=0),MIN(Hipótesis!$D$79*MAX(0,Y112),MAX(0,Y82+Y83-Hipótesis!$D$80)),0)</f>
        <v>-0</v>
      </c>
      <c r="Z84" s="109" t="n">
        <f aca="false">-IF(AND(24&gt;=Hipótesis!$D$78,MOD(24,12)=0,Z96=0,Z89=0,Z101=0,Z81=0),MIN(Hipótesis!$D$79*MAX(0,Z112),MAX(0,Z82+Z83-Hipótesis!$D$80)),0)</f>
        <v>-0</v>
      </c>
      <c r="AA84" s="109" t="n">
        <f aca="false">-IF(AND(25&gt;=Hipótesis!$D$78,MOD(25,12)=0,AA96=0,AA89=0,AA101=0,AA81=0),MIN(Hipótesis!$D$79*MAX(0,AA112),MAX(0,AA82+AA83-Hipótesis!$D$80)),0)</f>
        <v>-0</v>
      </c>
      <c r="AB84" s="109" t="n">
        <f aca="false">-IF(AND(26&gt;=Hipótesis!$D$78,MOD(26,12)=0,AB96=0,AB89=0,AB101=0,AB81=0),MIN(Hipótesis!$D$79*MAX(0,AB112),MAX(0,AB82+AB83-Hipótesis!$D$80)),0)</f>
        <v>-0</v>
      </c>
      <c r="AC84" s="109" t="n">
        <f aca="false">-IF(AND(27&gt;=Hipótesis!$D$78,MOD(27,12)=0,AC96=0,AC89=0,AC101=0,AC81=0),MIN(Hipótesis!$D$79*MAX(0,AC112),MAX(0,AC82+AC83-Hipótesis!$D$80)),0)</f>
        <v>-0</v>
      </c>
      <c r="AD84" s="109" t="n">
        <f aca="false">-IF(AND(28&gt;=Hipótesis!$D$78,MOD(28,12)=0,AD96=0,AD89=0,AD101=0,AD81=0),MIN(Hipótesis!$D$79*MAX(0,AD112),MAX(0,AD82+AD83-Hipótesis!$D$80)),0)</f>
        <v>-0</v>
      </c>
      <c r="AE84" s="109" t="n">
        <f aca="false">-IF(AND(29&gt;=Hipótesis!$D$78,MOD(29,12)=0,AE96=0,AE89=0,AE101=0,AE81=0),MIN(Hipótesis!$D$79*MAX(0,AE112),MAX(0,AE82+AE83-Hipótesis!$D$80)),0)</f>
        <v>-0</v>
      </c>
      <c r="AF84" s="109" t="n">
        <f aca="false">-IF(AND(30&gt;=Hipótesis!$D$78,MOD(30,12)=0,AF96=0,AF89=0,AF101=0,AF81=0),MIN(Hipótesis!$D$79*MAX(0,AF112),MAX(0,AF82+AF83-Hipótesis!$D$80)),0)</f>
        <v>-0</v>
      </c>
      <c r="AG84" s="109" t="n">
        <f aca="false">-IF(AND(31&gt;=Hipótesis!$D$78,MOD(31,12)=0,AG96=0,AG89=0,AG101=0,AG81=0),MIN(Hipótesis!$D$79*MAX(0,AG112),MAX(0,AG82+AG83-Hipótesis!$D$80)),0)</f>
        <v>-0</v>
      </c>
      <c r="AH84" s="109" t="n">
        <f aca="false">-IF(AND(32&gt;=Hipótesis!$D$78,MOD(32,12)=0,AH96=0,AH89=0,AH101=0,AH81=0),MIN(Hipótesis!$D$79*MAX(0,AH112),MAX(0,AH82+AH83-Hipótesis!$D$80)),0)</f>
        <v>-0</v>
      </c>
      <c r="AI84" s="109" t="n">
        <f aca="false">-IF(AND(33&gt;=Hipótesis!$D$78,MOD(33,12)=0,AI96=0,AI89=0,AI101=0,AI81=0),MIN(Hipótesis!$D$79*MAX(0,AI112),MAX(0,AI82+AI83-Hipótesis!$D$80)),0)</f>
        <v>-0</v>
      </c>
      <c r="AJ84" s="109" t="n">
        <f aca="false">-IF(AND(34&gt;=Hipótesis!$D$78,MOD(34,12)=0,AJ96=0,AJ89=0,AJ101=0,AJ81=0),MIN(Hipótesis!$D$79*MAX(0,AJ112),MAX(0,AJ82+AJ83-Hipótesis!$D$80)),0)</f>
        <v>-0</v>
      </c>
      <c r="AK84" s="109" t="n">
        <f aca="false">-IF(AND(35&gt;=Hipótesis!$D$78,MOD(35,12)=0,AK96=0,AK89=0,AK101=0,AK81=0),MIN(Hipótesis!$D$79*MAX(0,AK112),MAX(0,AK82+AK83-Hipótesis!$D$80)),0)</f>
        <v>-0</v>
      </c>
      <c r="AL84" s="109" t="n">
        <f aca="false">-IF(AND(36&gt;=Hipótesis!$D$78,MOD(36,12)=0,AL96=0,AL89=0,AL101=0,AL81=0),MIN(Hipótesis!$D$79*MAX(0,AL112),MAX(0,AL82+AL83-Hipótesis!$D$80)),0)</f>
        <v>-0</v>
      </c>
      <c r="AM84" s="109" t="n">
        <f aca="false">-IF(AND(37&gt;=Hipótesis!$D$78,MOD(37,12)=0,AM96=0,AM89=0,AM101=0,AM81=0),MIN(Hipótesis!$D$79*MAX(0,AM112),MAX(0,AM82+AM83-Hipótesis!$D$80)),0)</f>
        <v>-0</v>
      </c>
      <c r="AN84" s="109" t="n">
        <f aca="false">-IF(AND(38&gt;=Hipótesis!$D$78,MOD(38,12)=0,AN96=0,AN89=0,AN101=0,AN81=0),MIN(Hipótesis!$D$79*MAX(0,AN112),MAX(0,AN82+AN83-Hipótesis!$D$80)),0)</f>
        <v>-0</v>
      </c>
      <c r="AO84" s="109" t="n">
        <f aca="false">-IF(AND(39&gt;=Hipótesis!$D$78,MOD(39,12)=0,AO96=0,AO89=0,AO101=0,AO81=0),MIN(Hipótesis!$D$79*MAX(0,AO112),MAX(0,AO82+AO83-Hipótesis!$D$80)),0)</f>
        <v>-0</v>
      </c>
      <c r="AP84" s="109" t="n">
        <f aca="false">-IF(AND(40&gt;=Hipótesis!$D$78,MOD(40,12)=0,AP96=0,AP89=0,AP101=0,AP81=0),MIN(Hipótesis!$D$79*MAX(0,AP112),MAX(0,AP82+AP83-Hipótesis!$D$80)),0)</f>
        <v>-0</v>
      </c>
      <c r="AQ84" s="109" t="n">
        <f aca="false">-IF(AND(41&gt;=Hipótesis!$D$78,MOD(41,12)=0,AQ96=0,AQ89=0,AQ101=0,AQ81=0),MIN(Hipótesis!$D$79*MAX(0,AQ112),MAX(0,AQ82+AQ83-Hipótesis!$D$80)),0)</f>
        <v>-0</v>
      </c>
      <c r="AR84" s="109" t="n">
        <f aca="false">-IF(AND(42&gt;=Hipótesis!$D$78,MOD(42,12)=0,AR96=0,AR89=0,AR101=0,AR81=0),MIN(Hipótesis!$D$79*MAX(0,AR112),MAX(0,AR82+AR83-Hipótesis!$D$80)),0)</f>
        <v>-0</v>
      </c>
      <c r="AS84" s="109" t="n">
        <f aca="false">-IF(AND(43&gt;=Hipótesis!$D$78,MOD(43,12)=0,AS96=0,AS89=0,AS101=0,AS81=0),MIN(Hipótesis!$D$79*MAX(0,AS112),MAX(0,AS82+AS83-Hipótesis!$D$80)),0)</f>
        <v>-0</v>
      </c>
      <c r="AT84" s="109" t="n">
        <f aca="false">-IF(AND(44&gt;=Hipótesis!$D$78,MOD(44,12)=0,AT96=0,AT89=0,AT101=0,AT81=0),MIN(Hipótesis!$D$79*MAX(0,AT112),MAX(0,AT82+AT83-Hipótesis!$D$80)),0)</f>
        <v>-0</v>
      </c>
      <c r="AU84" s="109" t="n">
        <f aca="false">-IF(AND(45&gt;=Hipótesis!$D$78,MOD(45,12)=0,AU96=0,AU89=0,AU101=0,AU81=0),MIN(Hipótesis!$D$79*MAX(0,AU112),MAX(0,AU82+AU83-Hipótesis!$D$80)),0)</f>
        <v>-0</v>
      </c>
      <c r="AV84" s="109" t="n">
        <f aca="false">-IF(AND(46&gt;=Hipótesis!$D$78,MOD(46,12)=0,AV96=0,AV89=0,AV101=0,AV81=0),MIN(Hipótesis!$D$79*MAX(0,AV112),MAX(0,AV82+AV83-Hipótesis!$D$80)),0)</f>
        <v>-0</v>
      </c>
      <c r="AW84" s="109" t="n">
        <f aca="false">-IF(AND(47&gt;=Hipótesis!$D$78,MOD(47,12)=0,AW96=0,AW89=0,AW101=0,AW81=0),MIN(Hipótesis!$D$79*MAX(0,AW112),MAX(0,AW82+AW83-Hipótesis!$D$80)),0)</f>
        <v>-0</v>
      </c>
      <c r="AX84" s="109" t="n">
        <f aca="false">-IF(AND(48&gt;=Hipótesis!$D$78,MOD(48,12)=0,AX96=0,AX89=0,AX101=0,AX81=0),MIN(Hipótesis!$D$79*MAX(0,AX112),MAX(0,AX82+AX83-Hipótesis!$D$80)),0)</f>
        <v>-0</v>
      </c>
      <c r="AY84" s="109" t="n">
        <f aca="false">-IF(AND(49&gt;=Hipótesis!$D$78,MOD(49,12)=0,AY96=0,AY89=0,AY101=0,AY81=0),MIN(Hipótesis!$D$79*MAX(0,AY112),MAX(0,AY82+AY83-Hipótesis!$D$80)),0)</f>
        <v>-0</v>
      </c>
      <c r="AZ84" s="109" t="n">
        <f aca="false">-IF(AND(50&gt;=Hipótesis!$D$78,MOD(50,12)=0,AZ96=0,AZ89=0,AZ101=0,AZ81=0),MIN(Hipótesis!$D$79*MAX(0,AZ112),MAX(0,AZ82+AZ83-Hipótesis!$D$80)),0)</f>
        <v>-0</v>
      </c>
      <c r="BA84" s="109" t="n">
        <f aca="false">-IF(AND(51&gt;=Hipótesis!$D$78,MOD(51,12)=0,BA96=0,BA89=0,BA101=0,BA81=0),MIN(Hipótesis!$D$79*MAX(0,BA112),MAX(0,BA82+BA83-Hipótesis!$D$80)),0)</f>
        <v>-0</v>
      </c>
      <c r="BB84" s="109" t="n">
        <f aca="false">-IF(AND(52&gt;=Hipótesis!$D$78,MOD(52,12)=0,BB96=0,BB89=0,BB101=0,BB81=0),MIN(Hipótesis!$D$79*MAX(0,BB112),MAX(0,BB82+BB83-Hipótesis!$D$80)),0)</f>
        <v>-0</v>
      </c>
      <c r="BC84" s="109" t="n">
        <f aca="false">-IF(AND(53&gt;=Hipótesis!$D$78,MOD(53,12)=0,BC96=0,BC89=0,BC101=0,BC81=0),MIN(Hipótesis!$D$79*MAX(0,BC112),MAX(0,BC82+BC83-Hipótesis!$D$80)),0)</f>
        <v>-0</v>
      </c>
      <c r="BD84" s="109" t="n">
        <f aca="false">-IF(AND(54&gt;=Hipótesis!$D$78,MOD(54,12)=0,BD96=0,BD89=0,BD101=0,BD81=0),MIN(Hipótesis!$D$79*MAX(0,BD112),MAX(0,BD82+BD83-Hipótesis!$D$80)),0)</f>
        <v>-0</v>
      </c>
      <c r="BE84" s="109" t="n">
        <f aca="false">-IF(AND(55&gt;=Hipótesis!$D$78,MOD(55,12)=0,BE96=0,BE89=0,BE101=0,BE81=0),MIN(Hipótesis!$D$79*MAX(0,BE112),MAX(0,BE82+BE83-Hipótesis!$D$80)),0)</f>
        <v>-0</v>
      </c>
      <c r="BF84" s="109" t="n">
        <f aca="false">-IF(AND(56&gt;=Hipótesis!$D$78,MOD(56,12)=0,BF96=0,BF89=0,BF101=0,BF81=0),MIN(Hipótesis!$D$79*MAX(0,BF112),MAX(0,BF82+BF83-Hipótesis!$D$80)),0)</f>
        <v>-0</v>
      </c>
      <c r="BG84" s="109" t="n">
        <f aca="false">-IF(AND(57&gt;=Hipótesis!$D$78,MOD(57,12)=0,BG96=0,BG89=0,BG101=0,BG81=0),MIN(Hipótesis!$D$79*MAX(0,BG112),MAX(0,BG82+BG83-Hipótesis!$D$80)),0)</f>
        <v>-0</v>
      </c>
      <c r="BH84" s="109" t="n">
        <f aca="false">-IF(AND(58&gt;=Hipótesis!$D$78,MOD(58,12)=0,BH96=0,BH89=0,BH101=0,BH81=0),MIN(Hipótesis!$D$79*MAX(0,BH112),MAX(0,BH82+BH83-Hipótesis!$D$80)),0)</f>
        <v>-0</v>
      </c>
      <c r="BI84" s="109" t="n">
        <f aca="false">-IF(AND(59&gt;=Hipótesis!$D$78,MOD(59,12)=0,BI96=0,BI89=0,BI101=0,BI81=0),MIN(Hipótesis!$D$79*MAX(0,BI112),MAX(0,BI82+BI83-Hipótesis!$D$80)),0)</f>
        <v>-0</v>
      </c>
      <c r="BJ84" s="109" t="n">
        <f aca="false">-IF(AND(60&gt;=Hipótesis!$D$78,MOD(60,12)=0,BJ96=0,BJ89=0,BJ101=0,BJ81=0),MIN(Hipótesis!$D$79*MAX(0,BJ112),MAX(0,BJ82+BJ83-Hipótesis!$D$80)),0)</f>
        <v>-0</v>
      </c>
      <c r="BK84" s="109" t="n">
        <f aca="false">-IF(AND(61&gt;=Hipótesis!$D$78,MOD(61,12)=0,BK96=0,BK89=0,BK101=0,BK81=0),MIN(Hipótesis!$D$79*MAX(0,BK112),MAX(0,BK82+BK83-Hipótesis!$D$80)),0)</f>
        <v>-0</v>
      </c>
      <c r="BL84" s="109" t="n">
        <f aca="false">-IF(AND(62&gt;=Hipótesis!$D$78,MOD(62,12)=0,BL96=0,BL89=0,BL101=0,BL81=0),MIN(Hipótesis!$D$79*MAX(0,BL112),MAX(0,BL82+BL83-Hipótesis!$D$80)),0)</f>
        <v>-0</v>
      </c>
      <c r="BM84" s="109" t="n">
        <f aca="false">-IF(AND(63&gt;=Hipótesis!$D$78,MOD(63,12)=0,BM96=0,BM89=0,BM101=0,BM81=0),MIN(Hipótesis!$D$79*MAX(0,BM112),MAX(0,BM82+BM83-Hipótesis!$D$80)),0)</f>
        <v>-0</v>
      </c>
      <c r="BN84" s="109" t="n">
        <f aca="false">-IF(AND(64&gt;=Hipótesis!$D$78,MOD(64,12)=0,BN96=0,BN89=0,BN101=0,BN81=0),MIN(Hipótesis!$D$79*MAX(0,BN112),MAX(0,BN82+BN83-Hipótesis!$D$80)),0)</f>
        <v>-0</v>
      </c>
      <c r="BO84" s="109" t="n">
        <f aca="false">-IF(AND(65&gt;=Hipótesis!$D$78,MOD(65,12)=0,BO96=0,BO89=0,BO101=0,BO81=0),MIN(Hipótesis!$D$79*MAX(0,BO112),MAX(0,BO82+BO83-Hipótesis!$D$80)),0)</f>
        <v>-0</v>
      </c>
      <c r="BP84" s="109" t="n">
        <f aca="false">-IF(AND(66&gt;=Hipótesis!$D$78,MOD(66,12)=0,BP96=0,BP89=0,BP101=0,BP81=0),MIN(Hipótesis!$D$79*MAX(0,BP112),MAX(0,BP82+BP83-Hipótesis!$D$80)),0)</f>
        <v>-0</v>
      </c>
      <c r="BQ84" s="109" t="n">
        <f aca="false">-IF(AND(67&gt;=Hipótesis!$D$78,MOD(67,12)=0,BQ96=0,BQ89=0,BQ101=0,BQ81=0),MIN(Hipótesis!$D$79*MAX(0,BQ112),MAX(0,BQ82+BQ83-Hipótesis!$D$80)),0)</f>
        <v>-0</v>
      </c>
      <c r="BR84" s="109" t="n">
        <f aca="false">-IF(AND(68&gt;=Hipótesis!$D$78,MOD(68,12)=0,BR96=0,BR89=0,BR101=0,BR81=0),MIN(Hipótesis!$D$79*MAX(0,BR112),MAX(0,BR82+BR83-Hipótesis!$D$80)),0)</f>
        <v>-0</v>
      </c>
      <c r="BS84" s="109" t="n">
        <f aca="false">-IF(AND(69&gt;=Hipótesis!$D$78,MOD(69,12)=0,BS96=0,BS89=0,BS101=0,BS81=0),MIN(Hipótesis!$D$79*MAX(0,BS112),MAX(0,BS82+BS83-Hipótesis!$D$80)),0)</f>
        <v>-0</v>
      </c>
      <c r="BT84" s="109" t="n">
        <f aca="false">-IF(AND(70&gt;=Hipótesis!$D$78,MOD(70,12)=0,BT96=0,BT89=0,BT101=0,BT81=0),MIN(Hipótesis!$D$79*MAX(0,BT112),MAX(0,BT82+BT83-Hipótesis!$D$80)),0)</f>
        <v>-0</v>
      </c>
      <c r="BU84" s="109" t="n">
        <f aca="false">-IF(AND(71&gt;=Hipótesis!$D$78,MOD(71,12)=0,BU96=0,BU89=0,BU101=0,BU81=0),MIN(Hipótesis!$D$79*MAX(0,BU112),MAX(0,BU82+BU83-Hipótesis!$D$80)),0)</f>
        <v>-0</v>
      </c>
      <c r="BV84" s="109" t="n">
        <f aca="false">-IF(AND(72&gt;=Hipótesis!$D$78,MOD(72,12)=0,BV96=0,BV89=0,BV101=0,BV81=0),MIN(Hipótesis!$D$79*MAX(0,BV112),MAX(0,BV82+BV83-Hipótesis!$D$80)),0)</f>
        <v>-0</v>
      </c>
      <c r="BW84" s="109" t="n">
        <f aca="false">-IF(AND(73&gt;=Hipótesis!$D$78,MOD(73,12)=0,BW96=0,BW89=0,BW101=0,BW81=0),MIN(Hipótesis!$D$79*MAX(0,BW112),MAX(0,BW82+BW83-Hipótesis!$D$80)),0)</f>
        <v>-0</v>
      </c>
      <c r="BX84" s="109" t="n">
        <f aca="false">-IF(AND(74&gt;=Hipótesis!$D$78,MOD(74,12)=0,BX96=0,BX89=0,BX101=0,BX81=0),MIN(Hipótesis!$D$79*MAX(0,BX112),MAX(0,BX82+BX83-Hipótesis!$D$80)),0)</f>
        <v>-0</v>
      </c>
      <c r="BY84" s="109" t="n">
        <f aca="false">-IF(AND(75&gt;=Hipótesis!$D$78,MOD(75,12)=0,BY96=0,BY89=0,BY101=0,BY81=0),MIN(Hipótesis!$D$79*MAX(0,BY112),MAX(0,BY82+BY83-Hipótesis!$D$80)),0)</f>
        <v>-0</v>
      </c>
      <c r="BZ84" s="109" t="n">
        <f aca="false">-IF(AND(76&gt;=Hipótesis!$D$78,MOD(76,12)=0,BZ96=0,BZ89=0,BZ101=0,BZ81=0),MIN(Hipótesis!$D$79*MAX(0,BZ112),MAX(0,BZ82+BZ83-Hipótesis!$D$80)),0)</f>
        <v>-0</v>
      </c>
      <c r="CA84" s="109" t="n">
        <f aca="false">-IF(AND(77&gt;=Hipótesis!$D$78,MOD(77,12)=0,CA96=0,CA89=0,CA101=0,CA81=0),MIN(Hipótesis!$D$79*MAX(0,CA112),MAX(0,CA82+CA83-Hipótesis!$D$80)),0)</f>
        <v>-0</v>
      </c>
      <c r="CB84" s="109" t="n">
        <f aca="false">-IF(AND(78&gt;=Hipótesis!$D$78,MOD(78,12)=0,CB96=0,CB89=0,CB101=0,CB81=0),MIN(Hipótesis!$D$79*MAX(0,CB112),MAX(0,CB82+CB83-Hipótesis!$D$80)),0)</f>
        <v>-0</v>
      </c>
      <c r="CC84" s="109" t="n">
        <f aca="false">-IF(AND(79&gt;=Hipótesis!$D$78,MOD(79,12)=0,CC96=0,CC89=0,CC101=0,CC81=0),MIN(Hipótesis!$D$79*MAX(0,CC112),MAX(0,CC82+CC83-Hipótesis!$D$80)),0)</f>
        <v>-0</v>
      </c>
      <c r="CD84" s="109" t="n">
        <f aca="false">-IF(AND(80&gt;=Hipótesis!$D$78,MOD(80,12)=0,CD96=0,CD89=0,CD101=0,CD81=0),MIN(Hipótesis!$D$79*MAX(0,CD112),MAX(0,CD82+CD83-Hipótesis!$D$80)),0)</f>
        <v>-0</v>
      </c>
      <c r="CE84" s="109" t="n">
        <f aca="false">-IF(AND(81&gt;=Hipótesis!$D$78,MOD(81,12)=0,CE96=0,CE89=0,CE101=0,CE81=0),MIN(Hipótesis!$D$79*MAX(0,CE112),MAX(0,CE82+CE83-Hipótesis!$D$80)),0)</f>
        <v>-0</v>
      </c>
      <c r="CF84" s="109" t="n">
        <f aca="false">-IF(AND(82&gt;=Hipótesis!$D$78,MOD(82,12)=0,CF96=0,CF89=0,CF101=0,CF81=0),MIN(Hipótesis!$D$79*MAX(0,CF112),MAX(0,CF82+CF83-Hipótesis!$D$80)),0)</f>
        <v>-0</v>
      </c>
      <c r="CG84" s="109" t="n">
        <f aca="false">-IF(AND(83&gt;=Hipótesis!$D$78,MOD(83,12)=0,CG96=0,CG89=0,CG101=0,CG81=0),MIN(Hipótesis!$D$79*MAX(0,CG112),MAX(0,CG82+CG83-Hipótesis!$D$80)),0)</f>
        <v>-0</v>
      </c>
      <c r="CH84" s="109" t="n">
        <f aca="false">-IF(AND(84&gt;=Hipótesis!$D$78,MOD(84,12)=0,CH96=0,CH89=0,CH101=0,CH81=0),MIN(Hipótesis!$D$79*MAX(0,CH112),MAX(0,CH82+CH83-Hipótesis!$D$80)),0)</f>
        <v>-0</v>
      </c>
    </row>
    <row r="85" customFormat="false" ht="13.5" hidden="false" customHeight="true" outlineLevel="0" collapsed="false">
      <c r="A85" s="22" t="s">
        <v>587</v>
      </c>
      <c r="C85" s="109" t="n">
        <f aca="false">C78+C80+C83+C84</f>
        <v>155014.236322587</v>
      </c>
      <c r="D85" s="109" t="n">
        <f aca="false">D78+D80+D83+D84</f>
        <v>-28206.9307325516</v>
      </c>
      <c r="E85" s="109" t="n">
        <f aca="false">E78+E80+E83+E84</f>
        <v>-22543.0841536181</v>
      </c>
      <c r="F85" s="109" t="n">
        <f aca="false">F78+F80+F83+F84</f>
        <v>-20114.6903894057</v>
      </c>
      <c r="G85" s="109" t="n">
        <f aca="false">G78+G80+G83+G84</f>
        <v>-18077.3599141349</v>
      </c>
      <c r="H85" s="109" t="n">
        <f aca="false">H78+H80+H83+H84</f>
        <v>-15635.3158044644</v>
      </c>
      <c r="I85" s="109" t="n">
        <f aca="false">I78+I80+I83+I84</f>
        <v>-11951.4623244775</v>
      </c>
      <c r="J85" s="109" t="n">
        <f aca="false">J78+J80+J83+J84</f>
        <v>-7781.76354279989</v>
      </c>
      <c r="K85" s="109" t="n">
        <f aca="false">K78+K80+K83+K84</f>
        <v>-703.629461134609</v>
      </c>
      <c r="L85" s="109" t="n">
        <f aca="false">L78+L80+L83+L84</f>
        <v>0</v>
      </c>
      <c r="M85" s="109" t="n">
        <f aca="false">M78+M80+M83+M84</f>
        <v>0</v>
      </c>
      <c r="N85" s="109" t="n">
        <f aca="false">N78+N80+N83+N84</f>
        <v>5075.71310092765</v>
      </c>
      <c r="O85" s="109" t="n">
        <f aca="false">O78+O80+O83+O84</f>
        <v>5264.63814568107</v>
      </c>
      <c r="P85" s="109" t="n">
        <f aca="false">P78+P80+P83+P84</f>
        <v>5599.42818933495</v>
      </c>
      <c r="Q85" s="109" t="n">
        <f aca="false">Q78+Q80+Q83+Q84</f>
        <v>7774.24103048883</v>
      </c>
      <c r="R85" s="109" t="n">
        <f aca="false">R78+R80+R83+R84</f>
        <v>9949.05387164271</v>
      </c>
      <c r="S85" s="109" t="n">
        <f aca="false">S78+S80+S83+S84</f>
        <v>12123.8667127966</v>
      </c>
      <c r="T85" s="109" t="n">
        <f aca="false">T78+T80+T83+T84</f>
        <v>14298.6795539505</v>
      </c>
      <c r="U85" s="109" t="n">
        <f aca="false">U78+U80+U83+U84</f>
        <v>14548.1628351044</v>
      </c>
      <c r="V85" s="109" t="n">
        <f aca="false">V78+V80+V83+V84</f>
        <v>14457.8820762582</v>
      </c>
      <c r="W85" s="109" t="n">
        <f aca="false">W78+W80+W83+W84</f>
        <v>16632.6949174121</v>
      </c>
      <c r="X85" s="109" t="n">
        <f aca="false">X78+X80+X83+X84</f>
        <v>18362.0668920247</v>
      </c>
      <c r="Y85" s="109" t="n">
        <f aca="false">Y78+Y80+Y83+Y84</f>
        <v>19901.3438666373</v>
      </c>
      <c r="Z85" s="109" t="n">
        <f aca="false">Z78+Z80+Z83+Z84</f>
        <v>21274.0393543834</v>
      </c>
      <c r="AA85" s="109" t="n">
        <f aca="false">AA78+AA80+AA83+AA84</f>
        <v>19014.5399858628</v>
      </c>
      <c r="AB85" s="109" t="n">
        <f aca="false">AB78+AB80+AB83+AB84</f>
        <v>18344.1054490311</v>
      </c>
      <c r="AC85" s="109" t="n">
        <f aca="false">AC78+AC80+AC83+AC84</f>
        <v>19656.7603589994</v>
      </c>
      <c r="AD85" s="109" t="n">
        <f aca="false">AD78+AD80+AD83+AD84</f>
        <v>20969.4152689678</v>
      </c>
      <c r="AE85" s="109" t="n">
        <f aca="false">AE78+AE80+AE83+AE84</f>
        <v>22282.0701789361</v>
      </c>
      <c r="AF85" s="109" t="n">
        <f aca="false">AF78+AF80+AF83+AF84</f>
        <v>23594.7250889044</v>
      </c>
      <c r="AG85" s="109" t="n">
        <f aca="false">AG78+AG80+AG83+AG84</f>
        <v>24907.3799988727</v>
      </c>
      <c r="AH85" s="109" t="n">
        <f aca="false">AH78+AH80+AH83+AH84</f>
        <v>26220.034908841</v>
      </c>
      <c r="AI85" s="109" t="n">
        <f aca="false">AI78+AI80+AI83+AI84</f>
        <v>27532.6898188093</v>
      </c>
      <c r="AJ85" s="109" t="n">
        <f aca="false">AJ78+AJ80+AJ83+AJ84</f>
        <v>28845.3447287776</v>
      </c>
      <c r="AK85" s="109" t="n">
        <f aca="false">AK78+AK80+AK83+AK84</f>
        <v>30157.9996387459</v>
      </c>
      <c r="AL85" s="109" t="n">
        <f aca="false">AL78+AL80+AL83+AL84</f>
        <v>31470.6545487142</v>
      </c>
      <c r="AM85" s="109" t="n">
        <f aca="false">AM78+AM80+AM83+AM84</f>
        <v>25065.4802752011</v>
      </c>
      <c r="AN85" s="109" t="n">
        <f aca="false">AN78+AN80+AN83+AN84</f>
        <v>26219.4288563289</v>
      </c>
      <c r="AO85" s="109" t="n">
        <f aca="false">AO78+AO80+AO83+AO84</f>
        <v>27373.3774374566</v>
      </c>
      <c r="AP85" s="109" t="n">
        <f aca="false">AP78+AP80+AP83+AP84</f>
        <v>28527.3260185843</v>
      </c>
      <c r="AQ85" s="109" t="n">
        <f aca="false">AQ78+AQ80+AQ83+AQ84</f>
        <v>29681.2745997121</v>
      </c>
      <c r="AR85" s="109" t="n">
        <f aca="false">AR78+AR80+AR83+AR84</f>
        <v>30835.2231808398</v>
      </c>
      <c r="AS85" s="109" t="n">
        <f aca="false">AS78+AS80+AS83+AS84</f>
        <v>31325.2351491972</v>
      </c>
      <c r="AT85" s="109" t="n">
        <f aca="false">AT78+AT80+AT83+AT84</f>
        <v>31329.4018158638</v>
      </c>
      <c r="AU85" s="109" t="n">
        <f aca="false">AU78+AU80+AU83+AU84</f>
        <v>31333.5684825305</v>
      </c>
      <c r="AV85" s="109" t="n">
        <f aca="false">AV78+AV80+AV83+AV84</f>
        <v>31337.7351491972</v>
      </c>
      <c r="AW85" s="109" t="n">
        <f aca="false">AW78+AW80+AW83+AW84</f>
        <v>31341.9018158638</v>
      </c>
      <c r="AX85" s="109" t="n">
        <f aca="false">AX78+AX80+AX83+AX84</f>
        <v>-123582.349780022</v>
      </c>
      <c r="AY85" s="109" t="n">
        <f aca="false">AY78+AY80+AY83+AY84</f>
        <v>29551.4420989276</v>
      </c>
      <c r="AZ85" s="109" t="n">
        <f aca="false">AZ78+AZ80+AZ83+AZ84</f>
        <v>29555.6087655942</v>
      </c>
      <c r="BA85" s="109" t="n">
        <f aca="false">BA78+BA80+BA83+BA84</f>
        <v>29559.7754322609</v>
      </c>
      <c r="BB85" s="109" t="n">
        <f aca="false">BB78+BB80+BB83+BB84</f>
        <v>29563.9420989276</v>
      </c>
      <c r="BC85" s="109" t="n">
        <f aca="false">BC78+BC80+BC83+BC84</f>
        <v>29568.1087655942</v>
      </c>
      <c r="BD85" s="109" t="n">
        <f aca="false">BD78+BD80+BD83+BD84</f>
        <v>29572.2754322609</v>
      </c>
      <c r="BE85" s="109" t="n">
        <f aca="false">BE78+BE80+BE83+BE84</f>
        <v>29576.4420989276</v>
      </c>
      <c r="BF85" s="109" t="n">
        <f aca="false">BF78+BF80+BF83+BF84</f>
        <v>29580.6087655942</v>
      </c>
      <c r="BG85" s="109" t="n">
        <f aca="false">BG78+BG80+BG83+BG84</f>
        <v>29584.7754322609</v>
      </c>
      <c r="BH85" s="109" t="n">
        <f aca="false">BH78+BH80+BH83+BH84</f>
        <v>29588.9420989276</v>
      </c>
      <c r="BI85" s="109" t="n">
        <f aca="false">BI78+BI80+BI83+BI84</f>
        <v>29593.1087655942</v>
      </c>
      <c r="BJ85" s="109" t="n">
        <f aca="false">BJ78+BJ80+BJ83+BJ84</f>
        <v>-124053.720986824</v>
      </c>
      <c r="BK85" s="109" t="n">
        <f aca="false">BK78+BK80+BK83+BK84</f>
        <v>27792.3442571499</v>
      </c>
      <c r="BL85" s="109" t="n">
        <f aca="false">BL78+BL80+BL83+BL84</f>
        <v>27796.5109238165</v>
      </c>
      <c r="BM85" s="109" t="n">
        <f aca="false">BM78+BM80+BM83+BM84</f>
        <v>27800.6775904832</v>
      </c>
      <c r="BN85" s="109" t="n">
        <f aca="false">BN78+BN80+BN83+BN84</f>
        <v>27804.8442571499</v>
      </c>
      <c r="BO85" s="109" t="n">
        <f aca="false">BO78+BO80+BO83+BO84</f>
        <v>27809.0109238165</v>
      </c>
      <c r="BP85" s="109" t="n">
        <f aca="false">BP78+BP80+BP83+BP84</f>
        <v>27813.1775904832</v>
      </c>
      <c r="BQ85" s="109" t="n">
        <f aca="false">BQ78+BQ80+BQ83+BQ84</f>
        <v>27817.3442571499</v>
      </c>
      <c r="BR85" s="109" t="n">
        <f aca="false">BR78+BR80+BR83+BR84</f>
        <v>27821.5109238165</v>
      </c>
      <c r="BS85" s="109" t="n">
        <f aca="false">BS78+BS80+BS83+BS84</f>
        <v>27825.6775904832</v>
      </c>
      <c r="BT85" s="109" t="n">
        <f aca="false">BT78+BT80+BT83+BT84</f>
        <v>27829.8442571499</v>
      </c>
      <c r="BU85" s="109" t="n">
        <f aca="false">BU78+BU80+BU83+BU84</f>
        <v>27834.0109238165</v>
      </c>
      <c r="BV85" s="109" t="n">
        <f aca="false">BV78+BV80+BV83+BV84</f>
        <v>-117369.149188069</v>
      </c>
      <c r="BW85" s="109" t="n">
        <f aca="false">BW78+BW80+BW83+BW84</f>
        <v>26022.6324801188</v>
      </c>
      <c r="BX85" s="109" t="n">
        <f aca="false">BX78+BX80+BX83+BX84</f>
        <v>26026.7991467855</v>
      </c>
      <c r="BY85" s="109" t="n">
        <f aca="false">BY78+BY80+BY83+BY84</f>
        <v>26030.9658134522</v>
      </c>
      <c r="BZ85" s="109" t="n">
        <f aca="false">BZ78+BZ80+BZ83+BZ84</f>
        <v>26035.1324801188</v>
      </c>
      <c r="CA85" s="109" t="n">
        <f aca="false">CA78+CA80+CA83+CA84</f>
        <v>26039.2991467855</v>
      </c>
      <c r="CB85" s="109" t="n">
        <f aca="false">CB78+CB80+CB83+CB84</f>
        <v>26043.4658134522</v>
      </c>
      <c r="CC85" s="109" t="n">
        <f aca="false">CC78+CC80+CC83+CC84</f>
        <v>26047.6324801188</v>
      </c>
      <c r="CD85" s="109" t="n">
        <f aca="false">CD78+CD80+CD83+CD84</f>
        <v>26051.7991467855</v>
      </c>
      <c r="CE85" s="109" t="n">
        <f aca="false">CE78+CE80+CE83+CE84</f>
        <v>26055.9658134522</v>
      </c>
      <c r="CF85" s="109" t="n">
        <f aca="false">CF78+CF80+CF83+CF84</f>
        <v>26060.1324801188</v>
      </c>
      <c r="CG85" s="109" t="n">
        <f aca="false">CG78+CG80+CG83+CG84</f>
        <v>26064.2991467855</v>
      </c>
      <c r="CH85" s="109" t="n">
        <f aca="false">CH78+CH80+CH83+CH84</f>
        <v>-110644.244435351</v>
      </c>
    </row>
    <row r="86" customFormat="false" ht="13.5" hidden="false" customHeight="true" outlineLevel="0" collapsed="false">
      <c r="A86" s="47" t="s">
        <v>588</v>
      </c>
      <c r="C86" s="71" t="n">
        <f aca="false">C85</f>
        <v>155014.236322587</v>
      </c>
      <c r="D86" s="71" t="n">
        <f aca="false">C86+D85</f>
        <v>126807.305590035</v>
      </c>
      <c r="E86" s="71" t="n">
        <f aca="false">D86+E85</f>
        <v>104264.221436417</v>
      </c>
      <c r="F86" s="71" t="n">
        <f aca="false">E86+F85</f>
        <v>84149.5310470113</v>
      </c>
      <c r="G86" s="71" t="n">
        <f aca="false">F86+G85</f>
        <v>66072.1711328764</v>
      </c>
      <c r="H86" s="71" t="n">
        <f aca="false">G86+H85</f>
        <v>50436.855328412</v>
      </c>
      <c r="I86" s="71" t="n">
        <f aca="false">H86+I85</f>
        <v>38485.3930039345</v>
      </c>
      <c r="J86" s="71" t="n">
        <f aca="false">I86+J85</f>
        <v>30703.6294611346</v>
      </c>
      <c r="K86" s="71" t="n">
        <f aca="false">J86+K85</f>
        <v>30000</v>
      </c>
      <c r="L86" s="71" t="n">
        <f aca="false">K86+L85</f>
        <v>30000</v>
      </c>
      <c r="M86" s="71" t="n">
        <f aca="false">L86+M85</f>
        <v>30000</v>
      </c>
      <c r="N86" s="71" t="n">
        <f aca="false">M86+N85</f>
        <v>35075.7131009277</v>
      </c>
      <c r="O86" s="71" t="n">
        <f aca="false">N86+O85</f>
        <v>40340.3512466087</v>
      </c>
      <c r="P86" s="71" t="n">
        <f aca="false">O86+P85</f>
        <v>45939.7794359437</v>
      </c>
      <c r="Q86" s="71" t="n">
        <f aca="false">P86+Q85</f>
        <v>53714.0204664325</v>
      </c>
      <c r="R86" s="71" t="n">
        <f aca="false">Q86+R85</f>
        <v>63663.0743380752</v>
      </c>
      <c r="S86" s="71" t="n">
        <f aca="false">R86+S85</f>
        <v>75786.9410508718</v>
      </c>
      <c r="T86" s="71" t="n">
        <f aca="false">S86+T85</f>
        <v>90085.6206048223</v>
      </c>
      <c r="U86" s="71" t="n">
        <f aca="false">T86+U85</f>
        <v>104633.783439927</v>
      </c>
      <c r="V86" s="71" t="n">
        <f aca="false">U86+V85</f>
        <v>119091.665516185</v>
      </c>
      <c r="W86" s="71" t="n">
        <f aca="false">V86+W85</f>
        <v>135724.360433597</v>
      </c>
      <c r="X86" s="71" t="n">
        <f aca="false">W86+X85</f>
        <v>154086.427325622</v>
      </c>
      <c r="Y86" s="71" t="n">
        <f aca="false">X86+Y85</f>
        <v>173987.771192259</v>
      </c>
      <c r="Z86" s="71" t="n">
        <f aca="false">Y86+Z85</f>
        <v>195261.810546642</v>
      </c>
      <c r="AA86" s="71" t="n">
        <f aca="false">Z86+AA85</f>
        <v>214276.350532505</v>
      </c>
      <c r="AB86" s="71" t="n">
        <f aca="false">AA86+AB85</f>
        <v>232620.455981536</v>
      </c>
      <c r="AC86" s="71" t="n">
        <f aca="false">AB86+AC85</f>
        <v>252277.216340536</v>
      </c>
      <c r="AD86" s="71" t="n">
        <f aca="false">AC86+AD85</f>
        <v>273246.631609504</v>
      </c>
      <c r="AE86" s="71" t="n">
        <f aca="false">AD86+AE85</f>
        <v>295528.70178844</v>
      </c>
      <c r="AF86" s="71" t="n">
        <f aca="false">AE86+AF85</f>
        <v>319123.426877344</v>
      </c>
      <c r="AG86" s="71" t="n">
        <f aca="false">AF86+AG85</f>
        <v>344030.806876217</v>
      </c>
      <c r="AH86" s="71" t="n">
        <f aca="false">AG86+AH85</f>
        <v>370250.841785058</v>
      </c>
      <c r="AI86" s="71" t="n">
        <f aca="false">AH86+AI85</f>
        <v>397783.531603867</v>
      </c>
      <c r="AJ86" s="71" t="n">
        <f aca="false">AI86+AJ85</f>
        <v>426628.876332645</v>
      </c>
      <c r="AK86" s="71" t="n">
        <f aca="false">AJ86+AK85</f>
        <v>456786.875971391</v>
      </c>
      <c r="AL86" s="71" t="n">
        <f aca="false">AK86+AL85</f>
        <v>488257.530520105</v>
      </c>
      <c r="AM86" s="71" t="n">
        <f aca="false">AL86+AM85</f>
        <v>513323.010795306</v>
      </c>
      <c r="AN86" s="71" t="n">
        <f aca="false">AM86+AN85</f>
        <v>539542.439651635</v>
      </c>
      <c r="AO86" s="71" t="n">
        <f aca="false">AN86+AO85</f>
        <v>566915.817089091</v>
      </c>
      <c r="AP86" s="71" t="n">
        <f aca="false">AO86+AP85</f>
        <v>595443.143107676</v>
      </c>
      <c r="AQ86" s="71" t="n">
        <f aca="false">AP86+AQ85</f>
        <v>625124.417707388</v>
      </c>
      <c r="AR86" s="71" t="n">
        <f aca="false">AQ86+AR85</f>
        <v>655959.640888228</v>
      </c>
      <c r="AS86" s="71" t="n">
        <f aca="false">AR86+AS85</f>
        <v>687284.876037425</v>
      </c>
      <c r="AT86" s="71" t="n">
        <f aca="false">AS86+AT85</f>
        <v>718614.277853289</v>
      </c>
      <c r="AU86" s="71" t="n">
        <f aca="false">AT86+AU85</f>
        <v>749947.846335819</v>
      </c>
      <c r="AV86" s="71" t="n">
        <f aca="false">AU86+AV85</f>
        <v>781285.581485016</v>
      </c>
      <c r="AW86" s="71" t="n">
        <f aca="false">AV86+AW85</f>
        <v>812627.48330088</v>
      </c>
      <c r="AX86" s="71" t="n">
        <f aca="false">AW86+AX85</f>
        <v>689045.133520858</v>
      </c>
      <c r="AY86" s="71" t="n">
        <f aca="false">AX86+AY85</f>
        <v>718596.575619785</v>
      </c>
      <c r="AZ86" s="71" t="n">
        <f aca="false">AY86+AZ85</f>
        <v>748152.184385379</v>
      </c>
      <c r="BA86" s="71" t="n">
        <f aca="false">AZ86+BA85</f>
        <v>777711.95981764</v>
      </c>
      <c r="BB86" s="71" t="n">
        <f aca="false">BA86+BB85</f>
        <v>807275.901916568</v>
      </c>
      <c r="BC86" s="71" t="n">
        <f aca="false">BB86+BC85</f>
        <v>836844.010682162</v>
      </c>
      <c r="BD86" s="71" t="n">
        <f aca="false">BC86+BD85</f>
        <v>866416.286114423</v>
      </c>
      <c r="BE86" s="71" t="n">
        <f aca="false">BD86+BE85</f>
        <v>895992.728213351</v>
      </c>
      <c r="BF86" s="71" t="n">
        <f aca="false">BE86+BF85</f>
        <v>925573.336978945</v>
      </c>
      <c r="BG86" s="71" t="n">
        <f aca="false">BF86+BG85</f>
        <v>955158.112411206</v>
      </c>
      <c r="BH86" s="71" t="n">
        <f aca="false">BG86+BH85</f>
        <v>984747.054510133</v>
      </c>
      <c r="BI86" s="71" t="n">
        <f aca="false">BH86+BI85</f>
        <v>1014340.16327573</v>
      </c>
      <c r="BJ86" s="71" t="n">
        <f aca="false">BI86+BJ85</f>
        <v>890286.442288903</v>
      </c>
      <c r="BK86" s="71" t="n">
        <f aca="false">BJ86+BK85</f>
        <v>918078.786546053</v>
      </c>
      <c r="BL86" s="71" t="n">
        <f aca="false">BK86+BL85</f>
        <v>945875.29746987</v>
      </c>
      <c r="BM86" s="71" t="n">
        <f aca="false">BL86+BM85</f>
        <v>973675.975060353</v>
      </c>
      <c r="BN86" s="71" t="n">
        <f aca="false">BM86+BN85</f>
        <v>1001480.8193175</v>
      </c>
      <c r="BO86" s="71" t="n">
        <f aca="false">BN86+BO85</f>
        <v>1029289.83024132</v>
      </c>
      <c r="BP86" s="71" t="n">
        <f aca="false">BO86+BP85</f>
        <v>1057103.0078318</v>
      </c>
      <c r="BQ86" s="71" t="n">
        <f aca="false">BP86+BQ85</f>
        <v>1084920.35208895</v>
      </c>
      <c r="BR86" s="71" t="n">
        <f aca="false">BQ86+BR85</f>
        <v>1112741.86301277</v>
      </c>
      <c r="BS86" s="71" t="n">
        <f aca="false">BR86+BS85</f>
        <v>1140567.54060325</v>
      </c>
      <c r="BT86" s="71" t="n">
        <f aca="false">BS86+BT85</f>
        <v>1168397.3848604</v>
      </c>
      <c r="BU86" s="71" t="n">
        <f aca="false">BT86+BU85</f>
        <v>1196231.39578422</v>
      </c>
      <c r="BV86" s="71" t="n">
        <f aca="false">BU86+BV85</f>
        <v>1078862.24659615</v>
      </c>
      <c r="BW86" s="71" t="n">
        <f aca="false">BV86+BW85</f>
        <v>1104884.87907627</v>
      </c>
      <c r="BX86" s="71" t="n">
        <f aca="false">BW86+BX85</f>
        <v>1130911.67822305</v>
      </c>
      <c r="BY86" s="71" t="n">
        <f aca="false">BX86+BY85</f>
        <v>1156942.64403651</v>
      </c>
      <c r="BZ86" s="71" t="n">
        <f aca="false">BY86+BZ85</f>
        <v>1182977.77651663</v>
      </c>
      <c r="CA86" s="71" t="n">
        <f aca="false">BZ86+CA85</f>
        <v>1209017.07566341</v>
      </c>
      <c r="CB86" s="71" t="n">
        <f aca="false">CA86+CB85</f>
        <v>1235060.54147686</v>
      </c>
      <c r="CC86" s="71" t="n">
        <f aca="false">CB86+CC85</f>
        <v>1261108.17395698</v>
      </c>
      <c r="CD86" s="71" t="n">
        <f aca="false">CC86+CD85</f>
        <v>1287159.97310377</v>
      </c>
      <c r="CE86" s="71" t="n">
        <f aca="false">CD86+CE85</f>
        <v>1313215.93891722</v>
      </c>
      <c r="CF86" s="71" t="n">
        <f aca="false">CE86+CF85</f>
        <v>1339276.07139734</v>
      </c>
      <c r="CG86" s="71" t="n">
        <f aca="false">CF86+CG85</f>
        <v>1365340.37054412</v>
      </c>
      <c r="CH86" s="71" t="n">
        <f aca="false">CG86+CH85</f>
        <v>1254696.12610877</v>
      </c>
    </row>
    <row r="87" customFormat="false" ht="13.5" hidden="false" customHeight="true" outlineLevel="0" collapsed="false"/>
    <row r="88" customFormat="false" ht="12.75" hidden="false" customHeight="true" outlineLevel="0" collapsed="false">
      <c r="A88" s="9" t="s">
        <v>589</v>
      </c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s="9"/>
      <c r="BU88" s="9"/>
      <c r="BV88" s="9"/>
      <c r="BW88" s="9"/>
      <c r="BX88" s="9"/>
      <c r="BY88" s="9"/>
      <c r="BZ88" s="9"/>
      <c r="CA88" s="9"/>
      <c r="CB88" s="9"/>
      <c r="CC88" s="9"/>
      <c r="CD88" s="9"/>
      <c r="CE88" s="9"/>
      <c r="CF88" s="9"/>
      <c r="CG88" s="9"/>
      <c r="CH88" s="9"/>
    </row>
    <row r="89" customFormat="false" ht="13.5" hidden="false" customHeight="true" outlineLevel="0" collapsed="false">
      <c r="A89" s="6" t="s">
        <v>590</v>
      </c>
      <c r="C89" s="109" t="n">
        <f aca="false">IF(Hipótesis!$D$94=5,0,Hipótesis!$D$93)</f>
        <v>0</v>
      </c>
      <c r="D89" s="109" t="n">
        <f aca="false">C89-C90</f>
        <v>0</v>
      </c>
      <c r="E89" s="109" t="n">
        <f aca="false">D89-D90</f>
        <v>0</v>
      </c>
      <c r="F89" s="109" t="n">
        <f aca="false">E89-E90</f>
        <v>0</v>
      </c>
      <c r="G89" s="109" t="n">
        <f aca="false">F89-F90</f>
        <v>0</v>
      </c>
      <c r="H89" s="109" t="n">
        <f aca="false">G89-G90</f>
        <v>0</v>
      </c>
      <c r="I89" s="109" t="n">
        <f aca="false">H89-H90</f>
        <v>0</v>
      </c>
      <c r="J89" s="109" t="n">
        <f aca="false">I89-I90</f>
        <v>0</v>
      </c>
      <c r="K89" s="109" t="n">
        <f aca="false">J89-J90</f>
        <v>0</v>
      </c>
      <c r="L89" s="109" t="n">
        <f aca="false">K89-K90</f>
        <v>0</v>
      </c>
      <c r="M89" s="109" t="n">
        <f aca="false">L89-L90</f>
        <v>0</v>
      </c>
      <c r="N89" s="109" t="n">
        <f aca="false">M89-M90</f>
        <v>0</v>
      </c>
      <c r="O89" s="109" t="n">
        <f aca="false">N89-N90</f>
        <v>0</v>
      </c>
      <c r="P89" s="109" t="n">
        <f aca="false">O89-O90</f>
        <v>0</v>
      </c>
      <c r="Q89" s="109" t="n">
        <f aca="false">P89-P90</f>
        <v>0</v>
      </c>
      <c r="R89" s="109" t="n">
        <f aca="false">Q89-Q90</f>
        <v>0</v>
      </c>
      <c r="S89" s="109" t="n">
        <f aca="false">R89-R90</f>
        <v>0</v>
      </c>
      <c r="T89" s="109" t="n">
        <f aca="false">S89-S90</f>
        <v>0</v>
      </c>
      <c r="U89" s="109" t="n">
        <f aca="false">T89-T90</f>
        <v>0</v>
      </c>
      <c r="V89" s="109" t="n">
        <f aca="false">U89-U90</f>
        <v>0</v>
      </c>
      <c r="W89" s="109" t="n">
        <f aca="false">V89-V90</f>
        <v>0</v>
      </c>
      <c r="X89" s="109" t="n">
        <f aca="false">W89-W90</f>
        <v>0</v>
      </c>
      <c r="Y89" s="109" t="n">
        <f aca="false">X89-X90</f>
        <v>0</v>
      </c>
      <c r="Z89" s="109" t="n">
        <f aca="false">Y89-Y90</f>
        <v>0</v>
      </c>
      <c r="AA89" s="109" t="n">
        <f aca="false">Z89-Z90</f>
        <v>0</v>
      </c>
      <c r="AB89" s="109" t="n">
        <f aca="false">AA89-AA90</f>
        <v>0</v>
      </c>
      <c r="AC89" s="109" t="n">
        <f aca="false">AB89-AB90</f>
        <v>0</v>
      </c>
      <c r="AD89" s="109" t="n">
        <f aca="false">AC89-AC90</f>
        <v>0</v>
      </c>
      <c r="AE89" s="109" t="n">
        <f aca="false">AD89-AD90</f>
        <v>0</v>
      </c>
      <c r="AF89" s="109" t="n">
        <f aca="false">AE89-AE90</f>
        <v>0</v>
      </c>
      <c r="AG89" s="109" t="n">
        <f aca="false">AF89-AF90</f>
        <v>0</v>
      </c>
      <c r="AH89" s="109" t="n">
        <f aca="false">AG89-AG90</f>
        <v>0</v>
      </c>
      <c r="AI89" s="109" t="n">
        <f aca="false">AH89-AH90</f>
        <v>0</v>
      </c>
      <c r="AJ89" s="109" t="n">
        <f aca="false">AI89-AI90</f>
        <v>0</v>
      </c>
      <c r="AK89" s="109" t="n">
        <f aca="false">AJ89-AJ90</f>
        <v>0</v>
      </c>
      <c r="AL89" s="109" t="n">
        <f aca="false">AK89-AK90</f>
        <v>0</v>
      </c>
      <c r="AM89" s="109" t="n">
        <f aca="false">AL89-AL90</f>
        <v>0</v>
      </c>
      <c r="AN89" s="109" t="n">
        <f aca="false">AM89-AM90</f>
        <v>0</v>
      </c>
      <c r="AO89" s="109" t="n">
        <f aca="false">AN89-AN90</f>
        <v>0</v>
      </c>
      <c r="AP89" s="109" t="n">
        <f aca="false">AO89-AO90</f>
        <v>0</v>
      </c>
      <c r="AQ89" s="109" t="n">
        <f aca="false">AP89-AP90</f>
        <v>0</v>
      </c>
      <c r="AR89" s="109" t="n">
        <f aca="false">AQ89-AQ90</f>
        <v>0</v>
      </c>
      <c r="AS89" s="109" t="n">
        <f aca="false">AR89-AR90</f>
        <v>0</v>
      </c>
      <c r="AT89" s="109" t="n">
        <f aca="false">AS89-AS90</f>
        <v>0</v>
      </c>
      <c r="AU89" s="109" t="n">
        <f aca="false">AT89-AT90</f>
        <v>0</v>
      </c>
      <c r="AV89" s="109" t="n">
        <f aca="false">AU89-AU90</f>
        <v>0</v>
      </c>
      <c r="AW89" s="109" t="n">
        <f aca="false">AV89-AV90</f>
        <v>0</v>
      </c>
      <c r="AX89" s="109" t="n">
        <f aca="false">AW89-AW90</f>
        <v>0</v>
      </c>
      <c r="AY89" s="109" t="n">
        <f aca="false">AX89-AX90</f>
        <v>0</v>
      </c>
      <c r="AZ89" s="109" t="n">
        <f aca="false">AY89-AY90</f>
        <v>0</v>
      </c>
      <c r="BA89" s="109" t="n">
        <f aca="false">AZ89-AZ90</f>
        <v>0</v>
      </c>
      <c r="BB89" s="109" t="n">
        <f aca="false">BA89-BA90</f>
        <v>0</v>
      </c>
      <c r="BC89" s="109" t="n">
        <f aca="false">BB89-BB90</f>
        <v>0</v>
      </c>
      <c r="BD89" s="109" t="n">
        <f aca="false">BC89-BC90</f>
        <v>0</v>
      </c>
      <c r="BE89" s="109" t="n">
        <f aca="false">BD89-BD90</f>
        <v>0</v>
      </c>
      <c r="BF89" s="109" t="n">
        <f aca="false">BE89-BE90</f>
        <v>0</v>
      </c>
      <c r="BG89" s="109" t="n">
        <f aca="false">BF89-BF90</f>
        <v>0</v>
      </c>
      <c r="BH89" s="109" t="n">
        <f aca="false">BG89-BG90</f>
        <v>0</v>
      </c>
      <c r="BI89" s="109" t="n">
        <f aca="false">BH89-BH90</f>
        <v>0</v>
      </c>
      <c r="BJ89" s="109" t="n">
        <f aca="false">BI89-BI90</f>
        <v>0</v>
      </c>
      <c r="BK89" s="109" t="n">
        <f aca="false">BJ89-BJ90</f>
        <v>0</v>
      </c>
      <c r="BL89" s="109" t="n">
        <f aca="false">BK89-BK90</f>
        <v>0</v>
      </c>
      <c r="BM89" s="109" t="n">
        <f aca="false">BL89-BL90</f>
        <v>0</v>
      </c>
      <c r="BN89" s="109" t="n">
        <f aca="false">BM89-BM90</f>
        <v>0</v>
      </c>
      <c r="BO89" s="109" t="n">
        <f aca="false">BN89-BN90</f>
        <v>0</v>
      </c>
      <c r="BP89" s="109" t="n">
        <f aca="false">BO89-BO90</f>
        <v>0</v>
      </c>
      <c r="BQ89" s="109" t="n">
        <f aca="false">BP89-BP90</f>
        <v>0</v>
      </c>
      <c r="BR89" s="109" t="n">
        <f aca="false">BQ89-BQ90</f>
        <v>0</v>
      </c>
      <c r="BS89" s="109" t="n">
        <f aca="false">BR89-BR90</f>
        <v>0</v>
      </c>
      <c r="BT89" s="109" t="n">
        <f aca="false">BS89-BS90</f>
        <v>0</v>
      </c>
      <c r="BU89" s="109" t="n">
        <f aca="false">BT89-BT90</f>
        <v>0</v>
      </c>
      <c r="BV89" s="109" t="n">
        <f aca="false">BU89-BU90</f>
        <v>0</v>
      </c>
      <c r="BW89" s="109" t="n">
        <f aca="false">BV89-BV90</f>
        <v>0</v>
      </c>
      <c r="BX89" s="109" t="n">
        <f aca="false">BW89-BW90</f>
        <v>0</v>
      </c>
      <c r="BY89" s="109" t="n">
        <f aca="false">BX89-BX90</f>
        <v>0</v>
      </c>
      <c r="BZ89" s="109" t="n">
        <f aca="false">BY89-BY90</f>
        <v>0</v>
      </c>
      <c r="CA89" s="109" t="n">
        <f aca="false">BZ89-BZ90</f>
        <v>0</v>
      </c>
      <c r="CB89" s="109" t="n">
        <f aca="false">CA89-CA90</f>
        <v>0</v>
      </c>
      <c r="CC89" s="109" t="n">
        <f aca="false">CB89-CB90</f>
        <v>0</v>
      </c>
      <c r="CD89" s="109" t="n">
        <f aca="false">CC89-CC90</f>
        <v>0</v>
      </c>
      <c r="CE89" s="109" t="n">
        <f aca="false">CD89-CD90</f>
        <v>0</v>
      </c>
      <c r="CF89" s="109" t="n">
        <f aca="false">CE89-CE90</f>
        <v>0</v>
      </c>
      <c r="CG89" s="109" t="n">
        <f aca="false">CF89-CF90</f>
        <v>0</v>
      </c>
      <c r="CH89" s="109" t="n">
        <f aca="false">CG89-CG90</f>
        <v>0</v>
      </c>
    </row>
    <row r="90" customFormat="false" ht="13.5" hidden="false" customHeight="true" outlineLevel="0" collapsed="false">
      <c r="A90" s="6" t="s">
        <v>591</v>
      </c>
      <c r="C90" s="109" t="n">
        <f aca="false">IF(1&lt;=Hipótesis!$D$97,0,IF(C89&gt;0,MIN(C89,Hipótesis!$D$93/MAX(Hipótesis!$D$96-Hipótesis!$D$97,1)),0))</f>
        <v>0</v>
      </c>
      <c r="D90" s="109" t="n">
        <f aca="false">IF(2&lt;=Hipótesis!$D$97,0,IF(D89&gt;0,MIN(D89,Hipótesis!$D$93/MAX(Hipótesis!$D$96-Hipótesis!$D$97,1)),0))</f>
        <v>0</v>
      </c>
      <c r="E90" s="109" t="n">
        <f aca="false">IF(3&lt;=Hipótesis!$D$97,0,IF(E89&gt;0,MIN(E89,Hipótesis!$D$93/MAX(Hipótesis!$D$96-Hipótesis!$D$97,1)),0))</f>
        <v>0</v>
      </c>
      <c r="F90" s="109" t="n">
        <f aca="false">IF(4&lt;=Hipótesis!$D$97,0,IF(F89&gt;0,MIN(F89,Hipótesis!$D$93/MAX(Hipótesis!$D$96-Hipótesis!$D$97,1)),0))</f>
        <v>0</v>
      </c>
      <c r="G90" s="109" t="n">
        <f aca="false">IF(5&lt;=Hipótesis!$D$97,0,IF(G89&gt;0,MIN(G89,Hipótesis!$D$93/MAX(Hipótesis!$D$96-Hipótesis!$D$97,1)),0))</f>
        <v>0</v>
      </c>
      <c r="H90" s="109" t="n">
        <f aca="false">IF(6&lt;=Hipótesis!$D$97,0,IF(H89&gt;0,MIN(H89,Hipótesis!$D$93/MAX(Hipótesis!$D$96-Hipótesis!$D$97,1)),0))</f>
        <v>0</v>
      </c>
      <c r="I90" s="109" t="n">
        <f aca="false">IF(7&lt;=Hipótesis!$D$97,0,IF(I89&gt;0,MIN(I89,Hipótesis!$D$93/MAX(Hipótesis!$D$96-Hipótesis!$D$97,1)),0))</f>
        <v>0</v>
      </c>
      <c r="J90" s="109" t="n">
        <f aca="false">IF(8&lt;=Hipótesis!$D$97,0,IF(J89&gt;0,MIN(J89,Hipótesis!$D$93/MAX(Hipótesis!$D$96-Hipótesis!$D$97,1)),0))</f>
        <v>0</v>
      </c>
      <c r="K90" s="109" t="n">
        <f aca="false">IF(9&lt;=Hipótesis!$D$97,0,IF(K89&gt;0,MIN(K89,Hipótesis!$D$93/MAX(Hipótesis!$D$96-Hipótesis!$D$97,1)),0))</f>
        <v>0</v>
      </c>
      <c r="L90" s="109" t="n">
        <f aca="false">IF(10&lt;=Hipótesis!$D$97,0,IF(L89&gt;0,MIN(L89,Hipótesis!$D$93/MAX(Hipótesis!$D$96-Hipótesis!$D$97,1)),0))</f>
        <v>0</v>
      </c>
      <c r="M90" s="109" t="n">
        <f aca="false">IF(11&lt;=Hipótesis!$D$97,0,IF(M89&gt;0,MIN(M89,Hipótesis!$D$93/MAX(Hipótesis!$D$96-Hipótesis!$D$97,1)),0))</f>
        <v>0</v>
      </c>
      <c r="N90" s="109" t="n">
        <f aca="false">IF(12&lt;=Hipótesis!$D$97,0,IF(N89&gt;0,MIN(N89,Hipótesis!$D$93/MAX(Hipótesis!$D$96-Hipótesis!$D$97,1)),0))</f>
        <v>0</v>
      </c>
      <c r="O90" s="109" t="n">
        <f aca="false">IF(13&lt;=Hipótesis!$D$97,0,IF(O89&gt;0,MIN(O89,Hipótesis!$D$93/MAX(Hipótesis!$D$96-Hipótesis!$D$97,1)),0))</f>
        <v>0</v>
      </c>
      <c r="P90" s="109" t="n">
        <f aca="false">IF(14&lt;=Hipótesis!$D$97,0,IF(P89&gt;0,MIN(P89,Hipótesis!$D$93/MAX(Hipótesis!$D$96-Hipótesis!$D$97,1)),0))</f>
        <v>0</v>
      </c>
      <c r="Q90" s="109" t="n">
        <f aca="false">IF(15&lt;=Hipótesis!$D$97,0,IF(Q89&gt;0,MIN(Q89,Hipótesis!$D$93/MAX(Hipótesis!$D$96-Hipótesis!$D$97,1)),0))</f>
        <v>0</v>
      </c>
      <c r="R90" s="109" t="n">
        <f aca="false">IF(16&lt;=Hipótesis!$D$97,0,IF(R89&gt;0,MIN(R89,Hipótesis!$D$93/MAX(Hipótesis!$D$96-Hipótesis!$D$97,1)),0))</f>
        <v>0</v>
      </c>
      <c r="S90" s="109" t="n">
        <f aca="false">IF(17&lt;=Hipótesis!$D$97,0,IF(S89&gt;0,MIN(S89,Hipótesis!$D$93/MAX(Hipótesis!$D$96-Hipótesis!$D$97,1)),0))</f>
        <v>0</v>
      </c>
      <c r="T90" s="109" t="n">
        <f aca="false">IF(18&lt;=Hipótesis!$D$97,0,IF(T89&gt;0,MIN(T89,Hipótesis!$D$93/MAX(Hipótesis!$D$96-Hipótesis!$D$97,1)),0))</f>
        <v>0</v>
      </c>
      <c r="U90" s="109" t="n">
        <f aca="false">IF(19&lt;=Hipótesis!$D$97,0,IF(U89&gt;0,MIN(U89,Hipótesis!$D$93/MAX(Hipótesis!$D$96-Hipótesis!$D$97,1)),0))</f>
        <v>0</v>
      </c>
      <c r="V90" s="109" t="n">
        <f aca="false">IF(20&lt;=Hipótesis!$D$97,0,IF(V89&gt;0,MIN(V89,Hipótesis!$D$93/MAX(Hipótesis!$D$96-Hipótesis!$D$97,1)),0))</f>
        <v>0</v>
      </c>
      <c r="W90" s="109" t="n">
        <f aca="false">IF(21&lt;=Hipótesis!$D$97,0,IF(W89&gt;0,MIN(W89,Hipótesis!$D$93/MAX(Hipótesis!$D$96-Hipótesis!$D$97,1)),0))</f>
        <v>0</v>
      </c>
      <c r="X90" s="109" t="n">
        <f aca="false">IF(22&lt;=Hipótesis!$D$97,0,IF(X89&gt;0,MIN(X89,Hipótesis!$D$93/MAX(Hipótesis!$D$96-Hipótesis!$D$97,1)),0))</f>
        <v>0</v>
      </c>
      <c r="Y90" s="109" t="n">
        <f aca="false">IF(23&lt;=Hipótesis!$D$97,0,IF(Y89&gt;0,MIN(Y89,Hipótesis!$D$93/MAX(Hipótesis!$D$96-Hipótesis!$D$97,1)),0))</f>
        <v>0</v>
      </c>
      <c r="Z90" s="109" t="n">
        <f aca="false">IF(24&lt;=Hipótesis!$D$97,0,IF(Z89&gt;0,MIN(Z89,Hipótesis!$D$93/MAX(Hipótesis!$D$96-Hipótesis!$D$97,1)),0))</f>
        <v>0</v>
      </c>
      <c r="AA90" s="109" t="n">
        <f aca="false">IF(25&lt;=Hipótesis!$D$97,0,IF(AA89&gt;0,MIN(AA89,Hipótesis!$D$93/MAX(Hipótesis!$D$96-Hipótesis!$D$97,1)),0))</f>
        <v>0</v>
      </c>
      <c r="AB90" s="109" t="n">
        <f aca="false">IF(26&lt;=Hipótesis!$D$97,0,IF(AB89&gt;0,MIN(AB89,Hipótesis!$D$93/MAX(Hipótesis!$D$96-Hipótesis!$D$97,1)),0))</f>
        <v>0</v>
      </c>
      <c r="AC90" s="109" t="n">
        <f aca="false">IF(27&lt;=Hipótesis!$D$97,0,IF(AC89&gt;0,MIN(AC89,Hipótesis!$D$93/MAX(Hipótesis!$D$96-Hipótesis!$D$97,1)),0))</f>
        <v>0</v>
      </c>
      <c r="AD90" s="109" t="n">
        <f aca="false">IF(28&lt;=Hipótesis!$D$97,0,IF(AD89&gt;0,MIN(AD89,Hipótesis!$D$93/MAX(Hipótesis!$D$96-Hipótesis!$D$97,1)),0))</f>
        <v>0</v>
      </c>
      <c r="AE90" s="109" t="n">
        <f aca="false">IF(29&lt;=Hipótesis!$D$97,0,IF(AE89&gt;0,MIN(AE89,Hipótesis!$D$93/MAX(Hipótesis!$D$96-Hipótesis!$D$97,1)),0))</f>
        <v>0</v>
      </c>
      <c r="AF90" s="109" t="n">
        <f aca="false">IF(30&lt;=Hipótesis!$D$97,0,IF(AF89&gt;0,MIN(AF89,Hipótesis!$D$93/MAX(Hipótesis!$D$96-Hipótesis!$D$97,1)),0))</f>
        <v>0</v>
      </c>
      <c r="AG90" s="109" t="n">
        <f aca="false">IF(31&lt;=Hipótesis!$D$97,0,IF(AG89&gt;0,MIN(AG89,Hipótesis!$D$93/MAX(Hipótesis!$D$96-Hipótesis!$D$97,1)),0))</f>
        <v>0</v>
      </c>
      <c r="AH90" s="109" t="n">
        <f aca="false">IF(32&lt;=Hipótesis!$D$97,0,IF(AH89&gt;0,MIN(AH89,Hipótesis!$D$93/MAX(Hipótesis!$D$96-Hipótesis!$D$97,1)),0))</f>
        <v>0</v>
      </c>
      <c r="AI90" s="109" t="n">
        <f aca="false">IF(33&lt;=Hipótesis!$D$97,0,IF(AI89&gt;0,MIN(AI89,Hipótesis!$D$93/MAX(Hipótesis!$D$96-Hipótesis!$D$97,1)),0))</f>
        <v>0</v>
      </c>
      <c r="AJ90" s="109" t="n">
        <f aca="false">IF(34&lt;=Hipótesis!$D$97,0,IF(AJ89&gt;0,MIN(AJ89,Hipótesis!$D$93/MAX(Hipótesis!$D$96-Hipótesis!$D$97,1)),0))</f>
        <v>0</v>
      </c>
      <c r="AK90" s="109" t="n">
        <f aca="false">IF(35&lt;=Hipótesis!$D$97,0,IF(AK89&gt;0,MIN(AK89,Hipótesis!$D$93/MAX(Hipótesis!$D$96-Hipótesis!$D$97,1)),0))</f>
        <v>0</v>
      </c>
      <c r="AL90" s="109" t="n">
        <f aca="false">IF(36&lt;=Hipótesis!$D$97,0,IF(AL89&gt;0,MIN(AL89,Hipótesis!$D$93/MAX(Hipótesis!$D$96-Hipótesis!$D$97,1)),0))</f>
        <v>0</v>
      </c>
      <c r="AM90" s="109" t="n">
        <f aca="false">IF(37&lt;=Hipótesis!$D$97,0,IF(AM89&gt;0,MIN(AM89,Hipótesis!$D$93/MAX(Hipótesis!$D$96-Hipótesis!$D$97,1)),0))</f>
        <v>0</v>
      </c>
      <c r="AN90" s="109" t="n">
        <f aca="false">IF(38&lt;=Hipótesis!$D$97,0,IF(AN89&gt;0,MIN(AN89,Hipótesis!$D$93/MAX(Hipótesis!$D$96-Hipótesis!$D$97,1)),0))</f>
        <v>0</v>
      </c>
      <c r="AO90" s="109" t="n">
        <f aca="false">IF(39&lt;=Hipótesis!$D$97,0,IF(AO89&gt;0,MIN(AO89,Hipótesis!$D$93/MAX(Hipótesis!$D$96-Hipótesis!$D$97,1)),0))</f>
        <v>0</v>
      </c>
      <c r="AP90" s="109" t="n">
        <f aca="false">IF(40&lt;=Hipótesis!$D$97,0,IF(AP89&gt;0,MIN(AP89,Hipótesis!$D$93/MAX(Hipótesis!$D$96-Hipótesis!$D$97,1)),0))</f>
        <v>0</v>
      </c>
      <c r="AQ90" s="109" t="n">
        <f aca="false">IF(41&lt;=Hipótesis!$D$97,0,IF(AQ89&gt;0,MIN(AQ89,Hipótesis!$D$93/MAX(Hipótesis!$D$96-Hipótesis!$D$97,1)),0))</f>
        <v>0</v>
      </c>
      <c r="AR90" s="109" t="n">
        <f aca="false">IF(42&lt;=Hipótesis!$D$97,0,IF(AR89&gt;0,MIN(AR89,Hipótesis!$D$93/MAX(Hipótesis!$D$96-Hipótesis!$D$97,1)),0))</f>
        <v>0</v>
      </c>
      <c r="AS90" s="109" t="n">
        <f aca="false">IF(43&lt;=Hipótesis!$D$97,0,IF(AS89&gt;0,MIN(AS89,Hipótesis!$D$93/MAX(Hipótesis!$D$96-Hipótesis!$D$97,1)),0))</f>
        <v>0</v>
      </c>
      <c r="AT90" s="109" t="n">
        <f aca="false">IF(44&lt;=Hipótesis!$D$97,0,IF(AT89&gt;0,MIN(AT89,Hipótesis!$D$93/MAX(Hipótesis!$D$96-Hipótesis!$D$97,1)),0))</f>
        <v>0</v>
      </c>
      <c r="AU90" s="109" t="n">
        <f aca="false">IF(45&lt;=Hipótesis!$D$97,0,IF(AU89&gt;0,MIN(AU89,Hipótesis!$D$93/MAX(Hipótesis!$D$96-Hipótesis!$D$97,1)),0))</f>
        <v>0</v>
      </c>
      <c r="AV90" s="109" t="n">
        <f aca="false">IF(46&lt;=Hipótesis!$D$97,0,IF(AV89&gt;0,MIN(AV89,Hipótesis!$D$93/MAX(Hipótesis!$D$96-Hipótesis!$D$97,1)),0))</f>
        <v>0</v>
      </c>
      <c r="AW90" s="109" t="n">
        <f aca="false">IF(47&lt;=Hipótesis!$D$97,0,IF(AW89&gt;0,MIN(AW89,Hipótesis!$D$93/MAX(Hipótesis!$D$96-Hipótesis!$D$97,1)),0))</f>
        <v>0</v>
      </c>
      <c r="AX90" s="109" t="n">
        <f aca="false">IF(48&lt;=Hipótesis!$D$97,0,IF(AX89&gt;0,MIN(AX89,Hipótesis!$D$93/MAX(Hipótesis!$D$96-Hipótesis!$D$97,1)),0))</f>
        <v>0</v>
      </c>
      <c r="AY90" s="109" t="n">
        <f aca="false">IF(49&lt;=Hipótesis!$D$97,0,IF(AY89&gt;0,MIN(AY89,Hipótesis!$D$93/MAX(Hipótesis!$D$96-Hipótesis!$D$97,1)),0))</f>
        <v>0</v>
      </c>
      <c r="AZ90" s="109" t="n">
        <f aca="false">IF(50&lt;=Hipótesis!$D$97,0,IF(AZ89&gt;0,MIN(AZ89,Hipótesis!$D$93/MAX(Hipótesis!$D$96-Hipótesis!$D$97,1)),0))</f>
        <v>0</v>
      </c>
      <c r="BA90" s="109" t="n">
        <f aca="false">IF(51&lt;=Hipótesis!$D$97,0,IF(BA89&gt;0,MIN(BA89,Hipótesis!$D$93/MAX(Hipótesis!$D$96-Hipótesis!$D$97,1)),0))</f>
        <v>0</v>
      </c>
      <c r="BB90" s="109" t="n">
        <f aca="false">IF(52&lt;=Hipótesis!$D$97,0,IF(BB89&gt;0,MIN(BB89,Hipótesis!$D$93/MAX(Hipótesis!$D$96-Hipótesis!$D$97,1)),0))</f>
        <v>0</v>
      </c>
      <c r="BC90" s="109" t="n">
        <f aca="false">IF(53&lt;=Hipótesis!$D$97,0,IF(BC89&gt;0,MIN(BC89,Hipótesis!$D$93/MAX(Hipótesis!$D$96-Hipótesis!$D$97,1)),0))</f>
        <v>0</v>
      </c>
      <c r="BD90" s="109" t="n">
        <f aca="false">IF(54&lt;=Hipótesis!$D$97,0,IF(BD89&gt;0,MIN(BD89,Hipótesis!$D$93/MAX(Hipótesis!$D$96-Hipótesis!$D$97,1)),0))</f>
        <v>0</v>
      </c>
      <c r="BE90" s="109" t="n">
        <f aca="false">IF(55&lt;=Hipótesis!$D$97,0,IF(BE89&gt;0,MIN(BE89,Hipótesis!$D$93/MAX(Hipótesis!$D$96-Hipótesis!$D$97,1)),0))</f>
        <v>0</v>
      </c>
      <c r="BF90" s="109" t="n">
        <f aca="false">IF(56&lt;=Hipótesis!$D$97,0,IF(BF89&gt;0,MIN(BF89,Hipótesis!$D$93/MAX(Hipótesis!$D$96-Hipótesis!$D$97,1)),0))</f>
        <v>0</v>
      </c>
      <c r="BG90" s="109" t="n">
        <f aca="false">IF(57&lt;=Hipótesis!$D$97,0,IF(BG89&gt;0,MIN(BG89,Hipótesis!$D$93/MAX(Hipótesis!$D$96-Hipótesis!$D$97,1)),0))</f>
        <v>0</v>
      </c>
      <c r="BH90" s="109" t="n">
        <f aca="false">IF(58&lt;=Hipótesis!$D$97,0,IF(BH89&gt;0,MIN(BH89,Hipótesis!$D$93/MAX(Hipótesis!$D$96-Hipótesis!$D$97,1)),0))</f>
        <v>0</v>
      </c>
      <c r="BI90" s="109" t="n">
        <f aca="false">IF(59&lt;=Hipótesis!$D$97,0,IF(BI89&gt;0,MIN(BI89,Hipótesis!$D$93/MAX(Hipótesis!$D$96-Hipótesis!$D$97,1)),0))</f>
        <v>0</v>
      </c>
      <c r="BJ90" s="109" t="n">
        <f aca="false">IF(60&lt;=Hipótesis!$D$97,0,IF(BJ89&gt;0,MIN(BJ89,Hipótesis!$D$93/MAX(Hipótesis!$D$96-Hipótesis!$D$97,1)),0))</f>
        <v>0</v>
      </c>
      <c r="BK90" s="109" t="n">
        <f aca="false">IF(61&lt;=Hipótesis!$D$97,0,IF(BK89&gt;0,MIN(BK89,Hipótesis!$D$93/MAX(Hipótesis!$D$96-Hipótesis!$D$97,1)),0))</f>
        <v>0</v>
      </c>
      <c r="BL90" s="109" t="n">
        <f aca="false">IF(62&lt;=Hipótesis!$D$97,0,IF(BL89&gt;0,MIN(BL89,Hipótesis!$D$93/MAX(Hipótesis!$D$96-Hipótesis!$D$97,1)),0))</f>
        <v>0</v>
      </c>
      <c r="BM90" s="109" t="n">
        <f aca="false">IF(63&lt;=Hipótesis!$D$97,0,IF(BM89&gt;0,MIN(BM89,Hipótesis!$D$93/MAX(Hipótesis!$D$96-Hipótesis!$D$97,1)),0))</f>
        <v>0</v>
      </c>
      <c r="BN90" s="109" t="n">
        <f aca="false">IF(64&lt;=Hipótesis!$D$97,0,IF(BN89&gt;0,MIN(BN89,Hipótesis!$D$93/MAX(Hipótesis!$D$96-Hipótesis!$D$97,1)),0))</f>
        <v>0</v>
      </c>
      <c r="BO90" s="109" t="n">
        <f aca="false">IF(65&lt;=Hipótesis!$D$97,0,IF(BO89&gt;0,MIN(BO89,Hipótesis!$D$93/MAX(Hipótesis!$D$96-Hipótesis!$D$97,1)),0))</f>
        <v>0</v>
      </c>
      <c r="BP90" s="109" t="n">
        <f aca="false">IF(66&lt;=Hipótesis!$D$97,0,IF(BP89&gt;0,MIN(BP89,Hipótesis!$D$93/MAX(Hipótesis!$D$96-Hipótesis!$D$97,1)),0))</f>
        <v>0</v>
      </c>
      <c r="BQ90" s="109" t="n">
        <f aca="false">IF(67&lt;=Hipótesis!$D$97,0,IF(BQ89&gt;0,MIN(BQ89,Hipótesis!$D$93/MAX(Hipótesis!$D$96-Hipótesis!$D$97,1)),0))</f>
        <v>0</v>
      </c>
      <c r="BR90" s="109" t="n">
        <f aca="false">IF(68&lt;=Hipótesis!$D$97,0,IF(BR89&gt;0,MIN(BR89,Hipótesis!$D$93/MAX(Hipótesis!$D$96-Hipótesis!$D$97,1)),0))</f>
        <v>0</v>
      </c>
      <c r="BS90" s="109" t="n">
        <f aca="false">IF(69&lt;=Hipótesis!$D$97,0,IF(BS89&gt;0,MIN(BS89,Hipótesis!$D$93/MAX(Hipótesis!$D$96-Hipótesis!$D$97,1)),0))</f>
        <v>0</v>
      </c>
      <c r="BT90" s="109" t="n">
        <f aca="false">IF(70&lt;=Hipótesis!$D$97,0,IF(BT89&gt;0,MIN(BT89,Hipótesis!$D$93/MAX(Hipótesis!$D$96-Hipótesis!$D$97,1)),0))</f>
        <v>0</v>
      </c>
      <c r="BU90" s="109" t="n">
        <f aca="false">IF(71&lt;=Hipótesis!$D$97,0,IF(BU89&gt;0,MIN(BU89,Hipótesis!$D$93/MAX(Hipótesis!$D$96-Hipótesis!$D$97,1)),0))</f>
        <v>0</v>
      </c>
      <c r="BV90" s="109" t="n">
        <f aca="false">IF(72&lt;=Hipótesis!$D$97,0,IF(BV89&gt;0,MIN(BV89,Hipótesis!$D$93/MAX(Hipótesis!$D$96-Hipótesis!$D$97,1)),0))</f>
        <v>0</v>
      </c>
      <c r="BW90" s="109" t="n">
        <f aca="false">IF(73&lt;=Hipótesis!$D$97,0,IF(BW89&gt;0,MIN(BW89,Hipótesis!$D$93/MAX(Hipótesis!$D$96-Hipótesis!$D$97,1)),0))</f>
        <v>0</v>
      </c>
      <c r="BX90" s="109" t="n">
        <f aca="false">IF(74&lt;=Hipótesis!$D$97,0,IF(BX89&gt;0,MIN(BX89,Hipótesis!$D$93/MAX(Hipótesis!$D$96-Hipótesis!$D$97,1)),0))</f>
        <v>0</v>
      </c>
      <c r="BY90" s="109" t="n">
        <f aca="false">IF(75&lt;=Hipótesis!$D$97,0,IF(BY89&gt;0,MIN(BY89,Hipótesis!$D$93/MAX(Hipótesis!$D$96-Hipótesis!$D$97,1)),0))</f>
        <v>0</v>
      </c>
      <c r="BZ90" s="109" t="n">
        <f aca="false">IF(76&lt;=Hipótesis!$D$97,0,IF(BZ89&gt;0,MIN(BZ89,Hipótesis!$D$93/MAX(Hipótesis!$D$96-Hipótesis!$D$97,1)),0))</f>
        <v>0</v>
      </c>
      <c r="CA90" s="109" t="n">
        <f aca="false">IF(77&lt;=Hipótesis!$D$97,0,IF(CA89&gt;0,MIN(CA89,Hipótesis!$D$93/MAX(Hipótesis!$D$96-Hipótesis!$D$97,1)),0))</f>
        <v>0</v>
      </c>
      <c r="CB90" s="109" t="n">
        <f aca="false">IF(78&lt;=Hipótesis!$D$97,0,IF(CB89&gt;0,MIN(CB89,Hipótesis!$D$93/MAX(Hipótesis!$D$96-Hipótesis!$D$97,1)),0))</f>
        <v>0</v>
      </c>
      <c r="CC90" s="109" t="n">
        <f aca="false">IF(79&lt;=Hipótesis!$D$97,0,IF(CC89&gt;0,MIN(CC89,Hipótesis!$D$93/MAX(Hipótesis!$D$96-Hipótesis!$D$97,1)),0))</f>
        <v>0</v>
      </c>
      <c r="CD90" s="109" t="n">
        <f aca="false">IF(80&lt;=Hipótesis!$D$97,0,IF(CD89&gt;0,MIN(CD89,Hipótesis!$D$93/MAX(Hipótesis!$D$96-Hipótesis!$D$97,1)),0))</f>
        <v>0</v>
      </c>
      <c r="CE90" s="109" t="n">
        <f aca="false">IF(81&lt;=Hipótesis!$D$97,0,IF(CE89&gt;0,MIN(CE89,Hipótesis!$D$93/MAX(Hipótesis!$D$96-Hipótesis!$D$97,1)),0))</f>
        <v>0</v>
      </c>
      <c r="CF90" s="109" t="n">
        <f aca="false">IF(82&lt;=Hipótesis!$D$97,0,IF(CF89&gt;0,MIN(CF89,Hipótesis!$D$93/MAX(Hipótesis!$D$96-Hipótesis!$D$97,1)),0))</f>
        <v>0</v>
      </c>
      <c r="CG90" s="109" t="n">
        <f aca="false">IF(83&lt;=Hipótesis!$D$97,0,IF(CG89&gt;0,MIN(CG89,Hipótesis!$D$93/MAX(Hipótesis!$D$96-Hipótesis!$D$97,1)),0))</f>
        <v>0</v>
      </c>
      <c r="CH90" s="109" t="n">
        <f aca="false">IF(84&lt;=Hipótesis!$D$97,0,IF(CH89&gt;0,MIN(CH89,Hipótesis!$D$93/MAX(Hipótesis!$D$96-Hipótesis!$D$97,1)),0))</f>
        <v>0</v>
      </c>
    </row>
    <row r="91" customFormat="false" ht="13.5" hidden="false" customHeight="true" outlineLevel="0" collapsed="false">
      <c r="A91" s="6" t="s">
        <v>592</v>
      </c>
      <c r="C91" s="109" t="n">
        <f aca="false">C89*Hipótesis!$D$95/12</f>
        <v>0</v>
      </c>
      <c r="D91" s="109" t="n">
        <f aca="false">D89*Hipótesis!$D$95/12</f>
        <v>0</v>
      </c>
      <c r="E91" s="109" t="n">
        <f aca="false">E89*Hipótesis!$D$95/12</f>
        <v>0</v>
      </c>
      <c r="F91" s="109" t="n">
        <f aca="false">F89*Hipótesis!$D$95/12</f>
        <v>0</v>
      </c>
      <c r="G91" s="109" t="n">
        <f aca="false">G89*Hipótesis!$D$95/12</f>
        <v>0</v>
      </c>
      <c r="H91" s="109" t="n">
        <f aca="false">H89*Hipótesis!$D$95/12</f>
        <v>0</v>
      </c>
      <c r="I91" s="109" t="n">
        <f aca="false">I89*Hipótesis!$D$95/12</f>
        <v>0</v>
      </c>
      <c r="J91" s="109" t="n">
        <f aca="false">J89*Hipótesis!$D$95/12</f>
        <v>0</v>
      </c>
      <c r="K91" s="109" t="n">
        <f aca="false">K89*Hipótesis!$D$95/12</f>
        <v>0</v>
      </c>
      <c r="L91" s="109" t="n">
        <f aca="false">L89*Hipótesis!$D$95/12</f>
        <v>0</v>
      </c>
      <c r="M91" s="109" t="n">
        <f aca="false">M89*Hipótesis!$D$95/12</f>
        <v>0</v>
      </c>
      <c r="N91" s="109" t="n">
        <f aca="false">N89*Hipótesis!$D$95/12</f>
        <v>0</v>
      </c>
      <c r="O91" s="109" t="n">
        <f aca="false">O89*Hipótesis!$D$95/12</f>
        <v>0</v>
      </c>
      <c r="P91" s="109" t="n">
        <f aca="false">P89*Hipótesis!$D$95/12</f>
        <v>0</v>
      </c>
      <c r="Q91" s="109" t="n">
        <f aca="false">Q89*Hipótesis!$D$95/12</f>
        <v>0</v>
      </c>
      <c r="R91" s="109" t="n">
        <f aca="false">R89*Hipótesis!$D$95/12</f>
        <v>0</v>
      </c>
      <c r="S91" s="109" t="n">
        <f aca="false">S89*Hipótesis!$D$95/12</f>
        <v>0</v>
      </c>
      <c r="T91" s="109" t="n">
        <f aca="false">T89*Hipótesis!$D$95/12</f>
        <v>0</v>
      </c>
      <c r="U91" s="109" t="n">
        <f aca="false">U89*Hipótesis!$D$95/12</f>
        <v>0</v>
      </c>
      <c r="V91" s="109" t="n">
        <f aca="false">V89*Hipótesis!$D$95/12</f>
        <v>0</v>
      </c>
      <c r="W91" s="109" t="n">
        <f aca="false">W89*Hipótesis!$D$95/12</f>
        <v>0</v>
      </c>
      <c r="X91" s="109" t="n">
        <f aca="false">X89*Hipótesis!$D$95/12</f>
        <v>0</v>
      </c>
      <c r="Y91" s="109" t="n">
        <f aca="false">Y89*Hipótesis!$D$95/12</f>
        <v>0</v>
      </c>
      <c r="Z91" s="109" t="n">
        <f aca="false">Z89*Hipótesis!$D$95/12</f>
        <v>0</v>
      </c>
      <c r="AA91" s="109" t="n">
        <f aca="false">AA89*Hipótesis!$D$95/12</f>
        <v>0</v>
      </c>
      <c r="AB91" s="109" t="n">
        <f aca="false">AB89*Hipótesis!$D$95/12</f>
        <v>0</v>
      </c>
      <c r="AC91" s="109" t="n">
        <f aca="false">AC89*Hipótesis!$D$95/12</f>
        <v>0</v>
      </c>
      <c r="AD91" s="109" t="n">
        <f aca="false">AD89*Hipótesis!$D$95/12</f>
        <v>0</v>
      </c>
      <c r="AE91" s="109" t="n">
        <f aca="false">AE89*Hipótesis!$D$95/12</f>
        <v>0</v>
      </c>
      <c r="AF91" s="109" t="n">
        <f aca="false">AF89*Hipótesis!$D$95/12</f>
        <v>0</v>
      </c>
      <c r="AG91" s="109" t="n">
        <f aca="false">AG89*Hipótesis!$D$95/12</f>
        <v>0</v>
      </c>
      <c r="AH91" s="109" t="n">
        <f aca="false">AH89*Hipótesis!$D$95/12</f>
        <v>0</v>
      </c>
      <c r="AI91" s="109" t="n">
        <f aca="false">AI89*Hipótesis!$D$95/12</f>
        <v>0</v>
      </c>
      <c r="AJ91" s="109" t="n">
        <f aca="false">AJ89*Hipótesis!$D$95/12</f>
        <v>0</v>
      </c>
      <c r="AK91" s="109" t="n">
        <f aca="false">AK89*Hipótesis!$D$95/12</f>
        <v>0</v>
      </c>
      <c r="AL91" s="109" t="n">
        <f aca="false">AL89*Hipótesis!$D$95/12</f>
        <v>0</v>
      </c>
      <c r="AM91" s="109" t="n">
        <f aca="false">AM89*Hipótesis!$D$95/12</f>
        <v>0</v>
      </c>
      <c r="AN91" s="109" t="n">
        <f aca="false">AN89*Hipótesis!$D$95/12</f>
        <v>0</v>
      </c>
      <c r="AO91" s="109" t="n">
        <f aca="false">AO89*Hipótesis!$D$95/12</f>
        <v>0</v>
      </c>
      <c r="AP91" s="109" t="n">
        <f aca="false">AP89*Hipótesis!$D$95/12</f>
        <v>0</v>
      </c>
      <c r="AQ91" s="109" t="n">
        <f aca="false">AQ89*Hipótesis!$D$95/12</f>
        <v>0</v>
      </c>
      <c r="AR91" s="109" t="n">
        <f aca="false">AR89*Hipótesis!$D$95/12</f>
        <v>0</v>
      </c>
      <c r="AS91" s="109" t="n">
        <f aca="false">AS89*Hipótesis!$D$95/12</f>
        <v>0</v>
      </c>
      <c r="AT91" s="109" t="n">
        <f aca="false">AT89*Hipótesis!$D$95/12</f>
        <v>0</v>
      </c>
      <c r="AU91" s="109" t="n">
        <f aca="false">AU89*Hipótesis!$D$95/12</f>
        <v>0</v>
      </c>
      <c r="AV91" s="109" t="n">
        <f aca="false">AV89*Hipótesis!$D$95/12</f>
        <v>0</v>
      </c>
      <c r="AW91" s="109" t="n">
        <f aca="false">AW89*Hipótesis!$D$95/12</f>
        <v>0</v>
      </c>
      <c r="AX91" s="109" t="n">
        <f aca="false">AX89*Hipótesis!$D$95/12</f>
        <v>0</v>
      </c>
      <c r="AY91" s="109" t="n">
        <f aca="false">AY89*Hipótesis!$D$95/12</f>
        <v>0</v>
      </c>
      <c r="AZ91" s="109" t="n">
        <f aca="false">AZ89*Hipótesis!$D$95/12</f>
        <v>0</v>
      </c>
      <c r="BA91" s="109" t="n">
        <f aca="false">BA89*Hipótesis!$D$95/12</f>
        <v>0</v>
      </c>
      <c r="BB91" s="109" t="n">
        <f aca="false">BB89*Hipótesis!$D$95/12</f>
        <v>0</v>
      </c>
      <c r="BC91" s="109" t="n">
        <f aca="false">BC89*Hipótesis!$D$95/12</f>
        <v>0</v>
      </c>
      <c r="BD91" s="109" t="n">
        <f aca="false">BD89*Hipótesis!$D$95/12</f>
        <v>0</v>
      </c>
      <c r="BE91" s="109" t="n">
        <f aca="false">BE89*Hipótesis!$D$95/12</f>
        <v>0</v>
      </c>
      <c r="BF91" s="109" t="n">
        <f aca="false">BF89*Hipótesis!$D$95/12</f>
        <v>0</v>
      </c>
      <c r="BG91" s="109" t="n">
        <f aca="false">BG89*Hipótesis!$D$95/12</f>
        <v>0</v>
      </c>
      <c r="BH91" s="109" t="n">
        <f aca="false">BH89*Hipótesis!$D$95/12</f>
        <v>0</v>
      </c>
      <c r="BI91" s="109" t="n">
        <f aca="false">BI89*Hipótesis!$D$95/12</f>
        <v>0</v>
      </c>
      <c r="BJ91" s="109" t="n">
        <f aca="false">BJ89*Hipótesis!$D$95/12</f>
        <v>0</v>
      </c>
      <c r="BK91" s="109" t="n">
        <f aca="false">BK89*Hipótesis!$D$95/12</f>
        <v>0</v>
      </c>
      <c r="BL91" s="109" t="n">
        <f aca="false">BL89*Hipótesis!$D$95/12</f>
        <v>0</v>
      </c>
      <c r="BM91" s="109" t="n">
        <f aca="false">BM89*Hipótesis!$D$95/12</f>
        <v>0</v>
      </c>
      <c r="BN91" s="109" t="n">
        <f aca="false">BN89*Hipótesis!$D$95/12</f>
        <v>0</v>
      </c>
      <c r="BO91" s="109" t="n">
        <f aca="false">BO89*Hipótesis!$D$95/12</f>
        <v>0</v>
      </c>
      <c r="BP91" s="109" t="n">
        <f aca="false">BP89*Hipótesis!$D$95/12</f>
        <v>0</v>
      </c>
      <c r="BQ91" s="109" t="n">
        <f aca="false">BQ89*Hipótesis!$D$95/12</f>
        <v>0</v>
      </c>
      <c r="BR91" s="109" t="n">
        <f aca="false">BR89*Hipótesis!$D$95/12</f>
        <v>0</v>
      </c>
      <c r="BS91" s="109" t="n">
        <f aca="false">BS89*Hipótesis!$D$95/12</f>
        <v>0</v>
      </c>
      <c r="BT91" s="109" t="n">
        <f aca="false">BT89*Hipótesis!$D$95/12</f>
        <v>0</v>
      </c>
      <c r="BU91" s="109" t="n">
        <f aca="false">BU89*Hipótesis!$D$95/12</f>
        <v>0</v>
      </c>
      <c r="BV91" s="109" t="n">
        <f aca="false">BV89*Hipótesis!$D$95/12</f>
        <v>0</v>
      </c>
      <c r="BW91" s="109" t="n">
        <f aca="false">BW89*Hipótesis!$D$95/12</f>
        <v>0</v>
      </c>
      <c r="BX91" s="109" t="n">
        <f aca="false">BX89*Hipótesis!$D$95/12</f>
        <v>0</v>
      </c>
      <c r="BY91" s="109" t="n">
        <f aca="false">BY89*Hipótesis!$D$95/12</f>
        <v>0</v>
      </c>
      <c r="BZ91" s="109" t="n">
        <f aca="false">BZ89*Hipótesis!$D$95/12</f>
        <v>0</v>
      </c>
      <c r="CA91" s="109" t="n">
        <f aca="false">CA89*Hipótesis!$D$95/12</f>
        <v>0</v>
      </c>
      <c r="CB91" s="109" t="n">
        <f aca="false">CB89*Hipótesis!$D$95/12</f>
        <v>0</v>
      </c>
      <c r="CC91" s="109" t="n">
        <f aca="false">CC89*Hipótesis!$D$95/12</f>
        <v>0</v>
      </c>
      <c r="CD91" s="109" t="n">
        <f aca="false">CD89*Hipótesis!$D$95/12</f>
        <v>0</v>
      </c>
      <c r="CE91" s="109" t="n">
        <f aca="false">CE89*Hipótesis!$D$95/12</f>
        <v>0</v>
      </c>
      <c r="CF91" s="109" t="n">
        <f aca="false">CF89*Hipótesis!$D$95/12</f>
        <v>0</v>
      </c>
      <c r="CG91" s="109" t="n">
        <f aca="false">CG89*Hipótesis!$D$95/12</f>
        <v>0</v>
      </c>
      <c r="CH91" s="109" t="n">
        <f aca="false">CH89*Hipótesis!$D$95/12</f>
        <v>0</v>
      </c>
    </row>
    <row r="92" customFormat="false" ht="13.5" hidden="false" customHeight="true" outlineLevel="0" collapsed="false">
      <c r="A92" s="6" t="s">
        <v>593</v>
      </c>
      <c r="C92" s="109" t="n">
        <f aca="false">IF(Hipótesis!$D$94=5,0,IF(Hipótesis!$D$94=1,C90+C91,IF(Hipótesis!$D$94=2,C90+C91+IF(C89&gt;0,Hipótesis!$D$98*MAX(0,C56),0),IF(Hipótesis!$D$94=3,Hipótesis!$D$99*MAX(0,C56),Hipótesis!$D$100*C36))))</f>
        <v>0</v>
      </c>
      <c r="D92" s="109" t="n">
        <f aca="false">IF(Hipótesis!$D$94=5,0,IF(Hipótesis!$D$94=1,D90+D91,IF(Hipótesis!$D$94=2,D90+D91+IF(D89&gt;0,Hipótesis!$D$98*MAX(0,D56),0),IF(Hipótesis!$D$94=3,Hipótesis!$D$99*MAX(0,D56),Hipótesis!$D$100*D36))))</f>
        <v>0</v>
      </c>
      <c r="E92" s="109" t="n">
        <f aca="false">IF(Hipótesis!$D$94=5,0,IF(Hipótesis!$D$94=1,E90+E91,IF(Hipótesis!$D$94=2,E90+E91+IF(E89&gt;0,Hipótesis!$D$98*MAX(0,E56),0),IF(Hipótesis!$D$94=3,Hipótesis!$D$99*MAX(0,E56),Hipótesis!$D$100*E36))))</f>
        <v>0</v>
      </c>
      <c r="F92" s="109" t="n">
        <f aca="false">IF(Hipótesis!$D$94=5,0,IF(Hipótesis!$D$94=1,F90+F91,IF(Hipótesis!$D$94=2,F90+F91+IF(F89&gt;0,Hipótesis!$D$98*MAX(0,F56),0),IF(Hipótesis!$D$94=3,Hipótesis!$D$99*MAX(0,F56),Hipótesis!$D$100*F36))))</f>
        <v>0</v>
      </c>
      <c r="G92" s="109" t="n">
        <f aca="false">IF(Hipótesis!$D$94=5,0,IF(Hipótesis!$D$94=1,G90+G91,IF(Hipótesis!$D$94=2,G90+G91+IF(G89&gt;0,Hipótesis!$D$98*MAX(0,G56),0),IF(Hipótesis!$D$94=3,Hipótesis!$D$99*MAX(0,G56),Hipótesis!$D$100*G36))))</f>
        <v>0</v>
      </c>
      <c r="H92" s="109" t="n">
        <f aca="false">IF(Hipótesis!$D$94=5,0,IF(Hipótesis!$D$94=1,H90+H91,IF(Hipótesis!$D$94=2,H90+H91+IF(H89&gt;0,Hipótesis!$D$98*MAX(0,H56),0),IF(Hipótesis!$D$94=3,Hipótesis!$D$99*MAX(0,H56),Hipótesis!$D$100*H36))))</f>
        <v>0</v>
      </c>
      <c r="I92" s="109" t="n">
        <f aca="false">IF(Hipótesis!$D$94=5,0,IF(Hipótesis!$D$94=1,I90+I91,IF(Hipótesis!$D$94=2,I90+I91+IF(I89&gt;0,Hipótesis!$D$98*MAX(0,I56),0),IF(Hipótesis!$D$94=3,Hipótesis!$D$99*MAX(0,I56),Hipótesis!$D$100*I36))))</f>
        <v>0</v>
      </c>
      <c r="J92" s="109" t="n">
        <f aca="false">IF(Hipótesis!$D$94=5,0,IF(Hipótesis!$D$94=1,J90+J91,IF(Hipótesis!$D$94=2,J90+J91+IF(J89&gt;0,Hipótesis!$D$98*MAX(0,J56),0),IF(Hipótesis!$D$94=3,Hipótesis!$D$99*MAX(0,J56),Hipótesis!$D$100*J36))))</f>
        <v>0</v>
      </c>
      <c r="K92" s="109" t="n">
        <f aca="false">IF(Hipótesis!$D$94=5,0,IF(Hipótesis!$D$94=1,K90+K91,IF(Hipótesis!$D$94=2,K90+K91+IF(K89&gt;0,Hipótesis!$D$98*MAX(0,K56),0),IF(Hipótesis!$D$94=3,Hipótesis!$D$99*MAX(0,K56),Hipótesis!$D$100*K36))))</f>
        <v>0</v>
      </c>
      <c r="L92" s="109" t="n">
        <f aca="false">IF(Hipótesis!$D$94=5,0,IF(Hipótesis!$D$94=1,L90+L91,IF(Hipótesis!$D$94=2,L90+L91+IF(L89&gt;0,Hipótesis!$D$98*MAX(0,L56),0),IF(Hipótesis!$D$94=3,Hipótesis!$D$99*MAX(0,L56),Hipótesis!$D$100*L36))))</f>
        <v>0</v>
      </c>
      <c r="M92" s="109" t="n">
        <f aca="false">IF(Hipótesis!$D$94=5,0,IF(Hipótesis!$D$94=1,M90+M91,IF(Hipótesis!$D$94=2,M90+M91+IF(M89&gt;0,Hipótesis!$D$98*MAX(0,M56),0),IF(Hipótesis!$D$94=3,Hipótesis!$D$99*MAX(0,M56),Hipótesis!$D$100*M36))))</f>
        <v>0</v>
      </c>
      <c r="N92" s="109" t="n">
        <f aca="false">IF(Hipótesis!$D$94=5,0,IF(Hipótesis!$D$94=1,N90+N91,IF(Hipótesis!$D$94=2,N90+N91+IF(N89&gt;0,Hipótesis!$D$98*MAX(0,N56),0),IF(Hipótesis!$D$94=3,Hipótesis!$D$99*MAX(0,N56),Hipótesis!$D$100*N36))))</f>
        <v>0</v>
      </c>
      <c r="O92" s="109" t="n">
        <f aca="false">IF(Hipótesis!$D$94=5,0,IF(Hipótesis!$D$94=1,O90+O91,IF(Hipótesis!$D$94=2,O90+O91+IF(O89&gt;0,Hipótesis!$D$98*MAX(0,O56),0),IF(Hipótesis!$D$94=3,Hipótesis!$D$99*MAX(0,O56),Hipótesis!$D$100*O36))))</f>
        <v>0</v>
      </c>
      <c r="P92" s="109" t="n">
        <f aca="false">IF(Hipótesis!$D$94=5,0,IF(Hipótesis!$D$94=1,P90+P91,IF(Hipótesis!$D$94=2,P90+P91+IF(P89&gt;0,Hipótesis!$D$98*MAX(0,P56),0),IF(Hipótesis!$D$94=3,Hipótesis!$D$99*MAX(0,P56),Hipótesis!$D$100*P36))))</f>
        <v>0</v>
      </c>
      <c r="Q92" s="109" t="n">
        <f aca="false">IF(Hipótesis!$D$94=5,0,IF(Hipótesis!$D$94=1,Q90+Q91,IF(Hipótesis!$D$94=2,Q90+Q91+IF(Q89&gt;0,Hipótesis!$D$98*MAX(0,Q56),0),IF(Hipótesis!$D$94=3,Hipótesis!$D$99*MAX(0,Q56),Hipótesis!$D$100*Q36))))</f>
        <v>0</v>
      </c>
      <c r="R92" s="109" t="n">
        <f aca="false">IF(Hipótesis!$D$94=5,0,IF(Hipótesis!$D$94=1,R90+R91,IF(Hipótesis!$D$94=2,R90+R91+IF(R89&gt;0,Hipótesis!$D$98*MAX(0,R56),0),IF(Hipótesis!$D$94=3,Hipótesis!$D$99*MAX(0,R56),Hipótesis!$D$100*R36))))</f>
        <v>0</v>
      </c>
      <c r="S92" s="109" t="n">
        <f aca="false">IF(Hipótesis!$D$94=5,0,IF(Hipótesis!$D$94=1,S90+S91,IF(Hipótesis!$D$94=2,S90+S91+IF(S89&gt;0,Hipótesis!$D$98*MAX(0,S56),0),IF(Hipótesis!$D$94=3,Hipótesis!$D$99*MAX(0,S56),Hipótesis!$D$100*S36))))</f>
        <v>0</v>
      </c>
      <c r="T92" s="109" t="n">
        <f aca="false">IF(Hipótesis!$D$94=5,0,IF(Hipótesis!$D$94=1,T90+T91,IF(Hipótesis!$D$94=2,T90+T91+IF(T89&gt;0,Hipótesis!$D$98*MAX(0,T56),0),IF(Hipótesis!$D$94=3,Hipótesis!$D$99*MAX(0,T56),Hipótesis!$D$100*T36))))</f>
        <v>0</v>
      </c>
      <c r="U92" s="109" t="n">
        <f aca="false">IF(Hipótesis!$D$94=5,0,IF(Hipótesis!$D$94=1,U90+U91,IF(Hipótesis!$D$94=2,U90+U91+IF(U89&gt;0,Hipótesis!$D$98*MAX(0,U56),0),IF(Hipótesis!$D$94=3,Hipótesis!$D$99*MAX(0,U56),Hipótesis!$D$100*U36))))</f>
        <v>0</v>
      </c>
      <c r="V92" s="109" t="n">
        <f aca="false">IF(Hipótesis!$D$94=5,0,IF(Hipótesis!$D$94=1,V90+V91,IF(Hipótesis!$D$94=2,V90+V91+IF(V89&gt;0,Hipótesis!$D$98*MAX(0,V56),0),IF(Hipótesis!$D$94=3,Hipótesis!$D$99*MAX(0,V56),Hipótesis!$D$100*V36))))</f>
        <v>0</v>
      </c>
      <c r="W92" s="109" t="n">
        <f aca="false">IF(Hipótesis!$D$94=5,0,IF(Hipótesis!$D$94=1,W90+W91,IF(Hipótesis!$D$94=2,W90+W91+IF(W89&gt;0,Hipótesis!$D$98*MAX(0,W56),0),IF(Hipótesis!$D$94=3,Hipótesis!$D$99*MAX(0,W56),Hipótesis!$D$100*W36))))</f>
        <v>0</v>
      </c>
      <c r="X92" s="109" t="n">
        <f aca="false">IF(Hipótesis!$D$94=5,0,IF(Hipótesis!$D$94=1,X90+X91,IF(Hipótesis!$D$94=2,X90+X91+IF(X89&gt;0,Hipótesis!$D$98*MAX(0,X56),0),IF(Hipótesis!$D$94=3,Hipótesis!$D$99*MAX(0,X56),Hipótesis!$D$100*X36))))</f>
        <v>0</v>
      </c>
      <c r="Y92" s="109" t="n">
        <f aca="false">IF(Hipótesis!$D$94=5,0,IF(Hipótesis!$D$94=1,Y90+Y91,IF(Hipótesis!$D$94=2,Y90+Y91+IF(Y89&gt;0,Hipótesis!$D$98*MAX(0,Y56),0),IF(Hipótesis!$D$94=3,Hipótesis!$D$99*MAX(0,Y56),Hipótesis!$D$100*Y36))))</f>
        <v>0</v>
      </c>
      <c r="Z92" s="109" t="n">
        <f aca="false">IF(Hipótesis!$D$94=5,0,IF(Hipótesis!$D$94=1,Z90+Z91,IF(Hipótesis!$D$94=2,Z90+Z91+IF(Z89&gt;0,Hipótesis!$D$98*MAX(0,Z56),0),IF(Hipótesis!$D$94=3,Hipótesis!$D$99*MAX(0,Z56),Hipótesis!$D$100*Z36))))</f>
        <v>0</v>
      </c>
      <c r="AA92" s="109" t="n">
        <f aca="false">IF(Hipótesis!$D$94=5,0,IF(Hipótesis!$D$94=1,AA90+AA91,IF(Hipótesis!$D$94=2,AA90+AA91+IF(AA89&gt;0,Hipótesis!$D$98*MAX(0,AA56),0),IF(Hipótesis!$D$94=3,Hipótesis!$D$99*MAX(0,AA56),Hipótesis!$D$100*AA36))))</f>
        <v>0</v>
      </c>
      <c r="AB92" s="109" t="n">
        <f aca="false">IF(Hipótesis!$D$94=5,0,IF(Hipótesis!$D$94=1,AB90+AB91,IF(Hipótesis!$D$94=2,AB90+AB91+IF(AB89&gt;0,Hipótesis!$D$98*MAX(0,AB56),0),IF(Hipótesis!$D$94=3,Hipótesis!$D$99*MAX(0,AB56),Hipótesis!$D$100*AB36))))</f>
        <v>0</v>
      </c>
      <c r="AC92" s="109" t="n">
        <f aca="false">IF(Hipótesis!$D$94=5,0,IF(Hipótesis!$D$94=1,AC90+AC91,IF(Hipótesis!$D$94=2,AC90+AC91+IF(AC89&gt;0,Hipótesis!$D$98*MAX(0,AC56),0),IF(Hipótesis!$D$94=3,Hipótesis!$D$99*MAX(0,AC56),Hipótesis!$D$100*AC36))))</f>
        <v>0</v>
      </c>
      <c r="AD92" s="109" t="n">
        <f aca="false">IF(Hipótesis!$D$94=5,0,IF(Hipótesis!$D$94=1,AD90+AD91,IF(Hipótesis!$D$94=2,AD90+AD91+IF(AD89&gt;0,Hipótesis!$D$98*MAX(0,AD56),0),IF(Hipótesis!$D$94=3,Hipótesis!$D$99*MAX(0,AD56),Hipótesis!$D$100*AD36))))</f>
        <v>0</v>
      </c>
      <c r="AE92" s="109" t="n">
        <f aca="false">IF(Hipótesis!$D$94=5,0,IF(Hipótesis!$D$94=1,AE90+AE91,IF(Hipótesis!$D$94=2,AE90+AE91+IF(AE89&gt;0,Hipótesis!$D$98*MAX(0,AE56),0),IF(Hipótesis!$D$94=3,Hipótesis!$D$99*MAX(0,AE56),Hipótesis!$D$100*AE36))))</f>
        <v>0</v>
      </c>
      <c r="AF92" s="109" t="n">
        <f aca="false">IF(Hipótesis!$D$94=5,0,IF(Hipótesis!$D$94=1,AF90+AF91,IF(Hipótesis!$D$94=2,AF90+AF91+IF(AF89&gt;0,Hipótesis!$D$98*MAX(0,AF56),0),IF(Hipótesis!$D$94=3,Hipótesis!$D$99*MAX(0,AF56),Hipótesis!$D$100*AF36))))</f>
        <v>0</v>
      </c>
      <c r="AG92" s="109" t="n">
        <f aca="false">IF(Hipótesis!$D$94=5,0,IF(Hipótesis!$D$94=1,AG90+AG91,IF(Hipótesis!$D$94=2,AG90+AG91+IF(AG89&gt;0,Hipótesis!$D$98*MAX(0,AG56),0),IF(Hipótesis!$D$94=3,Hipótesis!$D$99*MAX(0,AG56),Hipótesis!$D$100*AG36))))</f>
        <v>0</v>
      </c>
      <c r="AH92" s="109" t="n">
        <f aca="false">IF(Hipótesis!$D$94=5,0,IF(Hipótesis!$D$94=1,AH90+AH91,IF(Hipótesis!$D$94=2,AH90+AH91+IF(AH89&gt;0,Hipótesis!$D$98*MAX(0,AH56),0),IF(Hipótesis!$D$94=3,Hipótesis!$D$99*MAX(0,AH56),Hipótesis!$D$100*AH36))))</f>
        <v>0</v>
      </c>
      <c r="AI92" s="109" t="n">
        <f aca="false">IF(Hipótesis!$D$94=5,0,IF(Hipótesis!$D$94=1,AI90+AI91,IF(Hipótesis!$D$94=2,AI90+AI91+IF(AI89&gt;0,Hipótesis!$D$98*MAX(0,AI56),0),IF(Hipótesis!$D$94=3,Hipótesis!$D$99*MAX(0,AI56),Hipótesis!$D$100*AI36))))</f>
        <v>0</v>
      </c>
      <c r="AJ92" s="109" t="n">
        <f aca="false">IF(Hipótesis!$D$94=5,0,IF(Hipótesis!$D$94=1,AJ90+AJ91,IF(Hipótesis!$D$94=2,AJ90+AJ91+IF(AJ89&gt;0,Hipótesis!$D$98*MAX(0,AJ56),0),IF(Hipótesis!$D$94=3,Hipótesis!$D$99*MAX(0,AJ56),Hipótesis!$D$100*AJ36))))</f>
        <v>0</v>
      </c>
      <c r="AK92" s="109" t="n">
        <f aca="false">IF(Hipótesis!$D$94=5,0,IF(Hipótesis!$D$94=1,AK90+AK91,IF(Hipótesis!$D$94=2,AK90+AK91+IF(AK89&gt;0,Hipótesis!$D$98*MAX(0,AK56),0),IF(Hipótesis!$D$94=3,Hipótesis!$D$99*MAX(0,AK56),Hipótesis!$D$100*AK36))))</f>
        <v>0</v>
      </c>
      <c r="AL92" s="109" t="n">
        <f aca="false">IF(Hipótesis!$D$94=5,0,IF(Hipótesis!$D$94=1,AL90+AL91,IF(Hipótesis!$D$94=2,AL90+AL91+IF(AL89&gt;0,Hipótesis!$D$98*MAX(0,AL56),0),IF(Hipótesis!$D$94=3,Hipótesis!$D$99*MAX(0,AL56),Hipótesis!$D$100*AL36))))</f>
        <v>0</v>
      </c>
      <c r="AM92" s="109" t="n">
        <f aca="false">IF(Hipótesis!$D$94=5,0,IF(Hipótesis!$D$94=1,AM90+AM91,IF(Hipótesis!$D$94=2,AM90+AM91+IF(AM89&gt;0,Hipótesis!$D$98*MAX(0,AM56),0),IF(Hipótesis!$D$94=3,Hipótesis!$D$99*MAX(0,AM56),Hipótesis!$D$100*AM36))))</f>
        <v>0</v>
      </c>
      <c r="AN92" s="109" t="n">
        <f aca="false">IF(Hipótesis!$D$94=5,0,IF(Hipótesis!$D$94=1,AN90+AN91,IF(Hipótesis!$D$94=2,AN90+AN91+IF(AN89&gt;0,Hipótesis!$D$98*MAX(0,AN56),0),IF(Hipótesis!$D$94=3,Hipótesis!$D$99*MAX(0,AN56),Hipótesis!$D$100*AN36))))</f>
        <v>0</v>
      </c>
      <c r="AO92" s="109" t="n">
        <f aca="false">IF(Hipótesis!$D$94=5,0,IF(Hipótesis!$D$94=1,AO90+AO91,IF(Hipótesis!$D$94=2,AO90+AO91+IF(AO89&gt;0,Hipótesis!$D$98*MAX(0,AO56),0),IF(Hipótesis!$D$94=3,Hipótesis!$D$99*MAX(0,AO56),Hipótesis!$D$100*AO36))))</f>
        <v>0</v>
      </c>
      <c r="AP92" s="109" t="n">
        <f aca="false">IF(Hipótesis!$D$94=5,0,IF(Hipótesis!$D$94=1,AP90+AP91,IF(Hipótesis!$D$94=2,AP90+AP91+IF(AP89&gt;0,Hipótesis!$D$98*MAX(0,AP56),0),IF(Hipótesis!$D$94=3,Hipótesis!$D$99*MAX(0,AP56),Hipótesis!$D$100*AP36))))</f>
        <v>0</v>
      </c>
      <c r="AQ92" s="109" t="n">
        <f aca="false">IF(Hipótesis!$D$94=5,0,IF(Hipótesis!$D$94=1,AQ90+AQ91,IF(Hipótesis!$D$94=2,AQ90+AQ91+IF(AQ89&gt;0,Hipótesis!$D$98*MAX(0,AQ56),0),IF(Hipótesis!$D$94=3,Hipótesis!$D$99*MAX(0,AQ56),Hipótesis!$D$100*AQ36))))</f>
        <v>0</v>
      </c>
      <c r="AR92" s="109" t="n">
        <f aca="false">IF(Hipótesis!$D$94=5,0,IF(Hipótesis!$D$94=1,AR90+AR91,IF(Hipótesis!$D$94=2,AR90+AR91+IF(AR89&gt;0,Hipótesis!$D$98*MAX(0,AR56),0),IF(Hipótesis!$D$94=3,Hipótesis!$D$99*MAX(0,AR56),Hipótesis!$D$100*AR36))))</f>
        <v>0</v>
      </c>
      <c r="AS92" s="109" t="n">
        <f aca="false">IF(Hipótesis!$D$94=5,0,IF(Hipótesis!$D$94=1,AS90+AS91,IF(Hipótesis!$D$94=2,AS90+AS91+IF(AS89&gt;0,Hipótesis!$D$98*MAX(0,AS56),0),IF(Hipótesis!$D$94=3,Hipótesis!$D$99*MAX(0,AS56),Hipótesis!$D$100*AS36))))</f>
        <v>0</v>
      </c>
      <c r="AT92" s="109" t="n">
        <f aca="false">IF(Hipótesis!$D$94=5,0,IF(Hipótesis!$D$94=1,AT90+AT91,IF(Hipótesis!$D$94=2,AT90+AT91+IF(AT89&gt;0,Hipótesis!$D$98*MAX(0,AT56),0),IF(Hipótesis!$D$94=3,Hipótesis!$D$99*MAX(0,AT56),Hipótesis!$D$100*AT36))))</f>
        <v>0</v>
      </c>
      <c r="AU92" s="109" t="n">
        <f aca="false">IF(Hipótesis!$D$94=5,0,IF(Hipótesis!$D$94=1,AU90+AU91,IF(Hipótesis!$D$94=2,AU90+AU91+IF(AU89&gt;0,Hipótesis!$D$98*MAX(0,AU56),0),IF(Hipótesis!$D$94=3,Hipótesis!$D$99*MAX(0,AU56),Hipótesis!$D$100*AU36))))</f>
        <v>0</v>
      </c>
      <c r="AV92" s="109" t="n">
        <f aca="false">IF(Hipótesis!$D$94=5,0,IF(Hipótesis!$D$94=1,AV90+AV91,IF(Hipótesis!$D$94=2,AV90+AV91+IF(AV89&gt;0,Hipótesis!$D$98*MAX(0,AV56),0),IF(Hipótesis!$D$94=3,Hipótesis!$D$99*MAX(0,AV56),Hipótesis!$D$100*AV36))))</f>
        <v>0</v>
      </c>
      <c r="AW92" s="109" t="n">
        <f aca="false">IF(Hipótesis!$D$94=5,0,IF(Hipótesis!$D$94=1,AW90+AW91,IF(Hipótesis!$D$94=2,AW90+AW91+IF(AW89&gt;0,Hipótesis!$D$98*MAX(0,AW56),0),IF(Hipótesis!$D$94=3,Hipótesis!$D$99*MAX(0,AW56),Hipótesis!$D$100*AW36))))</f>
        <v>0</v>
      </c>
      <c r="AX92" s="109" t="n">
        <f aca="false">IF(Hipótesis!$D$94=5,0,IF(Hipótesis!$D$94=1,AX90+AX91,IF(Hipótesis!$D$94=2,AX90+AX91+IF(AX89&gt;0,Hipótesis!$D$98*MAX(0,AX56),0),IF(Hipótesis!$D$94=3,Hipótesis!$D$99*MAX(0,AX56),Hipótesis!$D$100*AX36))))</f>
        <v>0</v>
      </c>
      <c r="AY92" s="109" t="n">
        <f aca="false">IF(Hipótesis!$D$94=5,0,IF(Hipótesis!$D$94=1,AY90+AY91,IF(Hipótesis!$D$94=2,AY90+AY91+IF(AY89&gt;0,Hipótesis!$D$98*MAX(0,AY56),0),IF(Hipótesis!$D$94=3,Hipótesis!$D$99*MAX(0,AY56),Hipótesis!$D$100*AY36))))</f>
        <v>0</v>
      </c>
      <c r="AZ92" s="109" t="n">
        <f aca="false">IF(Hipótesis!$D$94=5,0,IF(Hipótesis!$D$94=1,AZ90+AZ91,IF(Hipótesis!$D$94=2,AZ90+AZ91+IF(AZ89&gt;0,Hipótesis!$D$98*MAX(0,AZ56),0),IF(Hipótesis!$D$94=3,Hipótesis!$D$99*MAX(0,AZ56),Hipótesis!$D$100*AZ36))))</f>
        <v>0</v>
      </c>
      <c r="BA92" s="109" t="n">
        <f aca="false">IF(Hipótesis!$D$94=5,0,IF(Hipótesis!$D$94=1,BA90+BA91,IF(Hipótesis!$D$94=2,BA90+BA91+IF(BA89&gt;0,Hipótesis!$D$98*MAX(0,BA56),0),IF(Hipótesis!$D$94=3,Hipótesis!$D$99*MAX(0,BA56),Hipótesis!$D$100*BA36))))</f>
        <v>0</v>
      </c>
      <c r="BB92" s="109" t="n">
        <f aca="false">IF(Hipótesis!$D$94=5,0,IF(Hipótesis!$D$94=1,BB90+BB91,IF(Hipótesis!$D$94=2,BB90+BB91+IF(BB89&gt;0,Hipótesis!$D$98*MAX(0,BB56),0),IF(Hipótesis!$D$94=3,Hipótesis!$D$99*MAX(0,BB56),Hipótesis!$D$100*BB36))))</f>
        <v>0</v>
      </c>
      <c r="BC92" s="109" t="n">
        <f aca="false">IF(Hipótesis!$D$94=5,0,IF(Hipótesis!$D$94=1,BC90+BC91,IF(Hipótesis!$D$94=2,BC90+BC91+IF(BC89&gt;0,Hipótesis!$D$98*MAX(0,BC56),0),IF(Hipótesis!$D$94=3,Hipótesis!$D$99*MAX(0,BC56),Hipótesis!$D$100*BC36))))</f>
        <v>0</v>
      </c>
      <c r="BD92" s="109" t="n">
        <f aca="false">IF(Hipótesis!$D$94=5,0,IF(Hipótesis!$D$94=1,BD90+BD91,IF(Hipótesis!$D$94=2,BD90+BD91+IF(BD89&gt;0,Hipótesis!$D$98*MAX(0,BD56),0),IF(Hipótesis!$D$94=3,Hipótesis!$D$99*MAX(0,BD56),Hipótesis!$D$100*BD36))))</f>
        <v>0</v>
      </c>
      <c r="BE92" s="109" t="n">
        <f aca="false">IF(Hipótesis!$D$94=5,0,IF(Hipótesis!$D$94=1,BE90+BE91,IF(Hipótesis!$D$94=2,BE90+BE91+IF(BE89&gt;0,Hipótesis!$D$98*MAX(0,BE56),0),IF(Hipótesis!$D$94=3,Hipótesis!$D$99*MAX(0,BE56),Hipótesis!$D$100*BE36))))</f>
        <v>0</v>
      </c>
      <c r="BF92" s="109" t="n">
        <f aca="false">IF(Hipótesis!$D$94=5,0,IF(Hipótesis!$D$94=1,BF90+BF91,IF(Hipótesis!$D$94=2,BF90+BF91+IF(BF89&gt;0,Hipótesis!$D$98*MAX(0,BF56),0),IF(Hipótesis!$D$94=3,Hipótesis!$D$99*MAX(0,BF56),Hipótesis!$D$100*BF36))))</f>
        <v>0</v>
      </c>
      <c r="BG92" s="109" t="n">
        <f aca="false">IF(Hipótesis!$D$94=5,0,IF(Hipótesis!$D$94=1,BG90+BG91,IF(Hipótesis!$D$94=2,BG90+BG91+IF(BG89&gt;0,Hipótesis!$D$98*MAX(0,BG56),0),IF(Hipótesis!$D$94=3,Hipótesis!$D$99*MAX(0,BG56),Hipótesis!$D$100*BG36))))</f>
        <v>0</v>
      </c>
      <c r="BH92" s="109" t="n">
        <f aca="false">IF(Hipótesis!$D$94=5,0,IF(Hipótesis!$D$94=1,BH90+BH91,IF(Hipótesis!$D$94=2,BH90+BH91+IF(BH89&gt;0,Hipótesis!$D$98*MAX(0,BH56),0),IF(Hipótesis!$D$94=3,Hipótesis!$D$99*MAX(0,BH56),Hipótesis!$D$100*BH36))))</f>
        <v>0</v>
      </c>
      <c r="BI92" s="109" t="n">
        <f aca="false">IF(Hipótesis!$D$94=5,0,IF(Hipótesis!$D$94=1,BI90+BI91,IF(Hipótesis!$D$94=2,BI90+BI91+IF(BI89&gt;0,Hipótesis!$D$98*MAX(0,BI56),0),IF(Hipótesis!$D$94=3,Hipótesis!$D$99*MAX(0,BI56),Hipótesis!$D$100*BI36))))</f>
        <v>0</v>
      </c>
      <c r="BJ92" s="109" t="n">
        <f aca="false">IF(Hipótesis!$D$94=5,0,IF(Hipótesis!$D$94=1,BJ90+BJ91,IF(Hipótesis!$D$94=2,BJ90+BJ91+IF(BJ89&gt;0,Hipótesis!$D$98*MAX(0,BJ56),0),IF(Hipótesis!$D$94=3,Hipótesis!$D$99*MAX(0,BJ56),Hipótesis!$D$100*BJ36))))</f>
        <v>0</v>
      </c>
      <c r="BK92" s="109" t="n">
        <f aca="false">IF(Hipótesis!$D$94=5,0,IF(Hipótesis!$D$94=1,BK90+BK91,IF(Hipótesis!$D$94=2,BK90+BK91+IF(BK89&gt;0,Hipótesis!$D$98*MAX(0,BK56),0),IF(Hipótesis!$D$94=3,Hipótesis!$D$99*MAX(0,BK56),Hipótesis!$D$100*BK36))))</f>
        <v>0</v>
      </c>
      <c r="BL92" s="109" t="n">
        <f aca="false">IF(Hipótesis!$D$94=5,0,IF(Hipótesis!$D$94=1,BL90+BL91,IF(Hipótesis!$D$94=2,BL90+BL91+IF(BL89&gt;0,Hipótesis!$D$98*MAX(0,BL56),0),IF(Hipótesis!$D$94=3,Hipótesis!$D$99*MAX(0,BL56),Hipótesis!$D$100*BL36))))</f>
        <v>0</v>
      </c>
      <c r="BM92" s="109" t="n">
        <f aca="false">IF(Hipótesis!$D$94=5,0,IF(Hipótesis!$D$94=1,BM90+BM91,IF(Hipótesis!$D$94=2,BM90+BM91+IF(BM89&gt;0,Hipótesis!$D$98*MAX(0,BM56),0),IF(Hipótesis!$D$94=3,Hipótesis!$D$99*MAX(0,BM56),Hipótesis!$D$100*BM36))))</f>
        <v>0</v>
      </c>
      <c r="BN92" s="109" t="n">
        <f aca="false">IF(Hipótesis!$D$94=5,0,IF(Hipótesis!$D$94=1,BN90+BN91,IF(Hipótesis!$D$94=2,BN90+BN91+IF(BN89&gt;0,Hipótesis!$D$98*MAX(0,BN56),0),IF(Hipótesis!$D$94=3,Hipótesis!$D$99*MAX(0,BN56),Hipótesis!$D$100*BN36))))</f>
        <v>0</v>
      </c>
      <c r="BO92" s="109" t="n">
        <f aca="false">IF(Hipótesis!$D$94=5,0,IF(Hipótesis!$D$94=1,BO90+BO91,IF(Hipótesis!$D$94=2,BO90+BO91+IF(BO89&gt;0,Hipótesis!$D$98*MAX(0,BO56),0),IF(Hipótesis!$D$94=3,Hipótesis!$D$99*MAX(0,BO56),Hipótesis!$D$100*BO36))))</f>
        <v>0</v>
      </c>
      <c r="BP92" s="109" t="n">
        <f aca="false">IF(Hipótesis!$D$94=5,0,IF(Hipótesis!$D$94=1,BP90+BP91,IF(Hipótesis!$D$94=2,BP90+BP91+IF(BP89&gt;0,Hipótesis!$D$98*MAX(0,BP56),0),IF(Hipótesis!$D$94=3,Hipótesis!$D$99*MAX(0,BP56),Hipótesis!$D$100*BP36))))</f>
        <v>0</v>
      </c>
      <c r="BQ92" s="109" t="n">
        <f aca="false">IF(Hipótesis!$D$94=5,0,IF(Hipótesis!$D$94=1,BQ90+BQ91,IF(Hipótesis!$D$94=2,BQ90+BQ91+IF(BQ89&gt;0,Hipótesis!$D$98*MAX(0,BQ56),0),IF(Hipótesis!$D$94=3,Hipótesis!$D$99*MAX(0,BQ56),Hipótesis!$D$100*BQ36))))</f>
        <v>0</v>
      </c>
      <c r="BR92" s="109" t="n">
        <f aca="false">IF(Hipótesis!$D$94=5,0,IF(Hipótesis!$D$94=1,BR90+BR91,IF(Hipótesis!$D$94=2,BR90+BR91+IF(BR89&gt;0,Hipótesis!$D$98*MAX(0,BR56),0),IF(Hipótesis!$D$94=3,Hipótesis!$D$99*MAX(0,BR56),Hipótesis!$D$100*BR36))))</f>
        <v>0</v>
      </c>
      <c r="BS92" s="109" t="n">
        <f aca="false">IF(Hipótesis!$D$94=5,0,IF(Hipótesis!$D$94=1,BS90+BS91,IF(Hipótesis!$D$94=2,BS90+BS91+IF(BS89&gt;0,Hipótesis!$D$98*MAX(0,BS56),0),IF(Hipótesis!$D$94=3,Hipótesis!$D$99*MAX(0,BS56),Hipótesis!$D$100*BS36))))</f>
        <v>0</v>
      </c>
      <c r="BT92" s="109" t="n">
        <f aca="false">IF(Hipótesis!$D$94=5,0,IF(Hipótesis!$D$94=1,BT90+BT91,IF(Hipótesis!$D$94=2,BT90+BT91+IF(BT89&gt;0,Hipótesis!$D$98*MAX(0,BT56),0),IF(Hipótesis!$D$94=3,Hipótesis!$D$99*MAX(0,BT56),Hipótesis!$D$100*BT36))))</f>
        <v>0</v>
      </c>
      <c r="BU92" s="109" t="n">
        <f aca="false">IF(Hipótesis!$D$94=5,0,IF(Hipótesis!$D$94=1,BU90+BU91,IF(Hipótesis!$D$94=2,BU90+BU91+IF(BU89&gt;0,Hipótesis!$D$98*MAX(0,BU56),0),IF(Hipótesis!$D$94=3,Hipótesis!$D$99*MAX(0,BU56),Hipótesis!$D$100*BU36))))</f>
        <v>0</v>
      </c>
      <c r="BV92" s="109" t="n">
        <f aca="false">IF(Hipótesis!$D$94=5,0,IF(Hipótesis!$D$94=1,BV90+BV91,IF(Hipótesis!$D$94=2,BV90+BV91+IF(BV89&gt;0,Hipótesis!$D$98*MAX(0,BV56),0),IF(Hipótesis!$D$94=3,Hipótesis!$D$99*MAX(0,BV56),Hipótesis!$D$100*BV36))))</f>
        <v>0</v>
      </c>
      <c r="BW92" s="109" t="n">
        <f aca="false">IF(Hipótesis!$D$94=5,0,IF(Hipótesis!$D$94=1,BW90+BW91,IF(Hipótesis!$D$94=2,BW90+BW91+IF(BW89&gt;0,Hipótesis!$D$98*MAX(0,BW56),0),IF(Hipótesis!$D$94=3,Hipótesis!$D$99*MAX(0,BW56),Hipótesis!$D$100*BW36))))</f>
        <v>0</v>
      </c>
      <c r="BX92" s="109" t="n">
        <f aca="false">IF(Hipótesis!$D$94=5,0,IF(Hipótesis!$D$94=1,BX90+BX91,IF(Hipótesis!$D$94=2,BX90+BX91+IF(BX89&gt;0,Hipótesis!$D$98*MAX(0,BX56),0),IF(Hipótesis!$D$94=3,Hipótesis!$D$99*MAX(0,BX56),Hipótesis!$D$100*BX36))))</f>
        <v>0</v>
      </c>
      <c r="BY92" s="109" t="n">
        <f aca="false">IF(Hipótesis!$D$94=5,0,IF(Hipótesis!$D$94=1,BY90+BY91,IF(Hipótesis!$D$94=2,BY90+BY91+IF(BY89&gt;0,Hipótesis!$D$98*MAX(0,BY56),0),IF(Hipótesis!$D$94=3,Hipótesis!$D$99*MAX(0,BY56),Hipótesis!$D$100*BY36))))</f>
        <v>0</v>
      </c>
      <c r="BZ92" s="109" t="n">
        <f aca="false">IF(Hipótesis!$D$94=5,0,IF(Hipótesis!$D$94=1,BZ90+BZ91,IF(Hipótesis!$D$94=2,BZ90+BZ91+IF(BZ89&gt;0,Hipótesis!$D$98*MAX(0,BZ56),0),IF(Hipótesis!$D$94=3,Hipótesis!$D$99*MAX(0,BZ56),Hipótesis!$D$100*BZ36))))</f>
        <v>0</v>
      </c>
      <c r="CA92" s="109" t="n">
        <f aca="false">IF(Hipótesis!$D$94=5,0,IF(Hipótesis!$D$94=1,CA90+CA91,IF(Hipótesis!$D$94=2,CA90+CA91+IF(CA89&gt;0,Hipótesis!$D$98*MAX(0,CA56),0),IF(Hipótesis!$D$94=3,Hipótesis!$D$99*MAX(0,CA56),Hipótesis!$D$100*CA36))))</f>
        <v>0</v>
      </c>
      <c r="CB92" s="109" t="n">
        <f aca="false">IF(Hipótesis!$D$94=5,0,IF(Hipótesis!$D$94=1,CB90+CB91,IF(Hipótesis!$D$94=2,CB90+CB91+IF(CB89&gt;0,Hipótesis!$D$98*MAX(0,CB56),0),IF(Hipótesis!$D$94=3,Hipótesis!$D$99*MAX(0,CB56),Hipótesis!$D$100*CB36))))</f>
        <v>0</v>
      </c>
      <c r="CC92" s="109" t="n">
        <f aca="false">IF(Hipótesis!$D$94=5,0,IF(Hipótesis!$D$94=1,CC90+CC91,IF(Hipótesis!$D$94=2,CC90+CC91+IF(CC89&gt;0,Hipótesis!$D$98*MAX(0,CC56),0),IF(Hipótesis!$D$94=3,Hipótesis!$D$99*MAX(0,CC56),Hipótesis!$D$100*CC36))))</f>
        <v>0</v>
      </c>
      <c r="CD92" s="109" t="n">
        <f aca="false">IF(Hipótesis!$D$94=5,0,IF(Hipótesis!$D$94=1,CD90+CD91,IF(Hipótesis!$D$94=2,CD90+CD91+IF(CD89&gt;0,Hipótesis!$D$98*MAX(0,CD56),0),IF(Hipótesis!$D$94=3,Hipótesis!$D$99*MAX(0,CD56),Hipótesis!$D$100*CD36))))</f>
        <v>0</v>
      </c>
      <c r="CE92" s="109" t="n">
        <f aca="false">IF(Hipótesis!$D$94=5,0,IF(Hipótesis!$D$94=1,CE90+CE91,IF(Hipótesis!$D$94=2,CE90+CE91+IF(CE89&gt;0,Hipótesis!$D$98*MAX(0,CE56),0),IF(Hipótesis!$D$94=3,Hipótesis!$D$99*MAX(0,CE56),Hipótesis!$D$100*CE36))))</f>
        <v>0</v>
      </c>
      <c r="CF92" s="109" t="n">
        <f aca="false">IF(Hipótesis!$D$94=5,0,IF(Hipótesis!$D$94=1,CF90+CF91,IF(Hipótesis!$D$94=2,CF90+CF91+IF(CF89&gt;0,Hipótesis!$D$98*MAX(0,CF56),0),IF(Hipótesis!$D$94=3,Hipótesis!$D$99*MAX(0,CF56),Hipótesis!$D$100*CF36))))</f>
        <v>0</v>
      </c>
      <c r="CG92" s="109" t="n">
        <f aca="false">IF(Hipótesis!$D$94=5,0,IF(Hipótesis!$D$94=1,CG90+CG91,IF(Hipótesis!$D$94=2,CG90+CG91+IF(CG89&gt;0,Hipótesis!$D$98*MAX(0,CG56),0),IF(Hipótesis!$D$94=3,Hipótesis!$D$99*MAX(0,CG56),Hipótesis!$D$100*CG36))))</f>
        <v>0</v>
      </c>
      <c r="CH92" s="109" t="n">
        <f aca="false">IF(Hipótesis!$D$94=5,0,IF(Hipótesis!$D$94=1,CH90+CH91,IF(Hipótesis!$D$94=2,CH90+CH91+IF(CH89&gt;0,Hipótesis!$D$98*MAX(0,CH56),0),IF(Hipótesis!$D$94=3,Hipótesis!$D$99*MAX(0,CH56),Hipótesis!$D$100*CH36))))</f>
        <v>0</v>
      </c>
    </row>
    <row r="93" customFormat="false" ht="13.5" hidden="false" customHeight="true" outlineLevel="0" collapsed="false">
      <c r="A93" s="6" t="s">
        <v>594</v>
      </c>
      <c r="C93" s="109" t="n">
        <f aca="false">IF(Hipótesis!$D$94&lt;=2,C92,MIN(C92,MAX(0,Hipótesis!$D$101*Hipótesis!$D$93-0)))</f>
        <v>0</v>
      </c>
      <c r="D93" s="109" t="n">
        <f aca="false">IF(Hipótesis!$D$94&lt;=2,D92,MIN(D92,MAX(0,Hipótesis!$D$101*Hipótesis!$D$93-C94)))</f>
        <v>0</v>
      </c>
      <c r="E93" s="109" t="n">
        <f aca="false">IF(Hipótesis!$D$94&lt;=2,E92,MIN(E92,MAX(0,Hipótesis!$D$101*Hipótesis!$D$93-D94)))</f>
        <v>0</v>
      </c>
      <c r="F93" s="109" t="n">
        <f aca="false">IF(Hipótesis!$D$94&lt;=2,F92,MIN(F92,MAX(0,Hipótesis!$D$101*Hipótesis!$D$93-E94)))</f>
        <v>0</v>
      </c>
      <c r="G93" s="109" t="n">
        <f aca="false">IF(Hipótesis!$D$94&lt;=2,G92,MIN(G92,MAX(0,Hipótesis!$D$101*Hipótesis!$D$93-F94)))</f>
        <v>0</v>
      </c>
      <c r="H93" s="109" t="n">
        <f aca="false">IF(Hipótesis!$D$94&lt;=2,H92,MIN(H92,MAX(0,Hipótesis!$D$101*Hipótesis!$D$93-G94)))</f>
        <v>0</v>
      </c>
      <c r="I93" s="109" t="n">
        <f aca="false">IF(Hipótesis!$D$94&lt;=2,I92,MIN(I92,MAX(0,Hipótesis!$D$101*Hipótesis!$D$93-H94)))</f>
        <v>0</v>
      </c>
      <c r="J93" s="109" t="n">
        <f aca="false">IF(Hipótesis!$D$94&lt;=2,J92,MIN(J92,MAX(0,Hipótesis!$D$101*Hipótesis!$D$93-I94)))</f>
        <v>0</v>
      </c>
      <c r="K93" s="109" t="n">
        <f aca="false">IF(Hipótesis!$D$94&lt;=2,K92,MIN(K92,MAX(0,Hipótesis!$D$101*Hipótesis!$D$93-J94)))</f>
        <v>0</v>
      </c>
      <c r="L93" s="109" t="n">
        <f aca="false">IF(Hipótesis!$D$94&lt;=2,L92,MIN(L92,MAX(0,Hipótesis!$D$101*Hipótesis!$D$93-K94)))</f>
        <v>0</v>
      </c>
      <c r="M93" s="109" t="n">
        <f aca="false">IF(Hipótesis!$D$94&lt;=2,M92,MIN(M92,MAX(0,Hipótesis!$D$101*Hipótesis!$D$93-L94)))</f>
        <v>0</v>
      </c>
      <c r="N93" s="109" t="n">
        <f aca="false">IF(Hipótesis!$D$94&lt;=2,N92,MIN(N92,MAX(0,Hipótesis!$D$101*Hipótesis!$D$93-M94)))</f>
        <v>0</v>
      </c>
      <c r="O93" s="109" t="n">
        <f aca="false">IF(Hipótesis!$D$94&lt;=2,O92,MIN(O92,MAX(0,Hipótesis!$D$101*Hipótesis!$D$93-N94)))</f>
        <v>0</v>
      </c>
      <c r="P93" s="109" t="n">
        <f aca="false">IF(Hipótesis!$D$94&lt;=2,P92,MIN(P92,MAX(0,Hipótesis!$D$101*Hipótesis!$D$93-O94)))</f>
        <v>0</v>
      </c>
      <c r="Q93" s="109" t="n">
        <f aca="false">IF(Hipótesis!$D$94&lt;=2,Q92,MIN(Q92,MAX(0,Hipótesis!$D$101*Hipótesis!$D$93-P94)))</f>
        <v>0</v>
      </c>
      <c r="R93" s="109" t="n">
        <f aca="false">IF(Hipótesis!$D$94&lt;=2,R92,MIN(R92,MAX(0,Hipótesis!$D$101*Hipótesis!$D$93-Q94)))</f>
        <v>0</v>
      </c>
      <c r="S93" s="109" t="n">
        <f aca="false">IF(Hipótesis!$D$94&lt;=2,S92,MIN(S92,MAX(0,Hipótesis!$D$101*Hipótesis!$D$93-R94)))</f>
        <v>0</v>
      </c>
      <c r="T93" s="109" t="n">
        <f aca="false">IF(Hipótesis!$D$94&lt;=2,T92,MIN(T92,MAX(0,Hipótesis!$D$101*Hipótesis!$D$93-S94)))</f>
        <v>0</v>
      </c>
      <c r="U93" s="109" t="n">
        <f aca="false">IF(Hipótesis!$D$94&lt;=2,U92,MIN(U92,MAX(0,Hipótesis!$D$101*Hipótesis!$D$93-T94)))</f>
        <v>0</v>
      </c>
      <c r="V93" s="109" t="n">
        <f aca="false">IF(Hipótesis!$D$94&lt;=2,V92,MIN(V92,MAX(0,Hipótesis!$D$101*Hipótesis!$D$93-U94)))</f>
        <v>0</v>
      </c>
      <c r="W93" s="109" t="n">
        <f aca="false">IF(Hipótesis!$D$94&lt;=2,W92,MIN(W92,MAX(0,Hipótesis!$D$101*Hipótesis!$D$93-V94)))</f>
        <v>0</v>
      </c>
      <c r="X93" s="109" t="n">
        <f aca="false">IF(Hipótesis!$D$94&lt;=2,X92,MIN(X92,MAX(0,Hipótesis!$D$101*Hipótesis!$D$93-W94)))</f>
        <v>0</v>
      </c>
      <c r="Y93" s="109" t="n">
        <f aca="false">IF(Hipótesis!$D$94&lt;=2,Y92,MIN(Y92,MAX(0,Hipótesis!$D$101*Hipótesis!$D$93-X94)))</f>
        <v>0</v>
      </c>
      <c r="Z93" s="109" t="n">
        <f aca="false">IF(Hipótesis!$D$94&lt;=2,Z92,MIN(Z92,MAX(0,Hipótesis!$D$101*Hipótesis!$D$93-Y94)))</f>
        <v>0</v>
      </c>
      <c r="AA93" s="109" t="n">
        <f aca="false">IF(Hipótesis!$D$94&lt;=2,AA92,MIN(AA92,MAX(0,Hipótesis!$D$101*Hipótesis!$D$93-Z94)))</f>
        <v>0</v>
      </c>
      <c r="AB93" s="109" t="n">
        <f aca="false">IF(Hipótesis!$D$94&lt;=2,AB92,MIN(AB92,MAX(0,Hipótesis!$D$101*Hipótesis!$D$93-AA94)))</f>
        <v>0</v>
      </c>
      <c r="AC93" s="109" t="n">
        <f aca="false">IF(Hipótesis!$D$94&lt;=2,AC92,MIN(AC92,MAX(0,Hipótesis!$D$101*Hipótesis!$D$93-AB94)))</f>
        <v>0</v>
      </c>
      <c r="AD93" s="109" t="n">
        <f aca="false">IF(Hipótesis!$D$94&lt;=2,AD92,MIN(AD92,MAX(0,Hipótesis!$D$101*Hipótesis!$D$93-AC94)))</f>
        <v>0</v>
      </c>
      <c r="AE93" s="109" t="n">
        <f aca="false">IF(Hipótesis!$D$94&lt;=2,AE92,MIN(AE92,MAX(0,Hipótesis!$D$101*Hipótesis!$D$93-AD94)))</f>
        <v>0</v>
      </c>
      <c r="AF93" s="109" t="n">
        <f aca="false">IF(Hipótesis!$D$94&lt;=2,AF92,MIN(AF92,MAX(0,Hipótesis!$D$101*Hipótesis!$D$93-AE94)))</f>
        <v>0</v>
      </c>
      <c r="AG93" s="109" t="n">
        <f aca="false">IF(Hipótesis!$D$94&lt;=2,AG92,MIN(AG92,MAX(0,Hipótesis!$D$101*Hipótesis!$D$93-AF94)))</f>
        <v>0</v>
      </c>
      <c r="AH93" s="109" t="n">
        <f aca="false">IF(Hipótesis!$D$94&lt;=2,AH92,MIN(AH92,MAX(0,Hipótesis!$D$101*Hipótesis!$D$93-AG94)))</f>
        <v>0</v>
      </c>
      <c r="AI93" s="109" t="n">
        <f aca="false">IF(Hipótesis!$D$94&lt;=2,AI92,MIN(AI92,MAX(0,Hipótesis!$D$101*Hipótesis!$D$93-AH94)))</f>
        <v>0</v>
      </c>
      <c r="AJ93" s="109" t="n">
        <f aca="false">IF(Hipótesis!$D$94&lt;=2,AJ92,MIN(AJ92,MAX(0,Hipótesis!$D$101*Hipótesis!$D$93-AI94)))</f>
        <v>0</v>
      </c>
      <c r="AK93" s="109" t="n">
        <f aca="false">IF(Hipótesis!$D$94&lt;=2,AK92,MIN(AK92,MAX(0,Hipótesis!$D$101*Hipótesis!$D$93-AJ94)))</f>
        <v>0</v>
      </c>
      <c r="AL93" s="109" t="n">
        <f aca="false">IF(Hipótesis!$D$94&lt;=2,AL92,MIN(AL92,MAX(0,Hipótesis!$D$101*Hipótesis!$D$93-AK94)))</f>
        <v>0</v>
      </c>
      <c r="AM93" s="109" t="n">
        <f aca="false">IF(Hipótesis!$D$94&lt;=2,AM92,MIN(AM92,MAX(0,Hipótesis!$D$101*Hipótesis!$D$93-AL94)))</f>
        <v>0</v>
      </c>
      <c r="AN93" s="109" t="n">
        <f aca="false">IF(Hipótesis!$D$94&lt;=2,AN92,MIN(AN92,MAX(0,Hipótesis!$D$101*Hipótesis!$D$93-AM94)))</f>
        <v>0</v>
      </c>
      <c r="AO93" s="109" t="n">
        <f aca="false">IF(Hipótesis!$D$94&lt;=2,AO92,MIN(AO92,MAX(0,Hipótesis!$D$101*Hipótesis!$D$93-AN94)))</f>
        <v>0</v>
      </c>
      <c r="AP93" s="109" t="n">
        <f aca="false">IF(Hipótesis!$D$94&lt;=2,AP92,MIN(AP92,MAX(0,Hipótesis!$D$101*Hipótesis!$D$93-AO94)))</f>
        <v>0</v>
      </c>
      <c r="AQ93" s="109" t="n">
        <f aca="false">IF(Hipótesis!$D$94&lt;=2,AQ92,MIN(AQ92,MAX(0,Hipótesis!$D$101*Hipótesis!$D$93-AP94)))</f>
        <v>0</v>
      </c>
      <c r="AR93" s="109" t="n">
        <f aca="false">IF(Hipótesis!$D$94&lt;=2,AR92,MIN(AR92,MAX(0,Hipótesis!$D$101*Hipótesis!$D$93-AQ94)))</f>
        <v>0</v>
      </c>
      <c r="AS93" s="109" t="n">
        <f aca="false">IF(Hipótesis!$D$94&lt;=2,AS92,MIN(AS92,MAX(0,Hipótesis!$D$101*Hipótesis!$D$93-AR94)))</f>
        <v>0</v>
      </c>
      <c r="AT93" s="109" t="n">
        <f aca="false">IF(Hipótesis!$D$94&lt;=2,AT92,MIN(AT92,MAX(0,Hipótesis!$D$101*Hipótesis!$D$93-AS94)))</f>
        <v>0</v>
      </c>
      <c r="AU93" s="109" t="n">
        <f aca="false">IF(Hipótesis!$D$94&lt;=2,AU92,MIN(AU92,MAX(0,Hipótesis!$D$101*Hipótesis!$D$93-AT94)))</f>
        <v>0</v>
      </c>
      <c r="AV93" s="109" t="n">
        <f aca="false">IF(Hipótesis!$D$94&lt;=2,AV92,MIN(AV92,MAX(0,Hipótesis!$D$101*Hipótesis!$D$93-AU94)))</f>
        <v>0</v>
      </c>
      <c r="AW93" s="109" t="n">
        <f aca="false">IF(Hipótesis!$D$94&lt;=2,AW92,MIN(AW92,MAX(0,Hipótesis!$D$101*Hipótesis!$D$93-AV94)))</f>
        <v>0</v>
      </c>
      <c r="AX93" s="109" t="n">
        <f aca="false">IF(Hipótesis!$D$94&lt;=2,AX92,MIN(AX92,MAX(0,Hipótesis!$D$101*Hipótesis!$D$93-AW94)))</f>
        <v>0</v>
      </c>
      <c r="AY93" s="109" t="n">
        <f aca="false">IF(Hipótesis!$D$94&lt;=2,AY92,MIN(AY92,MAX(0,Hipótesis!$D$101*Hipótesis!$D$93-AX94)))</f>
        <v>0</v>
      </c>
      <c r="AZ93" s="109" t="n">
        <f aca="false">IF(Hipótesis!$D$94&lt;=2,AZ92,MIN(AZ92,MAX(0,Hipótesis!$D$101*Hipótesis!$D$93-AY94)))</f>
        <v>0</v>
      </c>
      <c r="BA93" s="109" t="n">
        <f aca="false">IF(Hipótesis!$D$94&lt;=2,BA92,MIN(BA92,MAX(0,Hipótesis!$D$101*Hipótesis!$D$93-AZ94)))</f>
        <v>0</v>
      </c>
      <c r="BB93" s="109" t="n">
        <f aca="false">IF(Hipótesis!$D$94&lt;=2,BB92,MIN(BB92,MAX(0,Hipótesis!$D$101*Hipótesis!$D$93-BA94)))</f>
        <v>0</v>
      </c>
      <c r="BC93" s="109" t="n">
        <f aca="false">IF(Hipótesis!$D$94&lt;=2,BC92,MIN(BC92,MAX(0,Hipótesis!$D$101*Hipótesis!$D$93-BB94)))</f>
        <v>0</v>
      </c>
      <c r="BD93" s="109" t="n">
        <f aca="false">IF(Hipótesis!$D$94&lt;=2,BD92,MIN(BD92,MAX(0,Hipótesis!$D$101*Hipótesis!$D$93-BC94)))</f>
        <v>0</v>
      </c>
      <c r="BE93" s="109" t="n">
        <f aca="false">IF(Hipótesis!$D$94&lt;=2,BE92,MIN(BE92,MAX(0,Hipótesis!$D$101*Hipótesis!$D$93-BD94)))</f>
        <v>0</v>
      </c>
      <c r="BF93" s="109" t="n">
        <f aca="false">IF(Hipótesis!$D$94&lt;=2,BF92,MIN(BF92,MAX(0,Hipótesis!$D$101*Hipótesis!$D$93-BE94)))</f>
        <v>0</v>
      </c>
      <c r="BG93" s="109" t="n">
        <f aca="false">IF(Hipótesis!$D$94&lt;=2,BG92,MIN(BG92,MAX(0,Hipótesis!$D$101*Hipótesis!$D$93-BF94)))</f>
        <v>0</v>
      </c>
      <c r="BH93" s="109" t="n">
        <f aca="false">IF(Hipótesis!$D$94&lt;=2,BH92,MIN(BH92,MAX(0,Hipótesis!$D$101*Hipótesis!$D$93-BG94)))</f>
        <v>0</v>
      </c>
      <c r="BI93" s="109" t="n">
        <f aca="false">IF(Hipótesis!$D$94&lt;=2,BI92,MIN(BI92,MAX(0,Hipótesis!$D$101*Hipótesis!$D$93-BH94)))</f>
        <v>0</v>
      </c>
      <c r="BJ93" s="109" t="n">
        <f aca="false">IF(Hipótesis!$D$94&lt;=2,BJ92,MIN(BJ92,MAX(0,Hipótesis!$D$101*Hipótesis!$D$93-BI94)))</f>
        <v>0</v>
      </c>
      <c r="BK93" s="109" t="n">
        <f aca="false">IF(Hipótesis!$D$94&lt;=2,BK92,MIN(BK92,MAX(0,Hipótesis!$D$101*Hipótesis!$D$93-BJ94)))</f>
        <v>0</v>
      </c>
      <c r="BL93" s="109" t="n">
        <f aca="false">IF(Hipótesis!$D$94&lt;=2,BL92,MIN(BL92,MAX(0,Hipótesis!$D$101*Hipótesis!$D$93-BK94)))</f>
        <v>0</v>
      </c>
      <c r="BM93" s="109" t="n">
        <f aca="false">IF(Hipótesis!$D$94&lt;=2,BM92,MIN(BM92,MAX(0,Hipótesis!$D$101*Hipótesis!$D$93-BL94)))</f>
        <v>0</v>
      </c>
      <c r="BN93" s="109" t="n">
        <f aca="false">IF(Hipótesis!$D$94&lt;=2,BN92,MIN(BN92,MAX(0,Hipótesis!$D$101*Hipótesis!$D$93-BM94)))</f>
        <v>0</v>
      </c>
      <c r="BO93" s="109" t="n">
        <f aca="false">IF(Hipótesis!$D$94&lt;=2,BO92,MIN(BO92,MAX(0,Hipótesis!$D$101*Hipótesis!$D$93-BN94)))</f>
        <v>0</v>
      </c>
      <c r="BP93" s="109" t="n">
        <f aca="false">IF(Hipótesis!$D$94&lt;=2,BP92,MIN(BP92,MAX(0,Hipótesis!$D$101*Hipótesis!$D$93-BO94)))</f>
        <v>0</v>
      </c>
      <c r="BQ93" s="109" t="n">
        <f aca="false">IF(Hipótesis!$D$94&lt;=2,BQ92,MIN(BQ92,MAX(0,Hipótesis!$D$101*Hipótesis!$D$93-BP94)))</f>
        <v>0</v>
      </c>
      <c r="BR93" s="109" t="n">
        <f aca="false">IF(Hipótesis!$D$94&lt;=2,BR92,MIN(BR92,MAX(0,Hipótesis!$D$101*Hipótesis!$D$93-BQ94)))</f>
        <v>0</v>
      </c>
      <c r="BS93" s="109" t="n">
        <f aca="false">IF(Hipótesis!$D$94&lt;=2,BS92,MIN(BS92,MAX(0,Hipótesis!$D$101*Hipótesis!$D$93-BR94)))</f>
        <v>0</v>
      </c>
      <c r="BT93" s="109" t="n">
        <f aca="false">IF(Hipótesis!$D$94&lt;=2,BT92,MIN(BT92,MAX(0,Hipótesis!$D$101*Hipótesis!$D$93-BS94)))</f>
        <v>0</v>
      </c>
      <c r="BU93" s="109" t="n">
        <f aca="false">IF(Hipótesis!$D$94&lt;=2,BU92,MIN(BU92,MAX(0,Hipótesis!$D$101*Hipótesis!$D$93-BT94)))</f>
        <v>0</v>
      </c>
      <c r="BV93" s="109" t="n">
        <f aca="false">IF(Hipótesis!$D$94&lt;=2,BV92,MIN(BV92,MAX(0,Hipótesis!$D$101*Hipótesis!$D$93-BU94)))</f>
        <v>0</v>
      </c>
      <c r="BW93" s="109" t="n">
        <f aca="false">IF(Hipótesis!$D$94&lt;=2,BW92,MIN(BW92,MAX(0,Hipótesis!$D$101*Hipótesis!$D$93-BV94)))</f>
        <v>0</v>
      </c>
      <c r="BX93" s="109" t="n">
        <f aca="false">IF(Hipótesis!$D$94&lt;=2,BX92,MIN(BX92,MAX(0,Hipótesis!$D$101*Hipótesis!$D$93-BW94)))</f>
        <v>0</v>
      </c>
      <c r="BY93" s="109" t="n">
        <f aca="false">IF(Hipótesis!$D$94&lt;=2,BY92,MIN(BY92,MAX(0,Hipótesis!$D$101*Hipótesis!$D$93-BX94)))</f>
        <v>0</v>
      </c>
      <c r="BZ93" s="109" t="n">
        <f aca="false">IF(Hipótesis!$D$94&lt;=2,BZ92,MIN(BZ92,MAX(0,Hipótesis!$D$101*Hipótesis!$D$93-BY94)))</f>
        <v>0</v>
      </c>
      <c r="CA93" s="109" t="n">
        <f aca="false">IF(Hipótesis!$D$94&lt;=2,CA92,MIN(CA92,MAX(0,Hipótesis!$D$101*Hipótesis!$D$93-BZ94)))</f>
        <v>0</v>
      </c>
      <c r="CB93" s="109" t="n">
        <f aca="false">IF(Hipótesis!$D$94&lt;=2,CB92,MIN(CB92,MAX(0,Hipótesis!$D$101*Hipótesis!$D$93-CA94)))</f>
        <v>0</v>
      </c>
      <c r="CC93" s="109" t="n">
        <f aca="false">IF(Hipótesis!$D$94&lt;=2,CC92,MIN(CC92,MAX(0,Hipótesis!$D$101*Hipótesis!$D$93-CB94)))</f>
        <v>0</v>
      </c>
      <c r="CD93" s="109" t="n">
        <f aca="false">IF(Hipótesis!$D$94&lt;=2,CD92,MIN(CD92,MAX(0,Hipótesis!$D$101*Hipótesis!$D$93-CC94)))</f>
        <v>0</v>
      </c>
      <c r="CE93" s="109" t="n">
        <f aca="false">IF(Hipótesis!$D$94&lt;=2,CE92,MIN(CE92,MAX(0,Hipótesis!$D$101*Hipótesis!$D$93-CD94)))</f>
        <v>0</v>
      </c>
      <c r="CF93" s="109" t="n">
        <f aca="false">IF(Hipótesis!$D$94&lt;=2,CF92,MIN(CF92,MAX(0,Hipótesis!$D$101*Hipótesis!$D$93-CE94)))</f>
        <v>0</v>
      </c>
      <c r="CG93" s="109" t="n">
        <f aca="false">IF(Hipótesis!$D$94&lt;=2,CG92,MIN(CG92,MAX(0,Hipótesis!$D$101*Hipótesis!$D$93-CF94)))</f>
        <v>0</v>
      </c>
      <c r="CH93" s="109" t="n">
        <f aca="false">IF(Hipótesis!$D$94&lt;=2,CH92,MIN(CH92,MAX(0,Hipótesis!$D$101*Hipótesis!$D$93-CG94)))</f>
        <v>0</v>
      </c>
    </row>
    <row r="94" customFormat="false" ht="13.5" hidden="false" customHeight="true" outlineLevel="0" collapsed="false">
      <c r="A94" s="6" t="s">
        <v>595</v>
      </c>
      <c r="C94" s="109" t="n">
        <f aca="false">C121</f>
        <v>0</v>
      </c>
      <c r="D94" s="109" t="n">
        <f aca="false">C94+D121</f>
        <v>0</v>
      </c>
      <c r="E94" s="109" t="n">
        <f aca="false">D94+E121</f>
        <v>0</v>
      </c>
      <c r="F94" s="109" t="n">
        <f aca="false">E94+F121</f>
        <v>0</v>
      </c>
      <c r="G94" s="109" t="n">
        <f aca="false">F94+G121</f>
        <v>0</v>
      </c>
      <c r="H94" s="109" t="n">
        <f aca="false">G94+H121</f>
        <v>0</v>
      </c>
      <c r="I94" s="109" t="n">
        <f aca="false">H94+I121</f>
        <v>0</v>
      </c>
      <c r="J94" s="109" t="n">
        <f aca="false">I94+J121</f>
        <v>0</v>
      </c>
      <c r="K94" s="109" t="n">
        <f aca="false">J94+K121</f>
        <v>0</v>
      </c>
      <c r="L94" s="109" t="n">
        <f aca="false">K94+L121</f>
        <v>0</v>
      </c>
      <c r="M94" s="109" t="n">
        <f aca="false">L94+M121</f>
        <v>0</v>
      </c>
      <c r="N94" s="109" t="n">
        <f aca="false">M94+N121</f>
        <v>0</v>
      </c>
      <c r="O94" s="109" t="n">
        <f aca="false">N94+O121</f>
        <v>0</v>
      </c>
      <c r="P94" s="109" t="n">
        <f aca="false">O94+P121</f>
        <v>0</v>
      </c>
      <c r="Q94" s="109" t="n">
        <f aca="false">P94+Q121</f>
        <v>0</v>
      </c>
      <c r="R94" s="109" t="n">
        <f aca="false">Q94+R121</f>
        <v>0</v>
      </c>
      <c r="S94" s="109" t="n">
        <f aca="false">R94+S121</f>
        <v>0</v>
      </c>
      <c r="T94" s="109" t="n">
        <f aca="false">S94+T121</f>
        <v>0</v>
      </c>
      <c r="U94" s="109" t="n">
        <f aca="false">T94+U121</f>
        <v>0</v>
      </c>
      <c r="V94" s="109" t="n">
        <f aca="false">U94+V121</f>
        <v>0</v>
      </c>
      <c r="W94" s="109" t="n">
        <f aca="false">V94+W121</f>
        <v>0</v>
      </c>
      <c r="X94" s="109" t="n">
        <f aca="false">W94+X121</f>
        <v>0</v>
      </c>
      <c r="Y94" s="109" t="n">
        <f aca="false">X94+Y121</f>
        <v>0</v>
      </c>
      <c r="Z94" s="109" t="n">
        <f aca="false">Y94+Z121</f>
        <v>0</v>
      </c>
      <c r="AA94" s="109" t="n">
        <f aca="false">Z94+AA121</f>
        <v>0</v>
      </c>
      <c r="AB94" s="109" t="n">
        <f aca="false">AA94+AB121</f>
        <v>0</v>
      </c>
      <c r="AC94" s="109" t="n">
        <f aca="false">AB94+AC121</f>
        <v>0</v>
      </c>
      <c r="AD94" s="109" t="n">
        <f aca="false">AC94+AD121</f>
        <v>0</v>
      </c>
      <c r="AE94" s="109" t="n">
        <f aca="false">AD94+AE121</f>
        <v>0</v>
      </c>
      <c r="AF94" s="109" t="n">
        <f aca="false">AE94+AF121</f>
        <v>0</v>
      </c>
      <c r="AG94" s="109" t="n">
        <f aca="false">AF94+AG121</f>
        <v>0</v>
      </c>
      <c r="AH94" s="109" t="n">
        <f aca="false">AG94+AH121</f>
        <v>0</v>
      </c>
      <c r="AI94" s="109" t="n">
        <f aca="false">AH94+AI121</f>
        <v>0</v>
      </c>
      <c r="AJ94" s="109" t="n">
        <f aca="false">AI94+AJ121</f>
        <v>0</v>
      </c>
      <c r="AK94" s="109" t="n">
        <f aca="false">AJ94+AK121</f>
        <v>0</v>
      </c>
      <c r="AL94" s="109" t="n">
        <f aca="false">AK94+AL121</f>
        <v>0</v>
      </c>
      <c r="AM94" s="109" t="n">
        <f aca="false">AL94+AM121</f>
        <v>0</v>
      </c>
      <c r="AN94" s="109" t="n">
        <f aca="false">AM94+AN121</f>
        <v>0</v>
      </c>
      <c r="AO94" s="109" t="n">
        <f aca="false">AN94+AO121</f>
        <v>0</v>
      </c>
      <c r="AP94" s="109" t="n">
        <f aca="false">AO94+AP121</f>
        <v>0</v>
      </c>
      <c r="AQ94" s="109" t="n">
        <f aca="false">AP94+AQ121</f>
        <v>0</v>
      </c>
      <c r="AR94" s="109" t="n">
        <f aca="false">AQ94+AR121</f>
        <v>0</v>
      </c>
      <c r="AS94" s="109" t="n">
        <f aca="false">AR94+AS121</f>
        <v>0</v>
      </c>
      <c r="AT94" s="109" t="n">
        <f aca="false">AS94+AT121</f>
        <v>0</v>
      </c>
      <c r="AU94" s="109" t="n">
        <f aca="false">AT94+AU121</f>
        <v>0</v>
      </c>
      <c r="AV94" s="109" t="n">
        <f aca="false">AU94+AV121</f>
        <v>0</v>
      </c>
      <c r="AW94" s="109" t="n">
        <f aca="false">AV94+AW121</f>
        <v>0</v>
      </c>
      <c r="AX94" s="109" t="n">
        <f aca="false">AW94+AX121</f>
        <v>392115.052923805</v>
      </c>
      <c r="AY94" s="109" t="n">
        <f aca="false">AX94+AY121</f>
        <v>392115.052923805</v>
      </c>
      <c r="AZ94" s="109" t="n">
        <f aca="false">AY94+AZ121</f>
        <v>392115.052923805</v>
      </c>
      <c r="BA94" s="109" t="n">
        <f aca="false">AZ94+BA121</f>
        <v>392115.052923805</v>
      </c>
      <c r="BB94" s="109" t="n">
        <f aca="false">BA94+BB121</f>
        <v>392115.052923805</v>
      </c>
      <c r="BC94" s="109" t="n">
        <f aca="false">BB94+BC121</f>
        <v>392115.052923805</v>
      </c>
      <c r="BD94" s="109" t="n">
        <f aca="false">BC94+BD121</f>
        <v>392115.052923805</v>
      </c>
      <c r="BE94" s="109" t="n">
        <f aca="false">BD94+BE121</f>
        <v>392115.052923805</v>
      </c>
      <c r="BF94" s="109" t="n">
        <f aca="false">BE94+BF121</f>
        <v>392115.052923805</v>
      </c>
      <c r="BG94" s="109" t="n">
        <f aca="false">BF94+BG121</f>
        <v>392115.052923805</v>
      </c>
      <c r="BH94" s="109" t="n">
        <f aca="false">BG94+BH121</f>
        <v>392115.052923805</v>
      </c>
      <c r="BI94" s="109" t="n">
        <f aca="false">BH94+BI121</f>
        <v>392115.052923805</v>
      </c>
      <c r="BJ94" s="109" t="n">
        <f aca="false">BI94+BJ121</f>
        <v>392115.052923805</v>
      </c>
      <c r="BK94" s="109" t="n">
        <f aca="false">BJ94+BK121</f>
        <v>392115.052923805</v>
      </c>
      <c r="BL94" s="109" t="n">
        <f aca="false">BK94+BL121</f>
        <v>392115.052923805</v>
      </c>
      <c r="BM94" s="109" t="n">
        <f aca="false">BL94+BM121</f>
        <v>392115.052923805</v>
      </c>
      <c r="BN94" s="109" t="n">
        <f aca="false">BM94+BN121</f>
        <v>392115.052923805</v>
      </c>
      <c r="BO94" s="109" t="n">
        <f aca="false">BN94+BO121</f>
        <v>392115.052923805</v>
      </c>
      <c r="BP94" s="109" t="n">
        <f aca="false">BO94+BP121</f>
        <v>392115.052923805</v>
      </c>
      <c r="BQ94" s="109" t="n">
        <f aca="false">BP94+BQ121</f>
        <v>392115.052923805</v>
      </c>
      <c r="BR94" s="109" t="n">
        <f aca="false">BQ94+BR121</f>
        <v>392115.052923805</v>
      </c>
      <c r="BS94" s="109" t="n">
        <f aca="false">BR94+BS121</f>
        <v>392115.052923805</v>
      </c>
      <c r="BT94" s="109" t="n">
        <f aca="false">BS94+BT121</f>
        <v>392115.052923805</v>
      </c>
      <c r="BU94" s="109" t="n">
        <f aca="false">BT94+BU121</f>
        <v>392115.052923805</v>
      </c>
      <c r="BV94" s="109" t="n">
        <f aca="false">BU94+BV121</f>
        <v>392115.052923805</v>
      </c>
      <c r="BW94" s="109" t="n">
        <f aca="false">BV94+BW121</f>
        <v>392115.052923805</v>
      </c>
      <c r="BX94" s="109" t="n">
        <f aca="false">BW94+BX121</f>
        <v>392115.052923805</v>
      </c>
      <c r="BY94" s="109" t="n">
        <f aca="false">BX94+BY121</f>
        <v>392115.052923805</v>
      </c>
      <c r="BZ94" s="109" t="n">
        <f aca="false">BY94+BZ121</f>
        <v>392115.052923805</v>
      </c>
      <c r="CA94" s="109" t="n">
        <f aca="false">BZ94+CA121</f>
        <v>392115.052923805</v>
      </c>
      <c r="CB94" s="109" t="n">
        <f aca="false">CA94+CB121</f>
        <v>392115.052923805</v>
      </c>
      <c r="CC94" s="109" t="n">
        <f aca="false">CB94+CC121</f>
        <v>392115.052923805</v>
      </c>
      <c r="CD94" s="109" t="n">
        <f aca="false">CC94+CD121</f>
        <v>392115.052923805</v>
      </c>
      <c r="CE94" s="109" t="n">
        <f aca="false">CD94+CE121</f>
        <v>392115.052923805</v>
      </c>
      <c r="CF94" s="109" t="n">
        <f aca="false">CE94+CF121</f>
        <v>392115.052923805</v>
      </c>
      <c r="CG94" s="109" t="n">
        <f aca="false">CF94+CG121</f>
        <v>392115.052923805</v>
      </c>
      <c r="CH94" s="109" t="n">
        <f aca="false">CG94+CH121</f>
        <v>392115.052923805</v>
      </c>
    </row>
    <row r="95" customFormat="false" ht="13.5" hidden="false" customHeight="true" outlineLevel="0" collapsed="false"/>
    <row r="96" customFormat="false" ht="13.5" hidden="false" customHeight="true" outlineLevel="0" collapsed="false">
      <c r="A96" s="6" t="s">
        <v>596</v>
      </c>
      <c r="C96" s="109" t="n">
        <f aca="false">Hipótesis!$D$105</f>
        <v>100000</v>
      </c>
      <c r="D96" s="109" t="n">
        <f aca="false">C96-C97</f>
        <v>100000</v>
      </c>
      <c r="E96" s="109" t="n">
        <f aca="false">D96-D97</f>
        <v>100000</v>
      </c>
      <c r="F96" s="109" t="n">
        <f aca="false">E96-E97</f>
        <v>100000</v>
      </c>
      <c r="G96" s="109" t="n">
        <f aca="false">F96-F97</f>
        <v>100000</v>
      </c>
      <c r="H96" s="109" t="n">
        <f aca="false">G96-G97</f>
        <v>100000</v>
      </c>
      <c r="I96" s="109" t="n">
        <f aca="false">H96-H97</f>
        <v>100000</v>
      </c>
      <c r="J96" s="109" t="n">
        <f aca="false">I96-I97</f>
        <v>100000</v>
      </c>
      <c r="K96" s="109" t="n">
        <f aca="false">J96-J97</f>
        <v>100000</v>
      </c>
      <c r="L96" s="109" t="n">
        <f aca="false">K96-K97</f>
        <v>100000</v>
      </c>
      <c r="M96" s="109" t="n">
        <f aca="false">L96-L97</f>
        <v>100000</v>
      </c>
      <c r="N96" s="109" t="n">
        <f aca="false">M96-M97</f>
        <v>100000</v>
      </c>
      <c r="O96" s="109" t="n">
        <f aca="false">N96-N97</f>
        <v>100000</v>
      </c>
      <c r="P96" s="109" t="n">
        <f aca="false">O96-O97</f>
        <v>100000</v>
      </c>
      <c r="Q96" s="109" t="n">
        <f aca="false">P96-P97</f>
        <v>100000</v>
      </c>
      <c r="R96" s="109" t="n">
        <f aca="false">Q96-Q97</f>
        <v>100000</v>
      </c>
      <c r="S96" s="109" t="n">
        <f aca="false">R96-R97</f>
        <v>100000</v>
      </c>
      <c r="T96" s="109" t="n">
        <f aca="false">S96-S97</f>
        <v>100000</v>
      </c>
      <c r="U96" s="109" t="n">
        <f aca="false">T96-T97</f>
        <v>100000</v>
      </c>
      <c r="V96" s="109" t="n">
        <f aca="false">U96-U97</f>
        <v>100000</v>
      </c>
      <c r="W96" s="109" t="n">
        <f aca="false">V96-V97</f>
        <v>100000</v>
      </c>
      <c r="X96" s="109" t="n">
        <f aca="false">W96-W97</f>
        <v>100000</v>
      </c>
      <c r="Y96" s="109" t="n">
        <f aca="false">X96-X97</f>
        <v>100000</v>
      </c>
      <c r="Z96" s="109" t="n">
        <f aca="false">Y96-Y97</f>
        <v>100000</v>
      </c>
      <c r="AA96" s="109" t="n">
        <f aca="false">Z96-Z97</f>
        <v>100000</v>
      </c>
      <c r="AB96" s="109" t="n">
        <f aca="false">AA96-AA97</f>
        <v>98333.3333333333</v>
      </c>
      <c r="AC96" s="109" t="n">
        <f aca="false">AB96-AB97</f>
        <v>96666.6666666667</v>
      </c>
      <c r="AD96" s="109" t="n">
        <f aca="false">AC96-AC97</f>
        <v>95000</v>
      </c>
      <c r="AE96" s="109" t="n">
        <f aca="false">AD96-AD97</f>
        <v>93333.3333333333</v>
      </c>
      <c r="AF96" s="109" t="n">
        <f aca="false">AE96-AE97</f>
        <v>91666.6666666666</v>
      </c>
      <c r="AG96" s="109" t="n">
        <f aca="false">AF96-AF97</f>
        <v>90000</v>
      </c>
      <c r="AH96" s="109" t="n">
        <f aca="false">AG96-AG97</f>
        <v>88333.3333333333</v>
      </c>
      <c r="AI96" s="109" t="n">
        <f aca="false">AH96-AH97</f>
        <v>86666.6666666666</v>
      </c>
      <c r="AJ96" s="109" t="n">
        <f aca="false">AI96-AI97</f>
        <v>85000</v>
      </c>
      <c r="AK96" s="109" t="n">
        <f aca="false">AJ96-AJ97</f>
        <v>83333.3333333333</v>
      </c>
      <c r="AL96" s="109" t="n">
        <f aca="false">AK96-AK97</f>
        <v>81666.6666666666</v>
      </c>
      <c r="AM96" s="109" t="n">
        <f aca="false">AL96-AL97</f>
        <v>79999.9999999999</v>
      </c>
      <c r="AN96" s="109" t="n">
        <f aca="false">AM96-AM97</f>
        <v>78333.3333333333</v>
      </c>
      <c r="AO96" s="109" t="n">
        <f aca="false">AN96-AN97</f>
        <v>76666.6666666666</v>
      </c>
      <c r="AP96" s="109" t="n">
        <f aca="false">AO96-AO97</f>
        <v>74999.9999999999</v>
      </c>
      <c r="AQ96" s="109" t="n">
        <f aca="false">AP96-AP97</f>
        <v>73333.3333333333</v>
      </c>
      <c r="AR96" s="109" t="n">
        <f aca="false">AQ96-AQ97</f>
        <v>71666.6666666666</v>
      </c>
      <c r="AS96" s="109" t="n">
        <f aca="false">AR96-AR97</f>
        <v>69999.9999999999</v>
      </c>
      <c r="AT96" s="109" t="n">
        <f aca="false">AS96-AS97</f>
        <v>68333.3333333332</v>
      </c>
      <c r="AU96" s="109" t="n">
        <f aca="false">AT96-AT97</f>
        <v>66666.6666666666</v>
      </c>
      <c r="AV96" s="109" t="n">
        <f aca="false">AU96-AU97</f>
        <v>64999.9999999999</v>
      </c>
      <c r="AW96" s="109" t="n">
        <f aca="false">AV96-AV97</f>
        <v>63333.3333333332</v>
      </c>
      <c r="AX96" s="109" t="n">
        <f aca="false">AW96-AW97</f>
        <v>61666.6666666666</v>
      </c>
      <c r="AY96" s="109" t="n">
        <f aca="false">AX96-AX97</f>
        <v>59999.9999999999</v>
      </c>
      <c r="AZ96" s="109" t="n">
        <f aca="false">AY96-AY97</f>
        <v>58333.3333333333</v>
      </c>
      <c r="BA96" s="109" t="n">
        <f aca="false">AZ96-AZ97</f>
        <v>56666.6666666666</v>
      </c>
      <c r="BB96" s="109" t="n">
        <f aca="false">BA96-BA97</f>
        <v>54999.9999999999</v>
      </c>
      <c r="BC96" s="109" t="n">
        <f aca="false">BB96-BB97</f>
        <v>53333.3333333333</v>
      </c>
      <c r="BD96" s="109" t="n">
        <f aca="false">BC96-BC97</f>
        <v>51666.6666666666</v>
      </c>
      <c r="BE96" s="109" t="n">
        <f aca="false">BD96-BD97</f>
        <v>49999.9999999999</v>
      </c>
      <c r="BF96" s="109" t="n">
        <f aca="false">BE96-BE97</f>
        <v>48333.3333333333</v>
      </c>
      <c r="BG96" s="109" t="n">
        <f aca="false">BF96-BF97</f>
        <v>46666.6666666666</v>
      </c>
      <c r="BH96" s="109" t="n">
        <f aca="false">BG96-BG97</f>
        <v>44999.9999999999</v>
      </c>
      <c r="BI96" s="109" t="n">
        <f aca="false">BH96-BH97</f>
        <v>43333.3333333333</v>
      </c>
      <c r="BJ96" s="109" t="n">
        <f aca="false">BI96-BI97</f>
        <v>41666.6666666666</v>
      </c>
      <c r="BK96" s="109" t="n">
        <f aca="false">BJ96-BJ97</f>
        <v>39999.9999999999</v>
      </c>
      <c r="BL96" s="109" t="n">
        <f aca="false">BK96-BK97</f>
        <v>38333.3333333333</v>
      </c>
      <c r="BM96" s="109" t="n">
        <f aca="false">BL96-BL97</f>
        <v>36666.6666666666</v>
      </c>
      <c r="BN96" s="109" t="n">
        <f aca="false">BM96-BM97</f>
        <v>35000</v>
      </c>
      <c r="BO96" s="109" t="n">
        <f aca="false">BN96-BN97</f>
        <v>33333.3333333333</v>
      </c>
      <c r="BP96" s="109" t="n">
        <f aca="false">BO96-BO97</f>
        <v>31666.6666666666</v>
      </c>
      <c r="BQ96" s="109" t="n">
        <f aca="false">BP96-BP97</f>
        <v>30000</v>
      </c>
      <c r="BR96" s="109" t="n">
        <f aca="false">BQ96-BQ97</f>
        <v>28333.3333333333</v>
      </c>
      <c r="BS96" s="109" t="n">
        <f aca="false">BR96-BR97</f>
        <v>26666.6666666666</v>
      </c>
      <c r="BT96" s="109" t="n">
        <f aca="false">BS96-BS97</f>
        <v>24999.9999999999</v>
      </c>
      <c r="BU96" s="109" t="n">
        <f aca="false">BT96-BT97</f>
        <v>23333.3333333333</v>
      </c>
      <c r="BV96" s="109" t="n">
        <f aca="false">BU96-BU97</f>
        <v>21666.6666666666</v>
      </c>
      <c r="BW96" s="109" t="n">
        <f aca="false">BV96-BV97</f>
        <v>19999.9999999999</v>
      </c>
      <c r="BX96" s="109" t="n">
        <f aca="false">BW96-BW97</f>
        <v>18333.3333333333</v>
      </c>
      <c r="BY96" s="109" t="n">
        <f aca="false">BX96-BX97</f>
        <v>16666.6666666666</v>
      </c>
      <c r="BZ96" s="109" t="n">
        <f aca="false">BY96-BY97</f>
        <v>14999.9999999999</v>
      </c>
      <c r="CA96" s="109" t="n">
        <f aca="false">BZ96-BZ97</f>
        <v>13333.3333333333</v>
      </c>
      <c r="CB96" s="109" t="n">
        <f aca="false">CA96-CA97</f>
        <v>11666.6666666666</v>
      </c>
      <c r="CC96" s="109" t="n">
        <f aca="false">CB96-CB97</f>
        <v>9999.99999999994</v>
      </c>
      <c r="CD96" s="109" t="n">
        <f aca="false">CC96-CC97</f>
        <v>8333.33333333328</v>
      </c>
      <c r="CE96" s="109" t="n">
        <f aca="false">CD96-CD97</f>
        <v>6666.66666666661</v>
      </c>
      <c r="CF96" s="109" t="n">
        <f aca="false">CE96-CE97</f>
        <v>4999.99999999994</v>
      </c>
      <c r="CG96" s="109" t="n">
        <f aca="false">CF96-CF97</f>
        <v>3333.33333333328</v>
      </c>
      <c r="CH96" s="109" t="n">
        <f aca="false">CG96-CG97</f>
        <v>1666.66666666661</v>
      </c>
    </row>
    <row r="97" customFormat="false" ht="13.5" hidden="false" customHeight="true" outlineLevel="0" collapsed="false">
      <c r="A97" s="6" t="s">
        <v>597</v>
      </c>
      <c r="C97" s="109" t="n">
        <f aca="false">IF(1&lt;=Hipótesis!$D$109,0,IF(C96&gt;0,MIN(C96,Hipótesis!$D$105/MAX(Hipótesis!$D$108-Hipótesis!$D$109,1)),0))</f>
        <v>0</v>
      </c>
      <c r="D97" s="109" t="n">
        <f aca="false">IF(2&lt;=Hipótesis!$D$109,0,IF(D96&gt;0,MIN(D96,Hipótesis!$D$105/MAX(Hipótesis!$D$108-Hipótesis!$D$109,1)),0))</f>
        <v>0</v>
      </c>
      <c r="E97" s="109" t="n">
        <f aca="false">IF(3&lt;=Hipótesis!$D$109,0,IF(E96&gt;0,MIN(E96,Hipótesis!$D$105/MAX(Hipótesis!$D$108-Hipótesis!$D$109,1)),0))</f>
        <v>0</v>
      </c>
      <c r="F97" s="109" t="n">
        <f aca="false">IF(4&lt;=Hipótesis!$D$109,0,IF(F96&gt;0,MIN(F96,Hipótesis!$D$105/MAX(Hipótesis!$D$108-Hipótesis!$D$109,1)),0))</f>
        <v>0</v>
      </c>
      <c r="G97" s="109" t="n">
        <f aca="false">IF(5&lt;=Hipótesis!$D$109,0,IF(G96&gt;0,MIN(G96,Hipótesis!$D$105/MAX(Hipótesis!$D$108-Hipótesis!$D$109,1)),0))</f>
        <v>0</v>
      </c>
      <c r="H97" s="109" t="n">
        <f aca="false">IF(6&lt;=Hipótesis!$D$109,0,IF(H96&gt;0,MIN(H96,Hipótesis!$D$105/MAX(Hipótesis!$D$108-Hipótesis!$D$109,1)),0))</f>
        <v>0</v>
      </c>
      <c r="I97" s="109" t="n">
        <f aca="false">IF(7&lt;=Hipótesis!$D$109,0,IF(I96&gt;0,MIN(I96,Hipótesis!$D$105/MAX(Hipótesis!$D$108-Hipótesis!$D$109,1)),0))</f>
        <v>0</v>
      </c>
      <c r="J97" s="109" t="n">
        <f aca="false">IF(8&lt;=Hipótesis!$D$109,0,IF(J96&gt;0,MIN(J96,Hipótesis!$D$105/MAX(Hipótesis!$D$108-Hipótesis!$D$109,1)),0))</f>
        <v>0</v>
      </c>
      <c r="K97" s="109" t="n">
        <f aca="false">IF(9&lt;=Hipótesis!$D$109,0,IF(K96&gt;0,MIN(K96,Hipótesis!$D$105/MAX(Hipótesis!$D$108-Hipótesis!$D$109,1)),0))</f>
        <v>0</v>
      </c>
      <c r="L97" s="109" t="n">
        <f aca="false">IF(10&lt;=Hipótesis!$D$109,0,IF(L96&gt;0,MIN(L96,Hipótesis!$D$105/MAX(Hipótesis!$D$108-Hipótesis!$D$109,1)),0))</f>
        <v>0</v>
      </c>
      <c r="M97" s="109" t="n">
        <f aca="false">IF(11&lt;=Hipótesis!$D$109,0,IF(M96&gt;0,MIN(M96,Hipótesis!$D$105/MAX(Hipótesis!$D$108-Hipótesis!$D$109,1)),0))</f>
        <v>0</v>
      </c>
      <c r="N97" s="109" t="n">
        <f aca="false">IF(12&lt;=Hipótesis!$D$109,0,IF(N96&gt;0,MIN(N96,Hipótesis!$D$105/MAX(Hipótesis!$D$108-Hipótesis!$D$109,1)),0))</f>
        <v>0</v>
      </c>
      <c r="O97" s="109" t="n">
        <f aca="false">IF(13&lt;=Hipótesis!$D$109,0,IF(O96&gt;0,MIN(O96,Hipótesis!$D$105/MAX(Hipótesis!$D$108-Hipótesis!$D$109,1)),0))</f>
        <v>0</v>
      </c>
      <c r="P97" s="109" t="n">
        <f aca="false">IF(14&lt;=Hipótesis!$D$109,0,IF(P96&gt;0,MIN(P96,Hipótesis!$D$105/MAX(Hipótesis!$D$108-Hipótesis!$D$109,1)),0))</f>
        <v>0</v>
      </c>
      <c r="Q97" s="109" t="n">
        <f aca="false">IF(15&lt;=Hipótesis!$D$109,0,IF(Q96&gt;0,MIN(Q96,Hipótesis!$D$105/MAX(Hipótesis!$D$108-Hipótesis!$D$109,1)),0))</f>
        <v>0</v>
      </c>
      <c r="R97" s="109" t="n">
        <f aca="false">IF(16&lt;=Hipótesis!$D$109,0,IF(R96&gt;0,MIN(R96,Hipótesis!$D$105/MAX(Hipótesis!$D$108-Hipótesis!$D$109,1)),0))</f>
        <v>0</v>
      </c>
      <c r="S97" s="109" t="n">
        <f aca="false">IF(17&lt;=Hipótesis!$D$109,0,IF(S96&gt;0,MIN(S96,Hipótesis!$D$105/MAX(Hipótesis!$D$108-Hipótesis!$D$109,1)),0))</f>
        <v>0</v>
      </c>
      <c r="T97" s="109" t="n">
        <f aca="false">IF(18&lt;=Hipótesis!$D$109,0,IF(T96&gt;0,MIN(T96,Hipótesis!$D$105/MAX(Hipótesis!$D$108-Hipótesis!$D$109,1)),0))</f>
        <v>0</v>
      </c>
      <c r="U97" s="109" t="n">
        <f aca="false">IF(19&lt;=Hipótesis!$D$109,0,IF(U96&gt;0,MIN(U96,Hipótesis!$D$105/MAX(Hipótesis!$D$108-Hipótesis!$D$109,1)),0))</f>
        <v>0</v>
      </c>
      <c r="V97" s="109" t="n">
        <f aca="false">IF(20&lt;=Hipótesis!$D$109,0,IF(V96&gt;0,MIN(V96,Hipótesis!$D$105/MAX(Hipótesis!$D$108-Hipótesis!$D$109,1)),0))</f>
        <v>0</v>
      </c>
      <c r="W97" s="109" t="n">
        <f aca="false">IF(21&lt;=Hipótesis!$D$109,0,IF(W96&gt;0,MIN(W96,Hipótesis!$D$105/MAX(Hipótesis!$D$108-Hipótesis!$D$109,1)),0))</f>
        <v>0</v>
      </c>
      <c r="X97" s="109" t="n">
        <f aca="false">IF(22&lt;=Hipótesis!$D$109,0,IF(X96&gt;0,MIN(X96,Hipótesis!$D$105/MAX(Hipótesis!$D$108-Hipótesis!$D$109,1)),0))</f>
        <v>0</v>
      </c>
      <c r="Y97" s="109" t="n">
        <f aca="false">IF(23&lt;=Hipótesis!$D$109,0,IF(Y96&gt;0,MIN(Y96,Hipótesis!$D$105/MAX(Hipótesis!$D$108-Hipótesis!$D$109,1)),0))</f>
        <v>0</v>
      </c>
      <c r="Z97" s="109" t="n">
        <f aca="false">IF(24&lt;=Hipótesis!$D$109,0,IF(Z96&gt;0,MIN(Z96,Hipótesis!$D$105/MAX(Hipótesis!$D$108-Hipótesis!$D$109,1)),0))</f>
        <v>0</v>
      </c>
      <c r="AA97" s="109" t="n">
        <f aca="false">IF(25&lt;=Hipótesis!$D$109,0,IF(AA96&gt;0,MIN(AA96,Hipótesis!$D$105/MAX(Hipótesis!$D$108-Hipótesis!$D$109,1)),0))</f>
        <v>1666.66666666667</v>
      </c>
      <c r="AB97" s="109" t="n">
        <f aca="false">IF(26&lt;=Hipótesis!$D$109,0,IF(AB96&gt;0,MIN(AB96,Hipótesis!$D$105/MAX(Hipótesis!$D$108-Hipótesis!$D$109,1)),0))</f>
        <v>1666.66666666667</v>
      </c>
      <c r="AC97" s="109" t="n">
        <f aca="false">IF(27&lt;=Hipótesis!$D$109,0,IF(AC96&gt;0,MIN(AC96,Hipótesis!$D$105/MAX(Hipótesis!$D$108-Hipótesis!$D$109,1)),0))</f>
        <v>1666.66666666667</v>
      </c>
      <c r="AD97" s="109" t="n">
        <f aca="false">IF(28&lt;=Hipótesis!$D$109,0,IF(AD96&gt;0,MIN(AD96,Hipótesis!$D$105/MAX(Hipótesis!$D$108-Hipótesis!$D$109,1)),0))</f>
        <v>1666.66666666667</v>
      </c>
      <c r="AE97" s="109" t="n">
        <f aca="false">IF(29&lt;=Hipótesis!$D$109,0,IF(AE96&gt;0,MIN(AE96,Hipótesis!$D$105/MAX(Hipótesis!$D$108-Hipótesis!$D$109,1)),0))</f>
        <v>1666.66666666667</v>
      </c>
      <c r="AF97" s="109" t="n">
        <f aca="false">IF(30&lt;=Hipótesis!$D$109,0,IF(AF96&gt;0,MIN(AF96,Hipótesis!$D$105/MAX(Hipótesis!$D$108-Hipótesis!$D$109,1)),0))</f>
        <v>1666.66666666667</v>
      </c>
      <c r="AG97" s="109" t="n">
        <f aca="false">IF(31&lt;=Hipótesis!$D$109,0,IF(AG96&gt;0,MIN(AG96,Hipótesis!$D$105/MAX(Hipótesis!$D$108-Hipótesis!$D$109,1)),0))</f>
        <v>1666.66666666667</v>
      </c>
      <c r="AH97" s="109" t="n">
        <f aca="false">IF(32&lt;=Hipótesis!$D$109,0,IF(AH96&gt;0,MIN(AH96,Hipótesis!$D$105/MAX(Hipótesis!$D$108-Hipótesis!$D$109,1)),0))</f>
        <v>1666.66666666667</v>
      </c>
      <c r="AI97" s="109" t="n">
        <f aca="false">IF(33&lt;=Hipótesis!$D$109,0,IF(AI96&gt;0,MIN(AI96,Hipótesis!$D$105/MAX(Hipótesis!$D$108-Hipótesis!$D$109,1)),0))</f>
        <v>1666.66666666667</v>
      </c>
      <c r="AJ97" s="109" t="n">
        <f aca="false">IF(34&lt;=Hipótesis!$D$109,0,IF(AJ96&gt;0,MIN(AJ96,Hipótesis!$D$105/MAX(Hipótesis!$D$108-Hipótesis!$D$109,1)),0))</f>
        <v>1666.66666666667</v>
      </c>
      <c r="AK97" s="109" t="n">
        <f aca="false">IF(35&lt;=Hipótesis!$D$109,0,IF(AK96&gt;0,MIN(AK96,Hipótesis!$D$105/MAX(Hipótesis!$D$108-Hipótesis!$D$109,1)),0))</f>
        <v>1666.66666666667</v>
      </c>
      <c r="AL97" s="109" t="n">
        <f aca="false">IF(36&lt;=Hipótesis!$D$109,0,IF(AL96&gt;0,MIN(AL96,Hipótesis!$D$105/MAX(Hipótesis!$D$108-Hipótesis!$D$109,1)),0))</f>
        <v>1666.66666666667</v>
      </c>
      <c r="AM97" s="109" t="n">
        <f aca="false">IF(37&lt;=Hipótesis!$D$109,0,IF(AM96&gt;0,MIN(AM96,Hipótesis!$D$105/MAX(Hipótesis!$D$108-Hipótesis!$D$109,1)),0))</f>
        <v>1666.66666666667</v>
      </c>
      <c r="AN97" s="109" t="n">
        <f aca="false">IF(38&lt;=Hipótesis!$D$109,0,IF(AN96&gt;0,MIN(AN96,Hipótesis!$D$105/MAX(Hipótesis!$D$108-Hipótesis!$D$109,1)),0))</f>
        <v>1666.66666666667</v>
      </c>
      <c r="AO97" s="109" t="n">
        <f aca="false">IF(39&lt;=Hipótesis!$D$109,0,IF(AO96&gt;0,MIN(AO96,Hipótesis!$D$105/MAX(Hipótesis!$D$108-Hipótesis!$D$109,1)),0))</f>
        <v>1666.66666666667</v>
      </c>
      <c r="AP97" s="109" t="n">
        <f aca="false">IF(40&lt;=Hipótesis!$D$109,0,IF(AP96&gt;0,MIN(AP96,Hipótesis!$D$105/MAX(Hipótesis!$D$108-Hipótesis!$D$109,1)),0))</f>
        <v>1666.66666666667</v>
      </c>
      <c r="AQ97" s="109" t="n">
        <f aca="false">IF(41&lt;=Hipótesis!$D$109,0,IF(AQ96&gt;0,MIN(AQ96,Hipótesis!$D$105/MAX(Hipótesis!$D$108-Hipótesis!$D$109,1)),0))</f>
        <v>1666.66666666667</v>
      </c>
      <c r="AR97" s="109" t="n">
        <f aca="false">IF(42&lt;=Hipótesis!$D$109,0,IF(AR96&gt;0,MIN(AR96,Hipótesis!$D$105/MAX(Hipótesis!$D$108-Hipótesis!$D$109,1)),0))</f>
        <v>1666.66666666667</v>
      </c>
      <c r="AS97" s="109" t="n">
        <f aca="false">IF(43&lt;=Hipótesis!$D$109,0,IF(AS96&gt;0,MIN(AS96,Hipótesis!$D$105/MAX(Hipótesis!$D$108-Hipótesis!$D$109,1)),0))</f>
        <v>1666.66666666667</v>
      </c>
      <c r="AT97" s="109" t="n">
        <f aca="false">IF(44&lt;=Hipótesis!$D$109,0,IF(AT96&gt;0,MIN(AT96,Hipótesis!$D$105/MAX(Hipótesis!$D$108-Hipótesis!$D$109,1)),0))</f>
        <v>1666.66666666667</v>
      </c>
      <c r="AU97" s="109" t="n">
        <f aca="false">IF(45&lt;=Hipótesis!$D$109,0,IF(AU96&gt;0,MIN(AU96,Hipótesis!$D$105/MAX(Hipótesis!$D$108-Hipótesis!$D$109,1)),0))</f>
        <v>1666.66666666667</v>
      </c>
      <c r="AV97" s="109" t="n">
        <f aca="false">IF(46&lt;=Hipótesis!$D$109,0,IF(AV96&gt;0,MIN(AV96,Hipótesis!$D$105/MAX(Hipótesis!$D$108-Hipótesis!$D$109,1)),0))</f>
        <v>1666.66666666667</v>
      </c>
      <c r="AW97" s="109" t="n">
        <f aca="false">IF(47&lt;=Hipótesis!$D$109,0,IF(AW96&gt;0,MIN(AW96,Hipótesis!$D$105/MAX(Hipótesis!$D$108-Hipótesis!$D$109,1)),0))</f>
        <v>1666.66666666667</v>
      </c>
      <c r="AX97" s="109" t="n">
        <f aca="false">IF(48&lt;=Hipótesis!$D$109,0,IF(AX96&gt;0,MIN(AX96,Hipótesis!$D$105/MAX(Hipótesis!$D$108-Hipótesis!$D$109,1)),0))</f>
        <v>1666.66666666667</v>
      </c>
      <c r="AY97" s="109" t="n">
        <f aca="false">IF(49&lt;=Hipótesis!$D$109,0,IF(AY96&gt;0,MIN(AY96,Hipótesis!$D$105/MAX(Hipótesis!$D$108-Hipótesis!$D$109,1)),0))</f>
        <v>1666.66666666667</v>
      </c>
      <c r="AZ97" s="109" t="n">
        <f aca="false">IF(50&lt;=Hipótesis!$D$109,0,IF(AZ96&gt;0,MIN(AZ96,Hipótesis!$D$105/MAX(Hipótesis!$D$108-Hipótesis!$D$109,1)),0))</f>
        <v>1666.66666666667</v>
      </c>
      <c r="BA97" s="109" t="n">
        <f aca="false">IF(51&lt;=Hipótesis!$D$109,0,IF(BA96&gt;0,MIN(BA96,Hipótesis!$D$105/MAX(Hipótesis!$D$108-Hipótesis!$D$109,1)),0))</f>
        <v>1666.66666666667</v>
      </c>
      <c r="BB97" s="109" t="n">
        <f aca="false">IF(52&lt;=Hipótesis!$D$109,0,IF(BB96&gt;0,MIN(BB96,Hipótesis!$D$105/MAX(Hipótesis!$D$108-Hipótesis!$D$109,1)),0))</f>
        <v>1666.66666666667</v>
      </c>
      <c r="BC97" s="109" t="n">
        <f aca="false">IF(53&lt;=Hipótesis!$D$109,0,IF(BC96&gt;0,MIN(BC96,Hipótesis!$D$105/MAX(Hipótesis!$D$108-Hipótesis!$D$109,1)),0))</f>
        <v>1666.66666666667</v>
      </c>
      <c r="BD97" s="109" t="n">
        <f aca="false">IF(54&lt;=Hipótesis!$D$109,0,IF(BD96&gt;0,MIN(BD96,Hipótesis!$D$105/MAX(Hipótesis!$D$108-Hipótesis!$D$109,1)),0))</f>
        <v>1666.66666666667</v>
      </c>
      <c r="BE97" s="109" t="n">
        <f aca="false">IF(55&lt;=Hipótesis!$D$109,0,IF(BE96&gt;0,MIN(BE96,Hipótesis!$D$105/MAX(Hipótesis!$D$108-Hipótesis!$D$109,1)),0))</f>
        <v>1666.66666666667</v>
      </c>
      <c r="BF97" s="109" t="n">
        <f aca="false">IF(56&lt;=Hipótesis!$D$109,0,IF(BF96&gt;0,MIN(BF96,Hipótesis!$D$105/MAX(Hipótesis!$D$108-Hipótesis!$D$109,1)),0))</f>
        <v>1666.66666666667</v>
      </c>
      <c r="BG97" s="109" t="n">
        <f aca="false">IF(57&lt;=Hipótesis!$D$109,0,IF(BG96&gt;0,MIN(BG96,Hipótesis!$D$105/MAX(Hipótesis!$D$108-Hipótesis!$D$109,1)),0))</f>
        <v>1666.66666666667</v>
      </c>
      <c r="BH97" s="109" t="n">
        <f aca="false">IF(58&lt;=Hipótesis!$D$109,0,IF(BH96&gt;0,MIN(BH96,Hipótesis!$D$105/MAX(Hipótesis!$D$108-Hipótesis!$D$109,1)),0))</f>
        <v>1666.66666666667</v>
      </c>
      <c r="BI97" s="109" t="n">
        <f aca="false">IF(59&lt;=Hipótesis!$D$109,0,IF(BI96&gt;0,MIN(BI96,Hipótesis!$D$105/MAX(Hipótesis!$D$108-Hipótesis!$D$109,1)),0))</f>
        <v>1666.66666666667</v>
      </c>
      <c r="BJ97" s="109" t="n">
        <f aca="false">IF(60&lt;=Hipótesis!$D$109,0,IF(BJ96&gt;0,MIN(BJ96,Hipótesis!$D$105/MAX(Hipótesis!$D$108-Hipótesis!$D$109,1)),0))</f>
        <v>1666.66666666667</v>
      </c>
      <c r="BK97" s="109" t="n">
        <f aca="false">IF(61&lt;=Hipótesis!$D$109,0,IF(BK96&gt;0,MIN(BK96,Hipótesis!$D$105/MAX(Hipótesis!$D$108-Hipótesis!$D$109,1)),0))</f>
        <v>1666.66666666667</v>
      </c>
      <c r="BL97" s="109" t="n">
        <f aca="false">IF(62&lt;=Hipótesis!$D$109,0,IF(BL96&gt;0,MIN(BL96,Hipótesis!$D$105/MAX(Hipótesis!$D$108-Hipótesis!$D$109,1)),0))</f>
        <v>1666.66666666667</v>
      </c>
      <c r="BM97" s="109" t="n">
        <f aca="false">IF(63&lt;=Hipótesis!$D$109,0,IF(BM96&gt;0,MIN(BM96,Hipótesis!$D$105/MAX(Hipótesis!$D$108-Hipótesis!$D$109,1)),0))</f>
        <v>1666.66666666667</v>
      </c>
      <c r="BN97" s="109" t="n">
        <f aca="false">IF(64&lt;=Hipótesis!$D$109,0,IF(BN96&gt;0,MIN(BN96,Hipótesis!$D$105/MAX(Hipótesis!$D$108-Hipótesis!$D$109,1)),0))</f>
        <v>1666.66666666667</v>
      </c>
      <c r="BO97" s="109" t="n">
        <f aca="false">IF(65&lt;=Hipótesis!$D$109,0,IF(BO96&gt;0,MIN(BO96,Hipótesis!$D$105/MAX(Hipótesis!$D$108-Hipótesis!$D$109,1)),0))</f>
        <v>1666.66666666667</v>
      </c>
      <c r="BP97" s="109" t="n">
        <f aca="false">IF(66&lt;=Hipótesis!$D$109,0,IF(BP96&gt;0,MIN(BP96,Hipótesis!$D$105/MAX(Hipótesis!$D$108-Hipótesis!$D$109,1)),0))</f>
        <v>1666.66666666667</v>
      </c>
      <c r="BQ97" s="109" t="n">
        <f aca="false">IF(67&lt;=Hipótesis!$D$109,0,IF(BQ96&gt;0,MIN(BQ96,Hipótesis!$D$105/MAX(Hipótesis!$D$108-Hipótesis!$D$109,1)),0))</f>
        <v>1666.66666666667</v>
      </c>
      <c r="BR97" s="109" t="n">
        <f aca="false">IF(68&lt;=Hipótesis!$D$109,0,IF(BR96&gt;0,MIN(BR96,Hipótesis!$D$105/MAX(Hipótesis!$D$108-Hipótesis!$D$109,1)),0))</f>
        <v>1666.66666666667</v>
      </c>
      <c r="BS97" s="109" t="n">
        <f aca="false">IF(69&lt;=Hipótesis!$D$109,0,IF(BS96&gt;0,MIN(BS96,Hipótesis!$D$105/MAX(Hipótesis!$D$108-Hipótesis!$D$109,1)),0))</f>
        <v>1666.66666666667</v>
      </c>
      <c r="BT97" s="109" t="n">
        <f aca="false">IF(70&lt;=Hipótesis!$D$109,0,IF(BT96&gt;0,MIN(BT96,Hipótesis!$D$105/MAX(Hipótesis!$D$108-Hipótesis!$D$109,1)),0))</f>
        <v>1666.66666666667</v>
      </c>
      <c r="BU97" s="109" t="n">
        <f aca="false">IF(71&lt;=Hipótesis!$D$109,0,IF(BU96&gt;0,MIN(BU96,Hipótesis!$D$105/MAX(Hipótesis!$D$108-Hipótesis!$D$109,1)),0))</f>
        <v>1666.66666666667</v>
      </c>
      <c r="BV97" s="109" t="n">
        <f aca="false">IF(72&lt;=Hipótesis!$D$109,0,IF(BV96&gt;0,MIN(BV96,Hipótesis!$D$105/MAX(Hipótesis!$D$108-Hipótesis!$D$109,1)),0))</f>
        <v>1666.66666666667</v>
      </c>
      <c r="BW97" s="109" t="n">
        <f aca="false">IF(73&lt;=Hipótesis!$D$109,0,IF(BW96&gt;0,MIN(BW96,Hipótesis!$D$105/MAX(Hipótesis!$D$108-Hipótesis!$D$109,1)),0))</f>
        <v>1666.66666666667</v>
      </c>
      <c r="BX97" s="109" t="n">
        <f aca="false">IF(74&lt;=Hipótesis!$D$109,0,IF(BX96&gt;0,MIN(BX96,Hipótesis!$D$105/MAX(Hipótesis!$D$108-Hipótesis!$D$109,1)),0))</f>
        <v>1666.66666666667</v>
      </c>
      <c r="BY97" s="109" t="n">
        <f aca="false">IF(75&lt;=Hipótesis!$D$109,0,IF(BY96&gt;0,MIN(BY96,Hipótesis!$D$105/MAX(Hipótesis!$D$108-Hipótesis!$D$109,1)),0))</f>
        <v>1666.66666666667</v>
      </c>
      <c r="BZ97" s="109" t="n">
        <f aca="false">IF(76&lt;=Hipótesis!$D$109,0,IF(BZ96&gt;0,MIN(BZ96,Hipótesis!$D$105/MAX(Hipótesis!$D$108-Hipótesis!$D$109,1)),0))</f>
        <v>1666.66666666667</v>
      </c>
      <c r="CA97" s="109" t="n">
        <f aca="false">IF(77&lt;=Hipótesis!$D$109,0,IF(CA96&gt;0,MIN(CA96,Hipótesis!$D$105/MAX(Hipótesis!$D$108-Hipótesis!$D$109,1)),0))</f>
        <v>1666.66666666667</v>
      </c>
      <c r="CB97" s="109" t="n">
        <f aca="false">IF(78&lt;=Hipótesis!$D$109,0,IF(CB96&gt;0,MIN(CB96,Hipótesis!$D$105/MAX(Hipótesis!$D$108-Hipótesis!$D$109,1)),0))</f>
        <v>1666.66666666667</v>
      </c>
      <c r="CC97" s="109" t="n">
        <f aca="false">IF(79&lt;=Hipótesis!$D$109,0,IF(CC96&gt;0,MIN(CC96,Hipótesis!$D$105/MAX(Hipótesis!$D$108-Hipótesis!$D$109,1)),0))</f>
        <v>1666.66666666667</v>
      </c>
      <c r="CD97" s="109" t="n">
        <f aca="false">IF(80&lt;=Hipótesis!$D$109,0,IF(CD96&gt;0,MIN(CD96,Hipótesis!$D$105/MAX(Hipótesis!$D$108-Hipótesis!$D$109,1)),0))</f>
        <v>1666.66666666667</v>
      </c>
      <c r="CE97" s="109" t="n">
        <f aca="false">IF(81&lt;=Hipótesis!$D$109,0,IF(CE96&gt;0,MIN(CE96,Hipótesis!$D$105/MAX(Hipótesis!$D$108-Hipótesis!$D$109,1)),0))</f>
        <v>1666.66666666667</v>
      </c>
      <c r="CF97" s="109" t="n">
        <f aca="false">IF(82&lt;=Hipótesis!$D$109,0,IF(CF96&gt;0,MIN(CF96,Hipótesis!$D$105/MAX(Hipótesis!$D$108-Hipótesis!$D$109,1)),0))</f>
        <v>1666.66666666667</v>
      </c>
      <c r="CG97" s="109" t="n">
        <f aca="false">IF(83&lt;=Hipótesis!$D$109,0,IF(CG96&gt;0,MIN(CG96,Hipótesis!$D$105/MAX(Hipótesis!$D$108-Hipótesis!$D$109,1)),0))</f>
        <v>1666.66666666667</v>
      </c>
      <c r="CH97" s="109" t="n">
        <f aca="false">IF(84&lt;=Hipótesis!$D$109,0,IF(CH96&gt;0,MIN(CH96,Hipótesis!$D$105/MAX(Hipótesis!$D$108-Hipótesis!$D$109,1)),0))</f>
        <v>1666.66666666661</v>
      </c>
    </row>
    <row r="98" customFormat="false" ht="13.5" hidden="false" customHeight="true" outlineLevel="0" collapsed="false">
      <c r="A98" s="6" t="s">
        <v>598</v>
      </c>
      <c r="C98" s="109" t="n">
        <f aca="false">C96*Hipótesis!$D$106/12+IF(C96&gt;0,Hipótesis!$D$107*MAX(0,C56),0)</f>
        <v>333.333333333333</v>
      </c>
      <c r="D98" s="109" t="n">
        <f aca="false">D96*Hipótesis!$D$106/12+IF(D96&gt;0,Hipótesis!$D$107*MAX(0,D56),0)</f>
        <v>333.333333333333</v>
      </c>
      <c r="E98" s="109" t="n">
        <f aca="false">E96*Hipótesis!$D$106/12+IF(E96&gt;0,Hipótesis!$D$107*MAX(0,E56),0)</f>
        <v>333.333333333333</v>
      </c>
      <c r="F98" s="109" t="n">
        <f aca="false">F96*Hipótesis!$D$106/12+IF(F96&gt;0,Hipótesis!$D$107*MAX(0,F56),0)</f>
        <v>333.333333333333</v>
      </c>
      <c r="G98" s="109" t="n">
        <f aca="false">G96*Hipótesis!$D$106/12+IF(G96&gt;0,Hipótesis!$D$107*MAX(0,G56),0)</f>
        <v>333.333333333333</v>
      </c>
      <c r="H98" s="109" t="n">
        <f aca="false">H96*Hipótesis!$D$106/12+IF(H96&gt;0,Hipótesis!$D$107*MAX(0,H56),0)</f>
        <v>333.333333333333</v>
      </c>
      <c r="I98" s="109" t="n">
        <f aca="false">I96*Hipótesis!$D$106/12+IF(I96&gt;0,Hipótesis!$D$107*MAX(0,I56),0)</f>
        <v>333.333333333333</v>
      </c>
      <c r="J98" s="109" t="n">
        <f aca="false">J96*Hipótesis!$D$106/12+IF(J96&gt;0,Hipótesis!$D$107*MAX(0,J56),0)</f>
        <v>333.333333333333</v>
      </c>
      <c r="K98" s="109" t="n">
        <f aca="false">K96*Hipótesis!$D$106/12+IF(K96&gt;0,Hipótesis!$D$107*MAX(0,K56),0)</f>
        <v>375.439900315389</v>
      </c>
      <c r="L98" s="109" t="n">
        <f aca="false">L96*Hipótesis!$D$106/12+IF(L96&gt;0,Hipótesis!$D$107*MAX(0,L56),0)</f>
        <v>440.884673092289</v>
      </c>
      <c r="M98" s="109" t="n">
        <f aca="false">M96*Hipótesis!$D$106/12+IF(M96&gt;0,Hipótesis!$D$107*MAX(0,M56),0)</f>
        <v>485.148360863772</v>
      </c>
      <c r="N98" s="109" t="n">
        <f aca="false">N96*Hipótesis!$D$106/12+IF(N96&gt;0,Hipótesis!$D$107*MAX(0,N56),0)</f>
        <v>545.220722726882</v>
      </c>
      <c r="O98" s="109" t="n">
        <f aca="false">O96*Hipótesis!$D$106/12+IF(O96&gt;0,Hipótesis!$D$107*MAX(0,O56),0)</f>
        <v>500.749084589993</v>
      </c>
      <c r="P98" s="109" t="n">
        <f aca="false">P96*Hipótesis!$D$106/12+IF(P96&gt;0,Hipótesis!$D$107*MAX(0,P56),0)</f>
        <v>508.51733015176</v>
      </c>
      <c r="Q98" s="109" t="n">
        <f aca="false">Q96*Hipótesis!$D$106/12+IF(Q96&gt;0,Hipótesis!$D$107*MAX(0,Q56),0)</f>
        <v>562.511975713528</v>
      </c>
      <c r="R98" s="109" t="n">
        <f aca="false">R96*Hipótesis!$D$106/12+IF(R96&gt;0,Hipótesis!$D$107*MAX(0,R56),0)</f>
        <v>616.506621275295</v>
      </c>
      <c r="S98" s="109" t="n">
        <f aca="false">S96*Hipótesis!$D$106/12+IF(S96&gt;0,Hipótesis!$D$107*MAX(0,S56),0)</f>
        <v>670.501266837063</v>
      </c>
      <c r="T98" s="109" t="n">
        <f aca="false">T96*Hipótesis!$D$106/12+IF(T96&gt;0,Hipótesis!$D$107*MAX(0,T56),0)</f>
        <v>724.495912398831</v>
      </c>
      <c r="U98" s="109" t="n">
        <f aca="false">U96*Hipótesis!$D$106/12+IF(U96&gt;0,Hipótesis!$D$107*MAX(0,U56),0)</f>
        <v>732.264157960599</v>
      </c>
      <c r="V98" s="109" t="n">
        <f aca="false">V96*Hipótesis!$D$106/12+IF(V96&gt;0,Hipótesis!$D$107*MAX(0,V56),0)</f>
        <v>731.874803522366</v>
      </c>
      <c r="W98" s="109" t="n">
        <f aca="false">W96*Hipótesis!$D$106/12+IF(W96&gt;0,Hipótesis!$D$107*MAX(0,W56),0)</f>
        <v>785.869449084133</v>
      </c>
      <c r="X98" s="109" t="n">
        <f aca="false">X96*Hipótesis!$D$106/12+IF(X96&gt;0,Hipótesis!$D$107*MAX(0,X56),0)</f>
        <v>824.055420554274</v>
      </c>
      <c r="Y98" s="109" t="n">
        <f aca="false">Y96*Hipótesis!$D$106/12+IF(Y96&gt;0,Hipótesis!$D$107*MAX(0,Y56),0)</f>
        <v>862.241392024414</v>
      </c>
      <c r="Z98" s="109" t="n">
        <f aca="false">Z96*Hipótesis!$D$106/12+IF(Z96&gt;0,Hipótesis!$D$107*MAX(0,Z56),0)</f>
        <v>894.667653857903</v>
      </c>
      <c r="AA98" s="109" t="n">
        <f aca="false">AA96*Hipótesis!$D$106/12+IF(AA96&gt;0,Hipótesis!$D$107*MAX(0,AA56),0)</f>
        <v>881.457291691393</v>
      </c>
      <c r="AB98" s="109" t="n">
        <f aca="false">AB96*Hipótesis!$D$106/12+IF(AB96&gt;0,Hipótesis!$D$107*MAX(0,AB56),0)</f>
        <v>860.714805969326</v>
      </c>
      <c r="AC98" s="109" t="n">
        <f aca="false">AC96*Hipótesis!$D$106/12+IF(AC96&gt;0,Hipótesis!$D$107*MAX(0,AC56),0)</f>
        <v>887.58551224726</v>
      </c>
      <c r="AD98" s="109" t="n">
        <f aca="false">AD96*Hipótesis!$D$106/12+IF(AD96&gt;0,Hipótesis!$D$107*MAX(0,AD56),0)</f>
        <v>914.456218525194</v>
      </c>
      <c r="AE98" s="109" t="n">
        <f aca="false">AE96*Hipótesis!$D$106/12+IF(AE96&gt;0,Hipótesis!$D$107*MAX(0,AE56),0)</f>
        <v>941.326924803127</v>
      </c>
      <c r="AF98" s="109" t="n">
        <f aca="false">AF96*Hipótesis!$D$106/12+IF(AF96&gt;0,Hipótesis!$D$107*MAX(0,AF56),0)</f>
        <v>968.197631081061</v>
      </c>
      <c r="AG98" s="109" t="n">
        <f aca="false">AG96*Hipótesis!$D$106/12+IF(AG96&gt;0,Hipótesis!$D$107*MAX(0,AG56),0)</f>
        <v>995.068337358995</v>
      </c>
      <c r="AH98" s="109" t="n">
        <f aca="false">AH96*Hipótesis!$D$106/12+IF(AH96&gt;0,Hipótesis!$D$107*MAX(0,AH56),0)</f>
        <v>1021.93904363693</v>
      </c>
      <c r="AI98" s="109" t="n">
        <f aca="false">AI96*Hipótesis!$D$106/12+IF(AI96&gt;0,Hipótesis!$D$107*MAX(0,AI56),0)</f>
        <v>1048.80974991486</v>
      </c>
      <c r="AJ98" s="109" t="n">
        <f aca="false">AJ96*Hipótesis!$D$106/12+IF(AJ96&gt;0,Hipótesis!$D$107*MAX(0,AJ56),0)</f>
        <v>1075.6804561928</v>
      </c>
      <c r="AK98" s="109" t="n">
        <f aca="false">AK96*Hipótesis!$D$106/12+IF(AK96&gt;0,Hipótesis!$D$107*MAX(0,AK56),0)</f>
        <v>1102.55116247073</v>
      </c>
      <c r="AL98" s="109" t="n">
        <f aca="false">AL96*Hipótesis!$D$106/12+IF(AL96&gt;0,Hipótesis!$D$107*MAX(0,AL56),0)</f>
        <v>1129.42186874866</v>
      </c>
      <c r="AM98" s="109" t="n">
        <f aca="false">AM96*Hipótesis!$D$106/12+IF(AM96&gt;0,Hipótesis!$D$107*MAX(0,AM56),0)</f>
        <v>1060.0048687866</v>
      </c>
      <c r="AN98" s="109" t="n">
        <f aca="false">AN96*Hipótesis!$D$106/12+IF(AN96&gt;0,Hipótesis!$D$107*MAX(0,AN56),0)</f>
        <v>1086.87557506453</v>
      </c>
      <c r="AO98" s="109" t="n">
        <f aca="false">AO96*Hipótesis!$D$106/12+IF(AO96&gt;0,Hipótesis!$D$107*MAX(0,AO56),0)</f>
        <v>1113.74628134246</v>
      </c>
      <c r="AP98" s="109" t="n">
        <f aca="false">AP96*Hipótesis!$D$106/12+IF(AP96&gt;0,Hipótesis!$D$107*MAX(0,AP56),0)</f>
        <v>1140.6169876204</v>
      </c>
      <c r="AQ98" s="109" t="n">
        <f aca="false">AQ96*Hipótesis!$D$106/12+IF(AQ96&gt;0,Hipótesis!$D$107*MAX(0,AQ56),0)</f>
        <v>1167.48769389833</v>
      </c>
      <c r="AR98" s="109" t="n">
        <f aca="false">AR96*Hipótesis!$D$106/12+IF(AR96&gt;0,Hipótesis!$D$107*MAX(0,AR56),0)</f>
        <v>1194.35840017627</v>
      </c>
      <c r="AS98" s="109" t="n">
        <f aca="false">AS96*Hipótesis!$D$106/12+IF(AS96&gt;0,Hipótesis!$D$107*MAX(0,AS56),0)</f>
        <v>1188.80284462071</v>
      </c>
      <c r="AT98" s="109" t="n">
        <f aca="false">AT96*Hipótesis!$D$106/12+IF(AT96&gt;0,Hipótesis!$D$107*MAX(0,AT56),0)</f>
        <v>1183.24728906515</v>
      </c>
      <c r="AU98" s="109" t="n">
        <f aca="false">AU96*Hipótesis!$D$106/12+IF(AU96&gt;0,Hipótesis!$D$107*MAX(0,AU56),0)</f>
        <v>1177.6917335096</v>
      </c>
      <c r="AV98" s="109" t="n">
        <f aca="false">AV96*Hipótesis!$D$106/12+IF(AV96&gt;0,Hipótesis!$D$107*MAX(0,AV56),0)</f>
        <v>1172.13617795404</v>
      </c>
      <c r="AW98" s="109" t="n">
        <f aca="false">AW96*Hipótesis!$D$106/12+IF(AW96&gt;0,Hipótesis!$D$107*MAX(0,AW56),0)</f>
        <v>1166.58062239849</v>
      </c>
      <c r="AX98" s="109" t="n">
        <f aca="false">AX96*Hipótesis!$D$106/12+IF(AX96&gt;0,Hipótesis!$D$107*MAX(0,AX56),0)</f>
        <v>1161.02506684293</v>
      </c>
      <c r="AY98" s="109" t="n">
        <f aca="false">AY96*Hipótesis!$D$106/12+IF(AY96&gt;0,Hipótesis!$D$107*MAX(0,AY56),0)</f>
        <v>1106.52276162018</v>
      </c>
      <c r="AZ98" s="109" t="n">
        <f aca="false">AZ96*Hipótesis!$D$106/12+IF(AZ96&gt;0,Hipótesis!$D$107*MAX(0,AZ56),0)</f>
        <v>1100.96720606462</v>
      </c>
      <c r="BA98" s="109" t="n">
        <f aca="false">BA96*Hipótesis!$D$106/12+IF(BA96&gt;0,Hipótesis!$D$107*MAX(0,BA56),0)</f>
        <v>1095.41165050907</v>
      </c>
      <c r="BB98" s="109" t="n">
        <f aca="false">BB96*Hipótesis!$D$106/12+IF(BB96&gt;0,Hipótesis!$D$107*MAX(0,BB56),0)</f>
        <v>1089.85609495351</v>
      </c>
      <c r="BC98" s="109" t="n">
        <f aca="false">BC96*Hipótesis!$D$106/12+IF(BC96&gt;0,Hipótesis!$D$107*MAX(0,BC56),0)</f>
        <v>1084.30053939795</v>
      </c>
      <c r="BD98" s="109" t="n">
        <f aca="false">BD96*Hipótesis!$D$106/12+IF(BD96&gt;0,Hipótesis!$D$107*MAX(0,BD56),0)</f>
        <v>1078.7449838424</v>
      </c>
      <c r="BE98" s="109" t="n">
        <f aca="false">BE96*Hipótesis!$D$106/12+IF(BE96&gt;0,Hipótesis!$D$107*MAX(0,BE56),0)</f>
        <v>1073.18942828684</v>
      </c>
      <c r="BF98" s="109" t="n">
        <f aca="false">BF96*Hipótesis!$D$106/12+IF(BF96&gt;0,Hipótesis!$D$107*MAX(0,BF56),0)</f>
        <v>1067.63387273129</v>
      </c>
      <c r="BG98" s="109" t="n">
        <f aca="false">BG96*Hipótesis!$D$106/12+IF(BG96&gt;0,Hipótesis!$D$107*MAX(0,BG56),0)</f>
        <v>1062.07831717573</v>
      </c>
      <c r="BH98" s="109" t="n">
        <f aca="false">BH96*Hipótesis!$D$106/12+IF(BH96&gt;0,Hipótesis!$D$107*MAX(0,BH56),0)</f>
        <v>1056.52276162018</v>
      </c>
      <c r="BI98" s="109" t="n">
        <f aca="false">BI96*Hipótesis!$D$106/12+IF(BI96&gt;0,Hipótesis!$D$107*MAX(0,BI56),0)</f>
        <v>1050.96720606462</v>
      </c>
      <c r="BJ98" s="109" t="n">
        <f aca="false">BJ96*Hipótesis!$D$106/12+IF(BJ96&gt;0,Hipótesis!$D$107*MAX(0,BJ56),0)</f>
        <v>1045.41165050907</v>
      </c>
      <c r="BK98" s="109" t="n">
        <f aca="false">BK96*Hipótesis!$D$106/12+IF(BK96&gt;0,Hipótesis!$D$107*MAX(0,BK56),0)</f>
        <v>990.628942796294</v>
      </c>
      <c r="BL98" s="109" t="n">
        <f aca="false">BL96*Hipótesis!$D$106/12+IF(BL96&gt;0,Hipótesis!$D$107*MAX(0,BL56),0)</f>
        <v>985.073387240738</v>
      </c>
      <c r="BM98" s="109" t="n">
        <f aca="false">BM96*Hipótesis!$D$106/12+IF(BM96&gt;0,Hipótesis!$D$107*MAX(0,BM56),0)</f>
        <v>979.517831685183</v>
      </c>
      <c r="BN98" s="109" t="n">
        <f aca="false">BN96*Hipótesis!$D$106/12+IF(BN96&gt;0,Hipótesis!$D$107*MAX(0,BN56),0)</f>
        <v>973.962276129627</v>
      </c>
      <c r="BO98" s="109" t="n">
        <f aca="false">BO96*Hipótesis!$D$106/12+IF(BO96&gt;0,Hipótesis!$D$107*MAX(0,BO56),0)</f>
        <v>968.406720574072</v>
      </c>
      <c r="BP98" s="109" t="n">
        <f aca="false">BP96*Hipótesis!$D$106/12+IF(BP96&gt;0,Hipótesis!$D$107*MAX(0,BP56),0)</f>
        <v>962.851165018516</v>
      </c>
      <c r="BQ98" s="109" t="n">
        <f aca="false">BQ96*Hipótesis!$D$106/12+IF(BQ96&gt;0,Hipótesis!$D$107*MAX(0,BQ56),0)</f>
        <v>957.29560946296</v>
      </c>
      <c r="BR98" s="109" t="n">
        <f aca="false">BR96*Hipótesis!$D$106/12+IF(BR96&gt;0,Hipótesis!$D$107*MAX(0,BR56),0)</f>
        <v>951.740053907405</v>
      </c>
      <c r="BS98" s="109" t="n">
        <f aca="false">BS96*Hipótesis!$D$106/12+IF(BS96&gt;0,Hipótesis!$D$107*MAX(0,BS56),0)</f>
        <v>946.184498351849</v>
      </c>
      <c r="BT98" s="109" t="n">
        <f aca="false">BT96*Hipótesis!$D$106/12+IF(BT96&gt;0,Hipótesis!$D$107*MAX(0,BT56),0)</f>
        <v>940.628942796294</v>
      </c>
      <c r="BU98" s="109" t="n">
        <f aca="false">BU96*Hipótesis!$D$106/12+IF(BU96&gt;0,Hipótesis!$D$107*MAX(0,BU56),0)</f>
        <v>935.073387240738</v>
      </c>
      <c r="BV98" s="109" t="n">
        <f aca="false">BV96*Hipótesis!$D$106/12+IF(BV96&gt;0,Hipótesis!$D$107*MAX(0,BV56),0)</f>
        <v>929.517831685183</v>
      </c>
      <c r="BW98" s="109" t="n">
        <f aca="false">BW96*Hipótesis!$D$106/12+IF(BW96&gt;0,Hipótesis!$D$107*MAX(0,BW56),0)</f>
        <v>874.446309407695</v>
      </c>
      <c r="BX98" s="109" t="n">
        <f aca="false">BX96*Hipótesis!$D$106/12+IF(BX96&gt;0,Hipótesis!$D$107*MAX(0,BX56),0)</f>
        <v>868.890753852139</v>
      </c>
      <c r="BY98" s="109" t="n">
        <f aca="false">BY96*Hipótesis!$D$106/12+IF(BY96&gt;0,Hipótesis!$D$107*MAX(0,BY56),0)</f>
        <v>863.335198296583</v>
      </c>
      <c r="BZ98" s="109" t="n">
        <f aca="false">BZ96*Hipótesis!$D$106/12+IF(BZ96&gt;0,Hipótesis!$D$107*MAX(0,BZ56),0)</f>
        <v>857.779642741028</v>
      </c>
      <c r="CA98" s="109" t="n">
        <f aca="false">CA96*Hipótesis!$D$106/12+IF(CA96&gt;0,Hipótesis!$D$107*MAX(0,CA56),0)</f>
        <v>852.224087185472</v>
      </c>
      <c r="CB98" s="109" t="n">
        <f aca="false">CB96*Hipótesis!$D$106/12+IF(CB96&gt;0,Hipótesis!$D$107*MAX(0,CB56),0)</f>
        <v>846.668531629917</v>
      </c>
      <c r="CC98" s="109" t="n">
        <f aca="false">CC96*Hipótesis!$D$106/12+IF(CC96&gt;0,Hipótesis!$D$107*MAX(0,CC56),0)</f>
        <v>841.112976074361</v>
      </c>
      <c r="CD98" s="109" t="n">
        <f aca="false">CD96*Hipótesis!$D$106/12+IF(CD96&gt;0,Hipótesis!$D$107*MAX(0,CD56),0)</f>
        <v>835.557420518806</v>
      </c>
      <c r="CE98" s="109" t="n">
        <f aca="false">CE96*Hipótesis!$D$106/12+IF(CE96&gt;0,Hipótesis!$D$107*MAX(0,CE56),0)</f>
        <v>830.00186496325</v>
      </c>
      <c r="CF98" s="109" t="n">
        <f aca="false">CF96*Hipótesis!$D$106/12+IF(CF96&gt;0,Hipótesis!$D$107*MAX(0,CF56),0)</f>
        <v>824.446309407695</v>
      </c>
      <c r="CG98" s="109" t="n">
        <f aca="false">CG96*Hipótesis!$D$106/12+IF(CG96&gt;0,Hipótesis!$D$107*MAX(0,CG56),0)</f>
        <v>818.890753852139</v>
      </c>
      <c r="CH98" s="109" t="n">
        <f aca="false">CH96*Hipótesis!$D$106/12+IF(CH96&gt;0,Hipótesis!$D$107*MAX(0,CH56),0)</f>
        <v>813.335198296583</v>
      </c>
    </row>
    <row r="99" customFormat="false" ht="13.5" hidden="false" customHeight="true" outlineLevel="0" collapsed="false">
      <c r="A99" s="6" t="s">
        <v>599</v>
      </c>
      <c r="C99" s="109" t="n">
        <f aca="false">C97+C98</f>
        <v>333.333333333333</v>
      </c>
      <c r="D99" s="109" t="n">
        <f aca="false">D97+D98</f>
        <v>333.333333333333</v>
      </c>
      <c r="E99" s="109" t="n">
        <f aca="false">E97+E98</f>
        <v>333.333333333333</v>
      </c>
      <c r="F99" s="109" t="n">
        <f aca="false">F97+F98</f>
        <v>333.333333333333</v>
      </c>
      <c r="G99" s="109" t="n">
        <f aca="false">G97+G98</f>
        <v>333.333333333333</v>
      </c>
      <c r="H99" s="109" t="n">
        <f aca="false">H97+H98</f>
        <v>333.333333333333</v>
      </c>
      <c r="I99" s="109" t="n">
        <f aca="false">I97+I98</f>
        <v>333.333333333333</v>
      </c>
      <c r="J99" s="109" t="n">
        <f aca="false">J97+J98</f>
        <v>333.333333333333</v>
      </c>
      <c r="K99" s="109" t="n">
        <f aca="false">K97+K98</f>
        <v>375.439900315389</v>
      </c>
      <c r="L99" s="109" t="n">
        <f aca="false">L97+L98</f>
        <v>440.884673092289</v>
      </c>
      <c r="M99" s="109" t="n">
        <f aca="false">M97+M98</f>
        <v>485.148360863772</v>
      </c>
      <c r="N99" s="109" t="n">
        <f aca="false">N97+N98</f>
        <v>545.220722726882</v>
      </c>
      <c r="O99" s="109" t="n">
        <f aca="false">O97+O98</f>
        <v>500.749084589993</v>
      </c>
      <c r="P99" s="109" t="n">
        <f aca="false">P97+P98</f>
        <v>508.51733015176</v>
      </c>
      <c r="Q99" s="109" t="n">
        <f aca="false">Q97+Q98</f>
        <v>562.511975713528</v>
      </c>
      <c r="R99" s="109" t="n">
        <f aca="false">R97+R98</f>
        <v>616.506621275295</v>
      </c>
      <c r="S99" s="109" t="n">
        <f aca="false">S97+S98</f>
        <v>670.501266837063</v>
      </c>
      <c r="T99" s="109" t="n">
        <f aca="false">T97+T98</f>
        <v>724.495912398831</v>
      </c>
      <c r="U99" s="109" t="n">
        <f aca="false">U97+U98</f>
        <v>732.264157960599</v>
      </c>
      <c r="V99" s="109" t="n">
        <f aca="false">V97+V98</f>
        <v>731.874803522366</v>
      </c>
      <c r="W99" s="109" t="n">
        <f aca="false">W97+W98</f>
        <v>785.869449084133</v>
      </c>
      <c r="X99" s="109" t="n">
        <f aca="false">X97+X98</f>
        <v>824.055420554274</v>
      </c>
      <c r="Y99" s="109" t="n">
        <f aca="false">Y97+Y98</f>
        <v>862.241392024414</v>
      </c>
      <c r="Z99" s="109" t="n">
        <f aca="false">Z97+Z98</f>
        <v>894.667653857903</v>
      </c>
      <c r="AA99" s="109" t="n">
        <f aca="false">AA97+AA98</f>
        <v>2548.12395835806</v>
      </c>
      <c r="AB99" s="109" t="n">
        <f aca="false">AB97+AB98</f>
        <v>2527.38147263599</v>
      </c>
      <c r="AC99" s="109" t="n">
        <f aca="false">AC97+AC98</f>
        <v>2554.25217891393</v>
      </c>
      <c r="AD99" s="109" t="n">
        <f aca="false">AD97+AD98</f>
        <v>2581.12288519186</v>
      </c>
      <c r="AE99" s="109" t="n">
        <f aca="false">AE97+AE98</f>
        <v>2607.99359146979</v>
      </c>
      <c r="AF99" s="109" t="n">
        <f aca="false">AF97+AF98</f>
        <v>2634.86429774773</v>
      </c>
      <c r="AG99" s="109" t="n">
        <f aca="false">AG97+AG98</f>
        <v>2661.73500402566</v>
      </c>
      <c r="AH99" s="109" t="n">
        <f aca="false">AH97+AH98</f>
        <v>2688.6057103036</v>
      </c>
      <c r="AI99" s="109" t="n">
        <f aca="false">AI97+AI98</f>
        <v>2715.47641658153</v>
      </c>
      <c r="AJ99" s="109" t="n">
        <f aca="false">AJ97+AJ98</f>
        <v>2742.34712285946</v>
      </c>
      <c r="AK99" s="109" t="n">
        <f aca="false">AK97+AK98</f>
        <v>2769.2178291374</v>
      </c>
      <c r="AL99" s="109" t="n">
        <f aca="false">AL97+AL98</f>
        <v>2796.08853541533</v>
      </c>
      <c r="AM99" s="109" t="n">
        <f aca="false">AM97+AM98</f>
        <v>2726.67153545326</v>
      </c>
      <c r="AN99" s="109" t="n">
        <f aca="false">AN97+AN98</f>
        <v>2753.5422417312</v>
      </c>
      <c r="AO99" s="109" t="n">
        <f aca="false">AO97+AO98</f>
        <v>2780.41294800913</v>
      </c>
      <c r="AP99" s="109" t="n">
        <f aca="false">AP97+AP98</f>
        <v>2807.28365428706</v>
      </c>
      <c r="AQ99" s="109" t="n">
        <f aca="false">AQ97+AQ98</f>
        <v>2834.154360565</v>
      </c>
      <c r="AR99" s="109" t="n">
        <f aca="false">AR97+AR98</f>
        <v>2861.02506684293</v>
      </c>
      <c r="AS99" s="109" t="n">
        <f aca="false">AS97+AS98</f>
        <v>2855.46951128738</v>
      </c>
      <c r="AT99" s="109" t="n">
        <f aca="false">AT97+AT98</f>
        <v>2849.91395573182</v>
      </c>
      <c r="AU99" s="109" t="n">
        <f aca="false">AU97+AU98</f>
        <v>2844.35840017627</v>
      </c>
      <c r="AV99" s="109" t="n">
        <f aca="false">AV97+AV98</f>
        <v>2838.80284462071</v>
      </c>
      <c r="AW99" s="109" t="n">
        <f aca="false">AW97+AW98</f>
        <v>2833.24728906515</v>
      </c>
      <c r="AX99" s="109" t="n">
        <f aca="false">AX97+AX98</f>
        <v>2827.6917335096</v>
      </c>
      <c r="AY99" s="109" t="n">
        <f aca="false">AY97+AY98</f>
        <v>2773.18942828684</v>
      </c>
      <c r="AZ99" s="109" t="n">
        <f aca="false">AZ97+AZ98</f>
        <v>2767.63387273129</v>
      </c>
      <c r="BA99" s="109" t="n">
        <f aca="false">BA97+BA98</f>
        <v>2762.07831717573</v>
      </c>
      <c r="BB99" s="109" t="n">
        <f aca="false">BB97+BB98</f>
        <v>2756.52276162018</v>
      </c>
      <c r="BC99" s="109" t="n">
        <f aca="false">BC97+BC98</f>
        <v>2750.96720606462</v>
      </c>
      <c r="BD99" s="109" t="n">
        <f aca="false">BD97+BD98</f>
        <v>2745.41165050907</v>
      </c>
      <c r="BE99" s="109" t="n">
        <f aca="false">BE97+BE98</f>
        <v>2739.85609495351</v>
      </c>
      <c r="BF99" s="109" t="n">
        <f aca="false">BF97+BF98</f>
        <v>2734.30053939795</v>
      </c>
      <c r="BG99" s="109" t="n">
        <f aca="false">BG97+BG98</f>
        <v>2728.7449838424</v>
      </c>
      <c r="BH99" s="109" t="n">
        <f aca="false">BH97+BH98</f>
        <v>2723.18942828684</v>
      </c>
      <c r="BI99" s="109" t="n">
        <f aca="false">BI97+BI98</f>
        <v>2717.63387273129</v>
      </c>
      <c r="BJ99" s="109" t="n">
        <f aca="false">BJ97+BJ98</f>
        <v>2712.07831717573</v>
      </c>
      <c r="BK99" s="109" t="n">
        <f aca="false">BK97+BK98</f>
        <v>2657.29560946296</v>
      </c>
      <c r="BL99" s="109" t="n">
        <f aca="false">BL97+BL98</f>
        <v>2651.74005390741</v>
      </c>
      <c r="BM99" s="109" t="n">
        <f aca="false">BM97+BM98</f>
        <v>2646.18449835185</v>
      </c>
      <c r="BN99" s="109" t="n">
        <f aca="false">BN97+BN98</f>
        <v>2640.62894279629</v>
      </c>
      <c r="BO99" s="109" t="n">
        <f aca="false">BO97+BO98</f>
        <v>2635.07338724074</v>
      </c>
      <c r="BP99" s="109" t="n">
        <f aca="false">BP97+BP98</f>
        <v>2629.51783168518</v>
      </c>
      <c r="BQ99" s="109" t="n">
        <f aca="false">BQ97+BQ98</f>
        <v>2623.96227612963</v>
      </c>
      <c r="BR99" s="109" t="n">
        <f aca="false">BR97+BR98</f>
        <v>2618.40672057407</v>
      </c>
      <c r="BS99" s="109" t="n">
        <f aca="false">BS97+BS98</f>
        <v>2612.85116501852</v>
      </c>
      <c r="BT99" s="109" t="n">
        <f aca="false">BT97+BT98</f>
        <v>2607.29560946296</v>
      </c>
      <c r="BU99" s="109" t="n">
        <f aca="false">BU97+BU98</f>
        <v>2601.74005390741</v>
      </c>
      <c r="BV99" s="109" t="n">
        <f aca="false">BV97+BV98</f>
        <v>2596.18449835185</v>
      </c>
      <c r="BW99" s="109" t="n">
        <f aca="false">BW97+BW98</f>
        <v>2541.11297607436</v>
      </c>
      <c r="BX99" s="109" t="n">
        <f aca="false">BX97+BX98</f>
        <v>2535.55742051881</v>
      </c>
      <c r="BY99" s="109" t="n">
        <f aca="false">BY97+BY98</f>
        <v>2530.00186496325</v>
      </c>
      <c r="BZ99" s="109" t="n">
        <f aca="false">BZ97+BZ98</f>
        <v>2524.44630940769</v>
      </c>
      <c r="CA99" s="109" t="n">
        <f aca="false">CA97+CA98</f>
        <v>2518.89075385214</v>
      </c>
      <c r="CB99" s="109" t="n">
        <f aca="false">CB97+CB98</f>
        <v>2513.33519829658</v>
      </c>
      <c r="CC99" s="109" t="n">
        <f aca="false">CC97+CC98</f>
        <v>2507.77964274103</v>
      </c>
      <c r="CD99" s="109" t="n">
        <f aca="false">CD97+CD98</f>
        <v>2502.22408718547</v>
      </c>
      <c r="CE99" s="109" t="n">
        <f aca="false">CE97+CE98</f>
        <v>2496.66853162992</v>
      </c>
      <c r="CF99" s="109" t="n">
        <f aca="false">CF97+CF98</f>
        <v>2491.11297607436</v>
      </c>
      <c r="CG99" s="109" t="n">
        <f aca="false">CG97+CG98</f>
        <v>2485.55742051881</v>
      </c>
      <c r="CH99" s="109" t="n">
        <f aca="false">CH97+CH98</f>
        <v>2480.00186496319</v>
      </c>
    </row>
    <row r="100" customFormat="false" ht="13.5" hidden="false" customHeight="true" outlineLevel="0" collapsed="false"/>
    <row r="101" customFormat="false" ht="13.5" hidden="false" customHeight="true" outlineLevel="0" collapsed="false">
      <c r="A101" s="6" t="s">
        <v>600</v>
      </c>
      <c r="C101" s="109" t="n">
        <f aca="false">Hipótesis!$D$113*(1-Hipótesis!$D$117)</f>
        <v>0</v>
      </c>
      <c r="D101" s="109" t="n">
        <f aca="false">C101-C102</f>
        <v>0</v>
      </c>
      <c r="E101" s="109" t="n">
        <f aca="false">D101-D102</f>
        <v>0</v>
      </c>
      <c r="F101" s="109" t="n">
        <f aca="false">E101-E102</f>
        <v>0</v>
      </c>
      <c r="G101" s="109" t="n">
        <f aca="false">F101-F102</f>
        <v>0</v>
      </c>
      <c r="H101" s="109" t="n">
        <f aca="false">G101-G102</f>
        <v>0</v>
      </c>
      <c r="I101" s="109" t="n">
        <f aca="false">H101-H102</f>
        <v>0</v>
      </c>
      <c r="J101" s="109" t="n">
        <f aca="false">I101-I102</f>
        <v>0</v>
      </c>
      <c r="K101" s="109" t="n">
        <f aca="false">J101-J102</f>
        <v>0</v>
      </c>
      <c r="L101" s="109" t="n">
        <f aca="false">K101-K102</f>
        <v>0</v>
      </c>
      <c r="M101" s="109" t="n">
        <f aca="false">L101-L102</f>
        <v>0</v>
      </c>
      <c r="N101" s="109" t="n">
        <f aca="false">M101-M102</f>
        <v>0</v>
      </c>
      <c r="O101" s="109" t="n">
        <f aca="false">N101-N102</f>
        <v>0</v>
      </c>
      <c r="P101" s="109" t="n">
        <f aca="false">O101-O102</f>
        <v>0</v>
      </c>
      <c r="Q101" s="109" t="n">
        <f aca="false">P101-P102</f>
        <v>0</v>
      </c>
      <c r="R101" s="109" t="n">
        <f aca="false">Q101-Q102</f>
        <v>0</v>
      </c>
      <c r="S101" s="109" t="n">
        <f aca="false">R101-R102</f>
        <v>0</v>
      </c>
      <c r="T101" s="109" t="n">
        <f aca="false">S101-S102</f>
        <v>0</v>
      </c>
      <c r="U101" s="109" t="n">
        <f aca="false">T101-T102</f>
        <v>0</v>
      </c>
      <c r="V101" s="109" t="n">
        <f aca="false">U101-U102</f>
        <v>0</v>
      </c>
      <c r="W101" s="109" t="n">
        <f aca="false">V101-V102</f>
        <v>0</v>
      </c>
      <c r="X101" s="109" t="n">
        <f aca="false">W101-W102</f>
        <v>0</v>
      </c>
      <c r="Y101" s="109" t="n">
        <f aca="false">X101-X102</f>
        <v>0</v>
      </c>
      <c r="Z101" s="109" t="n">
        <f aca="false">Y101-Y102</f>
        <v>0</v>
      </c>
      <c r="AA101" s="109" t="n">
        <f aca="false">Z101-Z102</f>
        <v>0</v>
      </c>
      <c r="AB101" s="109" t="n">
        <f aca="false">AA101-AA102</f>
        <v>0</v>
      </c>
      <c r="AC101" s="109" t="n">
        <f aca="false">AB101-AB102</f>
        <v>0</v>
      </c>
      <c r="AD101" s="109" t="n">
        <f aca="false">AC101-AC102</f>
        <v>0</v>
      </c>
      <c r="AE101" s="109" t="n">
        <f aca="false">AD101-AD102</f>
        <v>0</v>
      </c>
      <c r="AF101" s="109" t="n">
        <f aca="false">AE101-AE102</f>
        <v>0</v>
      </c>
      <c r="AG101" s="109" t="n">
        <f aca="false">AF101-AF102</f>
        <v>0</v>
      </c>
      <c r="AH101" s="109" t="n">
        <f aca="false">AG101-AG102</f>
        <v>0</v>
      </c>
      <c r="AI101" s="109" t="n">
        <f aca="false">AH101-AH102</f>
        <v>0</v>
      </c>
      <c r="AJ101" s="109" t="n">
        <f aca="false">AI101-AI102</f>
        <v>0</v>
      </c>
      <c r="AK101" s="109" t="n">
        <f aca="false">AJ101-AJ102</f>
        <v>0</v>
      </c>
      <c r="AL101" s="109" t="n">
        <f aca="false">AK101-AK102</f>
        <v>0</v>
      </c>
      <c r="AM101" s="109" t="n">
        <f aca="false">AL101-AL102</f>
        <v>0</v>
      </c>
      <c r="AN101" s="109" t="n">
        <f aca="false">AM101-AM102</f>
        <v>0</v>
      </c>
      <c r="AO101" s="109" t="n">
        <f aca="false">AN101-AN102</f>
        <v>0</v>
      </c>
      <c r="AP101" s="109" t="n">
        <f aca="false">AO101-AO102</f>
        <v>0</v>
      </c>
      <c r="AQ101" s="109" t="n">
        <f aca="false">AP101-AP102</f>
        <v>0</v>
      </c>
      <c r="AR101" s="109" t="n">
        <f aca="false">AQ101-AQ102</f>
        <v>0</v>
      </c>
      <c r="AS101" s="109" t="n">
        <f aca="false">AR101-AR102</f>
        <v>0</v>
      </c>
      <c r="AT101" s="109" t="n">
        <f aca="false">AS101-AS102</f>
        <v>0</v>
      </c>
      <c r="AU101" s="109" t="n">
        <f aca="false">AT101-AT102</f>
        <v>0</v>
      </c>
      <c r="AV101" s="109" t="n">
        <f aca="false">AU101-AU102</f>
        <v>0</v>
      </c>
      <c r="AW101" s="109" t="n">
        <f aca="false">AV101-AV102</f>
        <v>0</v>
      </c>
      <c r="AX101" s="109" t="n">
        <f aca="false">AW101-AW102</f>
        <v>0</v>
      </c>
      <c r="AY101" s="109" t="n">
        <f aca="false">AX101-AX102</f>
        <v>0</v>
      </c>
      <c r="AZ101" s="109" t="n">
        <f aca="false">AY101-AY102</f>
        <v>0</v>
      </c>
      <c r="BA101" s="109" t="n">
        <f aca="false">AZ101-AZ102</f>
        <v>0</v>
      </c>
      <c r="BB101" s="109" t="n">
        <f aca="false">BA101-BA102</f>
        <v>0</v>
      </c>
      <c r="BC101" s="109" t="n">
        <f aca="false">BB101-BB102</f>
        <v>0</v>
      </c>
      <c r="BD101" s="109" t="n">
        <f aca="false">BC101-BC102</f>
        <v>0</v>
      </c>
      <c r="BE101" s="109" t="n">
        <f aca="false">BD101-BD102</f>
        <v>0</v>
      </c>
      <c r="BF101" s="109" t="n">
        <f aca="false">BE101-BE102</f>
        <v>0</v>
      </c>
      <c r="BG101" s="109" t="n">
        <f aca="false">BF101-BF102</f>
        <v>0</v>
      </c>
      <c r="BH101" s="109" t="n">
        <f aca="false">BG101-BG102</f>
        <v>0</v>
      </c>
      <c r="BI101" s="109" t="n">
        <f aca="false">BH101-BH102</f>
        <v>0</v>
      </c>
      <c r="BJ101" s="109" t="n">
        <f aca="false">BI101-BI102</f>
        <v>0</v>
      </c>
      <c r="BK101" s="109" t="n">
        <f aca="false">BJ101-BJ102</f>
        <v>0</v>
      </c>
      <c r="BL101" s="109" t="n">
        <f aca="false">BK101-BK102</f>
        <v>0</v>
      </c>
      <c r="BM101" s="109" t="n">
        <f aca="false">BL101-BL102</f>
        <v>0</v>
      </c>
      <c r="BN101" s="109" t="n">
        <f aca="false">BM101-BM102</f>
        <v>0</v>
      </c>
      <c r="BO101" s="109" t="n">
        <f aca="false">BN101-BN102</f>
        <v>0</v>
      </c>
      <c r="BP101" s="109" t="n">
        <f aca="false">BO101-BO102</f>
        <v>0</v>
      </c>
      <c r="BQ101" s="109" t="n">
        <f aca="false">BP101-BP102</f>
        <v>0</v>
      </c>
      <c r="BR101" s="109" t="n">
        <f aca="false">BQ101-BQ102</f>
        <v>0</v>
      </c>
      <c r="BS101" s="109" t="n">
        <f aca="false">BR101-BR102</f>
        <v>0</v>
      </c>
      <c r="BT101" s="109" t="n">
        <f aca="false">BS101-BS102</f>
        <v>0</v>
      </c>
      <c r="BU101" s="109" t="n">
        <f aca="false">BT101-BT102</f>
        <v>0</v>
      </c>
      <c r="BV101" s="109" t="n">
        <f aca="false">BU101-BU102</f>
        <v>0</v>
      </c>
      <c r="BW101" s="109" t="n">
        <f aca="false">BV101-BV102</f>
        <v>0</v>
      </c>
      <c r="BX101" s="109" t="n">
        <f aca="false">BW101-BW102</f>
        <v>0</v>
      </c>
      <c r="BY101" s="109" t="n">
        <f aca="false">BX101-BX102</f>
        <v>0</v>
      </c>
      <c r="BZ101" s="109" t="n">
        <f aca="false">BY101-BY102</f>
        <v>0</v>
      </c>
      <c r="CA101" s="109" t="n">
        <f aca="false">BZ101-BZ102</f>
        <v>0</v>
      </c>
      <c r="CB101" s="109" t="n">
        <f aca="false">CA101-CA102</f>
        <v>0</v>
      </c>
      <c r="CC101" s="109" t="n">
        <f aca="false">CB101-CB102</f>
        <v>0</v>
      </c>
      <c r="CD101" s="109" t="n">
        <f aca="false">CC101-CC102</f>
        <v>0</v>
      </c>
      <c r="CE101" s="109" t="n">
        <f aca="false">CD101-CD102</f>
        <v>0</v>
      </c>
      <c r="CF101" s="109" t="n">
        <f aca="false">CE101-CE102</f>
        <v>0</v>
      </c>
      <c r="CG101" s="109" t="n">
        <f aca="false">CF101-CF102</f>
        <v>0</v>
      </c>
      <c r="CH101" s="109" t="n">
        <f aca="false">CG101-CG102</f>
        <v>0</v>
      </c>
    </row>
    <row r="102" customFormat="false" ht="13.5" hidden="false" customHeight="true" outlineLevel="0" collapsed="false">
      <c r="A102" s="6" t="s">
        <v>601</v>
      </c>
      <c r="C102" s="109" t="n">
        <f aca="false">IF(1&lt;=Hipótesis!$D$116,0,IF(C101&gt;0,MIN(C101,Hipótesis!$D$113*(1-Hipótesis!$D$117)/MAX(Hipótesis!$D$115-Hipótesis!$D$116,1)),0))</f>
        <v>0</v>
      </c>
      <c r="D102" s="109" t="n">
        <f aca="false">IF(2&lt;=Hipótesis!$D$116,0,IF(D101&gt;0,MIN(D101,Hipótesis!$D$113*(1-Hipótesis!$D$117)/MAX(Hipótesis!$D$115-Hipótesis!$D$116,1)),0))</f>
        <v>0</v>
      </c>
      <c r="E102" s="109" t="n">
        <f aca="false">IF(3&lt;=Hipótesis!$D$116,0,IF(E101&gt;0,MIN(E101,Hipótesis!$D$113*(1-Hipótesis!$D$117)/MAX(Hipótesis!$D$115-Hipótesis!$D$116,1)),0))</f>
        <v>0</v>
      </c>
      <c r="F102" s="109" t="n">
        <f aca="false">IF(4&lt;=Hipótesis!$D$116,0,IF(F101&gt;0,MIN(F101,Hipótesis!$D$113*(1-Hipótesis!$D$117)/MAX(Hipótesis!$D$115-Hipótesis!$D$116,1)),0))</f>
        <v>0</v>
      </c>
      <c r="G102" s="109" t="n">
        <f aca="false">IF(5&lt;=Hipótesis!$D$116,0,IF(G101&gt;0,MIN(G101,Hipótesis!$D$113*(1-Hipótesis!$D$117)/MAX(Hipótesis!$D$115-Hipótesis!$D$116,1)),0))</f>
        <v>0</v>
      </c>
      <c r="H102" s="109" t="n">
        <f aca="false">IF(6&lt;=Hipótesis!$D$116,0,IF(H101&gt;0,MIN(H101,Hipótesis!$D$113*(1-Hipótesis!$D$117)/MAX(Hipótesis!$D$115-Hipótesis!$D$116,1)),0))</f>
        <v>0</v>
      </c>
      <c r="I102" s="109" t="n">
        <f aca="false">IF(7&lt;=Hipótesis!$D$116,0,IF(I101&gt;0,MIN(I101,Hipótesis!$D$113*(1-Hipótesis!$D$117)/MAX(Hipótesis!$D$115-Hipótesis!$D$116,1)),0))</f>
        <v>0</v>
      </c>
      <c r="J102" s="109" t="n">
        <f aca="false">IF(8&lt;=Hipótesis!$D$116,0,IF(J101&gt;0,MIN(J101,Hipótesis!$D$113*(1-Hipótesis!$D$117)/MAX(Hipótesis!$D$115-Hipótesis!$D$116,1)),0))</f>
        <v>0</v>
      </c>
      <c r="K102" s="109" t="n">
        <f aca="false">IF(9&lt;=Hipótesis!$D$116,0,IF(K101&gt;0,MIN(K101,Hipótesis!$D$113*(1-Hipótesis!$D$117)/MAX(Hipótesis!$D$115-Hipótesis!$D$116,1)),0))</f>
        <v>0</v>
      </c>
      <c r="L102" s="109" t="n">
        <f aca="false">IF(10&lt;=Hipótesis!$D$116,0,IF(L101&gt;0,MIN(L101,Hipótesis!$D$113*(1-Hipótesis!$D$117)/MAX(Hipótesis!$D$115-Hipótesis!$D$116,1)),0))</f>
        <v>0</v>
      </c>
      <c r="M102" s="109" t="n">
        <f aca="false">IF(11&lt;=Hipótesis!$D$116,0,IF(M101&gt;0,MIN(M101,Hipótesis!$D$113*(1-Hipótesis!$D$117)/MAX(Hipótesis!$D$115-Hipótesis!$D$116,1)),0))</f>
        <v>0</v>
      </c>
      <c r="N102" s="109" t="n">
        <f aca="false">IF(12&lt;=Hipótesis!$D$116,0,IF(N101&gt;0,MIN(N101,Hipótesis!$D$113*(1-Hipótesis!$D$117)/MAX(Hipótesis!$D$115-Hipótesis!$D$116,1)),0))</f>
        <v>0</v>
      </c>
      <c r="O102" s="109" t="n">
        <f aca="false">IF(13&lt;=Hipótesis!$D$116,0,IF(O101&gt;0,MIN(O101,Hipótesis!$D$113*(1-Hipótesis!$D$117)/MAX(Hipótesis!$D$115-Hipótesis!$D$116,1)),0))</f>
        <v>0</v>
      </c>
      <c r="P102" s="109" t="n">
        <f aca="false">IF(14&lt;=Hipótesis!$D$116,0,IF(P101&gt;0,MIN(P101,Hipótesis!$D$113*(1-Hipótesis!$D$117)/MAX(Hipótesis!$D$115-Hipótesis!$D$116,1)),0))</f>
        <v>0</v>
      </c>
      <c r="Q102" s="109" t="n">
        <f aca="false">IF(15&lt;=Hipótesis!$D$116,0,IF(Q101&gt;0,MIN(Q101,Hipótesis!$D$113*(1-Hipótesis!$D$117)/MAX(Hipótesis!$D$115-Hipótesis!$D$116,1)),0))</f>
        <v>0</v>
      </c>
      <c r="R102" s="109" t="n">
        <f aca="false">IF(16&lt;=Hipótesis!$D$116,0,IF(R101&gt;0,MIN(R101,Hipótesis!$D$113*(1-Hipótesis!$D$117)/MAX(Hipótesis!$D$115-Hipótesis!$D$116,1)),0))</f>
        <v>0</v>
      </c>
      <c r="S102" s="109" t="n">
        <f aca="false">IF(17&lt;=Hipótesis!$D$116,0,IF(S101&gt;0,MIN(S101,Hipótesis!$D$113*(1-Hipótesis!$D$117)/MAX(Hipótesis!$D$115-Hipótesis!$D$116,1)),0))</f>
        <v>0</v>
      </c>
      <c r="T102" s="109" t="n">
        <f aca="false">IF(18&lt;=Hipótesis!$D$116,0,IF(T101&gt;0,MIN(T101,Hipótesis!$D$113*(1-Hipótesis!$D$117)/MAX(Hipótesis!$D$115-Hipótesis!$D$116,1)),0))</f>
        <v>0</v>
      </c>
      <c r="U102" s="109" t="n">
        <f aca="false">IF(19&lt;=Hipótesis!$D$116,0,IF(U101&gt;0,MIN(U101,Hipótesis!$D$113*(1-Hipótesis!$D$117)/MAX(Hipótesis!$D$115-Hipótesis!$D$116,1)),0))</f>
        <v>0</v>
      </c>
      <c r="V102" s="109" t="n">
        <f aca="false">IF(20&lt;=Hipótesis!$D$116,0,IF(V101&gt;0,MIN(V101,Hipótesis!$D$113*(1-Hipótesis!$D$117)/MAX(Hipótesis!$D$115-Hipótesis!$D$116,1)),0))</f>
        <v>0</v>
      </c>
      <c r="W102" s="109" t="n">
        <f aca="false">IF(21&lt;=Hipótesis!$D$116,0,IF(W101&gt;0,MIN(W101,Hipótesis!$D$113*(1-Hipótesis!$D$117)/MAX(Hipótesis!$D$115-Hipótesis!$D$116,1)),0))</f>
        <v>0</v>
      </c>
      <c r="X102" s="109" t="n">
        <f aca="false">IF(22&lt;=Hipótesis!$D$116,0,IF(X101&gt;0,MIN(X101,Hipótesis!$D$113*(1-Hipótesis!$D$117)/MAX(Hipótesis!$D$115-Hipótesis!$D$116,1)),0))</f>
        <v>0</v>
      </c>
      <c r="Y102" s="109" t="n">
        <f aca="false">IF(23&lt;=Hipótesis!$D$116,0,IF(Y101&gt;0,MIN(Y101,Hipótesis!$D$113*(1-Hipótesis!$D$117)/MAX(Hipótesis!$D$115-Hipótesis!$D$116,1)),0))</f>
        <v>0</v>
      </c>
      <c r="Z102" s="109" t="n">
        <f aca="false">IF(24&lt;=Hipótesis!$D$116,0,IF(Z101&gt;0,MIN(Z101,Hipótesis!$D$113*(1-Hipótesis!$D$117)/MAX(Hipótesis!$D$115-Hipótesis!$D$116,1)),0))</f>
        <v>0</v>
      </c>
      <c r="AA102" s="109" t="n">
        <f aca="false">IF(25&lt;=Hipótesis!$D$116,0,IF(AA101&gt;0,MIN(AA101,Hipótesis!$D$113*(1-Hipótesis!$D$117)/MAX(Hipótesis!$D$115-Hipótesis!$D$116,1)),0))</f>
        <v>0</v>
      </c>
      <c r="AB102" s="109" t="n">
        <f aca="false">IF(26&lt;=Hipótesis!$D$116,0,IF(AB101&gt;0,MIN(AB101,Hipótesis!$D$113*(1-Hipótesis!$D$117)/MAX(Hipótesis!$D$115-Hipótesis!$D$116,1)),0))</f>
        <v>0</v>
      </c>
      <c r="AC102" s="109" t="n">
        <f aca="false">IF(27&lt;=Hipótesis!$D$116,0,IF(AC101&gt;0,MIN(AC101,Hipótesis!$D$113*(1-Hipótesis!$D$117)/MAX(Hipótesis!$D$115-Hipótesis!$D$116,1)),0))</f>
        <v>0</v>
      </c>
      <c r="AD102" s="109" t="n">
        <f aca="false">IF(28&lt;=Hipótesis!$D$116,0,IF(AD101&gt;0,MIN(AD101,Hipótesis!$D$113*(1-Hipótesis!$D$117)/MAX(Hipótesis!$D$115-Hipótesis!$D$116,1)),0))</f>
        <v>0</v>
      </c>
      <c r="AE102" s="109" t="n">
        <f aca="false">IF(29&lt;=Hipótesis!$D$116,0,IF(AE101&gt;0,MIN(AE101,Hipótesis!$D$113*(1-Hipótesis!$D$117)/MAX(Hipótesis!$D$115-Hipótesis!$D$116,1)),0))</f>
        <v>0</v>
      </c>
      <c r="AF102" s="109" t="n">
        <f aca="false">IF(30&lt;=Hipótesis!$D$116,0,IF(AF101&gt;0,MIN(AF101,Hipótesis!$D$113*(1-Hipótesis!$D$117)/MAX(Hipótesis!$D$115-Hipótesis!$D$116,1)),0))</f>
        <v>0</v>
      </c>
      <c r="AG102" s="109" t="n">
        <f aca="false">IF(31&lt;=Hipótesis!$D$116,0,IF(AG101&gt;0,MIN(AG101,Hipótesis!$D$113*(1-Hipótesis!$D$117)/MAX(Hipótesis!$D$115-Hipótesis!$D$116,1)),0))</f>
        <v>0</v>
      </c>
      <c r="AH102" s="109" t="n">
        <f aca="false">IF(32&lt;=Hipótesis!$D$116,0,IF(AH101&gt;0,MIN(AH101,Hipótesis!$D$113*(1-Hipótesis!$D$117)/MAX(Hipótesis!$D$115-Hipótesis!$D$116,1)),0))</f>
        <v>0</v>
      </c>
      <c r="AI102" s="109" t="n">
        <f aca="false">IF(33&lt;=Hipótesis!$D$116,0,IF(AI101&gt;0,MIN(AI101,Hipótesis!$D$113*(1-Hipótesis!$D$117)/MAX(Hipótesis!$D$115-Hipótesis!$D$116,1)),0))</f>
        <v>0</v>
      </c>
      <c r="AJ102" s="109" t="n">
        <f aca="false">IF(34&lt;=Hipótesis!$D$116,0,IF(AJ101&gt;0,MIN(AJ101,Hipótesis!$D$113*(1-Hipótesis!$D$117)/MAX(Hipótesis!$D$115-Hipótesis!$D$116,1)),0))</f>
        <v>0</v>
      </c>
      <c r="AK102" s="109" t="n">
        <f aca="false">IF(35&lt;=Hipótesis!$D$116,0,IF(AK101&gt;0,MIN(AK101,Hipótesis!$D$113*(1-Hipótesis!$D$117)/MAX(Hipótesis!$D$115-Hipótesis!$D$116,1)),0))</f>
        <v>0</v>
      </c>
      <c r="AL102" s="109" t="n">
        <f aca="false">IF(36&lt;=Hipótesis!$D$116,0,IF(AL101&gt;0,MIN(AL101,Hipótesis!$D$113*(1-Hipótesis!$D$117)/MAX(Hipótesis!$D$115-Hipótesis!$D$116,1)),0))</f>
        <v>0</v>
      </c>
      <c r="AM102" s="109" t="n">
        <f aca="false">IF(37&lt;=Hipótesis!$D$116,0,IF(AM101&gt;0,MIN(AM101,Hipótesis!$D$113*(1-Hipótesis!$D$117)/MAX(Hipótesis!$D$115-Hipótesis!$D$116,1)),0))</f>
        <v>0</v>
      </c>
      <c r="AN102" s="109" t="n">
        <f aca="false">IF(38&lt;=Hipótesis!$D$116,0,IF(AN101&gt;0,MIN(AN101,Hipótesis!$D$113*(1-Hipótesis!$D$117)/MAX(Hipótesis!$D$115-Hipótesis!$D$116,1)),0))</f>
        <v>0</v>
      </c>
      <c r="AO102" s="109" t="n">
        <f aca="false">IF(39&lt;=Hipótesis!$D$116,0,IF(AO101&gt;0,MIN(AO101,Hipótesis!$D$113*(1-Hipótesis!$D$117)/MAX(Hipótesis!$D$115-Hipótesis!$D$116,1)),0))</f>
        <v>0</v>
      </c>
      <c r="AP102" s="109" t="n">
        <f aca="false">IF(40&lt;=Hipótesis!$D$116,0,IF(AP101&gt;0,MIN(AP101,Hipótesis!$D$113*(1-Hipótesis!$D$117)/MAX(Hipótesis!$D$115-Hipótesis!$D$116,1)),0))</f>
        <v>0</v>
      </c>
      <c r="AQ102" s="109" t="n">
        <f aca="false">IF(41&lt;=Hipótesis!$D$116,0,IF(AQ101&gt;0,MIN(AQ101,Hipótesis!$D$113*(1-Hipótesis!$D$117)/MAX(Hipótesis!$D$115-Hipótesis!$D$116,1)),0))</f>
        <v>0</v>
      </c>
      <c r="AR102" s="109" t="n">
        <f aca="false">IF(42&lt;=Hipótesis!$D$116,0,IF(AR101&gt;0,MIN(AR101,Hipótesis!$D$113*(1-Hipótesis!$D$117)/MAX(Hipótesis!$D$115-Hipótesis!$D$116,1)),0))</f>
        <v>0</v>
      </c>
      <c r="AS102" s="109" t="n">
        <f aca="false">IF(43&lt;=Hipótesis!$D$116,0,IF(AS101&gt;0,MIN(AS101,Hipótesis!$D$113*(1-Hipótesis!$D$117)/MAX(Hipótesis!$D$115-Hipótesis!$D$116,1)),0))</f>
        <v>0</v>
      </c>
      <c r="AT102" s="109" t="n">
        <f aca="false">IF(44&lt;=Hipótesis!$D$116,0,IF(AT101&gt;0,MIN(AT101,Hipótesis!$D$113*(1-Hipótesis!$D$117)/MAX(Hipótesis!$D$115-Hipótesis!$D$116,1)),0))</f>
        <v>0</v>
      </c>
      <c r="AU102" s="109" t="n">
        <f aca="false">IF(45&lt;=Hipótesis!$D$116,0,IF(AU101&gt;0,MIN(AU101,Hipótesis!$D$113*(1-Hipótesis!$D$117)/MAX(Hipótesis!$D$115-Hipótesis!$D$116,1)),0))</f>
        <v>0</v>
      </c>
      <c r="AV102" s="109" t="n">
        <f aca="false">IF(46&lt;=Hipótesis!$D$116,0,IF(AV101&gt;0,MIN(AV101,Hipótesis!$D$113*(1-Hipótesis!$D$117)/MAX(Hipótesis!$D$115-Hipótesis!$D$116,1)),0))</f>
        <v>0</v>
      </c>
      <c r="AW102" s="109" t="n">
        <f aca="false">IF(47&lt;=Hipótesis!$D$116,0,IF(AW101&gt;0,MIN(AW101,Hipótesis!$D$113*(1-Hipótesis!$D$117)/MAX(Hipótesis!$D$115-Hipótesis!$D$116,1)),0))</f>
        <v>0</v>
      </c>
      <c r="AX102" s="109" t="n">
        <f aca="false">IF(48&lt;=Hipótesis!$D$116,0,IF(AX101&gt;0,MIN(AX101,Hipótesis!$D$113*(1-Hipótesis!$D$117)/MAX(Hipótesis!$D$115-Hipótesis!$D$116,1)),0))</f>
        <v>0</v>
      </c>
      <c r="AY102" s="109" t="n">
        <f aca="false">IF(49&lt;=Hipótesis!$D$116,0,IF(AY101&gt;0,MIN(AY101,Hipótesis!$D$113*(1-Hipótesis!$D$117)/MAX(Hipótesis!$D$115-Hipótesis!$D$116,1)),0))</f>
        <v>0</v>
      </c>
      <c r="AZ102" s="109" t="n">
        <f aca="false">IF(50&lt;=Hipótesis!$D$116,0,IF(AZ101&gt;0,MIN(AZ101,Hipótesis!$D$113*(1-Hipótesis!$D$117)/MAX(Hipótesis!$D$115-Hipótesis!$D$116,1)),0))</f>
        <v>0</v>
      </c>
      <c r="BA102" s="109" t="n">
        <f aca="false">IF(51&lt;=Hipótesis!$D$116,0,IF(BA101&gt;0,MIN(BA101,Hipótesis!$D$113*(1-Hipótesis!$D$117)/MAX(Hipótesis!$D$115-Hipótesis!$D$116,1)),0))</f>
        <v>0</v>
      </c>
      <c r="BB102" s="109" t="n">
        <f aca="false">IF(52&lt;=Hipótesis!$D$116,0,IF(BB101&gt;0,MIN(BB101,Hipótesis!$D$113*(1-Hipótesis!$D$117)/MAX(Hipótesis!$D$115-Hipótesis!$D$116,1)),0))</f>
        <v>0</v>
      </c>
      <c r="BC102" s="109" t="n">
        <f aca="false">IF(53&lt;=Hipótesis!$D$116,0,IF(BC101&gt;0,MIN(BC101,Hipótesis!$D$113*(1-Hipótesis!$D$117)/MAX(Hipótesis!$D$115-Hipótesis!$D$116,1)),0))</f>
        <v>0</v>
      </c>
      <c r="BD102" s="109" t="n">
        <f aca="false">IF(54&lt;=Hipótesis!$D$116,0,IF(BD101&gt;0,MIN(BD101,Hipótesis!$D$113*(1-Hipótesis!$D$117)/MAX(Hipótesis!$D$115-Hipótesis!$D$116,1)),0))</f>
        <v>0</v>
      </c>
      <c r="BE102" s="109" t="n">
        <f aca="false">IF(55&lt;=Hipótesis!$D$116,0,IF(BE101&gt;0,MIN(BE101,Hipótesis!$D$113*(1-Hipótesis!$D$117)/MAX(Hipótesis!$D$115-Hipótesis!$D$116,1)),0))</f>
        <v>0</v>
      </c>
      <c r="BF102" s="109" t="n">
        <f aca="false">IF(56&lt;=Hipótesis!$D$116,0,IF(BF101&gt;0,MIN(BF101,Hipótesis!$D$113*(1-Hipótesis!$D$117)/MAX(Hipótesis!$D$115-Hipótesis!$D$116,1)),0))</f>
        <v>0</v>
      </c>
      <c r="BG102" s="109" t="n">
        <f aca="false">IF(57&lt;=Hipótesis!$D$116,0,IF(BG101&gt;0,MIN(BG101,Hipótesis!$D$113*(1-Hipótesis!$D$117)/MAX(Hipótesis!$D$115-Hipótesis!$D$116,1)),0))</f>
        <v>0</v>
      </c>
      <c r="BH102" s="109" t="n">
        <f aca="false">IF(58&lt;=Hipótesis!$D$116,0,IF(BH101&gt;0,MIN(BH101,Hipótesis!$D$113*(1-Hipótesis!$D$117)/MAX(Hipótesis!$D$115-Hipótesis!$D$116,1)),0))</f>
        <v>0</v>
      </c>
      <c r="BI102" s="109" t="n">
        <f aca="false">IF(59&lt;=Hipótesis!$D$116,0,IF(BI101&gt;0,MIN(BI101,Hipótesis!$D$113*(1-Hipótesis!$D$117)/MAX(Hipótesis!$D$115-Hipótesis!$D$116,1)),0))</f>
        <v>0</v>
      </c>
      <c r="BJ102" s="109" t="n">
        <f aca="false">IF(60&lt;=Hipótesis!$D$116,0,IF(BJ101&gt;0,MIN(BJ101,Hipótesis!$D$113*(1-Hipótesis!$D$117)/MAX(Hipótesis!$D$115-Hipótesis!$D$116,1)),0))</f>
        <v>0</v>
      </c>
      <c r="BK102" s="109" t="n">
        <f aca="false">IF(61&lt;=Hipótesis!$D$116,0,IF(BK101&gt;0,MIN(BK101,Hipótesis!$D$113*(1-Hipótesis!$D$117)/MAX(Hipótesis!$D$115-Hipótesis!$D$116,1)),0))</f>
        <v>0</v>
      </c>
      <c r="BL102" s="109" t="n">
        <f aca="false">IF(62&lt;=Hipótesis!$D$116,0,IF(BL101&gt;0,MIN(BL101,Hipótesis!$D$113*(1-Hipótesis!$D$117)/MAX(Hipótesis!$D$115-Hipótesis!$D$116,1)),0))</f>
        <v>0</v>
      </c>
      <c r="BM102" s="109" t="n">
        <f aca="false">IF(63&lt;=Hipótesis!$D$116,0,IF(BM101&gt;0,MIN(BM101,Hipótesis!$D$113*(1-Hipótesis!$D$117)/MAX(Hipótesis!$D$115-Hipótesis!$D$116,1)),0))</f>
        <v>0</v>
      </c>
      <c r="BN102" s="109" t="n">
        <f aca="false">IF(64&lt;=Hipótesis!$D$116,0,IF(BN101&gt;0,MIN(BN101,Hipótesis!$D$113*(1-Hipótesis!$D$117)/MAX(Hipótesis!$D$115-Hipótesis!$D$116,1)),0))</f>
        <v>0</v>
      </c>
      <c r="BO102" s="109" t="n">
        <f aca="false">IF(65&lt;=Hipótesis!$D$116,0,IF(BO101&gt;0,MIN(BO101,Hipótesis!$D$113*(1-Hipótesis!$D$117)/MAX(Hipótesis!$D$115-Hipótesis!$D$116,1)),0))</f>
        <v>0</v>
      </c>
      <c r="BP102" s="109" t="n">
        <f aca="false">IF(66&lt;=Hipótesis!$D$116,0,IF(BP101&gt;0,MIN(BP101,Hipótesis!$D$113*(1-Hipótesis!$D$117)/MAX(Hipótesis!$D$115-Hipótesis!$D$116,1)),0))</f>
        <v>0</v>
      </c>
      <c r="BQ102" s="109" t="n">
        <f aca="false">IF(67&lt;=Hipótesis!$D$116,0,IF(BQ101&gt;0,MIN(BQ101,Hipótesis!$D$113*(1-Hipótesis!$D$117)/MAX(Hipótesis!$D$115-Hipótesis!$D$116,1)),0))</f>
        <v>0</v>
      </c>
      <c r="BR102" s="109" t="n">
        <f aca="false">IF(68&lt;=Hipótesis!$D$116,0,IF(BR101&gt;0,MIN(BR101,Hipótesis!$D$113*(1-Hipótesis!$D$117)/MAX(Hipótesis!$D$115-Hipótesis!$D$116,1)),0))</f>
        <v>0</v>
      </c>
      <c r="BS102" s="109" t="n">
        <f aca="false">IF(69&lt;=Hipótesis!$D$116,0,IF(BS101&gt;0,MIN(BS101,Hipótesis!$D$113*(1-Hipótesis!$D$117)/MAX(Hipótesis!$D$115-Hipótesis!$D$116,1)),0))</f>
        <v>0</v>
      </c>
      <c r="BT102" s="109" t="n">
        <f aca="false">IF(70&lt;=Hipótesis!$D$116,0,IF(BT101&gt;0,MIN(BT101,Hipótesis!$D$113*(1-Hipótesis!$D$117)/MAX(Hipótesis!$D$115-Hipótesis!$D$116,1)),0))</f>
        <v>0</v>
      </c>
      <c r="BU102" s="109" t="n">
        <f aca="false">IF(71&lt;=Hipótesis!$D$116,0,IF(BU101&gt;0,MIN(BU101,Hipótesis!$D$113*(1-Hipótesis!$D$117)/MAX(Hipótesis!$D$115-Hipótesis!$D$116,1)),0))</f>
        <v>0</v>
      </c>
      <c r="BV102" s="109" t="n">
        <f aca="false">IF(72&lt;=Hipótesis!$D$116,0,IF(BV101&gt;0,MIN(BV101,Hipótesis!$D$113*(1-Hipótesis!$D$117)/MAX(Hipótesis!$D$115-Hipótesis!$D$116,1)),0))</f>
        <v>0</v>
      </c>
      <c r="BW102" s="109" t="n">
        <f aca="false">IF(73&lt;=Hipótesis!$D$116,0,IF(BW101&gt;0,MIN(BW101,Hipótesis!$D$113*(1-Hipótesis!$D$117)/MAX(Hipótesis!$D$115-Hipótesis!$D$116,1)),0))</f>
        <v>0</v>
      </c>
      <c r="BX102" s="109" t="n">
        <f aca="false">IF(74&lt;=Hipótesis!$D$116,0,IF(BX101&gt;0,MIN(BX101,Hipótesis!$D$113*(1-Hipótesis!$D$117)/MAX(Hipótesis!$D$115-Hipótesis!$D$116,1)),0))</f>
        <v>0</v>
      </c>
      <c r="BY102" s="109" t="n">
        <f aca="false">IF(75&lt;=Hipótesis!$D$116,0,IF(BY101&gt;0,MIN(BY101,Hipótesis!$D$113*(1-Hipótesis!$D$117)/MAX(Hipótesis!$D$115-Hipótesis!$D$116,1)),0))</f>
        <v>0</v>
      </c>
      <c r="BZ102" s="109" t="n">
        <f aca="false">IF(76&lt;=Hipótesis!$D$116,0,IF(BZ101&gt;0,MIN(BZ101,Hipótesis!$D$113*(1-Hipótesis!$D$117)/MAX(Hipótesis!$D$115-Hipótesis!$D$116,1)),0))</f>
        <v>0</v>
      </c>
      <c r="CA102" s="109" t="n">
        <f aca="false">IF(77&lt;=Hipótesis!$D$116,0,IF(CA101&gt;0,MIN(CA101,Hipótesis!$D$113*(1-Hipótesis!$D$117)/MAX(Hipótesis!$D$115-Hipótesis!$D$116,1)),0))</f>
        <v>0</v>
      </c>
      <c r="CB102" s="109" t="n">
        <f aca="false">IF(78&lt;=Hipótesis!$D$116,0,IF(CB101&gt;0,MIN(CB101,Hipótesis!$D$113*(1-Hipótesis!$D$117)/MAX(Hipótesis!$D$115-Hipótesis!$D$116,1)),0))</f>
        <v>0</v>
      </c>
      <c r="CC102" s="109" t="n">
        <f aca="false">IF(79&lt;=Hipótesis!$D$116,0,IF(CC101&gt;0,MIN(CC101,Hipótesis!$D$113*(1-Hipótesis!$D$117)/MAX(Hipótesis!$D$115-Hipótesis!$D$116,1)),0))</f>
        <v>0</v>
      </c>
      <c r="CD102" s="109" t="n">
        <f aca="false">IF(80&lt;=Hipótesis!$D$116,0,IF(CD101&gt;0,MIN(CD101,Hipótesis!$D$113*(1-Hipótesis!$D$117)/MAX(Hipótesis!$D$115-Hipótesis!$D$116,1)),0))</f>
        <v>0</v>
      </c>
      <c r="CE102" s="109" t="n">
        <f aca="false">IF(81&lt;=Hipótesis!$D$116,0,IF(CE101&gt;0,MIN(CE101,Hipótesis!$D$113*(1-Hipótesis!$D$117)/MAX(Hipótesis!$D$115-Hipótesis!$D$116,1)),0))</f>
        <v>0</v>
      </c>
      <c r="CF102" s="109" t="n">
        <f aca="false">IF(82&lt;=Hipótesis!$D$116,0,IF(CF101&gt;0,MIN(CF101,Hipótesis!$D$113*(1-Hipótesis!$D$117)/MAX(Hipótesis!$D$115-Hipótesis!$D$116,1)),0))</f>
        <v>0</v>
      </c>
      <c r="CG102" s="109" t="n">
        <f aca="false">IF(83&lt;=Hipótesis!$D$116,0,IF(CG101&gt;0,MIN(CG101,Hipótesis!$D$113*(1-Hipótesis!$D$117)/MAX(Hipótesis!$D$115-Hipótesis!$D$116,1)),0))</f>
        <v>0</v>
      </c>
      <c r="CH102" s="109" t="n">
        <f aca="false">IF(84&lt;=Hipótesis!$D$116,0,IF(CH101&gt;0,MIN(CH101,Hipótesis!$D$113*(1-Hipótesis!$D$117)/MAX(Hipótesis!$D$115-Hipótesis!$D$116,1)),0))</f>
        <v>0</v>
      </c>
    </row>
    <row r="103" customFormat="false" ht="13.5" hidden="false" customHeight="true" outlineLevel="0" collapsed="false">
      <c r="A103" s="6" t="s">
        <v>602</v>
      </c>
      <c r="C103" s="109" t="n">
        <f aca="false">C101*Hipótesis!$D$114/12</f>
        <v>0</v>
      </c>
      <c r="D103" s="109" t="n">
        <f aca="false">D101*Hipótesis!$D$114/12</f>
        <v>0</v>
      </c>
      <c r="E103" s="109" t="n">
        <f aca="false">E101*Hipótesis!$D$114/12</f>
        <v>0</v>
      </c>
      <c r="F103" s="109" t="n">
        <f aca="false">F101*Hipótesis!$D$114/12</f>
        <v>0</v>
      </c>
      <c r="G103" s="109" t="n">
        <f aca="false">G101*Hipótesis!$D$114/12</f>
        <v>0</v>
      </c>
      <c r="H103" s="109" t="n">
        <f aca="false">H101*Hipótesis!$D$114/12</f>
        <v>0</v>
      </c>
      <c r="I103" s="109" t="n">
        <f aca="false">I101*Hipótesis!$D$114/12</f>
        <v>0</v>
      </c>
      <c r="J103" s="109" t="n">
        <f aca="false">J101*Hipótesis!$D$114/12</f>
        <v>0</v>
      </c>
      <c r="K103" s="109" t="n">
        <f aca="false">K101*Hipótesis!$D$114/12</f>
        <v>0</v>
      </c>
      <c r="L103" s="109" t="n">
        <f aca="false">L101*Hipótesis!$D$114/12</f>
        <v>0</v>
      </c>
      <c r="M103" s="109" t="n">
        <f aca="false">M101*Hipótesis!$D$114/12</f>
        <v>0</v>
      </c>
      <c r="N103" s="109" t="n">
        <f aca="false">N101*Hipótesis!$D$114/12</f>
        <v>0</v>
      </c>
      <c r="O103" s="109" t="n">
        <f aca="false">O101*Hipótesis!$D$114/12</f>
        <v>0</v>
      </c>
      <c r="P103" s="109" t="n">
        <f aca="false">P101*Hipótesis!$D$114/12</f>
        <v>0</v>
      </c>
      <c r="Q103" s="109" t="n">
        <f aca="false">Q101*Hipótesis!$D$114/12</f>
        <v>0</v>
      </c>
      <c r="R103" s="109" t="n">
        <f aca="false">R101*Hipótesis!$D$114/12</f>
        <v>0</v>
      </c>
      <c r="S103" s="109" t="n">
        <f aca="false">S101*Hipótesis!$D$114/12</f>
        <v>0</v>
      </c>
      <c r="T103" s="109" t="n">
        <f aca="false">T101*Hipótesis!$D$114/12</f>
        <v>0</v>
      </c>
      <c r="U103" s="109" t="n">
        <f aca="false">U101*Hipótesis!$D$114/12</f>
        <v>0</v>
      </c>
      <c r="V103" s="109" t="n">
        <f aca="false">V101*Hipótesis!$D$114/12</f>
        <v>0</v>
      </c>
      <c r="W103" s="109" t="n">
        <f aca="false">W101*Hipótesis!$D$114/12</f>
        <v>0</v>
      </c>
      <c r="X103" s="109" t="n">
        <f aca="false">X101*Hipótesis!$D$114/12</f>
        <v>0</v>
      </c>
      <c r="Y103" s="109" t="n">
        <f aca="false">Y101*Hipótesis!$D$114/12</f>
        <v>0</v>
      </c>
      <c r="Z103" s="109" t="n">
        <f aca="false">Z101*Hipótesis!$D$114/12</f>
        <v>0</v>
      </c>
      <c r="AA103" s="109" t="n">
        <f aca="false">AA101*Hipótesis!$D$114/12</f>
        <v>0</v>
      </c>
      <c r="AB103" s="109" t="n">
        <f aca="false">AB101*Hipótesis!$D$114/12</f>
        <v>0</v>
      </c>
      <c r="AC103" s="109" t="n">
        <f aca="false">AC101*Hipótesis!$D$114/12</f>
        <v>0</v>
      </c>
      <c r="AD103" s="109" t="n">
        <f aca="false">AD101*Hipótesis!$D$114/12</f>
        <v>0</v>
      </c>
      <c r="AE103" s="109" t="n">
        <f aca="false">AE101*Hipótesis!$D$114/12</f>
        <v>0</v>
      </c>
      <c r="AF103" s="109" t="n">
        <f aca="false">AF101*Hipótesis!$D$114/12</f>
        <v>0</v>
      </c>
      <c r="AG103" s="109" t="n">
        <f aca="false">AG101*Hipótesis!$D$114/12</f>
        <v>0</v>
      </c>
      <c r="AH103" s="109" t="n">
        <f aca="false">AH101*Hipótesis!$D$114/12</f>
        <v>0</v>
      </c>
      <c r="AI103" s="109" t="n">
        <f aca="false">AI101*Hipótesis!$D$114/12</f>
        <v>0</v>
      </c>
      <c r="AJ103" s="109" t="n">
        <f aca="false">AJ101*Hipótesis!$D$114/12</f>
        <v>0</v>
      </c>
      <c r="AK103" s="109" t="n">
        <f aca="false">AK101*Hipótesis!$D$114/12</f>
        <v>0</v>
      </c>
      <c r="AL103" s="109" t="n">
        <f aca="false">AL101*Hipótesis!$D$114/12</f>
        <v>0</v>
      </c>
      <c r="AM103" s="109" t="n">
        <f aca="false">AM101*Hipótesis!$D$114/12</f>
        <v>0</v>
      </c>
      <c r="AN103" s="109" t="n">
        <f aca="false">AN101*Hipótesis!$D$114/12</f>
        <v>0</v>
      </c>
      <c r="AO103" s="109" t="n">
        <f aca="false">AO101*Hipótesis!$D$114/12</f>
        <v>0</v>
      </c>
      <c r="AP103" s="109" t="n">
        <f aca="false">AP101*Hipótesis!$D$114/12</f>
        <v>0</v>
      </c>
      <c r="AQ103" s="109" t="n">
        <f aca="false">AQ101*Hipótesis!$D$114/12</f>
        <v>0</v>
      </c>
      <c r="AR103" s="109" t="n">
        <f aca="false">AR101*Hipótesis!$D$114/12</f>
        <v>0</v>
      </c>
      <c r="AS103" s="109" t="n">
        <f aca="false">AS101*Hipótesis!$D$114/12</f>
        <v>0</v>
      </c>
      <c r="AT103" s="109" t="n">
        <f aca="false">AT101*Hipótesis!$D$114/12</f>
        <v>0</v>
      </c>
      <c r="AU103" s="109" t="n">
        <f aca="false">AU101*Hipótesis!$D$114/12</f>
        <v>0</v>
      </c>
      <c r="AV103" s="109" t="n">
        <f aca="false">AV101*Hipótesis!$D$114/12</f>
        <v>0</v>
      </c>
      <c r="AW103" s="109" t="n">
        <f aca="false">AW101*Hipótesis!$D$114/12</f>
        <v>0</v>
      </c>
      <c r="AX103" s="109" t="n">
        <f aca="false">AX101*Hipótesis!$D$114/12</f>
        <v>0</v>
      </c>
      <c r="AY103" s="109" t="n">
        <f aca="false">AY101*Hipótesis!$D$114/12</f>
        <v>0</v>
      </c>
      <c r="AZ103" s="109" t="n">
        <f aca="false">AZ101*Hipótesis!$D$114/12</f>
        <v>0</v>
      </c>
      <c r="BA103" s="109" t="n">
        <f aca="false">BA101*Hipótesis!$D$114/12</f>
        <v>0</v>
      </c>
      <c r="BB103" s="109" t="n">
        <f aca="false">BB101*Hipótesis!$D$114/12</f>
        <v>0</v>
      </c>
      <c r="BC103" s="109" t="n">
        <f aca="false">BC101*Hipótesis!$D$114/12</f>
        <v>0</v>
      </c>
      <c r="BD103" s="109" t="n">
        <f aca="false">BD101*Hipótesis!$D$114/12</f>
        <v>0</v>
      </c>
      <c r="BE103" s="109" t="n">
        <f aca="false">BE101*Hipótesis!$D$114/12</f>
        <v>0</v>
      </c>
      <c r="BF103" s="109" t="n">
        <f aca="false">BF101*Hipótesis!$D$114/12</f>
        <v>0</v>
      </c>
      <c r="BG103" s="109" t="n">
        <f aca="false">BG101*Hipótesis!$D$114/12</f>
        <v>0</v>
      </c>
      <c r="BH103" s="109" t="n">
        <f aca="false">BH101*Hipótesis!$D$114/12</f>
        <v>0</v>
      </c>
      <c r="BI103" s="109" t="n">
        <f aca="false">BI101*Hipótesis!$D$114/12</f>
        <v>0</v>
      </c>
      <c r="BJ103" s="109" t="n">
        <f aca="false">BJ101*Hipótesis!$D$114/12</f>
        <v>0</v>
      </c>
      <c r="BK103" s="109" t="n">
        <f aca="false">BK101*Hipótesis!$D$114/12</f>
        <v>0</v>
      </c>
      <c r="BL103" s="109" t="n">
        <f aca="false">BL101*Hipótesis!$D$114/12</f>
        <v>0</v>
      </c>
      <c r="BM103" s="109" t="n">
        <f aca="false">BM101*Hipótesis!$D$114/12</f>
        <v>0</v>
      </c>
      <c r="BN103" s="109" t="n">
        <f aca="false">BN101*Hipótesis!$D$114/12</f>
        <v>0</v>
      </c>
      <c r="BO103" s="109" t="n">
        <f aca="false">BO101*Hipótesis!$D$114/12</f>
        <v>0</v>
      </c>
      <c r="BP103" s="109" t="n">
        <f aca="false">BP101*Hipótesis!$D$114/12</f>
        <v>0</v>
      </c>
      <c r="BQ103" s="109" t="n">
        <f aca="false">BQ101*Hipótesis!$D$114/12</f>
        <v>0</v>
      </c>
      <c r="BR103" s="109" t="n">
        <f aca="false">BR101*Hipótesis!$D$114/12</f>
        <v>0</v>
      </c>
      <c r="BS103" s="109" t="n">
        <f aca="false">BS101*Hipótesis!$D$114/12</f>
        <v>0</v>
      </c>
      <c r="BT103" s="109" t="n">
        <f aca="false">BT101*Hipótesis!$D$114/12</f>
        <v>0</v>
      </c>
      <c r="BU103" s="109" t="n">
        <f aca="false">BU101*Hipótesis!$D$114/12</f>
        <v>0</v>
      </c>
      <c r="BV103" s="109" t="n">
        <f aca="false">BV101*Hipótesis!$D$114/12</f>
        <v>0</v>
      </c>
      <c r="BW103" s="109" t="n">
        <f aca="false">BW101*Hipótesis!$D$114/12</f>
        <v>0</v>
      </c>
      <c r="BX103" s="109" t="n">
        <f aca="false">BX101*Hipótesis!$D$114/12</f>
        <v>0</v>
      </c>
      <c r="BY103" s="109" t="n">
        <f aca="false">BY101*Hipótesis!$D$114/12</f>
        <v>0</v>
      </c>
      <c r="BZ103" s="109" t="n">
        <f aca="false">BZ101*Hipótesis!$D$114/12</f>
        <v>0</v>
      </c>
      <c r="CA103" s="109" t="n">
        <f aca="false">CA101*Hipótesis!$D$114/12</f>
        <v>0</v>
      </c>
      <c r="CB103" s="109" t="n">
        <f aca="false">CB101*Hipótesis!$D$114/12</f>
        <v>0</v>
      </c>
      <c r="CC103" s="109" t="n">
        <f aca="false">CC101*Hipótesis!$D$114/12</f>
        <v>0</v>
      </c>
      <c r="CD103" s="109" t="n">
        <f aca="false">CD101*Hipótesis!$D$114/12</f>
        <v>0</v>
      </c>
      <c r="CE103" s="109" t="n">
        <f aca="false">CE101*Hipótesis!$D$114/12</f>
        <v>0</v>
      </c>
      <c r="CF103" s="109" t="n">
        <f aca="false">CF101*Hipótesis!$D$114/12</f>
        <v>0</v>
      </c>
      <c r="CG103" s="109" t="n">
        <f aca="false">CG101*Hipótesis!$D$114/12</f>
        <v>0</v>
      </c>
      <c r="CH103" s="109" t="n">
        <f aca="false">CH101*Hipótesis!$D$114/12</f>
        <v>0</v>
      </c>
    </row>
    <row r="104" customFormat="false" ht="13.5" hidden="false" customHeight="true" outlineLevel="0" collapsed="false">
      <c r="A104" s="6" t="s">
        <v>603</v>
      </c>
      <c r="C104" s="109" t="n">
        <f aca="false">C102+C103</f>
        <v>0</v>
      </c>
      <c r="D104" s="109" t="n">
        <f aca="false">D102+D103</f>
        <v>0</v>
      </c>
      <c r="E104" s="109" t="n">
        <f aca="false">E102+E103</f>
        <v>0</v>
      </c>
      <c r="F104" s="109" t="n">
        <f aca="false">F102+F103</f>
        <v>0</v>
      </c>
      <c r="G104" s="109" t="n">
        <f aca="false">G102+G103</f>
        <v>0</v>
      </c>
      <c r="H104" s="109" t="n">
        <f aca="false">H102+H103</f>
        <v>0</v>
      </c>
      <c r="I104" s="109" t="n">
        <f aca="false">I102+I103</f>
        <v>0</v>
      </c>
      <c r="J104" s="109" t="n">
        <f aca="false">J102+J103</f>
        <v>0</v>
      </c>
      <c r="K104" s="109" t="n">
        <f aca="false">K102+K103</f>
        <v>0</v>
      </c>
      <c r="L104" s="109" t="n">
        <f aca="false">L102+L103</f>
        <v>0</v>
      </c>
      <c r="M104" s="109" t="n">
        <f aca="false">M102+M103</f>
        <v>0</v>
      </c>
      <c r="N104" s="109" t="n">
        <f aca="false">N102+N103</f>
        <v>0</v>
      </c>
      <c r="O104" s="109" t="n">
        <f aca="false">O102+O103</f>
        <v>0</v>
      </c>
      <c r="P104" s="109" t="n">
        <f aca="false">P102+P103</f>
        <v>0</v>
      </c>
      <c r="Q104" s="109" t="n">
        <f aca="false">Q102+Q103</f>
        <v>0</v>
      </c>
      <c r="R104" s="109" t="n">
        <f aca="false">R102+R103</f>
        <v>0</v>
      </c>
      <c r="S104" s="109" t="n">
        <f aca="false">S102+S103</f>
        <v>0</v>
      </c>
      <c r="T104" s="109" t="n">
        <f aca="false">T102+T103</f>
        <v>0</v>
      </c>
      <c r="U104" s="109" t="n">
        <f aca="false">U102+U103</f>
        <v>0</v>
      </c>
      <c r="V104" s="109" t="n">
        <f aca="false">V102+V103</f>
        <v>0</v>
      </c>
      <c r="W104" s="109" t="n">
        <f aca="false">W102+W103</f>
        <v>0</v>
      </c>
      <c r="X104" s="109" t="n">
        <f aca="false">X102+X103</f>
        <v>0</v>
      </c>
      <c r="Y104" s="109" t="n">
        <f aca="false">Y102+Y103</f>
        <v>0</v>
      </c>
      <c r="Z104" s="109" t="n">
        <f aca="false">Z102+Z103</f>
        <v>0</v>
      </c>
      <c r="AA104" s="109" t="n">
        <f aca="false">AA102+AA103</f>
        <v>0</v>
      </c>
      <c r="AB104" s="109" t="n">
        <f aca="false">AB102+AB103</f>
        <v>0</v>
      </c>
      <c r="AC104" s="109" t="n">
        <f aca="false">AC102+AC103</f>
        <v>0</v>
      </c>
      <c r="AD104" s="109" t="n">
        <f aca="false">AD102+AD103</f>
        <v>0</v>
      </c>
      <c r="AE104" s="109" t="n">
        <f aca="false">AE102+AE103</f>
        <v>0</v>
      </c>
      <c r="AF104" s="109" t="n">
        <f aca="false">AF102+AF103</f>
        <v>0</v>
      </c>
      <c r="AG104" s="109" t="n">
        <f aca="false">AG102+AG103</f>
        <v>0</v>
      </c>
      <c r="AH104" s="109" t="n">
        <f aca="false">AH102+AH103</f>
        <v>0</v>
      </c>
      <c r="AI104" s="109" t="n">
        <f aca="false">AI102+AI103</f>
        <v>0</v>
      </c>
      <c r="AJ104" s="109" t="n">
        <f aca="false">AJ102+AJ103</f>
        <v>0</v>
      </c>
      <c r="AK104" s="109" t="n">
        <f aca="false">AK102+AK103</f>
        <v>0</v>
      </c>
      <c r="AL104" s="109" t="n">
        <f aca="false">AL102+AL103</f>
        <v>0</v>
      </c>
      <c r="AM104" s="109" t="n">
        <f aca="false">AM102+AM103</f>
        <v>0</v>
      </c>
      <c r="AN104" s="109" t="n">
        <f aca="false">AN102+AN103</f>
        <v>0</v>
      </c>
      <c r="AO104" s="109" t="n">
        <f aca="false">AO102+AO103</f>
        <v>0</v>
      </c>
      <c r="AP104" s="109" t="n">
        <f aca="false">AP102+AP103</f>
        <v>0</v>
      </c>
      <c r="AQ104" s="109" t="n">
        <f aca="false">AQ102+AQ103</f>
        <v>0</v>
      </c>
      <c r="AR104" s="109" t="n">
        <f aca="false">AR102+AR103</f>
        <v>0</v>
      </c>
      <c r="AS104" s="109" t="n">
        <f aca="false">AS102+AS103</f>
        <v>0</v>
      </c>
      <c r="AT104" s="109" t="n">
        <f aca="false">AT102+AT103</f>
        <v>0</v>
      </c>
      <c r="AU104" s="109" t="n">
        <f aca="false">AU102+AU103</f>
        <v>0</v>
      </c>
      <c r="AV104" s="109" t="n">
        <f aca="false">AV102+AV103</f>
        <v>0</v>
      </c>
      <c r="AW104" s="109" t="n">
        <f aca="false">AW102+AW103</f>
        <v>0</v>
      </c>
      <c r="AX104" s="109" t="n">
        <f aca="false">AX102+AX103</f>
        <v>0</v>
      </c>
      <c r="AY104" s="109" t="n">
        <f aca="false">AY102+AY103</f>
        <v>0</v>
      </c>
      <c r="AZ104" s="109" t="n">
        <f aca="false">AZ102+AZ103</f>
        <v>0</v>
      </c>
      <c r="BA104" s="109" t="n">
        <f aca="false">BA102+BA103</f>
        <v>0</v>
      </c>
      <c r="BB104" s="109" t="n">
        <f aca="false">BB102+BB103</f>
        <v>0</v>
      </c>
      <c r="BC104" s="109" t="n">
        <f aca="false">BC102+BC103</f>
        <v>0</v>
      </c>
      <c r="BD104" s="109" t="n">
        <f aca="false">BD102+BD103</f>
        <v>0</v>
      </c>
      <c r="BE104" s="109" t="n">
        <f aca="false">BE102+BE103</f>
        <v>0</v>
      </c>
      <c r="BF104" s="109" t="n">
        <f aca="false">BF102+BF103</f>
        <v>0</v>
      </c>
      <c r="BG104" s="109" t="n">
        <f aca="false">BG102+BG103</f>
        <v>0</v>
      </c>
      <c r="BH104" s="109" t="n">
        <f aca="false">BH102+BH103</f>
        <v>0</v>
      </c>
      <c r="BI104" s="109" t="n">
        <f aca="false">BI102+BI103</f>
        <v>0</v>
      </c>
      <c r="BJ104" s="109" t="n">
        <f aca="false">BJ102+BJ103</f>
        <v>0</v>
      </c>
      <c r="BK104" s="109" t="n">
        <f aca="false">BK102+BK103</f>
        <v>0</v>
      </c>
      <c r="BL104" s="109" t="n">
        <f aca="false">BL102+BL103</f>
        <v>0</v>
      </c>
      <c r="BM104" s="109" t="n">
        <f aca="false">BM102+BM103</f>
        <v>0</v>
      </c>
      <c r="BN104" s="109" t="n">
        <f aca="false">BN102+BN103</f>
        <v>0</v>
      </c>
      <c r="BO104" s="109" t="n">
        <f aca="false">BO102+BO103</f>
        <v>0</v>
      </c>
      <c r="BP104" s="109" t="n">
        <f aca="false">BP102+BP103</f>
        <v>0</v>
      </c>
      <c r="BQ104" s="109" t="n">
        <f aca="false">BQ102+BQ103</f>
        <v>0</v>
      </c>
      <c r="BR104" s="109" t="n">
        <f aca="false">BR102+BR103</f>
        <v>0</v>
      </c>
      <c r="BS104" s="109" t="n">
        <f aca="false">BS102+BS103</f>
        <v>0</v>
      </c>
      <c r="BT104" s="109" t="n">
        <f aca="false">BT102+BT103</f>
        <v>0</v>
      </c>
      <c r="BU104" s="109" t="n">
        <f aca="false">BU102+BU103</f>
        <v>0</v>
      </c>
      <c r="BV104" s="109" t="n">
        <f aca="false">BV102+BV103</f>
        <v>0</v>
      </c>
      <c r="BW104" s="109" t="n">
        <f aca="false">BW102+BW103</f>
        <v>0</v>
      </c>
      <c r="BX104" s="109" t="n">
        <f aca="false">BX102+BX103</f>
        <v>0</v>
      </c>
      <c r="BY104" s="109" t="n">
        <f aca="false">BY102+BY103</f>
        <v>0</v>
      </c>
      <c r="BZ104" s="109" t="n">
        <f aca="false">BZ102+BZ103</f>
        <v>0</v>
      </c>
      <c r="CA104" s="109" t="n">
        <f aca="false">CA102+CA103</f>
        <v>0</v>
      </c>
      <c r="CB104" s="109" t="n">
        <f aca="false">CB102+CB103</f>
        <v>0</v>
      </c>
      <c r="CC104" s="109" t="n">
        <f aca="false">CC102+CC103</f>
        <v>0</v>
      </c>
      <c r="CD104" s="109" t="n">
        <f aca="false">CD102+CD103</f>
        <v>0</v>
      </c>
      <c r="CE104" s="109" t="n">
        <f aca="false">CE102+CE103</f>
        <v>0</v>
      </c>
      <c r="CF104" s="109" t="n">
        <f aca="false">CF102+CF103</f>
        <v>0</v>
      </c>
      <c r="CG104" s="109" t="n">
        <f aca="false">CG102+CG103</f>
        <v>0</v>
      </c>
      <c r="CH104" s="109" t="n">
        <f aca="false">CH102+CH103</f>
        <v>0</v>
      </c>
    </row>
    <row r="105" customFormat="false" ht="13.5" hidden="false" customHeight="true" outlineLevel="0" collapsed="false"/>
    <row r="106" customFormat="false" ht="13.5" hidden="false" customHeight="true" outlineLevel="0" collapsed="false">
      <c r="A106" s="47" t="s">
        <v>604</v>
      </c>
      <c r="C106" s="71" t="n">
        <f aca="false">C93+C99+C104</f>
        <v>333.333333333333</v>
      </c>
      <c r="D106" s="71" t="n">
        <f aca="false">D93+D99+D104</f>
        <v>333.333333333333</v>
      </c>
      <c r="E106" s="71" t="n">
        <f aca="false">E93+E99+E104</f>
        <v>333.333333333333</v>
      </c>
      <c r="F106" s="71" t="n">
        <f aca="false">F93+F99+F104</f>
        <v>333.333333333333</v>
      </c>
      <c r="G106" s="71" t="n">
        <f aca="false">G93+G99+G104</f>
        <v>333.333333333333</v>
      </c>
      <c r="H106" s="71" t="n">
        <f aca="false">H93+H99+H104</f>
        <v>333.333333333333</v>
      </c>
      <c r="I106" s="71" t="n">
        <f aca="false">I93+I99+I104</f>
        <v>333.333333333333</v>
      </c>
      <c r="J106" s="71" t="n">
        <f aca="false">J93+J99+J104</f>
        <v>333.333333333333</v>
      </c>
      <c r="K106" s="71" t="n">
        <f aca="false">K93+K99+K104</f>
        <v>375.439900315389</v>
      </c>
      <c r="L106" s="71" t="n">
        <f aca="false">L93+L99+L104</f>
        <v>440.884673092289</v>
      </c>
      <c r="M106" s="71" t="n">
        <f aca="false">M93+M99+M104</f>
        <v>485.148360863772</v>
      </c>
      <c r="N106" s="71" t="n">
        <f aca="false">N93+N99+N104</f>
        <v>545.220722726882</v>
      </c>
      <c r="O106" s="71" t="n">
        <f aca="false">O93+O99+O104</f>
        <v>500.749084589993</v>
      </c>
      <c r="P106" s="71" t="n">
        <f aca="false">P93+P99+P104</f>
        <v>508.51733015176</v>
      </c>
      <c r="Q106" s="71" t="n">
        <f aca="false">Q93+Q99+Q104</f>
        <v>562.511975713528</v>
      </c>
      <c r="R106" s="71" t="n">
        <f aca="false">R93+R99+R104</f>
        <v>616.506621275295</v>
      </c>
      <c r="S106" s="71" t="n">
        <f aca="false">S93+S99+S104</f>
        <v>670.501266837063</v>
      </c>
      <c r="T106" s="71" t="n">
        <f aca="false">T93+T99+T104</f>
        <v>724.495912398831</v>
      </c>
      <c r="U106" s="71" t="n">
        <f aca="false">U93+U99+U104</f>
        <v>732.264157960599</v>
      </c>
      <c r="V106" s="71" t="n">
        <f aca="false">V93+V99+V104</f>
        <v>731.874803522366</v>
      </c>
      <c r="W106" s="71" t="n">
        <f aca="false">W93+W99+W104</f>
        <v>785.869449084133</v>
      </c>
      <c r="X106" s="71" t="n">
        <f aca="false">X93+X99+X104</f>
        <v>824.055420554274</v>
      </c>
      <c r="Y106" s="71" t="n">
        <f aca="false">Y93+Y99+Y104</f>
        <v>862.241392024414</v>
      </c>
      <c r="Z106" s="71" t="n">
        <f aca="false">Z93+Z99+Z104</f>
        <v>894.667653857903</v>
      </c>
      <c r="AA106" s="71" t="n">
        <f aca="false">AA93+AA99+AA104</f>
        <v>2548.12395835806</v>
      </c>
      <c r="AB106" s="71" t="n">
        <f aca="false">AB93+AB99+AB104</f>
        <v>2527.38147263599</v>
      </c>
      <c r="AC106" s="71" t="n">
        <f aca="false">AC93+AC99+AC104</f>
        <v>2554.25217891393</v>
      </c>
      <c r="AD106" s="71" t="n">
        <f aca="false">AD93+AD99+AD104</f>
        <v>2581.12288519186</v>
      </c>
      <c r="AE106" s="71" t="n">
        <f aca="false">AE93+AE99+AE104</f>
        <v>2607.99359146979</v>
      </c>
      <c r="AF106" s="71" t="n">
        <f aca="false">AF93+AF99+AF104</f>
        <v>2634.86429774773</v>
      </c>
      <c r="AG106" s="71" t="n">
        <f aca="false">AG93+AG99+AG104</f>
        <v>2661.73500402566</v>
      </c>
      <c r="AH106" s="71" t="n">
        <f aca="false">AH93+AH99+AH104</f>
        <v>2688.6057103036</v>
      </c>
      <c r="AI106" s="71" t="n">
        <f aca="false">AI93+AI99+AI104</f>
        <v>2715.47641658153</v>
      </c>
      <c r="AJ106" s="71" t="n">
        <f aca="false">AJ93+AJ99+AJ104</f>
        <v>2742.34712285946</v>
      </c>
      <c r="AK106" s="71" t="n">
        <f aca="false">AK93+AK99+AK104</f>
        <v>2769.2178291374</v>
      </c>
      <c r="AL106" s="71" t="n">
        <f aca="false">AL93+AL99+AL104</f>
        <v>2796.08853541533</v>
      </c>
      <c r="AM106" s="71" t="n">
        <f aca="false">AM93+AM99+AM104</f>
        <v>2726.67153545326</v>
      </c>
      <c r="AN106" s="71" t="n">
        <f aca="false">AN93+AN99+AN104</f>
        <v>2753.5422417312</v>
      </c>
      <c r="AO106" s="71" t="n">
        <f aca="false">AO93+AO99+AO104</f>
        <v>2780.41294800913</v>
      </c>
      <c r="AP106" s="71" t="n">
        <f aca="false">AP93+AP99+AP104</f>
        <v>2807.28365428706</v>
      </c>
      <c r="AQ106" s="71" t="n">
        <f aca="false">AQ93+AQ99+AQ104</f>
        <v>2834.154360565</v>
      </c>
      <c r="AR106" s="71" t="n">
        <f aca="false">AR93+AR99+AR104</f>
        <v>2861.02506684293</v>
      </c>
      <c r="AS106" s="71" t="n">
        <f aca="false">AS93+AS99+AS104</f>
        <v>2855.46951128738</v>
      </c>
      <c r="AT106" s="71" t="n">
        <f aca="false">AT93+AT99+AT104</f>
        <v>2849.91395573182</v>
      </c>
      <c r="AU106" s="71" t="n">
        <f aca="false">AU93+AU99+AU104</f>
        <v>2844.35840017627</v>
      </c>
      <c r="AV106" s="71" t="n">
        <f aca="false">AV93+AV99+AV104</f>
        <v>2838.80284462071</v>
      </c>
      <c r="AW106" s="71" t="n">
        <f aca="false">AW93+AW99+AW104</f>
        <v>2833.24728906515</v>
      </c>
      <c r="AX106" s="71" t="n">
        <f aca="false">AX93+AX99+AX104</f>
        <v>2827.6917335096</v>
      </c>
      <c r="AY106" s="71" t="n">
        <f aca="false">AY93+AY99+AY104</f>
        <v>2773.18942828684</v>
      </c>
      <c r="AZ106" s="71" t="n">
        <f aca="false">AZ93+AZ99+AZ104</f>
        <v>2767.63387273129</v>
      </c>
      <c r="BA106" s="71" t="n">
        <f aca="false">BA93+BA99+BA104</f>
        <v>2762.07831717573</v>
      </c>
      <c r="BB106" s="71" t="n">
        <f aca="false">BB93+BB99+BB104</f>
        <v>2756.52276162018</v>
      </c>
      <c r="BC106" s="71" t="n">
        <f aca="false">BC93+BC99+BC104</f>
        <v>2750.96720606462</v>
      </c>
      <c r="BD106" s="71" t="n">
        <f aca="false">BD93+BD99+BD104</f>
        <v>2745.41165050907</v>
      </c>
      <c r="BE106" s="71" t="n">
        <f aca="false">BE93+BE99+BE104</f>
        <v>2739.85609495351</v>
      </c>
      <c r="BF106" s="71" t="n">
        <f aca="false">BF93+BF99+BF104</f>
        <v>2734.30053939795</v>
      </c>
      <c r="BG106" s="71" t="n">
        <f aca="false">BG93+BG99+BG104</f>
        <v>2728.7449838424</v>
      </c>
      <c r="BH106" s="71" t="n">
        <f aca="false">BH93+BH99+BH104</f>
        <v>2723.18942828684</v>
      </c>
      <c r="BI106" s="71" t="n">
        <f aca="false">BI93+BI99+BI104</f>
        <v>2717.63387273129</v>
      </c>
      <c r="BJ106" s="71" t="n">
        <f aca="false">BJ93+BJ99+BJ104</f>
        <v>2712.07831717573</v>
      </c>
      <c r="BK106" s="71" t="n">
        <f aca="false">BK93+BK99+BK104</f>
        <v>2657.29560946296</v>
      </c>
      <c r="BL106" s="71" t="n">
        <f aca="false">BL93+BL99+BL104</f>
        <v>2651.74005390741</v>
      </c>
      <c r="BM106" s="71" t="n">
        <f aca="false">BM93+BM99+BM104</f>
        <v>2646.18449835185</v>
      </c>
      <c r="BN106" s="71" t="n">
        <f aca="false">BN93+BN99+BN104</f>
        <v>2640.62894279629</v>
      </c>
      <c r="BO106" s="71" t="n">
        <f aca="false">BO93+BO99+BO104</f>
        <v>2635.07338724074</v>
      </c>
      <c r="BP106" s="71" t="n">
        <f aca="false">BP93+BP99+BP104</f>
        <v>2629.51783168518</v>
      </c>
      <c r="BQ106" s="71" t="n">
        <f aca="false">BQ93+BQ99+BQ104</f>
        <v>2623.96227612963</v>
      </c>
      <c r="BR106" s="71" t="n">
        <f aca="false">BR93+BR99+BR104</f>
        <v>2618.40672057407</v>
      </c>
      <c r="BS106" s="71" t="n">
        <f aca="false">BS93+BS99+BS104</f>
        <v>2612.85116501852</v>
      </c>
      <c r="BT106" s="71" t="n">
        <f aca="false">BT93+BT99+BT104</f>
        <v>2607.29560946296</v>
      </c>
      <c r="BU106" s="71" t="n">
        <f aca="false">BU93+BU99+BU104</f>
        <v>2601.74005390741</v>
      </c>
      <c r="BV106" s="71" t="n">
        <f aca="false">BV93+BV99+BV104</f>
        <v>2596.18449835185</v>
      </c>
      <c r="BW106" s="71" t="n">
        <f aca="false">BW93+BW99+BW104</f>
        <v>2541.11297607436</v>
      </c>
      <c r="BX106" s="71" t="n">
        <f aca="false">BX93+BX99+BX104</f>
        <v>2535.55742051881</v>
      </c>
      <c r="BY106" s="71" t="n">
        <f aca="false">BY93+BY99+BY104</f>
        <v>2530.00186496325</v>
      </c>
      <c r="BZ106" s="71" t="n">
        <f aca="false">BZ93+BZ99+BZ104</f>
        <v>2524.44630940769</v>
      </c>
      <c r="CA106" s="71" t="n">
        <f aca="false">CA93+CA99+CA104</f>
        <v>2518.89075385214</v>
      </c>
      <c r="CB106" s="71" t="n">
        <f aca="false">CB93+CB99+CB104</f>
        <v>2513.33519829658</v>
      </c>
      <c r="CC106" s="71" t="n">
        <f aca="false">CC93+CC99+CC104</f>
        <v>2507.77964274103</v>
      </c>
      <c r="CD106" s="71" t="n">
        <f aca="false">CD93+CD99+CD104</f>
        <v>2502.22408718547</v>
      </c>
      <c r="CE106" s="71" t="n">
        <f aca="false">CE93+CE99+CE104</f>
        <v>2496.66853162992</v>
      </c>
      <c r="CF106" s="71" t="n">
        <f aca="false">CF93+CF99+CF104</f>
        <v>2491.11297607436</v>
      </c>
      <c r="CG106" s="71" t="n">
        <f aca="false">CG93+CG99+CG104</f>
        <v>2485.55742051881</v>
      </c>
      <c r="CH106" s="71" t="n">
        <f aca="false">CH93+CH99+CH104</f>
        <v>2480.00186496319</v>
      </c>
    </row>
    <row r="107" customFormat="false" ht="13.5" hidden="false" customHeight="true" outlineLevel="0" collapsed="false">
      <c r="A107" s="6" t="s">
        <v>605</v>
      </c>
      <c r="C107" s="109" t="n">
        <f aca="false">C106</f>
        <v>333.333333333333</v>
      </c>
      <c r="D107" s="109" t="n">
        <f aca="false">C107+D106</f>
        <v>666.666666666667</v>
      </c>
      <c r="E107" s="109" t="n">
        <f aca="false">D107+E106</f>
        <v>1000</v>
      </c>
      <c r="F107" s="109" t="n">
        <f aca="false">E107+F106</f>
        <v>1333.33333333333</v>
      </c>
      <c r="G107" s="109" t="n">
        <f aca="false">F107+G106</f>
        <v>1666.66666666667</v>
      </c>
      <c r="H107" s="109" t="n">
        <f aca="false">G107+H106</f>
        <v>2000</v>
      </c>
      <c r="I107" s="109" t="n">
        <f aca="false">H107+I106</f>
        <v>2333.33333333333</v>
      </c>
      <c r="J107" s="109" t="n">
        <f aca="false">I107+J106</f>
        <v>2666.66666666667</v>
      </c>
      <c r="K107" s="109" t="n">
        <f aca="false">J107+K106</f>
        <v>3042.10656698206</v>
      </c>
      <c r="L107" s="109" t="n">
        <f aca="false">K107+L106</f>
        <v>3482.99124007434</v>
      </c>
      <c r="M107" s="109" t="n">
        <f aca="false">L107+M106</f>
        <v>3968.13960093812</v>
      </c>
      <c r="N107" s="109" t="n">
        <f aca="false">M107+N106</f>
        <v>4513.360323665</v>
      </c>
      <c r="O107" s="109" t="n">
        <f aca="false">N107+O106</f>
        <v>5014.10940825499</v>
      </c>
      <c r="P107" s="109" t="n">
        <f aca="false">O107+P106</f>
        <v>5522.62673840675</v>
      </c>
      <c r="Q107" s="109" t="n">
        <f aca="false">P107+Q106</f>
        <v>6085.13871412028</v>
      </c>
      <c r="R107" s="109" t="n">
        <f aca="false">Q107+R106</f>
        <v>6701.64533539558</v>
      </c>
      <c r="S107" s="109" t="n">
        <f aca="false">R107+S106</f>
        <v>7372.14660223264</v>
      </c>
      <c r="T107" s="109" t="n">
        <f aca="false">S107+T106</f>
        <v>8096.64251463147</v>
      </c>
      <c r="U107" s="109" t="n">
        <f aca="false">T107+U106</f>
        <v>8828.90667259207</v>
      </c>
      <c r="V107" s="109" t="n">
        <f aca="false">U107+V106</f>
        <v>9560.78147611443</v>
      </c>
      <c r="W107" s="109" t="n">
        <f aca="false">V107+W106</f>
        <v>10346.6509251986</v>
      </c>
      <c r="X107" s="109" t="n">
        <f aca="false">W107+X106</f>
        <v>11170.7063457528</v>
      </c>
      <c r="Y107" s="109" t="n">
        <f aca="false">X107+Y106</f>
        <v>12032.9477377773</v>
      </c>
      <c r="Z107" s="109" t="n">
        <f aca="false">Y107+Z106</f>
        <v>12927.6153916352</v>
      </c>
      <c r="AA107" s="109" t="n">
        <f aca="false">Z107+AA106</f>
        <v>15475.7393499932</v>
      </c>
      <c r="AB107" s="109" t="n">
        <f aca="false">AA107+AB106</f>
        <v>18003.1208226292</v>
      </c>
      <c r="AC107" s="109" t="n">
        <f aca="false">AB107+AC106</f>
        <v>20557.3730015431</v>
      </c>
      <c r="AD107" s="109" t="n">
        <f aca="false">AC107+AD106</f>
        <v>23138.495886735</v>
      </c>
      <c r="AE107" s="109" t="n">
        <f aca="false">AD107+AE106</f>
        <v>25746.4894782048</v>
      </c>
      <c r="AF107" s="109" t="n">
        <f aca="false">AE107+AF106</f>
        <v>28381.3537759525</v>
      </c>
      <c r="AG107" s="109" t="n">
        <f aca="false">AF107+AG106</f>
        <v>31043.0887799782</v>
      </c>
      <c r="AH107" s="109" t="n">
        <f aca="false">AG107+AH106</f>
        <v>33731.6944902818</v>
      </c>
      <c r="AI107" s="109" t="n">
        <f aca="false">AH107+AI106</f>
        <v>36447.1709068633</v>
      </c>
      <c r="AJ107" s="109" t="n">
        <f aca="false">AI107+AJ106</f>
        <v>39189.5180297228</v>
      </c>
      <c r="AK107" s="109" t="n">
        <f aca="false">AJ107+AK106</f>
        <v>41958.7358588602</v>
      </c>
      <c r="AL107" s="109" t="n">
        <f aca="false">AK107+AL106</f>
        <v>44754.8243942755</v>
      </c>
      <c r="AM107" s="109" t="n">
        <f aca="false">AL107+AM106</f>
        <v>47481.4959297288</v>
      </c>
      <c r="AN107" s="109" t="n">
        <f aca="false">AM107+AN106</f>
        <v>50235.03817146</v>
      </c>
      <c r="AO107" s="109" t="n">
        <f aca="false">AN107+AO106</f>
        <v>53015.4511194691</v>
      </c>
      <c r="AP107" s="109" t="n">
        <f aca="false">AO107+AP106</f>
        <v>55822.7347737561</v>
      </c>
      <c r="AQ107" s="109" t="n">
        <f aca="false">AP107+AQ106</f>
        <v>58656.8891343211</v>
      </c>
      <c r="AR107" s="109" t="n">
        <f aca="false">AQ107+AR106</f>
        <v>61517.9142011641</v>
      </c>
      <c r="AS107" s="109" t="n">
        <f aca="false">AR107+AS106</f>
        <v>64373.3837124515</v>
      </c>
      <c r="AT107" s="109" t="n">
        <f aca="false">AS107+AT106</f>
        <v>67223.2976681833</v>
      </c>
      <c r="AU107" s="109" t="n">
        <f aca="false">AT107+AU106</f>
        <v>70067.6560683595</v>
      </c>
      <c r="AV107" s="109" t="n">
        <f aca="false">AU107+AV106</f>
        <v>72906.4589129803</v>
      </c>
      <c r="AW107" s="109" t="n">
        <f aca="false">AV107+AW106</f>
        <v>75739.7062020454</v>
      </c>
      <c r="AX107" s="109" t="n">
        <f aca="false">AW107+AX106</f>
        <v>78567.397935555</v>
      </c>
      <c r="AY107" s="109" t="n">
        <f aca="false">AX107+AY106</f>
        <v>81340.5873638418</v>
      </c>
      <c r="AZ107" s="109" t="n">
        <f aca="false">AY107+AZ106</f>
        <v>84108.2212365731</v>
      </c>
      <c r="BA107" s="109" t="n">
        <f aca="false">AZ107+BA106</f>
        <v>86870.2995537489</v>
      </c>
      <c r="BB107" s="109" t="n">
        <f aca="false">BA107+BB106</f>
        <v>89626.822315369</v>
      </c>
      <c r="BC107" s="109" t="n">
        <f aca="false">BB107+BC106</f>
        <v>92377.7895214337</v>
      </c>
      <c r="BD107" s="109" t="n">
        <f aca="false">BC107+BD106</f>
        <v>95123.2011719427</v>
      </c>
      <c r="BE107" s="109" t="n">
        <f aca="false">BD107+BE106</f>
        <v>97863.0572668962</v>
      </c>
      <c r="BF107" s="109" t="n">
        <f aca="false">BE107+BF106</f>
        <v>100597.357806294</v>
      </c>
      <c r="BG107" s="109" t="n">
        <f aca="false">BF107+BG106</f>
        <v>103326.102790137</v>
      </c>
      <c r="BH107" s="109" t="n">
        <f aca="false">BG107+BH106</f>
        <v>106049.292218423</v>
      </c>
      <c r="BI107" s="109" t="n">
        <f aca="false">BH107+BI106</f>
        <v>108766.926091155</v>
      </c>
      <c r="BJ107" s="109" t="n">
        <f aca="false">BI107+BJ106</f>
        <v>111479.00440833</v>
      </c>
      <c r="BK107" s="109" t="n">
        <f aca="false">BJ107+BK106</f>
        <v>114136.300017793</v>
      </c>
      <c r="BL107" s="109" t="n">
        <f aca="false">BK107+BL106</f>
        <v>116788.040071701</v>
      </c>
      <c r="BM107" s="109" t="n">
        <f aca="false">BL107+BM106</f>
        <v>119434.224570053</v>
      </c>
      <c r="BN107" s="109" t="n">
        <f aca="false">BM107+BN106</f>
        <v>122074.853512849</v>
      </c>
      <c r="BO107" s="109" t="n">
        <f aca="false">BN107+BO106</f>
        <v>124709.92690009</v>
      </c>
      <c r="BP107" s="109" t="n">
        <f aca="false">BO107+BP106</f>
        <v>127339.444731775</v>
      </c>
      <c r="BQ107" s="109" t="n">
        <f aca="false">BP107+BQ106</f>
        <v>129963.407007905</v>
      </c>
      <c r="BR107" s="109" t="n">
        <f aca="false">BQ107+BR106</f>
        <v>132581.813728479</v>
      </c>
      <c r="BS107" s="109" t="n">
        <f aca="false">BR107+BS106</f>
        <v>135194.664893497</v>
      </c>
      <c r="BT107" s="109" t="n">
        <f aca="false">BS107+BT106</f>
        <v>137801.96050296</v>
      </c>
      <c r="BU107" s="109" t="n">
        <f aca="false">BT107+BU106</f>
        <v>140403.700556867</v>
      </c>
      <c r="BV107" s="109" t="n">
        <f aca="false">BU107+BV106</f>
        <v>142999.885055219</v>
      </c>
      <c r="BW107" s="109" t="n">
        <f aca="false">BV107+BW106</f>
        <v>145540.998031294</v>
      </c>
      <c r="BX107" s="109" t="n">
        <f aca="false">BW107+BX106</f>
        <v>148076.555451812</v>
      </c>
      <c r="BY107" s="109" t="n">
        <f aca="false">BX107+BY106</f>
        <v>150606.557316776</v>
      </c>
      <c r="BZ107" s="109" t="n">
        <f aca="false">BY107+BZ106</f>
        <v>153131.003626183</v>
      </c>
      <c r="CA107" s="109" t="n">
        <f aca="false">BZ107+CA106</f>
        <v>155649.894380036</v>
      </c>
      <c r="CB107" s="109" t="n">
        <f aca="false">CA107+CB106</f>
        <v>158163.229578332</v>
      </c>
      <c r="CC107" s="109" t="n">
        <f aca="false">CB107+CC106</f>
        <v>160671.009221073</v>
      </c>
      <c r="CD107" s="109" t="n">
        <f aca="false">CC107+CD106</f>
        <v>163173.233308259</v>
      </c>
      <c r="CE107" s="109" t="n">
        <f aca="false">CD107+CE106</f>
        <v>165669.901839889</v>
      </c>
      <c r="CF107" s="109" t="n">
        <f aca="false">CE107+CF106</f>
        <v>168161.014815963</v>
      </c>
      <c r="CG107" s="109" t="n">
        <f aca="false">CF107+CG106</f>
        <v>170646.572236482</v>
      </c>
      <c r="CH107" s="109" t="n">
        <f aca="false">CG107+CH106</f>
        <v>173126.574101445</v>
      </c>
    </row>
    <row r="108" customFormat="false" ht="13.5" hidden="false" customHeight="true" outlineLevel="0" collapsed="false"/>
    <row r="109" customFormat="false" ht="12.75" hidden="false" customHeight="true" outlineLevel="0" collapsed="false">
      <c r="A109" s="9" t="s">
        <v>606</v>
      </c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  <c r="BP109" s="9"/>
      <c r="BQ109" s="9"/>
      <c r="BR109" s="9"/>
      <c r="BS109" s="9"/>
      <c r="BT109" s="9"/>
      <c r="BU109" s="9"/>
      <c r="BV109" s="9"/>
      <c r="BW109" s="9"/>
      <c r="BX109" s="9"/>
      <c r="BY109" s="9"/>
      <c r="BZ109" s="9"/>
      <c r="CA109" s="9"/>
      <c r="CB109" s="9"/>
      <c r="CC109" s="9"/>
      <c r="CD109" s="9"/>
      <c r="CE109" s="9"/>
      <c r="CF109" s="9"/>
      <c r="CG109" s="9"/>
      <c r="CH109" s="9"/>
    </row>
    <row r="110" customFormat="false" ht="13.5" hidden="false" customHeight="true" outlineLevel="0" collapsed="false">
      <c r="A110" s="6" t="s">
        <v>607</v>
      </c>
      <c r="C110" s="109" t="n">
        <f aca="false">C63</f>
        <v>-16195.1077466394</v>
      </c>
      <c r="D110" s="109" t="n">
        <f aca="false">C113+D63</f>
        <v>-31357.0971421672</v>
      </c>
      <c r="E110" s="109" t="n">
        <f aca="false">D113+E63</f>
        <v>-44431.6871777188</v>
      </c>
      <c r="F110" s="109" t="n">
        <f aca="false">E113+F63</f>
        <v>-56383.7462971309</v>
      </c>
      <c r="G110" s="109" t="n">
        <f aca="false">F113+G63</f>
        <v>-67281.5244076784</v>
      </c>
      <c r="H110" s="109" t="n">
        <f aca="false">G113+H63</f>
        <v>-76536.0570999617</v>
      </c>
      <c r="I110" s="109" t="n">
        <f aca="false">H113+I63</f>
        <v>-82533.410379297</v>
      </c>
      <c r="J110" s="109" t="n">
        <f aca="false">I113+J63</f>
        <v>-85273.5842456843</v>
      </c>
      <c r="K110" s="109" t="n">
        <f aca="false">J113+K63</f>
        <v>-84869.9201130425</v>
      </c>
      <c r="L110" s="109" t="n">
        <f aca="false">K113+L63</f>
        <v>-81765.0538747032</v>
      </c>
      <c r="M110" s="109" t="n">
        <f aca="false">L113+M63</f>
        <v>-76825.7832324783</v>
      </c>
      <c r="N110" s="109" t="n">
        <f aca="false">M113+N63</f>
        <v>-69384.9861082167</v>
      </c>
      <c r="O110" s="109" t="n">
        <f aca="false">N113+O63</f>
        <v>-63807.9627467515</v>
      </c>
      <c r="P110" s="109" t="n">
        <f aca="false">O113+P63</f>
        <v>-57918.2914264558</v>
      </c>
      <c r="Q110" s="109" t="n">
        <f aca="false">P113+Q63</f>
        <v>-49790.6425873296</v>
      </c>
      <c r="R110" s="109" t="n">
        <f aca="false">Q113+R63</f>
        <v>-39425.016229373</v>
      </c>
      <c r="S110" s="109" t="n">
        <f aca="false">R113+S63</f>
        <v>-26821.4123525858</v>
      </c>
      <c r="T110" s="109" t="n">
        <f aca="false">S113+T63</f>
        <v>-11979.8309569682</v>
      </c>
      <c r="U110" s="109" t="n">
        <f aca="false">T113+U63</f>
        <v>3174.39839747998</v>
      </c>
      <c r="V110" s="109" t="n">
        <f aca="false">U113+V63</f>
        <v>18301.5116707586</v>
      </c>
      <c r="W110" s="109" t="n">
        <f aca="false">V113+W63</f>
        <v>35666.6024628677</v>
      </c>
      <c r="X110" s="109" t="n">
        <f aca="false">W113+X63</f>
        <v>54614.608844766</v>
      </c>
      <c r="Y110" s="109" t="n">
        <f aca="false">X113+Y63</f>
        <v>75145.5308164536</v>
      </c>
      <c r="Z110" s="109" t="n">
        <f aca="false">Y113+Z63</f>
        <v>97020.7343610638</v>
      </c>
      <c r="AA110" s="109" t="n">
        <f aca="false">Z113+AA63</f>
        <v>118339.454088997</v>
      </c>
      <c r="AB110" s="109" t="n">
        <f aca="false">AA113+AB63</f>
        <v>139024.088165275</v>
      </c>
      <c r="AC110" s="109" t="n">
        <f aca="false">AB113+AC63</f>
        <v>161057.726036697</v>
      </c>
      <c r="AD110" s="109" t="n">
        <f aca="false">AC113+AD63</f>
        <v>184440.367703265</v>
      </c>
      <c r="AE110" s="109" t="n">
        <f aca="false">AD113+AE63</f>
        <v>209172.013164978</v>
      </c>
      <c r="AF110" s="109" t="n">
        <f aca="false">AE113+AF63</f>
        <v>235252.662421835</v>
      </c>
      <c r="AG110" s="109" t="n">
        <f aca="false">AF113+AG63</f>
        <v>262682.315473838</v>
      </c>
      <c r="AH110" s="109" t="n">
        <f aca="false">AG113+AH63</f>
        <v>291460.972320985</v>
      </c>
      <c r="AI110" s="109" t="n">
        <f aca="false">AH113+AI63</f>
        <v>321588.632963278</v>
      </c>
      <c r="AJ110" s="109" t="n">
        <f aca="false">AI113+AJ63</f>
        <v>353065.297400715</v>
      </c>
      <c r="AK110" s="109" t="n">
        <f aca="false">AJ113+AK63</f>
        <v>385890.965633297</v>
      </c>
      <c r="AL110" s="109" t="n">
        <f aca="false">AK113+AL63</f>
        <v>420065.637661024</v>
      </c>
      <c r="AM110" s="109" t="n">
        <f aca="false">AL113+AM63</f>
        <v>447871.484300415</v>
      </c>
      <c r="AN110" s="109" t="n">
        <f aca="false">AM113+AN63</f>
        <v>476867.628406109</v>
      </c>
      <c r="AO110" s="109" t="n">
        <f aca="false">AN113+AO63</f>
        <v>507054.069978109</v>
      </c>
      <c r="AP110" s="109" t="n">
        <f aca="false">AO113+AP63</f>
        <v>538430.809016412</v>
      </c>
      <c r="AQ110" s="109" t="n">
        <f aca="false">AP113+AQ63</f>
        <v>570997.84552102</v>
      </c>
      <c r="AR110" s="109" t="n">
        <f aca="false">AQ113+AR63</f>
        <v>604755.179491933</v>
      </c>
      <c r="AS110" s="109" t="n">
        <f aca="false">AR113+AS63</f>
        <v>638516.680129512</v>
      </c>
      <c r="AT110" s="109" t="n">
        <f aca="false">AS113+AT63</f>
        <v>672282.347433757</v>
      </c>
      <c r="AU110" s="109" t="n">
        <f aca="false">AT113+AU63</f>
        <v>706052.181404669</v>
      </c>
      <c r="AV110" s="109" t="n">
        <f aca="false">AU113+AV63</f>
        <v>739826.182042248</v>
      </c>
      <c r="AW110" s="109" t="n">
        <f aca="false">AV113+AW63</f>
        <v>773604.349346494</v>
      </c>
      <c r="AX110" s="109" t="n">
        <f aca="false">AW113+AX63</f>
        <v>807386.683317406</v>
      </c>
      <c r="AY110" s="109" t="n">
        <f aca="false">AX113+AY63</f>
        <v>839374.390904716</v>
      </c>
      <c r="AZ110" s="109" t="n">
        <f aca="false">AY113+AZ63</f>
        <v>871366.265158692</v>
      </c>
      <c r="BA110" s="109" t="n">
        <f aca="false">AZ113+BA63</f>
        <v>903362.306079334</v>
      </c>
      <c r="BB110" s="109" t="n">
        <f aca="false">BA113+BB63</f>
        <v>935362.513666644</v>
      </c>
      <c r="BC110" s="109" t="n">
        <f aca="false">BB113+BC63</f>
        <v>967366.88792062</v>
      </c>
      <c r="BD110" s="109" t="n">
        <f aca="false">BC113+BD63</f>
        <v>999375.428841262</v>
      </c>
      <c r="BE110" s="109" t="n">
        <f aca="false">BD113+BE63</f>
        <v>1031388.13642857</v>
      </c>
      <c r="BF110" s="109" t="n">
        <f aca="false">BE113+BF63</f>
        <v>1063405.01068255</v>
      </c>
      <c r="BG110" s="109" t="n">
        <f aca="false">BF113+BG63</f>
        <v>1095426.05160319</v>
      </c>
      <c r="BH110" s="109" t="n">
        <f aca="false">BG113+BH63</f>
        <v>1127451.2591905</v>
      </c>
      <c r="BI110" s="109" t="n">
        <f aca="false">BH113+BI63</f>
        <v>1159480.63344448</v>
      </c>
      <c r="BJ110" s="109" t="n">
        <f aca="false">BI113+BJ63</f>
        <v>1191514.17436512</v>
      </c>
      <c r="BK110" s="109" t="n">
        <f aca="false">BJ113+BK63</f>
        <v>1221742.78411065</v>
      </c>
      <c r="BL110" s="109" t="n">
        <f aca="false">BK113+BL63</f>
        <v>1251975.56052285</v>
      </c>
      <c r="BM110" s="109" t="n">
        <f aca="false">BL113+BM63</f>
        <v>1282212.50360171</v>
      </c>
      <c r="BN110" s="109" t="n">
        <f aca="false">BM113+BN63</f>
        <v>1312453.61334724</v>
      </c>
      <c r="BO110" s="109" t="n">
        <f aca="false">BN113+BO63</f>
        <v>1342698.88975944</v>
      </c>
      <c r="BP110" s="109" t="n">
        <f aca="false">BO113+BP63</f>
        <v>1372948.33283831</v>
      </c>
      <c r="BQ110" s="109" t="n">
        <f aca="false">BP113+BQ63</f>
        <v>1403201.94258384</v>
      </c>
      <c r="BR110" s="109" t="n">
        <f aca="false">BQ113+BR63</f>
        <v>1433459.71899604</v>
      </c>
      <c r="BS110" s="109" t="n">
        <f aca="false">BR113+BS63</f>
        <v>1463721.6620749</v>
      </c>
      <c r="BT110" s="109" t="n">
        <f aca="false">BS113+BT63</f>
        <v>1493987.77182043</v>
      </c>
      <c r="BU110" s="109" t="n">
        <f aca="false">BT113+BU63</f>
        <v>1524258.04823263</v>
      </c>
      <c r="BV110" s="109" t="n">
        <f aca="false">BU113+BV63</f>
        <v>1554532.4913115</v>
      </c>
      <c r="BW110" s="109" t="n">
        <f aca="false">BV113+BW63</f>
        <v>1582991.38928</v>
      </c>
      <c r="BX110" s="109" t="n">
        <f aca="false">BW113+BX63</f>
        <v>1611454.45391517</v>
      </c>
      <c r="BY110" s="109" t="n">
        <f aca="false">BX113+BY63</f>
        <v>1639921.685217</v>
      </c>
      <c r="BZ110" s="109" t="n">
        <f aca="false">BY113+BZ63</f>
        <v>1668393.0831855</v>
      </c>
      <c r="CA110" s="109" t="n">
        <f aca="false">BZ113+CA63</f>
        <v>1696868.64782067</v>
      </c>
      <c r="CB110" s="109" t="n">
        <f aca="false">CA113+CB63</f>
        <v>1725348.3791225</v>
      </c>
      <c r="CC110" s="109" t="n">
        <f aca="false">CB113+CC63</f>
        <v>1753832.277091</v>
      </c>
      <c r="CD110" s="109" t="n">
        <f aca="false">CC113+CD63</f>
        <v>1782320.34172617</v>
      </c>
      <c r="CE110" s="109" t="n">
        <f aca="false">CD113+CE63</f>
        <v>1810812.573028</v>
      </c>
      <c r="CF110" s="109" t="n">
        <f aca="false">CE113+CF63</f>
        <v>1839308.9709965</v>
      </c>
      <c r="CG110" s="109" t="n">
        <f aca="false">CF113+CG63</f>
        <v>1867809.53563167</v>
      </c>
      <c r="CH110" s="109" t="n">
        <f aca="false">CG113+CH63</f>
        <v>1896314.26693351</v>
      </c>
    </row>
    <row r="111" customFormat="false" ht="13.5" hidden="false" customHeight="true" outlineLevel="0" collapsed="false">
      <c r="A111" s="6" t="s">
        <v>608</v>
      </c>
      <c r="C111" s="109" t="n">
        <f aca="false">MIN(0.2*Hipótesis!$D$81,MAX(0,C110)*0.1)</f>
        <v>0</v>
      </c>
      <c r="D111" s="109" t="n">
        <f aca="false">MIN(0.2*Hipótesis!$D$81,MAX(0,D110)*0.1)</f>
        <v>0</v>
      </c>
      <c r="E111" s="109" t="n">
        <f aca="false">MIN(0.2*Hipótesis!$D$81,MAX(0,E110)*0.1)</f>
        <v>0</v>
      </c>
      <c r="F111" s="109" t="n">
        <f aca="false">MIN(0.2*Hipótesis!$D$81,MAX(0,F110)*0.1)</f>
        <v>0</v>
      </c>
      <c r="G111" s="109" t="n">
        <f aca="false">MIN(0.2*Hipótesis!$D$81,MAX(0,G110)*0.1)</f>
        <v>0</v>
      </c>
      <c r="H111" s="109" t="n">
        <f aca="false">MIN(0.2*Hipótesis!$D$81,MAX(0,H110)*0.1)</f>
        <v>0</v>
      </c>
      <c r="I111" s="109" t="n">
        <f aca="false">MIN(0.2*Hipótesis!$D$81,MAX(0,I110)*0.1)</f>
        <v>0</v>
      </c>
      <c r="J111" s="109" t="n">
        <f aca="false">MIN(0.2*Hipótesis!$D$81,MAX(0,J110)*0.1)</f>
        <v>0</v>
      </c>
      <c r="K111" s="109" t="n">
        <f aca="false">MIN(0.2*Hipótesis!$D$81,MAX(0,K110)*0.1)</f>
        <v>0</v>
      </c>
      <c r="L111" s="109" t="n">
        <f aca="false">MIN(0.2*Hipótesis!$D$81,MAX(0,L110)*0.1)</f>
        <v>0</v>
      </c>
      <c r="M111" s="109" t="n">
        <f aca="false">MIN(0.2*Hipótesis!$D$81,MAX(0,M110)*0.1)</f>
        <v>0</v>
      </c>
      <c r="N111" s="109" t="n">
        <f aca="false">MIN(0.2*Hipótesis!$D$81,MAX(0,N110)*0.1)</f>
        <v>0</v>
      </c>
      <c r="O111" s="109" t="n">
        <f aca="false">MIN(0.2*Hipótesis!$D$81,MAX(0,O110)*0.1)</f>
        <v>0</v>
      </c>
      <c r="P111" s="109" t="n">
        <f aca="false">MIN(0.2*Hipótesis!$D$81,MAX(0,P110)*0.1)</f>
        <v>0</v>
      </c>
      <c r="Q111" s="109" t="n">
        <f aca="false">MIN(0.2*Hipótesis!$D$81,MAX(0,Q110)*0.1)</f>
        <v>0</v>
      </c>
      <c r="R111" s="109" t="n">
        <f aca="false">MIN(0.2*Hipótesis!$D$81,MAX(0,R110)*0.1)</f>
        <v>0</v>
      </c>
      <c r="S111" s="109" t="n">
        <f aca="false">MIN(0.2*Hipótesis!$D$81,MAX(0,S110)*0.1)</f>
        <v>0</v>
      </c>
      <c r="T111" s="109" t="n">
        <f aca="false">MIN(0.2*Hipótesis!$D$81,MAX(0,T110)*0.1)</f>
        <v>0</v>
      </c>
      <c r="U111" s="109" t="n">
        <f aca="false">MIN(0.2*Hipótesis!$D$81,MAX(0,U110)*0.1)</f>
        <v>317.439839747998</v>
      </c>
      <c r="V111" s="109" t="n">
        <f aca="false">MIN(0.2*Hipótesis!$D$81,MAX(0,V110)*0.1)</f>
        <v>1830.15116707586</v>
      </c>
      <c r="W111" s="109" t="n">
        <f aca="false">MIN(0.2*Hipótesis!$D$81,MAX(0,W110)*0.1)</f>
        <v>3566.66024628677</v>
      </c>
      <c r="X111" s="109" t="n">
        <f aca="false">MIN(0.2*Hipótesis!$D$81,MAX(0,X110)*0.1)</f>
        <v>5461.4608844766</v>
      </c>
      <c r="Y111" s="109" t="n">
        <f aca="false">MIN(0.2*Hipótesis!$D$81,MAX(0,Y110)*0.1)</f>
        <v>7514.55308164536</v>
      </c>
      <c r="Z111" s="109" t="n">
        <f aca="false">MIN(0.2*Hipótesis!$D$81,MAX(0,Z110)*0.1)</f>
        <v>9702.07343610638</v>
      </c>
      <c r="AA111" s="109" t="n">
        <f aca="false">MIN(0.2*Hipótesis!$D$81,MAX(0,AA110)*0.1)</f>
        <v>11833.9454088997</v>
      </c>
      <c r="AB111" s="109" t="n">
        <f aca="false">MIN(0.2*Hipótesis!$D$81,MAX(0,AB110)*0.1)</f>
        <v>13902.4088165275</v>
      </c>
      <c r="AC111" s="109" t="n">
        <f aca="false">MIN(0.2*Hipótesis!$D$81,MAX(0,AC110)*0.1)</f>
        <v>16105.7726036697</v>
      </c>
      <c r="AD111" s="109" t="n">
        <f aca="false">MIN(0.2*Hipótesis!$D$81,MAX(0,AD110)*0.1)</f>
        <v>18444.0367703265</v>
      </c>
      <c r="AE111" s="109" t="n">
        <f aca="false">MIN(0.2*Hipótesis!$D$81,MAX(0,AE110)*0.1)</f>
        <v>20006</v>
      </c>
      <c r="AF111" s="109" t="n">
        <f aca="false">MIN(0.2*Hipótesis!$D$81,MAX(0,AF110)*0.1)</f>
        <v>20006</v>
      </c>
      <c r="AG111" s="109" t="n">
        <f aca="false">MIN(0.2*Hipótesis!$D$81,MAX(0,AG110)*0.1)</f>
        <v>20006</v>
      </c>
      <c r="AH111" s="109" t="n">
        <f aca="false">MIN(0.2*Hipótesis!$D$81,MAX(0,AH110)*0.1)</f>
        <v>20006</v>
      </c>
      <c r="AI111" s="109" t="n">
        <f aca="false">MIN(0.2*Hipótesis!$D$81,MAX(0,AI110)*0.1)</f>
        <v>20006</v>
      </c>
      <c r="AJ111" s="109" t="n">
        <f aca="false">MIN(0.2*Hipótesis!$D$81,MAX(0,AJ110)*0.1)</f>
        <v>20006</v>
      </c>
      <c r="AK111" s="109" t="n">
        <f aca="false">MIN(0.2*Hipótesis!$D$81,MAX(0,AK110)*0.1)</f>
        <v>20006</v>
      </c>
      <c r="AL111" s="109" t="n">
        <f aca="false">MIN(0.2*Hipótesis!$D$81,MAX(0,AL110)*0.1)</f>
        <v>20006</v>
      </c>
      <c r="AM111" s="109" t="n">
        <f aca="false">MIN(0.2*Hipótesis!$D$81,MAX(0,AM110)*0.1)</f>
        <v>20006</v>
      </c>
      <c r="AN111" s="109" t="n">
        <f aca="false">MIN(0.2*Hipótesis!$D$81,MAX(0,AN110)*0.1)</f>
        <v>20006</v>
      </c>
      <c r="AO111" s="109" t="n">
        <f aca="false">MIN(0.2*Hipótesis!$D$81,MAX(0,AO110)*0.1)</f>
        <v>20006</v>
      </c>
      <c r="AP111" s="109" t="n">
        <f aca="false">MIN(0.2*Hipótesis!$D$81,MAX(0,AP110)*0.1)</f>
        <v>20006</v>
      </c>
      <c r="AQ111" s="109" t="n">
        <f aca="false">MIN(0.2*Hipótesis!$D$81,MAX(0,AQ110)*0.1)</f>
        <v>20006</v>
      </c>
      <c r="AR111" s="109" t="n">
        <f aca="false">MIN(0.2*Hipótesis!$D$81,MAX(0,AR110)*0.1)</f>
        <v>20006</v>
      </c>
      <c r="AS111" s="109" t="n">
        <f aca="false">MIN(0.2*Hipótesis!$D$81,MAX(0,AS110)*0.1)</f>
        <v>20006</v>
      </c>
      <c r="AT111" s="109" t="n">
        <f aca="false">MIN(0.2*Hipótesis!$D$81,MAX(0,AT110)*0.1)</f>
        <v>20006</v>
      </c>
      <c r="AU111" s="109" t="n">
        <f aca="false">MIN(0.2*Hipótesis!$D$81,MAX(0,AU110)*0.1)</f>
        <v>20006</v>
      </c>
      <c r="AV111" s="109" t="n">
        <f aca="false">MIN(0.2*Hipótesis!$D$81,MAX(0,AV110)*0.1)</f>
        <v>20006</v>
      </c>
      <c r="AW111" s="109" t="n">
        <f aca="false">MIN(0.2*Hipótesis!$D$81,MAX(0,AW110)*0.1)</f>
        <v>20006</v>
      </c>
      <c r="AX111" s="109" t="n">
        <f aca="false">MIN(0.2*Hipótesis!$D$81,MAX(0,AX110)*0.1)</f>
        <v>20006</v>
      </c>
      <c r="AY111" s="109" t="n">
        <f aca="false">MIN(0.2*Hipótesis!$D$81,MAX(0,AY110)*0.1)</f>
        <v>20006</v>
      </c>
      <c r="AZ111" s="109" t="n">
        <f aca="false">MIN(0.2*Hipótesis!$D$81,MAX(0,AZ110)*0.1)</f>
        <v>20006</v>
      </c>
      <c r="BA111" s="109" t="n">
        <f aca="false">MIN(0.2*Hipótesis!$D$81,MAX(0,BA110)*0.1)</f>
        <v>20006</v>
      </c>
      <c r="BB111" s="109" t="n">
        <f aca="false">MIN(0.2*Hipótesis!$D$81,MAX(0,BB110)*0.1)</f>
        <v>20006</v>
      </c>
      <c r="BC111" s="109" t="n">
        <f aca="false">MIN(0.2*Hipótesis!$D$81,MAX(0,BC110)*0.1)</f>
        <v>20006</v>
      </c>
      <c r="BD111" s="109" t="n">
        <f aca="false">MIN(0.2*Hipótesis!$D$81,MAX(0,BD110)*0.1)</f>
        <v>20006</v>
      </c>
      <c r="BE111" s="109" t="n">
        <f aca="false">MIN(0.2*Hipótesis!$D$81,MAX(0,BE110)*0.1)</f>
        <v>20006</v>
      </c>
      <c r="BF111" s="109" t="n">
        <f aca="false">MIN(0.2*Hipótesis!$D$81,MAX(0,BF110)*0.1)</f>
        <v>20006</v>
      </c>
      <c r="BG111" s="109" t="n">
        <f aca="false">MIN(0.2*Hipótesis!$D$81,MAX(0,BG110)*0.1)</f>
        <v>20006</v>
      </c>
      <c r="BH111" s="109" t="n">
        <f aca="false">MIN(0.2*Hipótesis!$D$81,MAX(0,BH110)*0.1)</f>
        <v>20006</v>
      </c>
      <c r="BI111" s="109" t="n">
        <f aca="false">MIN(0.2*Hipótesis!$D$81,MAX(0,BI110)*0.1)</f>
        <v>20006</v>
      </c>
      <c r="BJ111" s="109" t="n">
        <f aca="false">MIN(0.2*Hipótesis!$D$81,MAX(0,BJ110)*0.1)</f>
        <v>20006</v>
      </c>
      <c r="BK111" s="109" t="n">
        <f aca="false">MIN(0.2*Hipótesis!$D$81,MAX(0,BK110)*0.1)</f>
        <v>20006</v>
      </c>
      <c r="BL111" s="109" t="n">
        <f aca="false">MIN(0.2*Hipótesis!$D$81,MAX(0,BL110)*0.1)</f>
        <v>20006</v>
      </c>
      <c r="BM111" s="109" t="n">
        <f aca="false">MIN(0.2*Hipótesis!$D$81,MAX(0,BM110)*0.1)</f>
        <v>20006</v>
      </c>
      <c r="BN111" s="109" t="n">
        <f aca="false">MIN(0.2*Hipótesis!$D$81,MAX(0,BN110)*0.1)</f>
        <v>20006</v>
      </c>
      <c r="BO111" s="109" t="n">
        <f aca="false">MIN(0.2*Hipótesis!$D$81,MAX(0,BO110)*0.1)</f>
        <v>20006</v>
      </c>
      <c r="BP111" s="109" t="n">
        <f aca="false">MIN(0.2*Hipótesis!$D$81,MAX(0,BP110)*0.1)</f>
        <v>20006</v>
      </c>
      <c r="BQ111" s="109" t="n">
        <f aca="false">MIN(0.2*Hipótesis!$D$81,MAX(0,BQ110)*0.1)</f>
        <v>20006</v>
      </c>
      <c r="BR111" s="109" t="n">
        <f aca="false">MIN(0.2*Hipótesis!$D$81,MAX(0,BR110)*0.1)</f>
        <v>20006</v>
      </c>
      <c r="BS111" s="109" t="n">
        <f aca="false">MIN(0.2*Hipótesis!$D$81,MAX(0,BS110)*0.1)</f>
        <v>20006</v>
      </c>
      <c r="BT111" s="109" t="n">
        <f aca="false">MIN(0.2*Hipótesis!$D$81,MAX(0,BT110)*0.1)</f>
        <v>20006</v>
      </c>
      <c r="BU111" s="109" t="n">
        <f aca="false">MIN(0.2*Hipótesis!$D$81,MAX(0,BU110)*0.1)</f>
        <v>20006</v>
      </c>
      <c r="BV111" s="109" t="n">
        <f aca="false">MIN(0.2*Hipótesis!$D$81,MAX(0,BV110)*0.1)</f>
        <v>20006</v>
      </c>
      <c r="BW111" s="109" t="n">
        <f aca="false">MIN(0.2*Hipótesis!$D$81,MAX(0,BW110)*0.1)</f>
        <v>20006</v>
      </c>
      <c r="BX111" s="109" t="n">
        <f aca="false">MIN(0.2*Hipótesis!$D$81,MAX(0,BX110)*0.1)</f>
        <v>20006</v>
      </c>
      <c r="BY111" s="109" t="n">
        <f aca="false">MIN(0.2*Hipótesis!$D$81,MAX(0,BY110)*0.1)</f>
        <v>20006</v>
      </c>
      <c r="BZ111" s="109" t="n">
        <f aca="false">MIN(0.2*Hipótesis!$D$81,MAX(0,BZ110)*0.1)</f>
        <v>20006</v>
      </c>
      <c r="CA111" s="109" t="n">
        <f aca="false">MIN(0.2*Hipótesis!$D$81,MAX(0,CA110)*0.1)</f>
        <v>20006</v>
      </c>
      <c r="CB111" s="109" t="n">
        <f aca="false">MIN(0.2*Hipótesis!$D$81,MAX(0,CB110)*0.1)</f>
        <v>20006</v>
      </c>
      <c r="CC111" s="109" t="n">
        <f aca="false">MIN(0.2*Hipótesis!$D$81,MAX(0,CC110)*0.1)</f>
        <v>20006</v>
      </c>
      <c r="CD111" s="109" t="n">
        <f aca="false">MIN(0.2*Hipótesis!$D$81,MAX(0,CD110)*0.1)</f>
        <v>20006</v>
      </c>
      <c r="CE111" s="109" t="n">
        <f aca="false">MIN(0.2*Hipótesis!$D$81,MAX(0,CE110)*0.1)</f>
        <v>20006</v>
      </c>
      <c r="CF111" s="109" t="n">
        <f aca="false">MIN(0.2*Hipótesis!$D$81,MAX(0,CF110)*0.1)</f>
        <v>20006</v>
      </c>
      <c r="CG111" s="109" t="n">
        <f aca="false">MIN(0.2*Hipótesis!$D$81,MAX(0,CG110)*0.1)</f>
        <v>20006</v>
      </c>
      <c r="CH111" s="109" t="n">
        <f aca="false">MIN(0.2*Hipótesis!$D$81,MAX(0,CH110)*0.1)</f>
        <v>20006</v>
      </c>
    </row>
    <row r="112" customFormat="false" ht="13.5" hidden="false" customHeight="true" outlineLevel="0" collapsed="false">
      <c r="A112" s="22" t="s">
        <v>609</v>
      </c>
      <c r="C112" s="109" t="n">
        <f aca="false">MAX(0,C110-C111)</f>
        <v>0</v>
      </c>
      <c r="D112" s="109" t="n">
        <f aca="false">MAX(0,D110-D111)</f>
        <v>0</v>
      </c>
      <c r="E112" s="109" t="n">
        <f aca="false">MAX(0,E110-E111)</f>
        <v>0</v>
      </c>
      <c r="F112" s="109" t="n">
        <f aca="false">MAX(0,F110-F111)</f>
        <v>0</v>
      </c>
      <c r="G112" s="109" t="n">
        <f aca="false">MAX(0,G110-G111)</f>
        <v>0</v>
      </c>
      <c r="H112" s="109" t="n">
        <f aca="false">MAX(0,H110-H111)</f>
        <v>0</v>
      </c>
      <c r="I112" s="109" t="n">
        <f aca="false">MAX(0,I110-I111)</f>
        <v>0</v>
      </c>
      <c r="J112" s="109" t="n">
        <f aca="false">MAX(0,J110-J111)</f>
        <v>0</v>
      </c>
      <c r="K112" s="109" t="n">
        <f aca="false">MAX(0,K110-K111)</f>
        <v>0</v>
      </c>
      <c r="L112" s="109" t="n">
        <f aca="false">MAX(0,L110-L111)</f>
        <v>0</v>
      </c>
      <c r="M112" s="109" t="n">
        <f aca="false">MAX(0,M110-M111)</f>
        <v>0</v>
      </c>
      <c r="N112" s="109" t="n">
        <f aca="false">MAX(0,N110-N111)</f>
        <v>0</v>
      </c>
      <c r="O112" s="109" t="n">
        <f aca="false">MAX(0,O110-O111)</f>
        <v>0</v>
      </c>
      <c r="P112" s="109" t="n">
        <f aca="false">MAX(0,P110-P111)</f>
        <v>0</v>
      </c>
      <c r="Q112" s="109" t="n">
        <f aca="false">MAX(0,Q110-Q111)</f>
        <v>0</v>
      </c>
      <c r="R112" s="109" t="n">
        <f aca="false">MAX(0,R110-R111)</f>
        <v>0</v>
      </c>
      <c r="S112" s="109" t="n">
        <f aca="false">MAX(0,S110-S111)</f>
        <v>0</v>
      </c>
      <c r="T112" s="109" t="n">
        <f aca="false">MAX(0,T110-T111)</f>
        <v>0</v>
      </c>
      <c r="U112" s="109" t="n">
        <f aca="false">MAX(0,U110-U111)</f>
        <v>2856.95855773198</v>
      </c>
      <c r="V112" s="109" t="n">
        <f aca="false">MAX(0,V110-V111)</f>
        <v>16471.3605036827</v>
      </c>
      <c r="W112" s="109" t="n">
        <f aca="false">MAX(0,W110-W111)</f>
        <v>32099.9422165809</v>
      </c>
      <c r="X112" s="109" t="n">
        <f aca="false">MAX(0,X110-X111)</f>
        <v>49153.1479602894</v>
      </c>
      <c r="Y112" s="109" t="n">
        <f aca="false">MAX(0,Y110-Y111)</f>
        <v>67630.9777348082</v>
      </c>
      <c r="Z112" s="109" t="n">
        <f aca="false">MAX(0,Z110-Z111)</f>
        <v>87318.6609249575</v>
      </c>
      <c r="AA112" s="109" t="n">
        <f aca="false">MAX(0,AA110-AA111)</f>
        <v>106505.508680097</v>
      </c>
      <c r="AB112" s="109" t="n">
        <f aca="false">MAX(0,AB110-AB111)</f>
        <v>125121.679348747</v>
      </c>
      <c r="AC112" s="109" t="n">
        <f aca="false">MAX(0,AC110-AC111)</f>
        <v>144951.953433028</v>
      </c>
      <c r="AD112" s="109" t="n">
        <f aca="false">MAX(0,AD110-AD111)</f>
        <v>165996.330932939</v>
      </c>
      <c r="AE112" s="109" t="n">
        <f aca="false">MAX(0,AE110-AE111)</f>
        <v>189166.013164978</v>
      </c>
      <c r="AF112" s="109" t="n">
        <f aca="false">MAX(0,AF110-AF111)</f>
        <v>215246.662421835</v>
      </c>
      <c r="AG112" s="109" t="n">
        <f aca="false">MAX(0,AG110-AG111)</f>
        <v>242676.315473838</v>
      </c>
      <c r="AH112" s="109" t="n">
        <f aca="false">MAX(0,AH110-AH111)</f>
        <v>271454.972320985</v>
      </c>
      <c r="AI112" s="109" t="n">
        <f aca="false">MAX(0,AI110-AI111)</f>
        <v>301582.632963278</v>
      </c>
      <c r="AJ112" s="109" t="n">
        <f aca="false">MAX(0,AJ110-AJ111)</f>
        <v>333059.297400715</v>
      </c>
      <c r="AK112" s="109" t="n">
        <f aca="false">MAX(0,AK110-AK111)</f>
        <v>365884.965633297</v>
      </c>
      <c r="AL112" s="109" t="n">
        <f aca="false">MAX(0,AL110-AL111)</f>
        <v>400059.637661024</v>
      </c>
      <c r="AM112" s="109" t="n">
        <f aca="false">MAX(0,AM110-AM111)</f>
        <v>427865.484300415</v>
      </c>
      <c r="AN112" s="109" t="n">
        <f aca="false">MAX(0,AN110-AN111)</f>
        <v>456861.628406109</v>
      </c>
      <c r="AO112" s="109" t="n">
        <f aca="false">MAX(0,AO110-AO111)</f>
        <v>487048.069978109</v>
      </c>
      <c r="AP112" s="109" t="n">
        <f aca="false">MAX(0,AP110-AP111)</f>
        <v>518424.809016412</v>
      </c>
      <c r="AQ112" s="109" t="n">
        <f aca="false">MAX(0,AQ110-AQ111)</f>
        <v>550991.84552102</v>
      </c>
      <c r="AR112" s="109" t="n">
        <f aca="false">MAX(0,AR110-AR111)</f>
        <v>584749.179491933</v>
      </c>
      <c r="AS112" s="109" t="n">
        <f aca="false">MAX(0,AS110-AS111)</f>
        <v>618510.680129512</v>
      </c>
      <c r="AT112" s="109" t="n">
        <f aca="false">MAX(0,AT110-AT111)</f>
        <v>652276.347433757</v>
      </c>
      <c r="AU112" s="109" t="n">
        <f aca="false">MAX(0,AU110-AU111)</f>
        <v>686046.181404669</v>
      </c>
      <c r="AV112" s="109" t="n">
        <f aca="false">MAX(0,AV110-AV111)</f>
        <v>719820.182042248</v>
      </c>
      <c r="AW112" s="109" t="n">
        <f aca="false">MAX(0,AW110-AW111)</f>
        <v>753598.349346494</v>
      </c>
      <c r="AX112" s="109" t="n">
        <f aca="false">MAX(0,AX110-AX111)</f>
        <v>787380.683317406</v>
      </c>
      <c r="AY112" s="109" t="n">
        <f aca="false">MAX(0,AY110-AY111)</f>
        <v>819368.390904716</v>
      </c>
      <c r="AZ112" s="109" t="n">
        <f aca="false">MAX(0,AZ110-AZ111)</f>
        <v>851360.265158692</v>
      </c>
      <c r="BA112" s="109" t="n">
        <f aca="false">MAX(0,BA110-BA111)</f>
        <v>883356.306079334</v>
      </c>
      <c r="BB112" s="109" t="n">
        <f aca="false">MAX(0,BB110-BB111)</f>
        <v>915356.513666644</v>
      </c>
      <c r="BC112" s="109" t="n">
        <f aca="false">MAX(0,BC110-BC111)</f>
        <v>947360.88792062</v>
      </c>
      <c r="BD112" s="109" t="n">
        <f aca="false">MAX(0,BD110-BD111)</f>
        <v>979369.428841262</v>
      </c>
      <c r="BE112" s="109" t="n">
        <f aca="false">MAX(0,BE110-BE111)</f>
        <v>1011382.13642857</v>
      </c>
      <c r="BF112" s="109" t="n">
        <f aca="false">MAX(0,BF110-BF111)</f>
        <v>1043399.01068255</v>
      </c>
      <c r="BG112" s="109" t="n">
        <f aca="false">MAX(0,BG110-BG111)</f>
        <v>1075420.05160319</v>
      </c>
      <c r="BH112" s="109" t="n">
        <f aca="false">MAX(0,BH110-BH111)</f>
        <v>1107445.2591905</v>
      </c>
      <c r="BI112" s="109" t="n">
        <f aca="false">MAX(0,BI110-BI111)</f>
        <v>1139474.63344448</v>
      </c>
      <c r="BJ112" s="109" t="n">
        <f aca="false">MAX(0,BJ110-BJ111)</f>
        <v>1171508.17436512</v>
      </c>
      <c r="BK112" s="109" t="n">
        <f aca="false">MAX(0,BK110-BK111)</f>
        <v>1201736.78411065</v>
      </c>
      <c r="BL112" s="109" t="n">
        <f aca="false">MAX(0,BL110-BL111)</f>
        <v>1231969.56052285</v>
      </c>
      <c r="BM112" s="109" t="n">
        <f aca="false">MAX(0,BM110-BM111)</f>
        <v>1262206.50360171</v>
      </c>
      <c r="BN112" s="109" t="n">
        <f aca="false">MAX(0,BN110-BN111)</f>
        <v>1292447.61334724</v>
      </c>
      <c r="BO112" s="109" t="n">
        <f aca="false">MAX(0,BO110-BO111)</f>
        <v>1322692.88975944</v>
      </c>
      <c r="BP112" s="109" t="n">
        <f aca="false">MAX(0,BP110-BP111)</f>
        <v>1352942.33283831</v>
      </c>
      <c r="BQ112" s="109" t="n">
        <f aca="false">MAX(0,BQ110-BQ111)</f>
        <v>1383195.94258384</v>
      </c>
      <c r="BR112" s="109" t="n">
        <f aca="false">MAX(0,BR110-BR111)</f>
        <v>1413453.71899604</v>
      </c>
      <c r="BS112" s="109" t="n">
        <f aca="false">MAX(0,BS110-BS111)</f>
        <v>1443715.6620749</v>
      </c>
      <c r="BT112" s="109" t="n">
        <f aca="false">MAX(0,BT110-BT111)</f>
        <v>1473981.77182043</v>
      </c>
      <c r="BU112" s="109" t="n">
        <f aca="false">MAX(0,BU110-BU111)</f>
        <v>1504252.04823263</v>
      </c>
      <c r="BV112" s="109" t="n">
        <f aca="false">MAX(0,BV110-BV111)</f>
        <v>1534526.4913115</v>
      </c>
      <c r="BW112" s="109" t="n">
        <f aca="false">MAX(0,BW110-BW111)</f>
        <v>1562985.38928</v>
      </c>
      <c r="BX112" s="109" t="n">
        <f aca="false">MAX(0,BX110-BX111)</f>
        <v>1591448.45391517</v>
      </c>
      <c r="BY112" s="109" t="n">
        <f aca="false">MAX(0,BY110-BY111)</f>
        <v>1619915.685217</v>
      </c>
      <c r="BZ112" s="109" t="n">
        <f aca="false">MAX(0,BZ110-BZ111)</f>
        <v>1648387.0831855</v>
      </c>
      <c r="CA112" s="109" t="n">
        <f aca="false">MAX(0,CA110-CA111)</f>
        <v>1676862.64782067</v>
      </c>
      <c r="CB112" s="109" t="n">
        <f aca="false">MAX(0,CB110-CB111)</f>
        <v>1705342.3791225</v>
      </c>
      <c r="CC112" s="109" t="n">
        <f aca="false">MAX(0,CC110-CC111)</f>
        <v>1733826.277091</v>
      </c>
      <c r="CD112" s="109" t="n">
        <f aca="false">MAX(0,CD110-CD111)</f>
        <v>1762314.34172617</v>
      </c>
      <c r="CE112" s="109" t="n">
        <f aca="false">MAX(0,CE110-CE111)</f>
        <v>1790806.573028</v>
      </c>
      <c r="CF112" s="109" t="n">
        <f aca="false">MAX(0,CF110-CF111)</f>
        <v>1819302.9709965</v>
      </c>
      <c r="CG112" s="109" t="n">
        <f aca="false">MAX(0,CG110-CG111)</f>
        <v>1847803.53563167</v>
      </c>
      <c r="CH112" s="109" t="n">
        <f aca="false">MAX(0,CH110-CH111)</f>
        <v>1876308.26693351</v>
      </c>
    </row>
    <row r="113" customFormat="false" ht="13.5" hidden="false" customHeight="true" outlineLevel="0" collapsed="false">
      <c r="A113" s="6" t="s">
        <v>610</v>
      </c>
      <c r="C113" s="109" t="n">
        <f aca="false">C110+C84</f>
        <v>-16195.1077466394</v>
      </c>
      <c r="D113" s="109" t="n">
        <f aca="false">D110+D84</f>
        <v>-31357.0971421672</v>
      </c>
      <c r="E113" s="109" t="n">
        <f aca="false">E110+E84</f>
        <v>-44431.6871777188</v>
      </c>
      <c r="F113" s="109" t="n">
        <f aca="false">F110+F84</f>
        <v>-56383.7462971309</v>
      </c>
      <c r="G113" s="109" t="n">
        <f aca="false">G110+G84</f>
        <v>-67281.5244076784</v>
      </c>
      <c r="H113" s="109" t="n">
        <f aca="false">H110+H84</f>
        <v>-76536.0570999617</v>
      </c>
      <c r="I113" s="109" t="n">
        <f aca="false">I110+I84</f>
        <v>-82533.410379297</v>
      </c>
      <c r="J113" s="109" t="n">
        <f aca="false">J110+J84</f>
        <v>-85273.5842456843</v>
      </c>
      <c r="K113" s="109" t="n">
        <f aca="false">K110+K84</f>
        <v>-84869.9201130425</v>
      </c>
      <c r="L113" s="109" t="n">
        <f aca="false">L110+L84</f>
        <v>-81765.0538747032</v>
      </c>
      <c r="M113" s="109" t="n">
        <f aca="false">M110+M84</f>
        <v>-76825.7832324783</v>
      </c>
      <c r="N113" s="109" t="n">
        <f aca="false">N110+N84</f>
        <v>-69384.9861082167</v>
      </c>
      <c r="O113" s="109" t="n">
        <f aca="false">O110+O84</f>
        <v>-63807.9627467515</v>
      </c>
      <c r="P113" s="109" t="n">
        <f aca="false">P110+P84</f>
        <v>-57918.2914264558</v>
      </c>
      <c r="Q113" s="109" t="n">
        <f aca="false">Q110+Q84</f>
        <v>-49790.6425873296</v>
      </c>
      <c r="R113" s="109" t="n">
        <f aca="false">R110+R84</f>
        <v>-39425.016229373</v>
      </c>
      <c r="S113" s="109" t="n">
        <f aca="false">S110+S84</f>
        <v>-26821.4123525858</v>
      </c>
      <c r="T113" s="109" t="n">
        <f aca="false">T110+T84</f>
        <v>-11979.8309569682</v>
      </c>
      <c r="U113" s="109" t="n">
        <f aca="false">U110+U84</f>
        <v>3174.39839747998</v>
      </c>
      <c r="V113" s="109" t="n">
        <f aca="false">V110+V84</f>
        <v>18301.5116707586</v>
      </c>
      <c r="W113" s="109" t="n">
        <f aca="false">W110+W84</f>
        <v>35666.6024628677</v>
      </c>
      <c r="X113" s="109" t="n">
        <f aca="false">X110+X84</f>
        <v>54614.608844766</v>
      </c>
      <c r="Y113" s="109" t="n">
        <f aca="false">Y110+Y84</f>
        <v>75145.5308164536</v>
      </c>
      <c r="Z113" s="109" t="n">
        <f aca="false">Z110+Z84</f>
        <v>97020.7343610638</v>
      </c>
      <c r="AA113" s="109" t="n">
        <f aca="false">AA110+AA84</f>
        <v>118339.454088997</v>
      </c>
      <c r="AB113" s="109" t="n">
        <f aca="false">AB110+AB84</f>
        <v>139024.088165275</v>
      </c>
      <c r="AC113" s="109" t="n">
        <f aca="false">AC110+AC84</f>
        <v>161057.726036697</v>
      </c>
      <c r="AD113" s="109" t="n">
        <f aca="false">AD110+AD84</f>
        <v>184440.367703265</v>
      </c>
      <c r="AE113" s="109" t="n">
        <f aca="false">AE110+AE84</f>
        <v>209172.013164978</v>
      </c>
      <c r="AF113" s="109" t="n">
        <f aca="false">AF110+AF84</f>
        <v>235252.662421835</v>
      </c>
      <c r="AG113" s="109" t="n">
        <f aca="false">AG110+AG84</f>
        <v>262682.315473838</v>
      </c>
      <c r="AH113" s="109" t="n">
        <f aca="false">AH110+AH84</f>
        <v>291460.972320985</v>
      </c>
      <c r="AI113" s="109" t="n">
        <f aca="false">AI110+AI84</f>
        <v>321588.632963278</v>
      </c>
      <c r="AJ113" s="109" t="n">
        <f aca="false">AJ110+AJ84</f>
        <v>353065.297400715</v>
      </c>
      <c r="AK113" s="109" t="n">
        <f aca="false">AK110+AK84</f>
        <v>385890.965633297</v>
      </c>
      <c r="AL113" s="109" t="n">
        <f aca="false">AL110+AL84</f>
        <v>420065.637661024</v>
      </c>
      <c r="AM113" s="109" t="n">
        <f aca="false">AM110+AM84</f>
        <v>447871.484300415</v>
      </c>
      <c r="AN113" s="109" t="n">
        <f aca="false">AN110+AN84</f>
        <v>476867.628406109</v>
      </c>
      <c r="AO113" s="109" t="n">
        <f aca="false">AO110+AO84</f>
        <v>507054.069978109</v>
      </c>
      <c r="AP113" s="109" t="n">
        <f aca="false">AP110+AP84</f>
        <v>538430.809016412</v>
      </c>
      <c r="AQ113" s="109" t="n">
        <f aca="false">AQ110+AQ84</f>
        <v>570997.84552102</v>
      </c>
      <c r="AR113" s="109" t="n">
        <f aca="false">AR110+AR84</f>
        <v>604755.179491933</v>
      </c>
      <c r="AS113" s="109" t="n">
        <f aca="false">AS110+AS84</f>
        <v>638516.680129512</v>
      </c>
      <c r="AT113" s="109" t="n">
        <f aca="false">AT110+AT84</f>
        <v>672282.347433757</v>
      </c>
      <c r="AU113" s="109" t="n">
        <f aca="false">AU110+AU84</f>
        <v>706052.181404669</v>
      </c>
      <c r="AV113" s="109" t="n">
        <f aca="false">AV110+AV84</f>
        <v>739826.182042248</v>
      </c>
      <c r="AW113" s="109" t="n">
        <f aca="false">AW110+AW84</f>
        <v>773604.349346494</v>
      </c>
      <c r="AX113" s="109" t="n">
        <f aca="false">AX110+AX84</f>
        <v>807386.683317406</v>
      </c>
      <c r="AY113" s="109" t="n">
        <f aca="false">AY110+AY84</f>
        <v>839374.390904716</v>
      </c>
      <c r="AZ113" s="109" t="n">
        <f aca="false">AZ110+AZ84</f>
        <v>871366.265158692</v>
      </c>
      <c r="BA113" s="109" t="n">
        <f aca="false">BA110+BA84</f>
        <v>903362.306079334</v>
      </c>
      <c r="BB113" s="109" t="n">
        <f aca="false">BB110+BB84</f>
        <v>935362.513666644</v>
      </c>
      <c r="BC113" s="109" t="n">
        <f aca="false">BC110+BC84</f>
        <v>967366.88792062</v>
      </c>
      <c r="BD113" s="109" t="n">
        <f aca="false">BD110+BD84</f>
        <v>999375.428841262</v>
      </c>
      <c r="BE113" s="109" t="n">
        <f aca="false">BE110+BE84</f>
        <v>1031388.13642857</v>
      </c>
      <c r="BF113" s="109" t="n">
        <f aca="false">BF110+BF84</f>
        <v>1063405.01068255</v>
      </c>
      <c r="BG113" s="109" t="n">
        <f aca="false">BG110+BG84</f>
        <v>1095426.05160319</v>
      </c>
      <c r="BH113" s="109" t="n">
        <f aca="false">BH110+BH84</f>
        <v>1127451.2591905</v>
      </c>
      <c r="BI113" s="109" t="n">
        <f aca="false">BI110+BI84</f>
        <v>1159480.63344448</v>
      </c>
      <c r="BJ113" s="109" t="n">
        <f aca="false">BJ110+BJ84</f>
        <v>1191514.17436512</v>
      </c>
      <c r="BK113" s="109" t="n">
        <f aca="false">BK110+BK84</f>
        <v>1221742.78411065</v>
      </c>
      <c r="BL113" s="109" t="n">
        <f aca="false">BL110+BL84</f>
        <v>1251975.56052285</v>
      </c>
      <c r="BM113" s="109" t="n">
        <f aca="false">BM110+BM84</f>
        <v>1282212.50360171</v>
      </c>
      <c r="BN113" s="109" t="n">
        <f aca="false">BN110+BN84</f>
        <v>1312453.61334724</v>
      </c>
      <c r="BO113" s="109" t="n">
        <f aca="false">BO110+BO84</f>
        <v>1342698.88975944</v>
      </c>
      <c r="BP113" s="109" t="n">
        <f aca="false">BP110+BP84</f>
        <v>1372948.33283831</v>
      </c>
      <c r="BQ113" s="109" t="n">
        <f aca="false">BQ110+BQ84</f>
        <v>1403201.94258384</v>
      </c>
      <c r="BR113" s="109" t="n">
        <f aca="false">BR110+BR84</f>
        <v>1433459.71899604</v>
      </c>
      <c r="BS113" s="109" t="n">
        <f aca="false">BS110+BS84</f>
        <v>1463721.6620749</v>
      </c>
      <c r="BT113" s="109" t="n">
        <f aca="false">BT110+BT84</f>
        <v>1493987.77182043</v>
      </c>
      <c r="BU113" s="109" t="n">
        <f aca="false">BU110+BU84</f>
        <v>1524258.04823263</v>
      </c>
      <c r="BV113" s="109" t="n">
        <f aca="false">BV110+BV84</f>
        <v>1554532.4913115</v>
      </c>
      <c r="BW113" s="109" t="n">
        <f aca="false">BW110+BW84</f>
        <v>1582991.38928</v>
      </c>
      <c r="BX113" s="109" t="n">
        <f aca="false">BX110+BX84</f>
        <v>1611454.45391517</v>
      </c>
      <c r="BY113" s="109" t="n">
        <f aca="false">BY110+BY84</f>
        <v>1639921.685217</v>
      </c>
      <c r="BZ113" s="109" t="n">
        <f aca="false">BZ110+BZ84</f>
        <v>1668393.0831855</v>
      </c>
      <c r="CA113" s="109" t="n">
        <f aca="false">CA110+CA84</f>
        <v>1696868.64782067</v>
      </c>
      <c r="CB113" s="109" t="n">
        <f aca="false">CB110+CB84</f>
        <v>1725348.3791225</v>
      </c>
      <c r="CC113" s="109" t="n">
        <f aca="false">CC110+CC84</f>
        <v>1753832.277091</v>
      </c>
      <c r="CD113" s="109" t="n">
        <f aca="false">CD110+CD84</f>
        <v>1782320.34172617</v>
      </c>
      <c r="CE113" s="109" t="n">
        <f aca="false">CE110+CE84</f>
        <v>1810812.573028</v>
      </c>
      <c r="CF113" s="109" t="n">
        <f aca="false">CF110+CF84</f>
        <v>1839308.9709965</v>
      </c>
      <c r="CG113" s="109" t="n">
        <f aca="false">CG110+CG84</f>
        <v>1867809.53563167</v>
      </c>
      <c r="CH113" s="109" t="n">
        <f aca="false">CH110+CH84</f>
        <v>1896314.26693351</v>
      </c>
    </row>
    <row r="114" customFormat="false" ht="13.5" hidden="false" customHeight="true" outlineLevel="0" collapsed="false">
      <c r="A114" s="6" t="s">
        <v>611</v>
      </c>
      <c r="C114" s="109" t="n">
        <f aca="false">-C84</f>
        <v>0</v>
      </c>
      <c r="D114" s="109" t="n">
        <f aca="false">C114-D84</f>
        <v>0</v>
      </c>
      <c r="E114" s="109" t="n">
        <f aca="false">D114-E84</f>
        <v>0</v>
      </c>
      <c r="F114" s="109" t="n">
        <f aca="false">E114-F84</f>
        <v>0</v>
      </c>
      <c r="G114" s="109" t="n">
        <f aca="false">F114-G84</f>
        <v>0</v>
      </c>
      <c r="H114" s="109" t="n">
        <f aca="false">G114-H84</f>
        <v>0</v>
      </c>
      <c r="I114" s="109" t="n">
        <f aca="false">H114-I84</f>
        <v>0</v>
      </c>
      <c r="J114" s="109" t="n">
        <f aca="false">I114-J84</f>
        <v>0</v>
      </c>
      <c r="K114" s="109" t="n">
        <f aca="false">J114-K84</f>
        <v>0</v>
      </c>
      <c r="L114" s="109" t="n">
        <f aca="false">K114-L84</f>
        <v>0</v>
      </c>
      <c r="M114" s="109" t="n">
        <f aca="false">L114-M84</f>
        <v>0</v>
      </c>
      <c r="N114" s="109" t="n">
        <f aca="false">M114-N84</f>
        <v>0</v>
      </c>
      <c r="O114" s="109" t="n">
        <f aca="false">N114-O84</f>
        <v>0</v>
      </c>
      <c r="P114" s="109" t="n">
        <f aca="false">O114-P84</f>
        <v>0</v>
      </c>
      <c r="Q114" s="109" t="n">
        <f aca="false">P114-Q84</f>
        <v>0</v>
      </c>
      <c r="R114" s="109" t="n">
        <f aca="false">Q114-R84</f>
        <v>0</v>
      </c>
      <c r="S114" s="109" t="n">
        <f aca="false">R114-S84</f>
        <v>0</v>
      </c>
      <c r="T114" s="109" t="n">
        <f aca="false">S114-T84</f>
        <v>0</v>
      </c>
      <c r="U114" s="109" t="n">
        <f aca="false">T114-U84</f>
        <v>0</v>
      </c>
      <c r="V114" s="109" t="n">
        <f aca="false">U114-V84</f>
        <v>0</v>
      </c>
      <c r="W114" s="109" t="n">
        <f aca="false">V114-W84</f>
        <v>0</v>
      </c>
      <c r="X114" s="109" t="n">
        <f aca="false">W114-X84</f>
        <v>0</v>
      </c>
      <c r="Y114" s="109" t="n">
        <f aca="false">X114-Y84</f>
        <v>0</v>
      </c>
      <c r="Z114" s="109" t="n">
        <f aca="false">Y114-Z84</f>
        <v>0</v>
      </c>
      <c r="AA114" s="109" t="n">
        <f aca="false">Z114-AA84</f>
        <v>0</v>
      </c>
      <c r="AB114" s="109" t="n">
        <f aca="false">AA114-AB84</f>
        <v>0</v>
      </c>
      <c r="AC114" s="109" t="n">
        <f aca="false">AB114-AC84</f>
        <v>0</v>
      </c>
      <c r="AD114" s="109" t="n">
        <f aca="false">AC114-AD84</f>
        <v>0</v>
      </c>
      <c r="AE114" s="109" t="n">
        <f aca="false">AD114-AE84</f>
        <v>0</v>
      </c>
      <c r="AF114" s="109" t="n">
        <f aca="false">AE114-AF84</f>
        <v>0</v>
      </c>
      <c r="AG114" s="109" t="n">
        <f aca="false">AF114-AG84</f>
        <v>0</v>
      </c>
      <c r="AH114" s="109" t="n">
        <f aca="false">AG114-AH84</f>
        <v>0</v>
      </c>
      <c r="AI114" s="109" t="n">
        <f aca="false">AH114-AI84</f>
        <v>0</v>
      </c>
      <c r="AJ114" s="109" t="n">
        <f aca="false">AI114-AJ84</f>
        <v>0</v>
      </c>
      <c r="AK114" s="109" t="n">
        <f aca="false">AJ114-AK84</f>
        <v>0</v>
      </c>
      <c r="AL114" s="109" t="n">
        <f aca="false">AK114-AL84</f>
        <v>0</v>
      </c>
      <c r="AM114" s="109" t="n">
        <f aca="false">AL114-AM84</f>
        <v>0</v>
      </c>
      <c r="AN114" s="109" t="n">
        <f aca="false">AM114-AN84</f>
        <v>0</v>
      </c>
      <c r="AO114" s="109" t="n">
        <f aca="false">AN114-AO84</f>
        <v>0</v>
      </c>
      <c r="AP114" s="109" t="n">
        <f aca="false">AO114-AP84</f>
        <v>0</v>
      </c>
      <c r="AQ114" s="109" t="n">
        <f aca="false">AP114-AQ84</f>
        <v>0</v>
      </c>
      <c r="AR114" s="109" t="n">
        <f aca="false">AQ114-AR84</f>
        <v>0</v>
      </c>
      <c r="AS114" s="109" t="n">
        <f aca="false">AR114-AS84</f>
        <v>0</v>
      </c>
      <c r="AT114" s="109" t="n">
        <f aca="false">AS114-AT84</f>
        <v>0</v>
      </c>
      <c r="AU114" s="109" t="n">
        <f aca="false">AT114-AU84</f>
        <v>0</v>
      </c>
      <c r="AV114" s="109" t="n">
        <f aca="false">AU114-AV84</f>
        <v>0</v>
      </c>
      <c r="AW114" s="109" t="n">
        <f aca="false">AV114-AW84</f>
        <v>0</v>
      </c>
      <c r="AX114" s="109" t="n">
        <f aca="false">AW114-AX84</f>
        <v>0</v>
      </c>
      <c r="AY114" s="109" t="n">
        <f aca="false">AX114-AY84</f>
        <v>0</v>
      </c>
      <c r="AZ114" s="109" t="n">
        <f aca="false">AY114-AZ84</f>
        <v>0</v>
      </c>
      <c r="BA114" s="109" t="n">
        <f aca="false">AZ114-BA84</f>
        <v>0</v>
      </c>
      <c r="BB114" s="109" t="n">
        <f aca="false">BA114-BB84</f>
        <v>0</v>
      </c>
      <c r="BC114" s="109" t="n">
        <f aca="false">BB114-BC84</f>
        <v>0</v>
      </c>
      <c r="BD114" s="109" t="n">
        <f aca="false">BC114-BD84</f>
        <v>0</v>
      </c>
      <c r="BE114" s="109" t="n">
        <f aca="false">BD114-BE84</f>
        <v>0</v>
      </c>
      <c r="BF114" s="109" t="n">
        <f aca="false">BE114-BF84</f>
        <v>0</v>
      </c>
      <c r="BG114" s="109" t="n">
        <f aca="false">BF114-BG84</f>
        <v>0</v>
      </c>
      <c r="BH114" s="109" t="n">
        <f aca="false">BG114-BH84</f>
        <v>0</v>
      </c>
      <c r="BI114" s="109" t="n">
        <f aca="false">BH114-BI84</f>
        <v>0</v>
      </c>
      <c r="BJ114" s="109" t="n">
        <f aca="false">BI114-BJ84</f>
        <v>0</v>
      </c>
      <c r="BK114" s="109" t="n">
        <f aca="false">BJ114-BK84</f>
        <v>0</v>
      </c>
      <c r="BL114" s="109" t="n">
        <f aca="false">BK114-BL84</f>
        <v>0</v>
      </c>
      <c r="BM114" s="109" t="n">
        <f aca="false">BL114-BM84</f>
        <v>0</v>
      </c>
      <c r="BN114" s="109" t="n">
        <f aca="false">BM114-BN84</f>
        <v>0</v>
      </c>
      <c r="BO114" s="109" t="n">
        <f aca="false">BN114-BO84</f>
        <v>0</v>
      </c>
      <c r="BP114" s="109" t="n">
        <f aca="false">BO114-BP84</f>
        <v>0</v>
      </c>
      <c r="BQ114" s="109" t="n">
        <f aca="false">BP114-BQ84</f>
        <v>0</v>
      </c>
      <c r="BR114" s="109" t="n">
        <f aca="false">BQ114-BR84</f>
        <v>0</v>
      </c>
      <c r="BS114" s="109" t="n">
        <f aca="false">BR114-BS84</f>
        <v>0</v>
      </c>
      <c r="BT114" s="109" t="n">
        <f aca="false">BS114-BT84</f>
        <v>0</v>
      </c>
      <c r="BU114" s="109" t="n">
        <f aca="false">BT114-BU84</f>
        <v>0</v>
      </c>
      <c r="BV114" s="109" t="n">
        <f aca="false">BU114-BV84</f>
        <v>0</v>
      </c>
      <c r="BW114" s="109" t="n">
        <f aca="false">BV114-BW84</f>
        <v>0</v>
      </c>
      <c r="BX114" s="109" t="n">
        <f aca="false">BW114-BX84</f>
        <v>0</v>
      </c>
      <c r="BY114" s="109" t="n">
        <f aca="false">BX114-BY84</f>
        <v>0</v>
      </c>
      <c r="BZ114" s="109" t="n">
        <f aca="false">BY114-BZ84</f>
        <v>0</v>
      </c>
      <c r="CA114" s="109" t="n">
        <f aca="false">BZ114-CA84</f>
        <v>0</v>
      </c>
      <c r="CB114" s="109" t="n">
        <f aca="false">CA114-CB84</f>
        <v>0</v>
      </c>
      <c r="CC114" s="109" t="n">
        <f aca="false">CB114-CC84</f>
        <v>0</v>
      </c>
      <c r="CD114" s="109" t="n">
        <f aca="false">CC114-CD84</f>
        <v>0</v>
      </c>
      <c r="CE114" s="109" t="n">
        <f aca="false">CD114-CE84</f>
        <v>0</v>
      </c>
      <c r="CF114" s="109" t="n">
        <f aca="false">CE114-CF84</f>
        <v>0</v>
      </c>
      <c r="CG114" s="109" t="n">
        <f aca="false">CF114-CG84</f>
        <v>0</v>
      </c>
      <c r="CH114" s="109" t="n">
        <f aca="false">CG114-CH84</f>
        <v>0</v>
      </c>
    </row>
    <row r="115" customFormat="false" ht="13.5" hidden="false" customHeight="true" outlineLevel="0" collapsed="false">
      <c r="A115" s="6" t="s">
        <v>612</v>
      </c>
      <c r="C115" s="109" t="n">
        <f aca="false">-C83</f>
        <v>0</v>
      </c>
      <c r="D115" s="109" t="n">
        <f aca="false">C115-D83</f>
        <v>0</v>
      </c>
      <c r="E115" s="109" t="n">
        <f aca="false">D115-E83</f>
        <v>0</v>
      </c>
      <c r="F115" s="109" t="n">
        <f aca="false">E115-F83</f>
        <v>0</v>
      </c>
      <c r="G115" s="109" t="n">
        <f aca="false">F115-G83</f>
        <v>0</v>
      </c>
      <c r="H115" s="109" t="n">
        <f aca="false">G115-H83</f>
        <v>0</v>
      </c>
      <c r="I115" s="109" t="n">
        <f aca="false">H115-I83</f>
        <v>0</v>
      </c>
      <c r="J115" s="109" t="n">
        <f aca="false">I115-J83</f>
        <v>0</v>
      </c>
      <c r="K115" s="109" t="n">
        <f aca="false">J115-K83</f>
        <v>0</v>
      </c>
      <c r="L115" s="109" t="n">
        <f aca="false">K115-L83</f>
        <v>0</v>
      </c>
      <c r="M115" s="109" t="n">
        <f aca="false">L115-M83</f>
        <v>0</v>
      </c>
      <c r="N115" s="109" t="n">
        <f aca="false">M115-N83</f>
        <v>0</v>
      </c>
      <c r="O115" s="109" t="n">
        <f aca="false">N115-O83</f>
        <v>0</v>
      </c>
      <c r="P115" s="109" t="n">
        <f aca="false">O115-P83</f>
        <v>0</v>
      </c>
      <c r="Q115" s="109" t="n">
        <f aca="false">P115-Q83</f>
        <v>0</v>
      </c>
      <c r="R115" s="109" t="n">
        <f aca="false">Q115-R83</f>
        <v>0</v>
      </c>
      <c r="S115" s="109" t="n">
        <f aca="false">R115-S83</f>
        <v>0</v>
      </c>
      <c r="T115" s="109" t="n">
        <f aca="false">S115-T83</f>
        <v>0</v>
      </c>
      <c r="U115" s="109" t="n">
        <f aca="false">T115-U83</f>
        <v>0</v>
      </c>
      <c r="V115" s="109" t="n">
        <f aca="false">U115-V83</f>
        <v>0</v>
      </c>
      <c r="W115" s="109" t="n">
        <f aca="false">V115-W83</f>
        <v>0</v>
      </c>
      <c r="X115" s="109" t="n">
        <f aca="false">W115-X83</f>
        <v>0</v>
      </c>
      <c r="Y115" s="109" t="n">
        <f aca="false">X115-Y83</f>
        <v>0</v>
      </c>
      <c r="Z115" s="109" t="n">
        <f aca="false">Y115-Z83</f>
        <v>0</v>
      </c>
      <c r="AA115" s="109" t="n">
        <f aca="false">Z115-AA83</f>
        <v>0</v>
      </c>
      <c r="AB115" s="109" t="n">
        <f aca="false">AA115-AB83</f>
        <v>0</v>
      </c>
      <c r="AC115" s="109" t="n">
        <f aca="false">AB115-AC83</f>
        <v>0</v>
      </c>
      <c r="AD115" s="109" t="n">
        <f aca="false">AC115-AD83</f>
        <v>0</v>
      </c>
      <c r="AE115" s="109" t="n">
        <f aca="false">AD115-AE83</f>
        <v>0</v>
      </c>
      <c r="AF115" s="109" t="n">
        <f aca="false">AE115-AF83</f>
        <v>0</v>
      </c>
      <c r="AG115" s="109" t="n">
        <f aca="false">AF115-AG83</f>
        <v>0</v>
      </c>
      <c r="AH115" s="109" t="n">
        <f aca="false">AG115-AH83</f>
        <v>0</v>
      </c>
      <c r="AI115" s="109" t="n">
        <f aca="false">AH115-AI83</f>
        <v>0</v>
      </c>
      <c r="AJ115" s="109" t="n">
        <f aca="false">AI115-AJ83</f>
        <v>0</v>
      </c>
      <c r="AK115" s="109" t="n">
        <f aca="false">AJ115-AK83</f>
        <v>0</v>
      </c>
      <c r="AL115" s="109" t="n">
        <f aca="false">AK115-AL83</f>
        <v>0</v>
      </c>
      <c r="AM115" s="109" t="n">
        <f aca="false">AL115-AM83</f>
        <v>0</v>
      </c>
      <c r="AN115" s="109" t="n">
        <f aca="false">AM115-AN83</f>
        <v>0</v>
      </c>
      <c r="AO115" s="109" t="n">
        <f aca="false">AN115-AO83</f>
        <v>0</v>
      </c>
      <c r="AP115" s="109" t="n">
        <f aca="false">AO115-AP83</f>
        <v>0</v>
      </c>
      <c r="AQ115" s="109" t="n">
        <f aca="false">AP115-AQ83</f>
        <v>0</v>
      </c>
      <c r="AR115" s="109" t="n">
        <f aca="false">AQ115-AR83</f>
        <v>0</v>
      </c>
      <c r="AS115" s="109" t="n">
        <f aca="false">AR115-AS83</f>
        <v>0</v>
      </c>
      <c r="AT115" s="109" t="n">
        <f aca="false">AS115-AT83</f>
        <v>0</v>
      </c>
      <c r="AU115" s="109" t="n">
        <f aca="false">AT115-AU83</f>
        <v>0</v>
      </c>
      <c r="AV115" s="109" t="n">
        <f aca="false">AU115-AV83</f>
        <v>0</v>
      </c>
      <c r="AW115" s="109" t="n">
        <f aca="false">AV115-AW83</f>
        <v>0</v>
      </c>
      <c r="AX115" s="109" t="n">
        <f aca="false">AW115-AX83</f>
        <v>154928.418262553</v>
      </c>
      <c r="AY115" s="109" t="n">
        <f aca="false">AX115-AY83</f>
        <v>154928.418262553</v>
      </c>
      <c r="AZ115" s="109" t="n">
        <f aca="false">AY115-AZ83</f>
        <v>154928.418262553</v>
      </c>
      <c r="BA115" s="109" t="n">
        <f aca="false">AZ115-BA83</f>
        <v>154928.418262553</v>
      </c>
      <c r="BB115" s="109" t="n">
        <f aca="false">BA115-BB83</f>
        <v>154928.418262553</v>
      </c>
      <c r="BC115" s="109" t="n">
        <f aca="false">BB115-BC83</f>
        <v>154928.418262553</v>
      </c>
      <c r="BD115" s="109" t="n">
        <f aca="false">BC115-BD83</f>
        <v>154928.418262553</v>
      </c>
      <c r="BE115" s="109" t="n">
        <f aca="false">BD115-BE83</f>
        <v>154928.418262553</v>
      </c>
      <c r="BF115" s="109" t="n">
        <f aca="false">BE115-BF83</f>
        <v>154928.418262553</v>
      </c>
      <c r="BG115" s="109" t="n">
        <f aca="false">BF115-BG83</f>
        <v>154928.418262553</v>
      </c>
      <c r="BH115" s="109" t="n">
        <f aca="false">BG115-BH83</f>
        <v>154928.418262553</v>
      </c>
      <c r="BI115" s="109" t="n">
        <f aca="false">BH115-BI83</f>
        <v>154928.418262553</v>
      </c>
      <c r="BJ115" s="109" t="n">
        <f aca="false">BI115-BJ83</f>
        <v>308579.414681638</v>
      </c>
      <c r="BK115" s="109" t="n">
        <f aca="false">BJ115-BK83</f>
        <v>308579.414681638</v>
      </c>
      <c r="BL115" s="109" t="n">
        <f aca="false">BK115-BL83</f>
        <v>308579.414681638</v>
      </c>
      <c r="BM115" s="109" t="n">
        <f aca="false">BL115-BM83</f>
        <v>308579.414681638</v>
      </c>
      <c r="BN115" s="109" t="n">
        <f aca="false">BM115-BN83</f>
        <v>308579.414681638</v>
      </c>
      <c r="BO115" s="109" t="n">
        <f aca="false">BN115-BO83</f>
        <v>308579.414681638</v>
      </c>
      <c r="BP115" s="109" t="n">
        <f aca="false">BO115-BP83</f>
        <v>308579.414681638</v>
      </c>
      <c r="BQ115" s="109" t="n">
        <f aca="false">BP115-BQ83</f>
        <v>308579.414681638</v>
      </c>
      <c r="BR115" s="109" t="n">
        <f aca="false">BQ115-BR83</f>
        <v>308579.414681638</v>
      </c>
      <c r="BS115" s="109" t="n">
        <f aca="false">BR115-BS83</f>
        <v>308579.414681638</v>
      </c>
      <c r="BT115" s="109" t="n">
        <f aca="false">BS115-BT83</f>
        <v>308579.414681638</v>
      </c>
      <c r="BU115" s="109" t="n">
        <f aca="false">BT115-BU83</f>
        <v>308579.414681638</v>
      </c>
      <c r="BV115" s="109" t="n">
        <f aca="false">BU115-BV83</f>
        <v>453786.74146019</v>
      </c>
      <c r="BW115" s="109" t="n">
        <f aca="false">BV115-BW83</f>
        <v>453786.74146019</v>
      </c>
      <c r="BX115" s="109" t="n">
        <f aca="false">BW115-BX83</f>
        <v>453786.74146019</v>
      </c>
      <c r="BY115" s="109" t="n">
        <f aca="false">BX115-BY83</f>
        <v>453786.74146019</v>
      </c>
      <c r="BZ115" s="109" t="n">
        <f aca="false">BY115-BZ83</f>
        <v>453786.74146019</v>
      </c>
      <c r="CA115" s="109" t="n">
        <f aca="false">BZ115-CA83</f>
        <v>453786.74146019</v>
      </c>
      <c r="CB115" s="109" t="n">
        <f aca="false">CA115-CB83</f>
        <v>453786.74146019</v>
      </c>
      <c r="CC115" s="109" t="n">
        <f aca="false">CB115-CC83</f>
        <v>453786.74146019</v>
      </c>
      <c r="CD115" s="109" t="n">
        <f aca="false">CC115-CD83</f>
        <v>453786.74146019</v>
      </c>
      <c r="CE115" s="109" t="n">
        <f aca="false">CD115-CE83</f>
        <v>453786.74146019</v>
      </c>
      <c r="CF115" s="109" t="n">
        <f aca="false">CE115-CF83</f>
        <v>453786.74146019</v>
      </c>
      <c r="CG115" s="109" t="n">
        <f aca="false">CF115-CG83</f>
        <v>453786.74146019</v>
      </c>
      <c r="CH115" s="109" t="n">
        <f aca="false">CG115-CH83</f>
        <v>590499.451708993</v>
      </c>
    </row>
    <row r="116" customFormat="false" ht="13.5" hidden="false" customHeight="true" outlineLevel="0" collapsed="false">
      <c r="A116" s="6" t="s">
        <v>613</v>
      </c>
      <c r="C116" s="109" t="n">
        <f aca="false">Hipótesis!$C$44*(1-Hipótesis!$D$83)</f>
        <v>1540</v>
      </c>
      <c r="D116" s="109" t="n">
        <f aca="false">Hipótesis!$C$44*(1-Hipótesis!$D$83)</f>
        <v>1540</v>
      </c>
      <c r="E116" s="109" t="n">
        <f aca="false">Hipótesis!$C$44*(1-Hipótesis!$D$83)</f>
        <v>1540</v>
      </c>
      <c r="F116" s="109" t="n">
        <f aca="false">Hipótesis!$C$44*(1-Hipótesis!$D$83)</f>
        <v>1540</v>
      </c>
      <c r="G116" s="109" t="n">
        <f aca="false">Hipótesis!$C$44*(1-Hipótesis!$D$83)</f>
        <v>1540</v>
      </c>
      <c r="H116" s="109" t="n">
        <f aca="false">Hipótesis!$C$44*(1-Hipótesis!$D$83)</f>
        <v>1540</v>
      </c>
      <c r="I116" s="109" t="n">
        <f aca="false">Hipótesis!$C$44*(1-Hipótesis!$D$83)</f>
        <v>1540</v>
      </c>
      <c r="J116" s="109" t="n">
        <f aca="false">Hipótesis!$C$44*(1-Hipótesis!$D$83)</f>
        <v>1540</v>
      </c>
      <c r="K116" s="109" t="n">
        <f aca="false">Hipótesis!$C$44*(1-Hipótesis!$D$83)</f>
        <v>1540</v>
      </c>
      <c r="L116" s="109" t="n">
        <f aca="false">Hipótesis!$C$44*(1-Hipótesis!$D$83)</f>
        <v>1540</v>
      </c>
      <c r="M116" s="109" t="n">
        <f aca="false">Hipótesis!$C$44*(1-Hipótesis!$D$83)</f>
        <v>1540</v>
      </c>
      <c r="N116" s="109" t="n">
        <f aca="false">Hipótesis!$C$44*(1-Hipótesis!$D$83)</f>
        <v>1540</v>
      </c>
      <c r="O116" s="109" t="n">
        <f aca="false">Hipótesis!$D$44*(1-Hipótesis!$D$83)</f>
        <v>2450</v>
      </c>
      <c r="P116" s="109" t="n">
        <f aca="false">Hipótesis!$D$44*(1-Hipótesis!$D$83)</f>
        <v>2450</v>
      </c>
      <c r="Q116" s="109" t="n">
        <f aca="false">Hipótesis!$D$44*(1-Hipótesis!$D$83)</f>
        <v>2450</v>
      </c>
      <c r="R116" s="109" t="n">
        <f aca="false">Hipótesis!$D$44*(1-Hipótesis!$D$83)</f>
        <v>2450</v>
      </c>
      <c r="S116" s="109" t="n">
        <f aca="false">Hipótesis!$D$44*(1-Hipótesis!$D$83)</f>
        <v>2450</v>
      </c>
      <c r="T116" s="109" t="n">
        <f aca="false">Hipótesis!$D$44*(1-Hipótesis!$D$83)</f>
        <v>2450</v>
      </c>
      <c r="U116" s="109" t="n">
        <f aca="false">Hipótesis!$D$44*(1-Hipótesis!$D$83)</f>
        <v>2450</v>
      </c>
      <c r="V116" s="109" t="n">
        <f aca="false">Hipótesis!$D$44*(1-Hipótesis!$D$83)</f>
        <v>2450</v>
      </c>
      <c r="W116" s="109" t="n">
        <f aca="false">Hipótesis!$D$44*(1-Hipótesis!$D$83)</f>
        <v>2450</v>
      </c>
      <c r="X116" s="109" t="n">
        <f aca="false">Hipótesis!$D$44*(1-Hipótesis!$D$83)</f>
        <v>2450</v>
      </c>
      <c r="Y116" s="109" t="n">
        <f aca="false">Hipótesis!$D$44*(1-Hipótesis!$D$83)</f>
        <v>2450</v>
      </c>
      <c r="Z116" s="109" t="n">
        <f aca="false">Hipótesis!$D$44*(1-Hipótesis!$D$83)</f>
        <v>2450</v>
      </c>
      <c r="AA116" s="109" t="n">
        <f aca="false">Hipótesis!$E$44*(1-Hipótesis!$D$83)</f>
        <v>2800</v>
      </c>
      <c r="AB116" s="109" t="n">
        <f aca="false">Hipótesis!$E$44*(1-Hipótesis!$D$83)</f>
        <v>2800</v>
      </c>
      <c r="AC116" s="109" t="n">
        <f aca="false">Hipótesis!$E$44*(1-Hipótesis!$D$83)</f>
        <v>2800</v>
      </c>
      <c r="AD116" s="109" t="n">
        <f aca="false">Hipótesis!$E$44*(1-Hipótesis!$D$83)</f>
        <v>2800</v>
      </c>
      <c r="AE116" s="109" t="n">
        <f aca="false">Hipótesis!$E$44*(1-Hipótesis!$D$83)</f>
        <v>2800</v>
      </c>
      <c r="AF116" s="109" t="n">
        <f aca="false">Hipótesis!$E$44*(1-Hipótesis!$D$83)</f>
        <v>2800</v>
      </c>
      <c r="AG116" s="109" t="n">
        <f aca="false">Hipótesis!$E$44*(1-Hipótesis!$D$83)</f>
        <v>2800</v>
      </c>
      <c r="AH116" s="109" t="n">
        <f aca="false">Hipótesis!$E$44*(1-Hipótesis!$D$83)</f>
        <v>2800</v>
      </c>
      <c r="AI116" s="109" t="n">
        <f aca="false">Hipótesis!$E$44*(1-Hipótesis!$D$83)</f>
        <v>2800</v>
      </c>
      <c r="AJ116" s="109" t="n">
        <f aca="false">Hipótesis!$E$44*(1-Hipótesis!$D$83)</f>
        <v>2800</v>
      </c>
      <c r="AK116" s="109" t="n">
        <f aca="false">Hipótesis!$E$44*(1-Hipótesis!$D$83)</f>
        <v>2800</v>
      </c>
      <c r="AL116" s="109" t="n">
        <f aca="false">Hipótesis!$E$44*(1-Hipótesis!$D$83)</f>
        <v>2800</v>
      </c>
      <c r="AM116" s="109" t="n">
        <f aca="false">Hipótesis!$F$44*(1-Hipótesis!$D$83)</f>
        <v>3150</v>
      </c>
      <c r="AN116" s="109" t="n">
        <f aca="false">Hipótesis!$F$44*(1-Hipótesis!$D$83)</f>
        <v>3150</v>
      </c>
      <c r="AO116" s="109" t="n">
        <f aca="false">Hipótesis!$F$44*(1-Hipótesis!$D$83)</f>
        <v>3150</v>
      </c>
      <c r="AP116" s="109" t="n">
        <f aca="false">Hipótesis!$F$44*(1-Hipótesis!$D$83)</f>
        <v>3150</v>
      </c>
      <c r="AQ116" s="109" t="n">
        <f aca="false">Hipótesis!$F$44*(1-Hipótesis!$D$83)</f>
        <v>3150</v>
      </c>
      <c r="AR116" s="109" t="n">
        <f aca="false">Hipótesis!$F$44*(1-Hipótesis!$D$83)</f>
        <v>3150</v>
      </c>
      <c r="AS116" s="109" t="n">
        <f aca="false">Hipótesis!$F$44*(1-Hipótesis!$D$83)</f>
        <v>3150</v>
      </c>
      <c r="AT116" s="109" t="n">
        <f aca="false">Hipótesis!$F$44*(1-Hipótesis!$D$83)</f>
        <v>3150</v>
      </c>
      <c r="AU116" s="109" t="n">
        <f aca="false">Hipótesis!$F$44*(1-Hipótesis!$D$83)</f>
        <v>3150</v>
      </c>
      <c r="AV116" s="109" t="n">
        <f aca="false">Hipótesis!$F$44*(1-Hipótesis!$D$83)</f>
        <v>3150</v>
      </c>
      <c r="AW116" s="109" t="n">
        <f aca="false">Hipótesis!$F$44*(1-Hipótesis!$D$83)</f>
        <v>3150</v>
      </c>
      <c r="AX116" s="109" t="n">
        <f aca="false">Hipótesis!$F$44*(1-Hipótesis!$D$83)</f>
        <v>3150</v>
      </c>
      <c r="AY116" s="109" t="n">
        <f aca="false">Hipótesis!$G$44*(1-Hipótesis!$D$83)</f>
        <v>3500</v>
      </c>
      <c r="AZ116" s="109" t="n">
        <f aca="false">Hipótesis!$G$44*(1-Hipótesis!$D$83)</f>
        <v>3500</v>
      </c>
      <c r="BA116" s="109" t="n">
        <f aca="false">Hipótesis!$G$44*(1-Hipótesis!$D$83)</f>
        <v>3500</v>
      </c>
      <c r="BB116" s="109" t="n">
        <f aca="false">Hipótesis!$G$44*(1-Hipótesis!$D$83)</f>
        <v>3500</v>
      </c>
      <c r="BC116" s="109" t="n">
        <f aca="false">Hipótesis!$G$44*(1-Hipótesis!$D$83)</f>
        <v>3500</v>
      </c>
      <c r="BD116" s="109" t="n">
        <f aca="false">Hipótesis!$G$44*(1-Hipótesis!$D$83)</f>
        <v>3500</v>
      </c>
      <c r="BE116" s="109" t="n">
        <f aca="false">Hipótesis!$G$44*(1-Hipótesis!$D$83)</f>
        <v>3500</v>
      </c>
      <c r="BF116" s="109" t="n">
        <f aca="false">Hipótesis!$G$44*(1-Hipótesis!$D$83)</f>
        <v>3500</v>
      </c>
      <c r="BG116" s="109" t="n">
        <f aca="false">Hipótesis!$G$44*(1-Hipótesis!$D$83)</f>
        <v>3500</v>
      </c>
      <c r="BH116" s="109" t="n">
        <f aca="false">Hipótesis!$G$44*(1-Hipótesis!$D$83)</f>
        <v>3500</v>
      </c>
      <c r="BI116" s="109" t="n">
        <f aca="false">Hipótesis!$G$44*(1-Hipótesis!$D$83)</f>
        <v>3500</v>
      </c>
      <c r="BJ116" s="109" t="n">
        <f aca="false">Hipótesis!$G$44*(1-Hipótesis!$D$83)</f>
        <v>3500</v>
      </c>
      <c r="BK116" s="109" t="n">
        <f aca="false">Hipótesis!$H$44*(1-Hipótesis!$D$83)</f>
        <v>3850</v>
      </c>
      <c r="BL116" s="109" t="n">
        <f aca="false">Hipótesis!$H$44*(1-Hipótesis!$D$83)</f>
        <v>3850</v>
      </c>
      <c r="BM116" s="109" t="n">
        <f aca="false">Hipótesis!$H$44*(1-Hipótesis!$D$83)</f>
        <v>3850</v>
      </c>
      <c r="BN116" s="109" t="n">
        <f aca="false">Hipótesis!$H$44*(1-Hipótesis!$D$83)</f>
        <v>3850</v>
      </c>
      <c r="BO116" s="109" t="n">
        <f aca="false">Hipótesis!$H$44*(1-Hipótesis!$D$83)</f>
        <v>3850</v>
      </c>
      <c r="BP116" s="109" t="n">
        <f aca="false">Hipótesis!$H$44*(1-Hipótesis!$D$83)</f>
        <v>3850</v>
      </c>
      <c r="BQ116" s="109" t="n">
        <f aca="false">Hipótesis!$H$44*(1-Hipótesis!$D$83)</f>
        <v>3850</v>
      </c>
      <c r="BR116" s="109" t="n">
        <f aca="false">Hipótesis!$H$44*(1-Hipótesis!$D$83)</f>
        <v>3850</v>
      </c>
      <c r="BS116" s="109" t="n">
        <f aca="false">Hipótesis!$H$44*(1-Hipótesis!$D$83)</f>
        <v>3850</v>
      </c>
      <c r="BT116" s="109" t="n">
        <f aca="false">Hipótesis!$H$44*(1-Hipótesis!$D$83)</f>
        <v>3850</v>
      </c>
      <c r="BU116" s="109" t="n">
        <f aca="false">Hipótesis!$H$44*(1-Hipótesis!$D$83)</f>
        <v>3850</v>
      </c>
      <c r="BV116" s="109" t="n">
        <f aca="false">Hipótesis!$H$44*(1-Hipótesis!$D$83)</f>
        <v>3850</v>
      </c>
      <c r="BW116" s="109" t="n">
        <f aca="false">Hipótesis!$I$44*(1-Hipótesis!$D$83)</f>
        <v>4200</v>
      </c>
      <c r="BX116" s="109" t="n">
        <f aca="false">Hipótesis!$I$44*(1-Hipótesis!$D$83)</f>
        <v>4200</v>
      </c>
      <c r="BY116" s="109" t="n">
        <f aca="false">Hipótesis!$I$44*(1-Hipótesis!$D$83)</f>
        <v>4200</v>
      </c>
      <c r="BZ116" s="109" t="n">
        <f aca="false">Hipótesis!$I$44*(1-Hipótesis!$D$83)</f>
        <v>4200</v>
      </c>
      <c r="CA116" s="109" t="n">
        <f aca="false">Hipótesis!$I$44*(1-Hipótesis!$D$83)</f>
        <v>4200</v>
      </c>
      <c r="CB116" s="109" t="n">
        <f aca="false">Hipótesis!$I$44*(1-Hipótesis!$D$83)</f>
        <v>4200</v>
      </c>
      <c r="CC116" s="109" t="n">
        <f aca="false">Hipótesis!$I$44*(1-Hipótesis!$D$83)</f>
        <v>4200</v>
      </c>
      <c r="CD116" s="109" t="n">
        <f aca="false">Hipótesis!$I$44*(1-Hipótesis!$D$83)</f>
        <v>4200</v>
      </c>
      <c r="CE116" s="109" t="n">
        <f aca="false">Hipótesis!$I$44*(1-Hipótesis!$D$83)</f>
        <v>4200</v>
      </c>
      <c r="CF116" s="109" t="n">
        <f aca="false">Hipótesis!$I$44*(1-Hipótesis!$D$83)</f>
        <v>4200</v>
      </c>
      <c r="CG116" s="109" t="n">
        <f aca="false">Hipótesis!$I$44*(1-Hipótesis!$D$83)</f>
        <v>4200</v>
      </c>
      <c r="CH116" s="109" t="n">
        <f aca="false">Hipótesis!$I$44*(1-Hipótesis!$D$83)</f>
        <v>4200</v>
      </c>
    </row>
    <row r="117" customFormat="false" ht="13.5" hidden="false" customHeight="true" outlineLevel="0" collapsed="false">
      <c r="A117" s="6" t="s">
        <v>614</v>
      </c>
      <c r="C117" s="109" t="n">
        <f aca="false">-C84*Hipótesis!$D$82*(1-Hipótesis!$D$84)</f>
        <v>0</v>
      </c>
      <c r="D117" s="109" t="n">
        <f aca="false">-D84*Hipótesis!$D$82*(1-Hipótesis!$D$84)</f>
        <v>0</v>
      </c>
      <c r="E117" s="109" t="n">
        <f aca="false">-E84*Hipótesis!$D$82*(1-Hipótesis!$D$84)</f>
        <v>0</v>
      </c>
      <c r="F117" s="109" t="n">
        <f aca="false">-F84*Hipótesis!$D$82*(1-Hipótesis!$D$84)</f>
        <v>0</v>
      </c>
      <c r="G117" s="109" t="n">
        <f aca="false">-G84*Hipótesis!$D$82*(1-Hipótesis!$D$84)</f>
        <v>0</v>
      </c>
      <c r="H117" s="109" t="n">
        <f aca="false">-H84*Hipótesis!$D$82*(1-Hipótesis!$D$84)</f>
        <v>0</v>
      </c>
      <c r="I117" s="109" t="n">
        <f aca="false">-I84*Hipótesis!$D$82*(1-Hipótesis!$D$84)</f>
        <v>0</v>
      </c>
      <c r="J117" s="109" t="n">
        <f aca="false">-J84*Hipótesis!$D$82*(1-Hipótesis!$D$84)</f>
        <v>0</v>
      </c>
      <c r="K117" s="109" t="n">
        <f aca="false">-K84*Hipótesis!$D$82*(1-Hipótesis!$D$84)</f>
        <v>0</v>
      </c>
      <c r="L117" s="109" t="n">
        <f aca="false">-L84*Hipótesis!$D$82*(1-Hipótesis!$D$84)</f>
        <v>0</v>
      </c>
      <c r="M117" s="109" t="n">
        <f aca="false">-M84*Hipótesis!$D$82*(1-Hipótesis!$D$84)</f>
        <v>0</v>
      </c>
      <c r="N117" s="109" t="n">
        <f aca="false">-N84*Hipótesis!$D$82*(1-Hipótesis!$D$84)</f>
        <v>0</v>
      </c>
      <c r="O117" s="109" t="n">
        <f aca="false">-O84*Hipótesis!$D$82*(1-Hipótesis!$D$84)</f>
        <v>0</v>
      </c>
      <c r="P117" s="109" t="n">
        <f aca="false">-P84*Hipótesis!$D$82*(1-Hipótesis!$D$84)</f>
        <v>0</v>
      </c>
      <c r="Q117" s="109" t="n">
        <f aca="false">-Q84*Hipótesis!$D$82*(1-Hipótesis!$D$84)</f>
        <v>0</v>
      </c>
      <c r="R117" s="109" t="n">
        <f aca="false">-R84*Hipótesis!$D$82*(1-Hipótesis!$D$84)</f>
        <v>0</v>
      </c>
      <c r="S117" s="109" t="n">
        <f aca="false">-S84*Hipótesis!$D$82*(1-Hipótesis!$D$84)</f>
        <v>0</v>
      </c>
      <c r="T117" s="109" t="n">
        <f aca="false">-T84*Hipótesis!$D$82*(1-Hipótesis!$D$84)</f>
        <v>0</v>
      </c>
      <c r="U117" s="109" t="n">
        <f aca="false">-U84*Hipótesis!$D$82*(1-Hipótesis!$D$84)</f>
        <v>0</v>
      </c>
      <c r="V117" s="109" t="n">
        <f aca="false">-V84*Hipótesis!$D$82*(1-Hipótesis!$D$84)</f>
        <v>0</v>
      </c>
      <c r="W117" s="109" t="n">
        <f aca="false">-W84*Hipótesis!$D$82*(1-Hipótesis!$D$84)</f>
        <v>0</v>
      </c>
      <c r="X117" s="109" t="n">
        <f aca="false">-X84*Hipótesis!$D$82*(1-Hipótesis!$D$84)</f>
        <v>0</v>
      </c>
      <c r="Y117" s="109" t="n">
        <f aca="false">-Y84*Hipótesis!$D$82*(1-Hipótesis!$D$84)</f>
        <v>0</v>
      </c>
      <c r="Z117" s="109" t="n">
        <f aca="false">-Z84*Hipótesis!$D$82*(1-Hipótesis!$D$84)</f>
        <v>0</v>
      </c>
      <c r="AA117" s="109" t="n">
        <f aca="false">-AA84*Hipótesis!$D$82*(1-Hipótesis!$D$84)</f>
        <v>0</v>
      </c>
      <c r="AB117" s="109" t="n">
        <f aca="false">-AB84*Hipótesis!$D$82*(1-Hipótesis!$D$84)</f>
        <v>0</v>
      </c>
      <c r="AC117" s="109" t="n">
        <f aca="false">-AC84*Hipótesis!$D$82*(1-Hipótesis!$D$84)</f>
        <v>0</v>
      </c>
      <c r="AD117" s="109" t="n">
        <f aca="false">-AD84*Hipótesis!$D$82*(1-Hipótesis!$D$84)</f>
        <v>0</v>
      </c>
      <c r="AE117" s="109" t="n">
        <f aca="false">-AE84*Hipótesis!$D$82*(1-Hipótesis!$D$84)</f>
        <v>0</v>
      </c>
      <c r="AF117" s="109" t="n">
        <f aca="false">-AF84*Hipótesis!$D$82*(1-Hipótesis!$D$84)</f>
        <v>0</v>
      </c>
      <c r="AG117" s="109" t="n">
        <f aca="false">-AG84*Hipótesis!$D$82*(1-Hipótesis!$D$84)</f>
        <v>0</v>
      </c>
      <c r="AH117" s="109" t="n">
        <f aca="false">-AH84*Hipótesis!$D$82*(1-Hipótesis!$D$84)</f>
        <v>0</v>
      </c>
      <c r="AI117" s="109" t="n">
        <f aca="false">-AI84*Hipótesis!$D$82*(1-Hipótesis!$D$84)</f>
        <v>0</v>
      </c>
      <c r="AJ117" s="109" t="n">
        <f aca="false">-AJ84*Hipótesis!$D$82*(1-Hipótesis!$D$84)</f>
        <v>0</v>
      </c>
      <c r="AK117" s="109" t="n">
        <f aca="false">-AK84*Hipótesis!$D$82*(1-Hipótesis!$D$84)</f>
        <v>0</v>
      </c>
      <c r="AL117" s="109" t="n">
        <f aca="false">-AL84*Hipótesis!$D$82*(1-Hipótesis!$D$84)</f>
        <v>0</v>
      </c>
      <c r="AM117" s="109" t="n">
        <f aca="false">-AM84*Hipótesis!$D$82*(1-Hipótesis!$D$84)</f>
        <v>0</v>
      </c>
      <c r="AN117" s="109" t="n">
        <f aca="false">-AN84*Hipótesis!$D$82*(1-Hipótesis!$D$84)</f>
        <v>0</v>
      </c>
      <c r="AO117" s="109" t="n">
        <f aca="false">-AO84*Hipótesis!$D$82*(1-Hipótesis!$D$84)</f>
        <v>0</v>
      </c>
      <c r="AP117" s="109" t="n">
        <f aca="false">-AP84*Hipótesis!$D$82*(1-Hipótesis!$D$84)</f>
        <v>0</v>
      </c>
      <c r="AQ117" s="109" t="n">
        <f aca="false">-AQ84*Hipótesis!$D$82*(1-Hipótesis!$D$84)</f>
        <v>0</v>
      </c>
      <c r="AR117" s="109" t="n">
        <f aca="false">-AR84*Hipótesis!$D$82*(1-Hipótesis!$D$84)</f>
        <v>0</v>
      </c>
      <c r="AS117" s="109" t="n">
        <f aca="false">-AS84*Hipótesis!$D$82*(1-Hipótesis!$D$84)</f>
        <v>0</v>
      </c>
      <c r="AT117" s="109" t="n">
        <f aca="false">-AT84*Hipótesis!$D$82*(1-Hipótesis!$D$84)</f>
        <v>0</v>
      </c>
      <c r="AU117" s="109" t="n">
        <f aca="false">-AU84*Hipótesis!$D$82*(1-Hipótesis!$D$84)</f>
        <v>0</v>
      </c>
      <c r="AV117" s="109" t="n">
        <f aca="false">-AV84*Hipótesis!$D$82*(1-Hipótesis!$D$84)</f>
        <v>0</v>
      </c>
      <c r="AW117" s="109" t="n">
        <f aca="false">-AW84*Hipótesis!$D$82*(1-Hipótesis!$D$84)</f>
        <v>0</v>
      </c>
      <c r="AX117" s="109" t="n">
        <f aca="false">-AX84*Hipótesis!$D$82*(1-Hipótesis!$D$84)</f>
        <v>0</v>
      </c>
      <c r="AY117" s="109" t="n">
        <f aca="false">-AY84*Hipótesis!$D$82*(1-Hipótesis!$D$84)</f>
        <v>0</v>
      </c>
      <c r="AZ117" s="109" t="n">
        <f aca="false">-AZ84*Hipótesis!$D$82*(1-Hipótesis!$D$84)</f>
        <v>0</v>
      </c>
      <c r="BA117" s="109" t="n">
        <f aca="false">-BA84*Hipótesis!$D$82*(1-Hipótesis!$D$84)</f>
        <v>0</v>
      </c>
      <c r="BB117" s="109" t="n">
        <f aca="false">-BB84*Hipótesis!$D$82*(1-Hipótesis!$D$84)</f>
        <v>0</v>
      </c>
      <c r="BC117" s="109" t="n">
        <f aca="false">-BC84*Hipótesis!$D$82*(1-Hipótesis!$D$84)</f>
        <v>0</v>
      </c>
      <c r="BD117" s="109" t="n">
        <f aca="false">-BD84*Hipótesis!$D$82*(1-Hipótesis!$D$84)</f>
        <v>0</v>
      </c>
      <c r="BE117" s="109" t="n">
        <f aca="false">-BE84*Hipótesis!$D$82*(1-Hipótesis!$D$84)</f>
        <v>0</v>
      </c>
      <c r="BF117" s="109" t="n">
        <f aca="false">-BF84*Hipótesis!$D$82*(1-Hipótesis!$D$84)</f>
        <v>0</v>
      </c>
      <c r="BG117" s="109" t="n">
        <f aca="false">-BG84*Hipótesis!$D$82*(1-Hipótesis!$D$84)</f>
        <v>0</v>
      </c>
      <c r="BH117" s="109" t="n">
        <f aca="false">-BH84*Hipótesis!$D$82*(1-Hipótesis!$D$84)</f>
        <v>0</v>
      </c>
      <c r="BI117" s="109" t="n">
        <f aca="false">-BI84*Hipótesis!$D$82*(1-Hipótesis!$D$84)</f>
        <v>0</v>
      </c>
      <c r="BJ117" s="109" t="n">
        <f aca="false">-BJ84*Hipótesis!$D$82*(1-Hipótesis!$D$84)</f>
        <v>0</v>
      </c>
      <c r="BK117" s="109" t="n">
        <f aca="false">-BK84*Hipótesis!$D$82*(1-Hipótesis!$D$84)</f>
        <v>0</v>
      </c>
      <c r="BL117" s="109" t="n">
        <f aca="false">-BL84*Hipótesis!$D$82*(1-Hipótesis!$D$84)</f>
        <v>0</v>
      </c>
      <c r="BM117" s="109" t="n">
        <f aca="false">-BM84*Hipótesis!$D$82*(1-Hipótesis!$D$84)</f>
        <v>0</v>
      </c>
      <c r="BN117" s="109" t="n">
        <f aca="false">-BN84*Hipótesis!$D$82*(1-Hipótesis!$D$84)</f>
        <v>0</v>
      </c>
      <c r="BO117" s="109" t="n">
        <f aca="false">-BO84*Hipótesis!$D$82*(1-Hipótesis!$D$84)</f>
        <v>0</v>
      </c>
      <c r="BP117" s="109" t="n">
        <f aca="false">-BP84*Hipótesis!$D$82*(1-Hipótesis!$D$84)</f>
        <v>0</v>
      </c>
      <c r="BQ117" s="109" t="n">
        <f aca="false">-BQ84*Hipótesis!$D$82*(1-Hipótesis!$D$84)</f>
        <v>0</v>
      </c>
      <c r="BR117" s="109" t="n">
        <f aca="false">-BR84*Hipótesis!$D$82*(1-Hipótesis!$D$84)</f>
        <v>0</v>
      </c>
      <c r="BS117" s="109" t="n">
        <f aca="false">-BS84*Hipótesis!$D$82*(1-Hipótesis!$D$84)</f>
        <v>0</v>
      </c>
      <c r="BT117" s="109" t="n">
        <f aca="false">-BT84*Hipótesis!$D$82*(1-Hipótesis!$D$84)</f>
        <v>0</v>
      </c>
      <c r="BU117" s="109" t="n">
        <f aca="false">-BU84*Hipótesis!$D$82*(1-Hipótesis!$D$84)</f>
        <v>0</v>
      </c>
      <c r="BV117" s="109" t="n">
        <f aca="false">-BV84*Hipótesis!$D$82*(1-Hipótesis!$D$84)</f>
        <v>0</v>
      </c>
      <c r="BW117" s="109" t="n">
        <f aca="false">-BW84*Hipótesis!$D$82*(1-Hipótesis!$D$84)</f>
        <v>0</v>
      </c>
      <c r="BX117" s="109" t="n">
        <f aca="false">-BX84*Hipótesis!$D$82*(1-Hipótesis!$D$84)</f>
        <v>0</v>
      </c>
      <c r="BY117" s="109" t="n">
        <f aca="false">-BY84*Hipótesis!$D$82*(1-Hipótesis!$D$84)</f>
        <v>0</v>
      </c>
      <c r="BZ117" s="109" t="n">
        <f aca="false">-BZ84*Hipótesis!$D$82*(1-Hipótesis!$D$84)</f>
        <v>0</v>
      </c>
      <c r="CA117" s="109" t="n">
        <f aca="false">-CA84*Hipótesis!$D$82*(1-Hipótesis!$D$84)</f>
        <v>0</v>
      </c>
      <c r="CB117" s="109" t="n">
        <f aca="false">-CB84*Hipótesis!$D$82*(1-Hipótesis!$D$84)</f>
        <v>0</v>
      </c>
      <c r="CC117" s="109" t="n">
        <f aca="false">-CC84*Hipótesis!$D$82*(1-Hipótesis!$D$84)</f>
        <v>0</v>
      </c>
      <c r="CD117" s="109" t="n">
        <f aca="false">-CD84*Hipótesis!$D$82*(1-Hipótesis!$D$84)</f>
        <v>0</v>
      </c>
      <c r="CE117" s="109" t="n">
        <f aca="false">-CE84*Hipótesis!$D$82*(1-Hipótesis!$D$84)</f>
        <v>0</v>
      </c>
      <c r="CF117" s="109" t="n">
        <f aca="false">-CF84*Hipótesis!$D$82*(1-Hipótesis!$D$84)</f>
        <v>0</v>
      </c>
      <c r="CG117" s="109" t="n">
        <f aca="false">-CG84*Hipótesis!$D$82*(1-Hipótesis!$D$84)</f>
        <v>0</v>
      </c>
      <c r="CH117" s="109" t="n">
        <f aca="false">-CH84*Hipótesis!$D$82*(1-Hipótesis!$D$84)</f>
        <v>0</v>
      </c>
    </row>
    <row r="118" customFormat="false" ht="13.5" hidden="false" customHeight="true" outlineLevel="0" collapsed="false">
      <c r="A118" s="22" t="s">
        <v>615</v>
      </c>
      <c r="C118" s="109" t="n">
        <f aca="false">C116+C117</f>
        <v>1540</v>
      </c>
      <c r="D118" s="109" t="n">
        <f aca="false">D116+D117</f>
        <v>1540</v>
      </c>
      <c r="E118" s="109" t="n">
        <f aca="false">E116+E117</f>
        <v>1540</v>
      </c>
      <c r="F118" s="109" t="n">
        <f aca="false">F116+F117</f>
        <v>1540</v>
      </c>
      <c r="G118" s="109" t="n">
        <f aca="false">G116+G117</f>
        <v>1540</v>
      </c>
      <c r="H118" s="109" t="n">
        <f aca="false">H116+H117</f>
        <v>1540</v>
      </c>
      <c r="I118" s="109" t="n">
        <f aca="false">I116+I117</f>
        <v>1540</v>
      </c>
      <c r="J118" s="109" t="n">
        <f aca="false">J116+J117</f>
        <v>1540</v>
      </c>
      <c r="K118" s="109" t="n">
        <f aca="false">K116+K117</f>
        <v>1540</v>
      </c>
      <c r="L118" s="109" t="n">
        <f aca="false">L116+L117</f>
        <v>1540</v>
      </c>
      <c r="M118" s="109" t="n">
        <f aca="false">M116+M117</f>
        <v>1540</v>
      </c>
      <c r="N118" s="109" t="n">
        <f aca="false">N116+N117</f>
        <v>1540</v>
      </c>
      <c r="O118" s="109" t="n">
        <f aca="false">O116+O117</f>
        <v>2450</v>
      </c>
      <c r="P118" s="109" t="n">
        <f aca="false">P116+P117</f>
        <v>2450</v>
      </c>
      <c r="Q118" s="109" t="n">
        <f aca="false">Q116+Q117</f>
        <v>2450</v>
      </c>
      <c r="R118" s="109" t="n">
        <f aca="false">R116+R117</f>
        <v>2450</v>
      </c>
      <c r="S118" s="109" t="n">
        <f aca="false">S116+S117</f>
        <v>2450</v>
      </c>
      <c r="T118" s="109" t="n">
        <f aca="false">T116+T117</f>
        <v>2450</v>
      </c>
      <c r="U118" s="109" t="n">
        <f aca="false">U116+U117</f>
        <v>2450</v>
      </c>
      <c r="V118" s="109" t="n">
        <f aca="false">V116+V117</f>
        <v>2450</v>
      </c>
      <c r="W118" s="109" t="n">
        <f aca="false">W116+W117</f>
        <v>2450</v>
      </c>
      <c r="X118" s="109" t="n">
        <f aca="false">X116+X117</f>
        <v>2450</v>
      </c>
      <c r="Y118" s="109" t="n">
        <f aca="false">Y116+Y117</f>
        <v>2450</v>
      </c>
      <c r="Z118" s="109" t="n">
        <f aca="false">Z116+Z117</f>
        <v>2450</v>
      </c>
      <c r="AA118" s="109" t="n">
        <f aca="false">AA116+AA117</f>
        <v>2800</v>
      </c>
      <c r="AB118" s="109" t="n">
        <f aca="false">AB116+AB117</f>
        <v>2800</v>
      </c>
      <c r="AC118" s="109" t="n">
        <f aca="false">AC116+AC117</f>
        <v>2800</v>
      </c>
      <c r="AD118" s="109" t="n">
        <f aca="false">AD116+AD117</f>
        <v>2800</v>
      </c>
      <c r="AE118" s="109" t="n">
        <f aca="false">AE116+AE117</f>
        <v>2800</v>
      </c>
      <c r="AF118" s="109" t="n">
        <f aca="false">AF116+AF117</f>
        <v>2800</v>
      </c>
      <c r="AG118" s="109" t="n">
        <f aca="false">AG116+AG117</f>
        <v>2800</v>
      </c>
      <c r="AH118" s="109" t="n">
        <f aca="false">AH116+AH117</f>
        <v>2800</v>
      </c>
      <c r="AI118" s="109" t="n">
        <f aca="false">AI116+AI117</f>
        <v>2800</v>
      </c>
      <c r="AJ118" s="109" t="n">
        <f aca="false">AJ116+AJ117</f>
        <v>2800</v>
      </c>
      <c r="AK118" s="109" t="n">
        <f aca="false">AK116+AK117</f>
        <v>2800</v>
      </c>
      <c r="AL118" s="109" t="n">
        <f aca="false">AL116+AL117</f>
        <v>2800</v>
      </c>
      <c r="AM118" s="109" t="n">
        <f aca="false">AM116+AM117</f>
        <v>3150</v>
      </c>
      <c r="AN118" s="109" t="n">
        <f aca="false">AN116+AN117</f>
        <v>3150</v>
      </c>
      <c r="AO118" s="109" t="n">
        <f aca="false">AO116+AO117</f>
        <v>3150</v>
      </c>
      <c r="AP118" s="109" t="n">
        <f aca="false">AP116+AP117</f>
        <v>3150</v>
      </c>
      <c r="AQ118" s="109" t="n">
        <f aca="false">AQ116+AQ117</f>
        <v>3150</v>
      </c>
      <c r="AR118" s="109" t="n">
        <f aca="false">AR116+AR117</f>
        <v>3150</v>
      </c>
      <c r="AS118" s="109" t="n">
        <f aca="false">AS116+AS117</f>
        <v>3150</v>
      </c>
      <c r="AT118" s="109" t="n">
        <f aca="false">AT116+AT117</f>
        <v>3150</v>
      </c>
      <c r="AU118" s="109" t="n">
        <f aca="false">AU116+AU117</f>
        <v>3150</v>
      </c>
      <c r="AV118" s="109" t="n">
        <f aca="false">AV116+AV117</f>
        <v>3150</v>
      </c>
      <c r="AW118" s="109" t="n">
        <f aca="false">AW116+AW117</f>
        <v>3150</v>
      </c>
      <c r="AX118" s="109" t="n">
        <f aca="false">AX116+AX117</f>
        <v>3150</v>
      </c>
      <c r="AY118" s="109" t="n">
        <f aca="false">AY116+AY117</f>
        <v>3500</v>
      </c>
      <c r="AZ118" s="109" t="n">
        <f aca="false">AZ116+AZ117</f>
        <v>3500</v>
      </c>
      <c r="BA118" s="109" t="n">
        <f aca="false">BA116+BA117</f>
        <v>3500</v>
      </c>
      <c r="BB118" s="109" t="n">
        <f aca="false">BB116+BB117</f>
        <v>3500</v>
      </c>
      <c r="BC118" s="109" t="n">
        <f aca="false">BC116+BC117</f>
        <v>3500</v>
      </c>
      <c r="BD118" s="109" t="n">
        <f aca="false">BD116+BD117</f>
        <v>3500</v>
      </c>
      <c r="BE118" s="109" t="n">
        <f aca="false">BE116+BE117</f>
        <v>3500</v>
      </c>
      <c r="BF118" s="109" t="n">
        <f aca="false">BF116+BF117</f>
        <v>3500</v>
      </c>
      <c r="BG118" s="109" t="n">
        <f aca="false">BG116+BG117</f>
        <v>3500</v>
      </c>
      <c r="BH118" s="109" t="n">
        <f aca="false">BH116+BH117</f>
        <v>3500</v>
      </c>
      <c r="BI118" s="109" t="n">
        <f aca="false">BI116+BI117</f>
        <v>3500</v>
      </c>
      <c r="BJ118" s="109" t="n">
        <f aca="false">BJ116+BJ117</f>
        <v>3500</v>
      </c>
      <c r="BK118" s="109" t="n">
        <f aca="false">BK116+BK117</f>
        <v>3850</v>
      </c>
      <c r="BL118" s="109" t="n">
        <f aca="false">BL116+BL117</f>
        <v>3850</v>
      </c>
      <c r="BM118" s="109" t="n">
        <f aca="false">BM116+BM117</f>
        <v>3850</v>
      </c>
      <c r="BN118" s="109" t="n">
        <f aca="false">BN116+BN117</f>
        <v>3850</v>
      </c>
      <c r="BO118" s="109" t="n">
        <f aca="false">BO116+BO117</f>
        <v>3850</v>
      </c>
      <c r="BP118" s="109" t="n">
        <f aca="false">BP116+BP117</f>
        <v>3850</v>
      </c>
      <c r="BQ118" s="109" t="n">
        <f aca="false">BQ116+BQ117</f>
        <v>3850</v>
      </c>
      <c r="BR118" s="109" t="n">
        <f aca="false">BR116+BR117</f>
        <v>3850</v>
      </c>
      <c r="BS118" s="109" t="n">
        <f aca="false">BS116+BS117</f>
        <v>3850</v>
      </c>
      <c r="BT118" s="109" t="n">
        <f aca="false">BT116+BT117</f>
        <v>3850</v>
      </c>
      <c r="BU118" s="109" t="n">
        <f aca="false">BU116+BU117</f>
        <v>3850</v>
      </c>
      <c r="BV118" s="109" t="n">
        <f aca="false">BV116+BV117</f>
        <v>3850</v>
      </c>
      <c r="BW118" s="109" t="n">
        <f aca="false">BW116+BW117</f>
        <v>4200</v>
      </c>
      <c r="BX118" s="109" t="n">
        <f aca="false">BX116+BX117</f>
        <v>4200</v>
      </c>
      <c r="BY118" s="109" t="n">
        <f aca="false">BY116+BY117</f>
        <v>4200</v>
      </c>
      <c r="BZ118" s="109" t="n">
        <f aca="false">BZ116+BZ117</f>
        <v>4200</v>
      </c>
      <c r="CA118" s="109" t="n">
        <f aca="false">CA116+CA117</f>
        <v>4200</v>
      </c>
      <c r="CB118" s="109" t="n">
        <f aca="false">CB116+CB117</f>
        <v>4200</v>
      </c>
      <c r="CC118" s="109" t="n">
        <f aca="false">CC116+CC117</f>
        <v>4200</v>
      </c>
      <c r="CD118" s="109" t="n">
        <f aca="false">CD116+CD117</f>
        <v>4200</v>
      </c>
      <c r="CE118" s="109" t="n">
        <f aca="false">CE116+CE117</f>
        <v>4200</v>
      </c>
      <c r="CF118" s="109" t="n">
        <f aca="false">CF116+CF117</f>
        <v>4200</v>
      </c>
      <c r="CG118" s="109" t="n">
        <f aca="false">CG116+CG117</f>
        <v>4200</v>
      </c>
      <c r="CH118" s="109" t="n">
        <f aca="false">CH116+CH117</f>
        <v>4200</v>
      </c>
    </row>
    <row r="119" customFormat="false" ht="13.5" hidden="false" customHeight="true" outlineLevel="0" collapsed="false"/>
    <row r="120" customFormat="false" ht="12.75" hidden="false" customHeight="true" outlineLevel="0" collapsed="false">
      <c r="A120" s="9" t="s">
        <v>616</v>
      </c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  <c r="BP120" s="9"/>
      <c r="BQ120" s="9"/>
      <c r="BR120" s="9"/>
      <c r="BS120" s="9"/>
      <c r="BT120" s="9"/>
      <c r="BU120" s="9"/>
      <c r="BV120" s="9"/>
      <c r="BW120" s="9"/>
      <c r="BX120" s="9"/>
      <c r="BY120" s="9"/>
      <c r="BZ120" s="9"/>
      <c r="CA120" s="9"/>
      <c r="CB120" s="9"/>
      <c r="CC120" s="9"/>
      <c r="CD120" s="9"/>
      <c r="CE120" s="9"/>
      <c r="CF120" s="9"/>
      <c r="CG120" s="9"/>
      <c r="CH120" s="9"/>
    </row>
    <row r="121" customFormat="false" ht="12.75" hidden="false" customHeight="true" outlineLevel="0" collapsed="false">
      <c r="A121" s="22" t="s">
        <v>617</v>
      </c>
      <c r="B121" s="121" t="n">
        <f aca="false">-Hipótesis!$D$93</f>
        <v>-100000</v>
      </c>
      <c r="C121" s="121" t="n">
        <f aca="false">C93+IF(Hipótesis!$D$94=5,IF(C$3=Hipótesis!$D$124,$C$158,0),IF(C$3=84,$C$134,0))</f>
        <v>0</v>
      </c>
      <c r="D121" s="121" t="n">
        <f aca="false">D93+IF(Hipótesis!$D$94=5,IF(D$3=Hipótesis!$D$124,$C$158,0),IF(D$3=84,$C$134,0))</f>
        <v>0</v>
      </c>
      <c r="E121" s="121" t="n">
        <f aca="false">E93+IF(Hipótesis!$D$94=5,IF(E$3=Hipótesis!$D$124,$C$158,0),IF(E$3=84,$C$134,0))</f>
        <v>0</v>
      </c>
      <c r="F121" s="121" t="n">
        <f aca="false">F93+IF(Hipótesis!$D$94=5,IF(F$3=Hipótesis!$D$124,$C$158,0),IF(F$3=84,$C$134,0))</f>
        <v>0</v>
      </c>
      <c r="G121" s="121" t="n">
        <f aca="false">G93+IF(Hipótesis!$D$94=5,IF(G$3=Hipótesis!$D$124,$C$158,0),IF(G$3=84,$C$134,0))</f>
        <v>0</v>
      </c>
      <c r="H121" s="121" t="n">
        <f aca="false">H93+IF(Hipótesis!$D$94=5,IF(H$3=Hipótesis!$D$124,$C$158,0),IF(H$3=84,$C$134,0))</f>
        <v>0</v>
      </c>
      <c r="I121" s="121" t="n">
        <f aca="false">I93+IF(Hipótesis!$D$94=5,IF(I$3=Hipótesis!$D$124,$C$158,0),IF(I$3=84,$C$134,0))</f>
        <v>0</v>
      </c>
      <c r="J121" s="121" t="n">
        <f aca="false">J93+IF(Hipótesis!$D$94=5,IF(J$3=Hipótesis!$D$124,$C$158,0),IF(J$3=84,$C$134,0))</f>
        <v>0</v>
      </c>
      <c r="K121" s="121" t="n">
        <f aca="false">K93+IF(Hipótesis!$D$94=5,IF(K$3=Hipótesis!$D$124,$C$158,0),IF(K$3=84,$C$134,0))</f>
        <v>0</v>
      </c>
      <c r="L121" s="121" t="n">
        <f aca="false">L93+IF(Hipótesis!$D$94=5,IF(L$3=Hipótesis!$D$124,$C$158,0),IF(L$3=84,$C$134,0))</f>
        <v>0</v>
      </c>
      <c r="M121" s="121" t="n">
        <f aca="false">M93+IF(Hipótesis!$D$94=5,IF(M$3=Hipótesis!$D$124,$C$158,0),IF(M$3=84,$C$134,0))</f>
        <v>0</v>
      </c>
      <c r="N121" s="121" t="n">
        <f aca="false">N93+IF(Hipótesis!$D$94=5,IF(N$3=Hipótesis!$D$124,$C$158,0),IF(N$3=84,$C$134,0))</f>
        <v>0</v>
      </c>
      <c r="O121" s="121" t="n">
        <f aca="false">O93+IF(Hipótesis!$D$94=5,IF(O$3=Hipótesis!$D$124,$C$158,0),IF(O$3=84,$C$134,0))</f>
        <v>0</v>
      </c>
      <c r="P121" s="121" t="n">
        <f aca="false">P93+IF(Hipótesis!$D$94=5,IF(P$3=Hipótesis!$D$124,$C$158,0),IF(P$3=84,$C$134,0))</f>
        <v>0</v>
      </c>
      <c r="Q121" s="121" t="n">
        <f aca="false">Q93+IF(Hipótesis!$D$94=5,IF(Q$3=Hipótesis!$D$124,$C$158,0),IF(Q$3=84,$C$134,0))</f>
        <v>0</v>
      </c>
      <c r="R121" s="121" t="n">
        <f aca="false">R93+IF(Hipótesis!$D$94=5,IF(R$3=Hipótesis!$D$124,$C$158,0),IF(R$3=84,$C$134,0))</f>
        <v>0</v>
      </c>
      <c r="S121" s="121" t="n">
        <f aca="false">S93+IF(Hipótesis!$D$94=5,IF(S$3=Hipótesis!$D$124,$C$158,0),IF(S$3=84,$C$134,0))</f>
        <v>0</v>
      </c>
      <c r="T121" s="121" t="n">
        <f aca="false">T93+IF(Hipótesis!$D$94=5,IF(T$3=Hipótesis!$D$124,$C$158,0),IF(T$3=84,$C$134,0))</f>
        <v>0</v>
      </c>
      <c r="U121" s="121" t="n">
        <f aca="false">U93+IF(Hipótesis!$D$94=5,IF(U$3=Hipótesis!$D$124,$C$158,0),IF(U$3=84,$C$134,0))</f>
        <v>0</v>
      </c>
      <c r="V121" s="121" t="n">
        <f aca="false">V93+IF(Hipótesis!$D$94=5,IF(V$3=Hipótesis!$D$124,$C$158,0),IF(V$3=84,$C$134,0))</f>
        <v>0</v>
      </c>
      <c r="W121" s="121" t="n">
        <f aca="false">W93+IF(Hipótesis!$D$94=5,IF(W$3=Hipótesis!$D$124,$C$158,0),IF(W$3=84,$C$134,0))</f>
        <v>0</v>
      </c>
      <c r="X121" s="121" t="n">
        <f aca="false">X93+IF(Hipótesis!$D$94=5,IF(X$3=Hipótesis!$D$124,$C$158,0),IF(X$3=84,$C$134,0))</f>
        <v>0</v>
      </c>
      <c r="Y121" s="121" t="n">
        <f aca="false">Y93+IF(Hipótesis!$D$94=5,IF(Y$3=Hipótesis!$D$124,$C$158,0),IF(Y$3=84,$C$134,0))</f>
        <v>0</v>
      </c>
      <c r="Z121" s="121" t="n">
        <f aca="false">Z93+IF(Hipótesis!$D$94=5,IF(Z$3=Hipótesis!$D$124,$C$158,0),IF(Z$3=84,$C$134,0))</f>
        <v>0</v>
      </c>
      <c r="AA121" s="121" t="n">
        <f aca="false">AA93+IF(Hipótesis!$D$94=5,IF(AA$3=Hipótesis!$D$124,$C$158,0),IF(AA$3=84,$C$134,0))</f>
        <v>0</v>
      </c>
      <c r="AB121" s="121" t="n">
        <f aca="false">AB93+IF(Hipótesis!$D$94=5,IF(AB$3=Hipótesis!$D$124,$C$158,0),IF(AB$3=84,$C$134,0))</f>
        <v>0</v>
      </c>
      <c r="AC121" s="121" t="n">
        <f aca="false">AC93+IF(Hipótesis!$D$94=5,IF(AC$3=Hipótesis!$D$124,$C$158,0),IF(AC$3=84,$C$134,0))</f>
        <v>0</v>
      </c>
      <c r="AD121" s="121" t="n">
        <f aca="false">AD93+IF(Hipótesis!$D$94=5,IF(AD$3=Hipótesis!$D$124,$C$158,0),IF(AD$3=84,$C$134,0))</f>
        <v>0</v>
      </c>
      <c r="AE121" s="121" t="n">
        <f aca="false">AE93+IF(Hipótesis!$D$94=5,IF(AE$3=Hipótesis!$D$124,$C$158,0),IF(AE$3=84,$C$134,0))</f>
        <v>0</v>
      </c>
      <c r="AF121" s="121" t="n">
        <f aca="false">AF93+IF(Hipótesis!$D$94=5,IF(AF$3=Hipótesis!$D$124,$C$158,0),IF(AF$3=84,$C$134,0))</f>
        <v>0</v>
      </c>
      <c r="AG121" s="121" t="n">
        <f aca="false">AG93+IF(Hipótesis!$D$94=5,IF(AG$3=Hipótesis!$D$124,$C$158,0),IF(AG$3=84,$C$134,0))</f>
        <v>0</v>
      </c>
      <c r="AH121" s="121" t="n">
        <f aca="false">AH93+IF(Hipótesis!$D$94=5,IF(AH$3=Hipótesis!$D$124,$C$158,0),IF(AH$3=84,$C$134,0))</f>
        <v>0</v>
      </c>
      <c r="AI121" s="121" t="n">
        <f aca="false">AI93+IF(Hipótesis!$D$94=5,IF(AI$3=Hipótesis!$D$124,$C$158,0),IF(AI$3=84,$C$134,0))</f>
        <v>0</v>
      </c>
      <c r="AJ121" s="121" t="n">
        <f aca="false">AJ93+IF(Hipótesis!$D$94=5,IF(AJ$3=Hipótesis!$D$124,$C$158,0),IF(AJ$3=84,$C$134,0))</f>
        <v>0</v>
      </c>
      <c r="AK121" s="121" t="n">
        <f aca="false">AK93+IF(Hipótesis!$D$94=5,IF(AK$3=Hipótesis!$D$124,$C$158,0),IF(AK$3=84,$C$134,0))</f>
        <v>0</v>
      </c>
      <c r="AL121" s="121" t="n">
        <f aca="false">AL93+IF(Hipótesis!$D$94=5,IF(AL$3=Hipótesis!$D$124,$C$158,0),IF(AL$3=84,$C$134,0))</f>
        <v>0</v>
      </c>
      <c r="AM121" s="121" t="n">
        <f aca="false">AM93+IF(Hipótesis!$D$94=5,IF(AM$3=Hipótesis!$D$124,$C$158,0),IF(AM$3=84,$C$134,0))</f>
        <v>0</v>
      </c>
      <c r="AN121" s="121" t="n">
        <f aca="false">AN93+IF(Hipótesis!$D$94=5,IF(AN$3=Hipótesis!$D$124,$C$158,0),IF(AN$3=84,$C$134,0))</f>
        <v>0</v>
      </c>
      <c r="AO121" s="121" t="n">
        <f aca="false">AO93+IF(Hipótesis!$D$94=5,IF(AO$3=Hipótesis!$D$124,$C$158,0),IF(AO$3=84,$C$134,0))</f>
        <v>0</v>
      </c>
      <c r="AP121" s="121" t="n">
        <f aca="false">AP93+IF(Hipótesis!$D$94=5,IF(AP$3=Hipótesis!$D$124,$C$158,0),IF(AP$3=84,$C$134,0))</f>
        <v>0</v>
      </c>
      <c r="AQ121" s="121" t="n">
        <f aca="false">AQ93+IF(Hipótesis!$D$94=5,IF(AQ$3=Hipótesis!$D$124,$C$158,0),IF(AQ$3=84,$C$134,0))</f>
        <v>0</v>
      </c>
      <c r="AR121" s="121" t="n">
        <f aca="false">AR93+IF(Hipótesis!$D$94=5,IF(AR$3=Hipótesis!$D$124,$C$158,0),IF(AR$3=84,$C$134,0))</f>
        <v>0</v>
      </c>
      <c r="AS121" s="121" t="n">
        <f aca="false">AS93+IF(Hipótesis!$D$94=5,IF(AS$3=Hipótesis!$D$124,$C$158,0),IF(AS$3=84,$C$134,0))</f>
        <v>0</v>
      </c>
      <c r="AT121" s="121" t="n">
        <f aca="false">AT93+IF(Hipótesis!$D$94=5,IF(AT$3=Hipótesis!$D$124,$C$158,0),IF(AT$3=84,$C$134,0))</f>
        <v>0</v>
      </c>
      <c r="AU121" s="121" t="n">
        <f aca="false">AU93+IF(Hipótesis!$D$94=5,IF(AU$3=Hipótesis!$D$124,$C$158,0),IF(AU$3=84,$C$134,0))</f>
        <v>0</v>
      </c>
      <c r="AV121" s="121" t="n">
        <f aca="false">AV93+IF(Hipótesis!$D$94=5,IF(AV$3=Hipótesis!$D$124,$C$158,0),IF(AV$3=84,$C$134,0))</f>
        <v>0</v>
      </c>
      <c r="AW121" s="121" t="n">
        <f aca="false">AW93+IF(Hipótesis!$D$94=5,IF(AW$3=Hipótesis!$D$124,$C$158,0),IF(AW$3=84,$C$134,0))</f>
        <v>0</v>
      </c>
      <c r="AX121" s="121" t="n">
        <f aca="false">AX93+IF(Hipótesis!$D$94=5,IF(AX$3=Hipótesis!$D$124,$C$158,0),IF(AX$3=84,$C$134,0))</f>
        <v>392115.052923805</v>
      </c>
      <c r="AY121" s="121" t="n">
        <f aca="false">AY93+IF(Hipótesis!$D$94=5,IF(AY$3=Hipótesis!$D$124,$C$158,0),IF(AY$3=84,$C$134,0))</f>
        <v>0</v>
      </c>
      <c r="AZ121" s="121" t="n">
        <f aca="false">AZ93+IF(Hipótesis!$D$94=5,IF(AZ$3=Hipótesis!$D$124,$C$158,0),IF(AZ$3=84,$C$134,0))</f>
        <v>0</v>
      </c>
      <c r="BA121" s="121" t="n">
        <f aca="false">BA93+IF(Hipótesis!$D$94=5,IF(BA$3=Hipótesis!$D$124,$C$158,0),IF(BA$3=84,$C$134,0))</f>
        <v>0</v>
      </c>
      <c r="BB121" s="121" t="n">
        <f aca="false">BB93+IF(Hipótesis!$D$94=5,IF(BB$3=Hipótesis!$D$124,$C$158,0),IF(BB$3=84,$C$134,0))</f>
        <v>0</v>
      </c>
      <c r="BC121" s="121" t="n">
        <f aca="false">BC93+IF(Hipótesis!$D$94=5,IF(BC$3=Hipótesis!$D$124,$C$158,0),IF(BC$3=84,$C$134,0))</f>
        <v>0</v>
      </c>
      <c r="BD121" s="121" t="n">
        <f aca="false">BD93+IF(Hipótesis!$D$94=5,IF(BD$3=Hipótesis!$D$124,$C$158,0),IF(BD$3=84,$C$134,0))</f>
        <v>0</v>
      </c>
      <c r="BE121" s="121" t="n">
        <f aca="false">BE93+IF(Hipótesis!$D$94=5,IF(BE$3=Hipótesis!$D$124,$C$158,0),IF(BE$3=84,$C$134,0))</f>
        <v>0</v>
      </c>
      <c r="BF121" s="121" t="n">
        <f aca="false">BF93+IF(Hipótesis!$D$94=5,IF(BF$3=Hipótesis!$D$124,$C$158,0),IF(BF$3=84,$C$134,0))</f>
        <v>0</v>
      </c>
      <c r="BG121" s="121" t="n">
        <f aca="false">BG93+IF(Hipótesis!$D$94=5,IF(BG$3=Hipótesis!$D$124,$C$158,0),IF(BG$3=84,$C$134,0))</f>
        <v>0</v>
      </c>
      <c r="BH121" s="121" t="n">
        <f aca="false">BH93+IF(Hipótesis!$D$94=5,IF(BH$3=Hipótesis!$D$124,$C$158,0),IF(BH$3=84,$C$134,0))</f>
        <v>0</v>
      </c>
      <c r="BI121" s="121" t="n">
        <f aca="false">BI93+IF(Hipótesis!$D$94=5,IF(BI$3=Hipótesis!$D$124,$C$158,0),IF(BI$3=84,$C$134,0))</f>
        <v>0</v>
      </c>
      <c r="BJ121" s="121" t="n">
        <f aca="false">BJ93+IF(Hipótesis!$D$94=5,IF(BJ$3=Hipótesis!$D$124,$C$158,0),IF(BJ$3=84,$C$134,0))</f>
        <v>0</v>
      </c>
      <c r="BK121" s="121" t="n">
        <f aca="false">BK93+IF(Hipótesis!$D$94=5,IF(BK$3=Hipótesis!$D$124,$C$158,0),IF(BK$3=84,$C$134,0))</f>
        <v>0</v>
      </c>
      <c r="BL121" s="121" t="n">
        <f aca="false">BL93+IF(Hipótesis!$D$94=5,IF(BL$3=Hipótesis!$D$124,$C$158,0),IF(BL$3=84,$C$134,0))</f>
        <v>0</v>
      </c>
      <c r="BM121" s="121" t="n">
        <f aca="false">BM93+IF(Hipótesis!$D$94=5,IF(BM$3=Hipótesis!$D$124,$C$158,0),IF(BM$3=84,$C$134,0))</f>
        <v>0</v>
      </c>
      <c r="BN121" s="121" t="n">
        <f aca="false">BN93+IF(Hipótesis!$D$94=5,IF(BN$3=Hipótesis!$D$124,$C$158,0),IF(BN$3=84,$C$134,0))</f>
        <v>0</v>
      </c>
      <c r="BO121" s="121" t="n">
        <f aca="false">BO93+IF(Hipótesis!$D$94=5,IF(BO$3=Hipótesis!$D$124,$C$158,0),IF(BO$3=84,$C$134,0))</f>
        <v>0</v>
      </c>
      <c r="BP121" s="121" t="n">
        <f aca="false">BP93+IF(Hipótesis!$D$94=5,IF(BP$3=Hipótesis!$D$124,$C$158,0),IF(BP$3=84,$C$134,0))</f>
        <v>0</v>
      </c>
      <c r="BQ121" s="121" t="n">
        <f aca="false">BQ93+IF(Hipótesis!$D$94=5,IF(BQ$3=Hipótesis!$D$124,$C$158,0),IF(BQ$3=84,$C$134,0))</f>
        <v>0</v>
      </c>
      <c r="BR121" s="121" t="n">
        <f aca="false">BR93+IF(Hipótesis!$D$94=5,IF(BR$3=Hipótesis!$D$124,$C$158,0),IF(BR$3=84,$C$134,0))</f>
        <v>0</v>
      </c>
      <c r="BS121" s="121" t="n">
        <f aca="false">BS93+IF(Hipótesis!$D$94=5,IF(BS$3=Hipótesis!$D$124,$C$158,0),IF(BS$3=84,$C$134,0))</f>
        <v>0</v>
      </c>
      <c r="BT121" s="121" t="n">
        <f aca="false">BT93+IF(Hipótesis!$D$94=5,IF(BT$3=Hipótesis!$D$124,$C$158,0),IF(BT$3=84,$C$134,0))</f>
        <v>0</v>
      </c>
      <c r="BU121" s="121" t="n">
        <f aca="false">BU93+IF(Hipótesis!$D$94=5,IF(BU$3=Hipótesis!$D$124,$C$158,0),IF(BU$3=84,$C$134,0))</f>
        <v>0</v>
      </c>
      <c r="BV121" s="121" t="n">
        <f aca="false">BV93+IF(Hipótesis!$D$94=5,IF(BV$3=Hipótesis!$D$124,$C$158,0),IF(BV$3=84,$C$134,0))</f>
        <v>0</v>
      </c>
      <c r="BW121" s="121" t="n">
        <f aca="false">BW93+IF(Hipótesis!$D$94=5,IF(BW$3=Hipótesis!$D$124,$C$158,0),IF(BW$3=84,$C$134,0))</f>
        <v>0</v>
      </c>
      <c r="BX121" s="121" t="n">
        <f aca="false">BX93+IF(Hipótesis!$D$94=5,IF(BX$3=Hipótesis!$D$124,$C$158,0),IF(BX$3=84,$C$134,0))</f>
        <v>0</v>
      </c>
      <c r="BY121" s="121" t="n">
        <f aca="false">BY93+IF(Hipótesis!$D$94=5,IF(BY$3=Hipótesis!$D$124,$C$158,0),IF(BY$3=84,$C$134,0))</f>
        <v>0</v>
      </c>
      <c r="BZ121" s="121" t="n">
        <f aca="false">BZ93+IF(Hipótesis!$D$94=5,IF(BZ$3=Hipótesis!$D$124,$C$158,0),IF(BZ$3=84,$C$134,0))</f>
        <v>0</v>
      </c>
      <c r="CA121" s="121" t="n">
        <f aca="false">CA93+IF(Hipótesis!$D$94=5,IF(CA$3=Hipótesis!$D$124,$C$158,0),IF(CA$3=84,$C$134,0))</f>
        <v>0</v>
      </c>
      <c r="CB121" s="121" t="n">
        <f aca="false">CB93+IF(Hipótesis!$D$94=5,IF(CB$3=Hipótesis!$D$124,$C$158,0),IF(CB$3=84,$C$134,0))</f>
        <v>0</v>
      </c>
      <c r="CC121" s="121" t="n">
        <f aca="false">CC93+IF(Hipótesis!$D$94=5,IF(CC$3=Hipótesis!$D$124,$C$158,0),IF(CC$3=84,$C$134,0))</f>
        <v>0</v>
      </c>
      <c r="CD121" s="121" t="n">
        <f aca="false">CD93+IF(Hipótesis!$D$94=5,IF(CD$3=Hipótesis!$D$124,$C$158,0),IF(CD$3=84,$C$134,0))</f>
        <v>0</v>
      </c>
      <c r="CE121" s="121" t="n">
        <f aca="false">CE93+IF(Hipótesis!$D$94=5,IF(CE$3=Hipótesis!$D$124,$C$158,0),IF(CE$3=84,$C$134,0))</f>
        <v>0</v>
      </c>
      <c r="CF121" s="121" t="n">
        <f aca="false">CF93+IF(Hipótesis!$D$94=5,IF(CF$3=Hipótesis!$D$124,$C$158,0),IF(CF$3=84,$C$134,0))</f>
        <v>0</v>
      </c>
      <c r="CG121" s="121" t="n">
        <f aca="false">CG93+IF(Hipótesis!$D$94=5,IF(CG$3=Hipótesis!$D$124,$C$158,0),IF(CG$3=84,$C$134,0))</f>
        <v>0</v>
      </c>
      <c r="CH121" s="121" t="n">
        <f aca="false">CH93+IF(Hipótesis!$D$94=5,IF(CH$3=Hipótesis!$D$124,$C$158,0),IF(CH$3=84,$C$134,0))</f>
        <v>0</v>
      </c>
    </row>
    <row r="122" customFormat="false" ht="12.75" hidden="false" customHeight="true" outlineLevel="0" collapsed="false">
      <c r="A122" s="6" t="s">
        <v>618</v>
      </c>
      <c r="B122" s="109" t="n">
        <f aca="false">Hipótesis!$D$122</f>
        <v>200000</v>
      </c>
      <c r="C122" s="109" t="n">
        <f aca="false">-C106-IF(Hipótesis!$D$94=5,IF(C$3=Hipótesis!$D$124,$C$158,0),IF(C$3=84,$C$134,0))</f>
        <v>-333.333333333333</v>
      </c>
      <c r="D122" s="109" t="n">
        <f aca="false">-D106-IF(Hipótesis!$D$94=5,IF(D$3=Hipótesis!$D$124,$C$158,0),IF(D$3=84,$C$134,0))</f>
        <v>-333.333333333333</v>
      </c>
      <c r="E122" s="109" t="n">
        <f aca="false">-E106-IF(Hipótesis!$D$94=5,IF(E$3=Hipótesis!$D$124,$C$158,0),IF(E$3=84,$C$134,0))</f>
        <v>-333.333333333333</v>
      </c>
      <c r="F122" s="109" t="n">
        <f aca="false">-F106-IF(Hipótesis!$D$94=5,IF(F$3=Hipótesis!$D$124,$C$158,0),IF(F$3=84,$C$134,0))</f>
        <v>-333.333333333333</v>
      </c>
      <c r="G122" s="109" t="n">
        <f aca="false">-G106-IF(Hipótesis!$D$94=5,IF(G$3=Hipótesis!$D$124,$C$158,0),IF(G$3=84,$C$134,0))</f>
        <v>-333.333333333333</v>
      </c>
      <c r="H122" s="109" t="n">
        <f aca="false">-H106-IF(Hipótesis!$D$94=5,IF(H$3=Hipótesis!$D$124,$C$158,0),IF(H$3=84,$C$134,0))</f>
        <v>-333.333333333333</v>
      </c>
      <c r="I122" s="109" t="n">
        <f aca="false">-I106-IF(Hipótesis!$D$94=5,IF(I$3=Hipótesis!$D$124,$C$158,0),IF(I$3=84,$C$134,0))</f>
        <v>-333.333333333333</v>
      </c>
      <c r="J122" s="109" t="n">
        <f aca="false">-J106-IF(Hipótesis!$D$94=5,IF(J$3=Hipótesis!$D$124,$C$158,0),IF(J$3=84,$C$134,0))</f>
        <v>-333.333333333333</v>
      </c>
      <c r="K122" s="109" t="n">
        <f aca="false">-K106-IF(Hipótesis!$D$94=5,IF(K$3=Hipótesis!$D$124,$C$158,0),IF(K$3=84,$C$134,0))</f>
        <v>-375.439900315389</v>
      </c>
      <c r="L122" s="109" t="n">
        <f aca="false">-L106-IF(Hipótesis!$D$94=5,IF(L$3=Hipótesis!$D$124,$C$158,0),IF(L$3=84,$C$134,0))</f>
        <v>-440.884673092289</v>
      </c>
      <c r="M122" s="109" t="n">
        <f aca="false">-M106-IF(Hipótesis!$D$94=5,IF(M$3=Hipótesis!$D$124,$C$158,0),IF(M$3=84,$C$134,0))</f>
        <v>-485.148360863772</v>
      </c>
      <c r="N122" s="109" t="n">
        <f aca="false">-N106-IF(Hipótesis!$D$94=5,IF(N$3=Hipótesis!$D$124,$C$158,0),IF(N$3=84,$C$134,0))</f>
        <v>-545.220722726882</v>
      </c>
      <c r="O122" s="109" t="n">
        <f aca="false">-O106-IF(Hipótesis!$D$94=5,IF(O$3=Hipótesis!$D$124,$C$158,0),IF(O$3=84,$C$134,0))</f>
        <v>-500.749084589993</v>
      </c>
      <c r="P122" s="109" t="n">
        <f aca="false">-P106-IF(Hipótesis!$D$94=5,IF(P$3=Hipótesis!$D$124,$C$158,0),IF(P$3=84,$C$134,0))</f>
        <v>-508.51733015176</v>
      </c>
      <c r="Q122" s="109" t="n">
        <f aca="false">-Q106-IF(Hipótesis!$D$94=5,IF(Q$3=Hipótesis!$D$124,$C$158,0),IF(Q$3=84,$C$134,0))</f>
        <v>-562.511975713528</v>
      </c>
      <c r="R122" s="109" t="n">
        <f aca="false">-R106-IF(Hipótesis!$D$94=5,IF(R$3=Hipótesis!$D$124,$C$158,0),IF(R$3=84,$C$134,0))</f>
        <v>-616.506621275295</v>
      </c>
      <c r="S122" s="109" t="n">
        <f aca="false">-S106-IF(Hipótesis!$D$94=5,IF(S$3=Hipótesis!$D$124,$C$158,0),IF(S$3=84,$C$134,0))</f>
        <v>-670.501266837063</v>
      </c>
      <c r="T122" s="109" t="n">
        <f aca="false">-T106-IF(Hipótesis!$D$94=5,IF(T$3=Hipótesis!$D$124,$C$158,0),IF(T$3=84,$C$134,0))</f>
        <v>-724.495912398831</v>
      </c>
      <c r="U122" s="109" t="n">
        <f aca="false">-U106-IF(Hipótesis!$D$94=5,IF(U$3=Hipótesis!$D$124,$C$158,0),IF(U$3=84,$C$134,0))</f>
        <v>-732.264157960599</v>
      </c>
      <c r="V122" s="109" t="n">
        <f aca="false">-V106-IF(Hipótesis!$D$94=5,IF(V$3=Hipótesis!$D$124,$C$158,0),IF(V$3=84,$C$134,0))</f>
        <v>-731.874803522366</v>
      </c>
      <c r="W122" s="109" t="n">
        <f aca="false">-W106-IF(Hipótesis!$D$94=5,IF(W$3=Hipótesis!$D$124,$C$158,0),IF(W$3=84,$C$134,0))</f>
        <v>-785.869449084133</v>
      </c>
      <c r="X122" s="109" t="n">
        <f aca="false">-X106-IF(Hipótesis!$D$94=5,IF(X$3=Hipótesis!$D$124,$C$158,0),IF(X$3=84,$C$134,0))</f>
        <v>-824.055420554274</v>
      </c>
      <c r="Y122" s="109" t="n">
        <f aca="false">-Y106-IF(Hipótesis!$D$94=5,IF(Y$3=Hipótesis!$D$124,$C$158,0),IF(Y$3=84,$C$134,0))</f>
        <v>-862.241392024414</v>
      </c>
      <c r="Z122" s="109" t="n">
        <f aca="false">-Z106-IF(Hipótesis!$D$94=5,IF(Z$3=Hipótesis!$D$124,$C$158,0),IF(Z$3=84,$C$134,0))</f>
        <v>-894.667653857903</v>
      </c>
      <c r="AA122" s="109" t="n">
        <f aca="false">-AA106-IF(Hipótesis!$D$94=5,IF(AA$3=Hipótesis!$D$124,$C$158,0),IF(AA$3=84,$C$134,0))</f>
        <v>-2548.12395835806</v>
      </c>
      <c r="AB122" s="109" t="n">
        <f aca="false">-AB106-IF(Hipótesis!$D$94=5,IF(AB$3=Hipótesis!$D$124,$C$158,0),IF(AB$3=84,$C$134,0))</f>
        <v>-2527.38147263599</v>
      </c>
      <c r="AC122" s="109" t="n">
        <f aca="false">-AC106-IF(Hipótesis!$D$94=5,IF(AC$3=Hipótesis!$D$124,$C$158,0),IF(AC$3=84,$C$134,0))</f>
        <v>-2554.25217891393</v>
      </c>
      <c r="AD122" s="109" t="n">
        <f aca="false">-AD106-IF(Hipótesis!$D$94=5,IF(AD$3=Hipótesis!$D$124,$C$158,0),IF(AD$3=84,$C$134,0))</f>
        <v>-2581.12288519186</v>
      </c>
      <c r="AE122" s="109" t="n">
        <f aca="false">-AE106-IF(Hipótesis!$D$94=5,IF(AE$3=Hipótesis!$D$124,$C$158,0),IF(AE$3=84,$C$134,0))</f>
        <v>-2607.99359146979</v>
      </c>
      <c r="AF122" s="109" t="n">
        <f aca="false">-AF106-IF(Hipótesis!$D$94=5,IF(AF$3=Hipótesis!$D$124,$C$158,0),IF(AF$3=84,$C$134,0))</f>
        <v>-2634.86429774773</v>
      </c>
      <c r="AG122" s="109" t="n">
        <f aca="false">-AG106-IF(Hipótesis!$D$94=5,IF(AG$3=Hipótesis!$D$124,$C$158,0),IF(AG$3=84,$C$134,0))</f>
        <v>-2661.73500402566</v>
      </c>
      <c r="AH122" s="109" t="n">
        <f aca="false">-AH106-IF(Hipótesis!$D$94=5,IF(AH$3=Hipótesis!$D$124,$C$158,0),IF(AH$3=84,$C$134,0))</f>
        <v>-2688.6057103036</v>
      </c>
      <c r="AI122" s="109" t="n">
        <f aca="false">-AI106-IF(Hipótesis!$D$94=5,IF(AI$3=Hipótesis!$D$124,$C$158,0),IF(AI$3=84,$C$134,0))</f>
        <v>-2715.47641658153</v>
      </c>
      <c r="AJ122" s="109" t="n">
        <f aca="false">-AJ106-IF(Hipótesis!$D$94=5,IF(AJ$3=Hipótesis!$D$124,$C$158,0),IF(AJ$3=84,$C$134,0))</f>
        <v>-2742.34712285946</v>
      </c>
      <c r="AK122" s="109" t="n">
        <f aca="false">-AK106-IF(Hipótesis!$D$94=5,IF(AK$3=Hipótesis!$D$124,$C$158,0),IF(AK$3=84,$C$134,0))</f>
        <v>-2769.2178291374</v>
      </c>
      <c r="AL122" s="109" t="n">
        <f aca="false">-AL106-IF(Hipótesis!$D$94=5,IF(AL$3=Hipótesis!$D$124,$C$158,0),IF(AL$3=84,$C$134,0))</f>
        <v>-2796.08853541533</v>
      </c>
      <c r="AM122" s="109" t="n">
        <f aca="false">-AM106-IF(Hipótesis!$D$94=5,IF(AM$3=Hipótesis!$D$124,$C$158,0),IF(AM$3=84,$C$134,0))</f>
        <v>-2726.67153545326</v>
      </c>
      <c r="AN122" s="109" t="n">
        <f aca="false">-AN106-IF(Hipótesis!$D$94=5,IF(AN$3=Hipótesis!$D$124,$C$158,0),IF(AN$3=84,$C$134,0))</f>
        <v>-2753.5422417312</v>
      </c>
      <c r="AO122" s="109" t="n">
        <f aca="false">-AO106-IF(Hipótesis!$D$94=5,IF(AO$3=Hipótesis!$D$124,$C$158,0),IF(AO$3=84,$C$134,0))</f>
        <v>-2780.41294800913</v>
      </c>
      <c r="AP122" s="109" t="n">
        <f aca="false">-AP106-IF(Hipótesis!$D$94=5,IF(AP$3=Hipótesis!$D$124,$C$158,0),IF(AP$3=84,$C$134,0))</f>
        <v>-2807.28365428706</v>
      </c>
      <c r="AQ122" s="109" t="n">
        <f aca="false">-AQ106-IF(Hipótesis!$D$94=5,IF(AQ$3=Hipótesis!$D$124,$C$158,0),IF(AQ$3=84,$C$134,0))</f>
        <v>-2834.154360565</v>
      </c>
      <c r="AR122" s="109" t="n">
        <f aca="false">-AR106-IF(Hipótesis!$D$94=5,IF(AR$3=Hipótesis!$D$124,$C$158,0),IF(AR$3=84,$C$134,0))</f>
        <v>-2861.02506684293</v>
      </c>
      <c r="AS122" s="109" t="n">
        <f aca="false">-AS106-IF(Hipótesis!$D$94=5,IF(AS$3=Hipótesis!$D$124,$C$158,0),IF(AS$3=84,$C$134,0))</f>
        <v>-2855.46951128738</v>
      </c>
      <c r="AT122" s="109" t="n">
        <f aca="false">-AT106-IF(Hipótesis!$D$94=5,IF(AT$3=Hipótesis!$D$124,$C$158,0),IF(AT$3=84,$C$134,0))</f>
        <v>-2849.91395573182</v>
      </c>
      <c r="AU122" s="109" t="n">
        <f aca="false">-AU106-IF(Hipótesis!$D$94=5,IF(AU$3=Hipótesis!$D$124,$C$158,0),IF(AU$3=84,$C$134,0))</f>
        <v>-2844.35840017627</v>
      </c>
      <c r="AV122" s="109" t="n">
        <f aca="false">-AV106-IF(Hipótesis!$D$94=5,IF(AV$3=Hipótesis!$D$124,$C$158,0),IF(AV$3=84,$C$134,0))</f>
        <v>-2838.80284462071</v>
      </c>
      <c r="AW122" s="109" t="n">
        <f aca="false">-AW106-IF(Hipótesis!$D$94=5,IF(AW$3=Hipótesis!$D$124,$C$158,0),IF(AW$3=84,$C$134,0))</f>
        <v>-2833.24728906515</v>
      </c>
      <c r="AX122" s="109" t="n">
        <f aca="false">-AX106-IF(Hipótesis!$D$94=5,IF(AX$3=Hipótesis!$D$124,$C$158,0),IF(AX$3=84,$C$134,0))</f>
        <v>-394942.744657314</v>
      </c>
      <c r="AY122" s="109" t="n">
        <f aca="false">-AY106-IF(Hipótesis!$D$94=5,IF(AY$3=Hipótesis!$D$124,$C$158,0),IF(AY$3=84,$C$134,0))</f>
        <v>-2773.18942828684</v>
      </c>
      <c r="AZ122" s="109" t="n">
        <f aca="false">-AZ106-IF(Hipótesis!$D$94=5,IF(AZ$3=Hipótesis!$D$124,$C$158,0),IF(AZ$3=84,$C$134,0))</f>
        <v>-2767.63387273129</v>
      </c>
      <c r="BA122" s="109" t="n">
        <f aca="false">-BA106-IF(Hipótesis!$D$94=5,IF(BA$3=Hipótesis!$D$124,$C$158,0),IF(BA$3=84,$C$134,0))</f>
        <v>-2762.07831717573</v>
      </c>
      <c r="BB122" s="109" t="n">
        <f aca="false">-BB106-IF(Hipótesis!$D$94=5,IF(BB$3=Hipótesis!$D$124,$C$158,0),IF(BB$3=84,$C$134,0))</f>
        <v>-2756.52276162018</v>
      </c>
      <c r="BC122" s="109" t="n">
        <f aca="false">-BC106-IF(Hipótesis!$D$94=5,IF(BC$3=Hipótesis!$D$124,$C$158,0),IF(BC$3=84,$C$134,0))</f>
        <v>-2750.96720606462</v>
      </c>
      <c r="BD122" s="109" t="n">
        <f aca="false">-BD106-IF(Hipótesis!$D$94=5,IF(BD$3=Hipótesis!$D$124,$C$158,0),IF(BD$3=84,$C$134,0))</f>
        <v>-2745.41165050907</v>
      </c>
      <c r="BE122" s="109" t="n">
        <f aca="false">-BE106-IF(Hipótesis!$D$94=5,IF(BE$3=Hipótesis!$D$124,$C$158,0),IF(BE$3=84,$C$134,0))</f>
        <v>-2739.85609495351</v>
      </c>
      <c r="BF122" s="109" t="n">
        <f aca="false">-BF106-IF(Hipótesis!$D$94=5,IF(BF$3=Hipótesis!$D$124,$C$158,0),IF(BF$3=84,$C$134,0))</f>
        <v>-2734.30053939795</v>
      </c>
      <c r="BG122" s="109" t="n">
        <f aca="false">-BG106-IF(Hipótesis!$D$94=5,IF(BG$3=Hipótesis!$D$124,$C$158,0),IF(BG$3=84,$C$134,0))</f>
        <v>-2728.7449838424</v>
      </c>
      <c r="BH122" s="109" t="n">
        <f aca="false">-BH106-IF(Hipótesis!$D$94=5,IF(BH$3=Hipótesis!$D$124,$C$158,0),IF(BH$3=84,$C$134,0))</f>
        <v>-2723.18942828684</v>
      </c>
      <c r="BI122" s="109" t="n">
        <f aca="false">-BI106-IF(Hipótesis!$D$94=5,IF(BI$3=Hipótesis!$D$124,$C$158,0),IF(BI$3=84,$C$134,0))</f>
        <v>-2717.63387273129</v>
      </c>
      <c r="BJ122" s="109" t="n">
        <f aca="false">-BJ106-IF(Hipótesis!$D$94=5,IF(BJ$3=Hipótesis!$D$124,$C$158,0),IF(BJ$3=84,$C$134,0))</f>
        <v>-2712.07831717573</v>
      </c>
      <c r="BK122" s="109" t="n">
        <f aca="false">-BK106-IF(Hipótesis!$D$94=5,IF(BK$3=Hipótesis!$D$124,$C$158,0),IF(BK$3=84,$C$134,0))</f>
        <v>-2657.29560946296</v>
      </c>
      <c r="BL122" s="109" t="n">
        <f aca="false">-BL106-IF(Hipótesis!$D$94=5,IF(BL$3=Hipótesis!$D$124,$C$158,0),IF(BL$3=84,$C$134,0))</f>
        <v>-2651.74005390741</v>
      </c>
      <c r="BM122" s="109" t="n">
        <f aca="false">-BM106-IF(Hipótesis!$D$94=5,IF(BM$3=Hipótesis!$D$124,$C$158,0),IF(BM$3=84,$C$134,0))</f>
        <v>-2646.18449835185</v>
      </c>
      <c r="BN122" s="109" t="n">
        <f aca="false">-BN106-IF(Hipótesis!$D$94=5,IF(BN$3=Hipótesis!$D$124,$C$158,0),IF(BN$3=84,$C$134,0))</f>
        <v>-2640.62894279629</v>
      </c>
      <c r="BO122" s="109" t="n">
        <f aca="false">-BO106-IF(Hipótesis!$D$94=5,IF(BO$3=Hipótesis!$D$124,$C$158,0),IF(BO$3=84,$C$134,0))</f>
        <v>-2635.07338724074</v>
      </c>
      <c r="BP122" s="109" t="n">
        <f aca="false">-BP106-IF(Hipótesis!$D$94=5,IF(BP$3=Hipótesis!$D$124,$C$158,0),IF(BP$3=84,$C$134,0))</f>
        <v>-2629.51783168518</v>
      </c>
      <c r="BQ122" s="109" t="n">
        <f aca="false">-BQ106-IF(Hipótesis!$D$94=5,IF(BQ$3=Hipótesis!$D$124,$C$158,0),IF(BQ$3=84,$C$134,0))</f>
        <v>-2623.96227612963</v>
      </c>
      <c r="BR122" s="109" t="n">
        <f aca="false">-BR106-IF(Hipótesis!$D$94=5,IF(BR$3=Hipótesis!$D$124,$C$158,0),IF(BR$3=84,$C$134,0))</f>
        <v>-2618.40672057407</v>
      </c>
      <c r="BS122" s="109" t="n">
        <f aca="false">-BS106-IF(Hipótesis!$D$94=5,IF(BS$3=Hipótesis!$D$124,$C$158,0),IF(BS$3=84,$C$134,0))</f>
        <v>-2612.85116501852</v>
      </c>
      <c r="BT122" s="109" t="n">
        <f aca="false">-BT106-IF(Hipótesis!$D$94=5,IF(BT$3=Hipótesis!$D$124,$C$158,0),IF(BT$3=84,$C$134,0))</f>
        <v>-2607.29560946296</v>
      </c>
      <c r="BU122" s="109" t="n">
        <f aca="false">-BU106-IF(Hipótesis!$D$94=5,IF(BU$3=Hipótesis!$D$124,$C$158,0),IF(BU$3=84,$C$134,0))</f>
        <v>-2601.74005390741</v>
      </c>
      <c r="BV122" s="109" t="n">
        <f aca="false">-BV106-IF(Hipótesis!$D$94=5,IF(BV$3=Hipótesis!$D$124,$C$158,0),IF(BV$3=84,$C$134,0))</f>
        <v>-2596.18449835185</v>
      </c>
      <c r="BW122" s="109" t="n">
        <f aca="false">-BW106-IF(Hipótesis!$D$94=5,IF(BW$3=Hipótesis!$D$124,$C$158,0),IF(BW$3=84,$C$134,0))</f>
        <v>-2541.11297607436</v>
      </c>
      <c r="BX122" s="109" t="n">
        <f aca="false">-BX106-IF(Hipótesis!$D$94=5,IF(BX$3=Hipótesis!$D$124,$C$158,0),IF(BX$3=84,$C$134,0))</f>
        <v>-2535.55742051881</v>
      </c>
      <c r="BY122" s="109" t="n">
        <f aca="false">-BY106-IF(Hipótesis!$D$94=5,IF(BY$3=Hipótesis!$D$124,$C$158,0),IF(BY$3=84,$C$134,0))</f>
        <v>-2530.00186496325</v>
      </c>
      <c r="BZ122" s="109" t="n">
        <f aca="false">-BZ106-IF(Hipótesis!$D$94=5,IF(BZ$3=Hipótesis!$D$124,$C$158,0),IF(BZ$3=84,$C$134,0))</f>
        <v>-2524.44630940769</v>
      </c>
      <c r="CA122" s="109" t="n">
        <f aca="false">-CA106-IF(Hipótesis!$D$94=5,IF(CA$3=Hipótesis!$D$124,$C$158,0),IF(CA$3=84,$C$134,0))</f>
        <v>-2518.89075385214</v>
      </c>
      <c r="CB122" s="109" t="n">
        <f aca="false">-CB106-IF(Hipótesis!$D$94=5,IF(CB$3=Hipótesis!$D$124,$C$158,0),IF(CB$3=84,$C$134,0))</f>
        <v>-2513.33519829658</v>
      </c>
      <c r="CC122" s="109" t="n">
        <f aca="false">-CC106-IF(Hipótesis!$D$94=5,IF(CC$3=Hipótesis!$D$124,$C$158,0),IF(CC$3=84,$C$134,0))</f>
        <v>-2507.77964274103</v>
      </c>
      <c r="CD122" s="109" t="n">
        <f aca="false">-CD106-IF(Hipótesis!$D$94=5,IF(CD$3=Hipótesis!$D$124,$C$158,0),IF(CD$3=84,$C$134,0))</f>
        <v>-2502.22408718547</v>
      </c>
      <c r="CE122" s="109" t="n">
        <f aca="false">-CE106-IF(Hipótesis!$D$94=5,IF(CE$3=Hipótesis!$D$124,$C$158,0),IF(CE$3=84,$C$134,0))</f>
        <v>-2496.66853162992</v>
      </c>
      <c r="CF122" s="109" t="n">
        <f aca="false">-CF106-IF(Hipótesis!$D$94=5,IF(CF$3=Hipótesis!$D$124,$C$158,0),IF(CF$3=84,$C$134,0))</f>
        <v>-2491.11297607436</v>
      </c>
      <c r="CG122" s="109" t="n">
        <f aca="false">-CG106-IF(Hipótesis!$D$94=5,IF(CG$3=Hipótesis!$D$124,$C$158,0),IF(CG$3=84,$C$134,0))</f>
        <v>-2485.55742051881</v>
      </c>
      <c r="CH122" s="109" t="n">
        <f aca="false">-CH106-IF(Hipótesis!$D$94=5,IF(CH$3=Hipótesis!$D$124,$C$158,0),IF(CH$3=84,$C$134,0))</f>
        <v>-2480.00186496319</v>
      </c>
    </row>
    <row r="123" customFormat="false" ht="12.75" hidden="false" customHeight="true" outlineLevel="0" collapsed="false">
      <c r="A123" s="6" t="s">
        <v>619</v>
      </c>
      <c r="B123" s="109" t="n">
        <f aca="false">-Hipótesis!$D$105</f>
        <v>-100000</v>
      </c>
      <c r="C123" s="109" t="n">
        <f aca="false">C99</f>
        <v>333.333333333333</v>
      </c>
      <c r="D123" s="109" t="n">
        <f aca="false">D99</f>
        <v>333.333333333333</v>
      </c>
      <c r="E123" s="109" t="n">
        <f aca="false">E99</f>
        <v>333.333333333333</v>
      </c>
      <c r="F123" s="109" t="n">
        <f aca="false">F99</f>
        <v>333.333333333333</v>
      </c>
      <c r="G123" s="109" t="n">
        <f aca="false">G99</f>
        <v>333.333333333333</v>
      </c>
      <c r="H123" s="109" t="n">
        <f aca="false">H99</f>
        <v>333.333333333333</v>
      </c>
      <c r="I123" s="109" t="n">
        <f aca="false">I99</f>
        <v>333.333333333333</v>
      </c>
      <c r="J123" s="109" t="n">
        <f aca="false">J99</f>
        <v>333.333333333333</v>
      </c>
      <c r="K123" s="109" t="n">
        <f aca="false">K99</f>
        <v>375.439900315389</v>
      </c>
      <c r="L123" s="109" t="n">
        <f aca="false">L99</f>
        <v>440.884673092289</v>
      </c>
      <c r="M123" s="109" t="n">
        <f aca="false">M99</f>
        <v>485.148360863772</v>
      </c>
      <c r="N123" s="109" t="n">
        <f aca="false">N99</f>
        <v>545.220722726882</v>
      </c>
      <c r="O123" s="109" t="n">
        <f aca="false">O99</f>
        <v>500.749084589993</v>
      </c>
      <c r="P123" s="109" t="n">
        <f aca="false">P99</f>
        <v>508.51733015176</v>
      </c>
      <c r="Q123" s="109" t="n">
        <f aca="false">Q99</f>
        <v>562.511975713528</v>
      </c>
      <c r="R123" s="109" t="n">
        <f aca="false">R99</f>
        <v>616.506621275295</v>
      </c>
      <c r="S123" s="109" t="n">
        <f aca="false">S99</f>
        <v>670.501266837063</v>
      </c>
      <c r="T123" s="109" t="n">
        <f aca="false">T99</f>
        <v>724.495912398831</v>
      </c>
      <c r="U123" s="109" t="n">
        <f aca="false">U99</f>
        <v>732.264157960599</v>
      </c>
      <c r="V123" s="109" t="n">
        <f aca="false">V99</f>
        <v>731.874803522366</v>
      </c>
      <c r="W123" s="109" t="n">
        <f aca="false">W99</f>
        <v>785.869449084133</v>
      </c>
      <c r="X123" s="109" t="n">
        <f aca="false">X99</f>
        <v>824.055420554274</v>
      </c>
      <c r="Y123" s="109" t="n">
        <f aca="false">Y99</f>
        <v>862.241392024414</v>
      </c>
      <c r="Z123" s="109" t="n">
        <f aca="false">Z99</f>
        <v>894.667653857903</v>
      </c>
      <c r="AA123" s="109" t="n">
        <f aca="false">AA99</f>
        <v>2548.12395835806</v>
      </c>
      <c r="AB123" s="109" t="n">
        <f aca="false">AB99</f>
        <v>2527.38147263599</v>
      </c>
      <c r="AC123" s="109" t="n">
        <f aca="false">AC99</f>
        <v>2554.25217891393</v>
      </c>
      <c r="AD123" s="109" t="n">
        <f aca="false">AD99</f>
        <v>2581.12288519186</v>
      </c>
      <c r="AE123" s="109" t="n">
        <f aca="false">AE99</f>
        <v>2607.99359146979</v>
      </c>
      <c r="AF123" s="109" t="n">
        <f aca="false">AF99</f>
        <v>2634.86429774773</v>
      </c>
      <c r="AG123" s="109" t="n">
        <f aca="false">AG99</f>
        <v>2661.73500402566</v>
      </c>
      <c r="AH123" s="109" t="n">
        <f aca="false">AH99</f>
        <v>2688.6057103036</v>
      </c>
      <c r="AI123" s="109" t="n">
        <f aca="false">AI99</f>
        <v>2715.47641658153</v>
      </c>
      <c r="AJ123" s="109" t="n">
        <f aca="false">AJ99</f>
        <v>2742.34712285946</v>
      </c>
      <c r="AK123" s="109" t="n">
        <f aca="false">AK99</f>
        <v>2769.2178291374</v>
      </c>
      <c r="AL123" s="109" t="n">
        <f aca="false">AL99</f>
        <v>2796.08853541533</v>
      </c>
      <c r="AM123" s="109" t="n">
        <f aca="false">AM99</f>
        <v>2726.67153545326</v>
      </c>
      <c r="AN123" s="109" t="n">
        <f aca="false">AN99</f>
        <v>2753.5422417312</v>
      </c>
      <c r="AO123" s="109" t="n">
        <f aca="false">AO99</f>
        <v>2780.41294800913</v>
      </c>
      <c r="AP123" s="109" t="n">
        <f aca="false">AP99</f>
        <v>2807.28365428706</v>
      </c>
      <c r="AQ123" s="109" t="n">
        <f aca="false">AQ99</f>
        <v>2834.154360565</v>
      </c>
      <c r="AR123" s="109" t="n">
        <f aca="false">AR99</f>
        <v>2861.02506684293</v>
      </c>
      <c r="AS123" s="109" t="n">
        <f aca="false">AS99</f>
        <v>2855.46951128738</v>
      </c>
      <c r="AT123" s="109" t="n">
        <f aca="false">AT99</f>
        <v>2849.91395573182</v>
      </c>
      <c r="AU123" s="109" t="n">
        <f aca="false">AU99</f>
        <v>2844.35840017627</v>
      </c>
      <c r="AV123" s="109" t="n">
        <f aca="false">AV99</f>
        <v>2838.80284462071</v>
      </c>
      <c r="AW123" s="109" t="n">
        <f aca="false">AW99</f>
        <v>2833.24728906515</v>
      </c>
      <c r="AX123" s="109" t="n">
        <f aca="false">AX99</f>
        <v>2827.6917335096</v>
      </c>
      <c r="AY123" s="109" t="n">
        <f aca="false">AY99</f>
        <v>2773.18942828684</v>
      </c>
      <c r="AZ123" s="109" t="n">
        <f aca="false">AZ99</f>
        <v>2767.63387273129</v>
      </c>
      <c r="BA123" s="109" t="n">
        <f aca="false">BA99</f>
        <v>2762.07831717573</v>
      </c>
      <c r="BB123" s="109" t="n">
        <f aca="false">BB99</f>
        <v>2756.52276162018</v>
      </c>
      <c r="BC123" s="109" t="n">
        <f aca="false">BC99</f>
        <v>2750.96720606462</v>
      </c>
      <c r="BD123" s="109" t="n">
        <f aca="false">BD99</f>
        <v>2745.41165050907</v>
      </c>
      <c r="BE123" s="109" t="n">
        <f aca="false">BE99</f>
        <v>2739.85609495351</v>
      </c>
      <c r="BF123" s="109" t="n">
        <f aca="false">BF99</f>
        <v>2734.30053939795</v>
      </c>
      <c r="BG123" s="109" t="n">
        <f aca="false">BG99</f>
        <v>2728.7449838424</v>
      </c>
      <c r="BH123" s="109" t="n">
        <f aca="false">BH99</f>
        <v>2723.18942828684</v>
      </c>
      <c r="BI123" s="109" t="n">
        <f aca="false">BI99</f>
        <v>2717.63387273129</v>
      </c>
      <c r="BJ123" s="109" t="n">
        <f aca="false">BJ99</f>
        <v>2712.07831717573</v>
      </c>
      <c r="BK123" s="109" t="n">
        <f aca="false">BK99</f>
        <v>2657.29560946296</v>
      </c>
      <c r="BL123" s="109" t="n">
        <f aca="false">BL99</f>
        <v>2651.74005390741</v>
      </c>
      <c r="BM123" s="109" t="n">
        <f aca="false">BM99</f>
        <v>2646.18449835185</v>
      </c>
      <c r="BN123" s="109" t="n">
        <f aca="false">BN99</f>
        <v>2640.62894279629</v>
      </c>
      <c r="BO123" s="109" t="n">
        <f aca="false">BO99</f>
        <v>2635.07338724074</v>
      </c>
      <c r="BP123" s="109" t="n">
        <f aca="false">BP99</f>
        <v>2629.51783168518</v>
      </c>
      <c r="BQ123" s="109" t="n">
        <f aca="false">BQ99</f>
        <v>2623.96227612963</v>
      </c>
      <c r="BR123" s="109" t="n">
        <f aca="false">BR99</f>
        <v>2618.40672057407</v>
      </c>
      <c r="BS123" s="109" t="n">
        <f aca="false">BS99</f>
        <v>2612.85116501852</v>
      </c>
      <c r="BT123" s="109" t="n">
        <f aca="false">BT99</f>
        <v>2607.29560946296</v>
      </c>
      <c r="BU123" s="109" t="n">
        <f aca="false">BU99</f>
        <v>2601.74005390741</v>
      </c>
      <c r="BV123" s="109" t="n">
        <f aca="false">BV99</f>
        <v>2596.18449835185</v>
      </c>
      <c r="BW123" s="109" t="n">
        <f aca="false">BW99</f>
        <v>2541.11297607436</v>
      </c>
      <c r="BX123" s="109" t="n">
        <f aca="false">BX99</f>
        <v>2535.55742051881</v>
      </c>
      <c r="BY123" s="109" t="n">
        <f aca="false">BY99</f>
        <v>2530.00186496325</v>
      </c>
      <c r="BZ123" s="109" t="n">
        <f aca="false">BZ99</f>
        <v>2524.44630940769</v>
      </c>
      <c r="CA123" s="109" t="n">
        <f aca="false">CA99</f>
        <v>2518.89075385214</v>
      </c>
      <c r="CB123" s="109" t="n">
        <f aca="false">CB99</f>
        <v>2513.33519829658</v>
      </c>
      <c r="CC123" s="109" t="n">
        <f aca="false">CC99</f>
        <v>2507.77964274103</v>
      </c>
      <c r="CD123" s="109" t="n">
        <f aca="false">CD99</f>
        <v>2502.22408718547</v>
      </c>
      <c r="CE123" s="109" t="n">
        <f aca="false">CE99</f>
        <v>2496.66853162992</v>
      </c>
      <c r="CF123" s="109" t="n">
        <f aca="false">CF99</f>
        <v>2491.11297607436</v>
      </c>
      <c r="CG123" s="109" t="n">
        <f aca="false">CG99</f>
        <v>2485.55742051881</v>
      </c>
      <c r="CH123" s="109" t="n">
        <f aca="false">CH99</f>
        <v>2480.00186496319</v>
      </c>
    </row>
    <row r="124" customFormat="false" ht="13.5" hidden="false" customHeight="true" outlineLevel="0" collapsed="false"/>
    <row r="125" customFormat="false" ht="13.5" hidden="false" customHeight="true" outlineLevel="0" collapsed="false">
      <c r="A125" s="9" t="s">
        <v>620</v>
      </c>
      <c r="B125" s="9"/>
    </row>
    <row r="126" customFormat="false" ht="13.5" hidden="false" customHeight="true" outlineLevel="0" collapsed="false">
      <c r="A126" s="6" t="s">
        <v>621</v>
      </c>
      <c r="C126" s="14" t="n">
        <f aca="false">Hipótesis!$D$93</f>
        <v>100000</v>
      </c>
    </row>
    <row r="127" customFormat="false" ht="13.5" hidden="false" customHeight="true" outlineLevel="0" collapsed="false">
      <c r="A127" s="6" t="s">
        <v>622</v>
      </c>
      <c r="C127" s="17" t="n">
        <f aca="false">IFERROR(IRR($B$121:$CH$121,0.02),"n.d.")</f>
        <v>0.0288753953061455</v>
      </c>
    </row>
    <row r="128" customFormat="false" ht="13.5" hidden="false" customHeight="true" outlineLevel="0" collapsed="false">
      <c r="A128" s="6" t="s">
        <v>85</v>
      </c>
      <c r="C128" s="17" t="n">
        <f aca="false">IFERROR((1+IRR($B$121:$CH$121,0.02))^12-1,"n.d.")</f>
        <v>0.407192068804255</v>
      </c>
    </row>
    <row r="129" customFormat="false" ht="13.5" hidden="false" customHeight="true" outlineLevel="0" collapsed="false">
      <c r="A129" s="6" t="s">
        <v>623</v>
      </c>
      <c r="C129" s="21" t="n">
        <f aca="false">IFERROR(SUM($C$121:$CH$121)/$C$126,0)</f>
        <v>3.92115052923805</v>
      </c>
    </row>
    <row r="130" customFormat="false" ht="13.5" hidden="false" customHeight="true" outlineLevel="0" collapsed="false">
      <c r="A130" s="6" t="s">
        <v>57</v>
      </c>
      <c r="C130" s="15" t="n">
        <f aca="false">IFERROR(COUNTIF($C$94:$CH$94,"&lt;"&amp;$C$126)+1,"n.d.")</f>
        <v>48</v>
      </c>
    </row>
    <row r="131" customFormat="false" ht="13.5" hidden="false" customHeight="true" outlineLevel="0" collapsed="false">
      <c r="A131" s="6" t="s">
        <v>624</v>
      </c>
      <c r="C131" s="14" t="n">
        <f aca="false">IFERROR($B$121+NPV((1+Hipótesis!$D$121)^(1/12)-1,$C$121:$CH$121),0)</f>
        <v>149196.204947744</v>
      </c>
    </row>
    <row r="132" customFormat="false" ht="13.5" hidden="false" customHeight="true" outlineLevel="0" collapsed="false">
      <c r="A132" s="6" t="s">
        <v>625</v>
      </c>
      <c r="C132" s="109" t="n">
        <f aca="false">SUM($AY$56:$BJ$56)</f>
        <v>543913.656972106</v>
      </c>
    </row>
    <row r="133" customFormat="false" ht="13.5" hidden="false" customHeight="true" outlineLevel="0" collapsed="false">
      <c r="A133" s="6" t="s">
        <v>626</v>
      </c>
      <c r="C133" s="109" t="n">
        <f aca="false">IF(Hipótesis!$D$94=5,$C$157,$C$132*Hipótesis!$D$120)</f>
        <v>3921150.52923805</v>
      </c>
    </row>
    <row r="134" customFormat="false" ht="13.5" hidden="false" customHeight="true" outlineLevel="0" collapsed="false">
      <c r="A134" s="6" t="s">
        <v>627</v>
      </c>
      <c r="C134" s="109" t="n">
        <f aca="false">MAX(0,$C$133)*Hipótesis!$D$119</f>
        <v>392115.052923805</v>
      </c>
    </row>
    <row r="135" customFormat="false" ht="13.5" hidden="false" customHeight="true" outlineLevel="0" collapsed="false">
      <c r="A135" s="6" t="s">
        <v>628</v>
      </c>
      <c r="C135" s="17" t="n">
        <f aca="false">IF(ISNUMBER($C$128),$C$128,"n.d.")</f>
        <v>0.407192068804255</v>
      </c>
    </row>
    <row r="136" customFormat="false" ht="13.5" hidden="false" customHeight="true" outlineLevel="0" collapsed="false">
      <c r="A136" s="6" t="s">
        <v>82</v>
      </c>
      <c r="C136" s="17" t="n">
        <f aca="false">IFERROR((1+IRR($B$123:$CH$123,0.01))^12-1,"n.d.")</f>
        <v>0.143813594071121</v>
      </c>
    </row>
    <row r="137" customFormat="false" ht="13.5" hidden="false" customHeight="true" outlineLevel="0" collapsed="false">
      <c r="A137" s="6" t="s">
        <v>629</v>
      </c>
      <c r="C137" s="17" t="n">
        <f aca="false">IFERROR((1+IRR($B$122:$CH$122,0.01))^12-1,"n.d.")</f>
        <v>0.298829455470941</v>
      </c>
    </row>
    <row r="138" customFormat="false" ht="13.5" hidden="false" customHeight="true" outlineLevel="0" collapsed="false">
      <c r="A138" s="6" t="s">
        <v>88</v>
      </c>
      <c r="C138" s="14" t="n">
        <f aca="false">Hipótesis!$D$122</f>
        <v>200000</v>
      </c>
    </row>
    <row r="139" customFormat="false" ht="13.5" hidden="false" customHeight="true" outlineLevel="0" collapsed="false">
      <c r="A139" s="6" t="s">
        <v>630</v>
      </c>
      <c r="C139" s="14" t="n">
        <f aca="false">Hipótesis!$D$113*Hipótesis!$D$117</f>
        <v>0</v>
      </c>
    </row>
    <row r="140" customFormat="false" ht="13.5" hidden="false" customHeight="true" outlineLevel="0" collapsed="false"/>
    <row r="141" customFormat="false" ht="13.5" hidden="false" customHeight="true" outlineLevel="0" collapsed="false">
      <c r="A141" s="115" t="s">
        <v>513</v>
      </c>
      <c r="C141" s="116" t="n">
        <v>1</v>
      </c>
      <c r="D141" s="116" t="n">
        <v>2</v>
      </c>
      <c r="E141" s="116" t="n">
        <v>3</v>
      </c>
      <c r="F141" s="116" t="n">
        <v>4</v>
      </c>
      <c r="G141" s="116" t="n">
        <v>5</v>
      </c>
      <c r="H141" s="116" t="n">
        <v>6</v>
      </c>
      <c r="I141" s="116" t="n">
        <v>7</v>
      </c>
    </row>
    <row r="142" customFormat="false" ht="13.5" hidden="false" customHeight="true" outlineLevel="0" collapsed="false">
      <c r="A142" s="6" t="s">
        <v>631</v>
      </c>
      <c r="C142" s="109" t="n">
        <f aca="false">SUM($C$56:$N$56)</f>
        <v>-47310.7096293714</v>
      </c>
      <c r="D142" s="109" t="n">
        <f aca="false">SUM($O$56:$Z$56)</f>
        <v>220712.753398508</v>
      </c>
      <c r="E142" s="109" t="n">
        <f aca="false">SUM($AA$56:$AL$56)</f>
        <v>409693.78346535</v>
      </c>
      <c r="F142" s="109" t="n">
        <f aca="false">SUM($AM$56:$AX$56)</f>
        <v>548962.010397309</v>
      </c>
      <c r="G142" s="109" t="n">
        <f aca="false">SUM($AY$56:$BJ$56)</f>
        <v>543913.656972106</v>
      </c>
      <c r="H142" s="109" t="n">
        <f aca="false">SUM($BK$56:$BV$56)</f>
        <v>514377.365677776</v>
      </c>
      <c r="I142" s="109" t="n">
        <f aca="false">SUM($BW$56:$CH$56)</f>
        <v>484667.785644617</v>
      </c>
    </row>
    <row r="143" customFormat="false" ht="13.5" hidden="false" customHeight="true" outlineLevel="0" collapsed="false">
      <c r="A143" s="6" t="s">
        <v>632</v>
      </c>
      <c r="C143" s="109" t="n">
        <f aca="false">SUM($C$106:$N$106)</f>
        <v>4513.360323665</v>
      </c>
      <c r="D143" s="109" t="n">
        <f aca="false">SUM($O$106:$Z$106)</f>
        <v>8414.25506797016</v>
      </c>
      <c r="E143" s="109" t="n">
        <f aca="false">SUM($AA$106:$AL$106)</f>
        <v>31827.2090026403</v>
      </c>
      <c r="F143" s="109" t="n">
        <f aca="false">SUM($AM$106:$AX$106)</f>
        <v>33812.5735412795</v>
      </c>
      <c r="G143" s="109" t="n">
        <f aca="false">SUM($AY$106:$BJ$106)</f>
        <v>32911.6064727755</v>
      </c>
      <c r="H143" s="109" t="n">
        <f aca="false">SUM($BK$106:$BV$106)</f>
        <v>31520.8806468889</v>
      </c>
      <c r="I143" s="109" t="n">
        <f aca="false">SUM($BW$106:$CH$106)</f>
        <v>30126.6890462256</v>
      </c>
    </row>
    <row r="144" customFormat="false" ht="13.5" hidden="false" customHeight="true" outlineLevel="0" collapsed="false">
      <c r="A144" s="22" t="s">
        <v>633</v>
      </c>
      <c r="C144" s="122" t="n">
        <f aca="false">IFERROR(C142/C143,0)</f>
        <v>-10.4823692850992</v>
      </c>
      <c r="D144" s="122" t="n">
        <f aca="false">IFERROR(D142/D143,0)</f>
        <v>26.2308132586421</v>
      </c>
      <c r="E144" s="122" t="n">
        <f aca="false">IFERROR(E142/E143,0)</f>
        <v>12.872438278561</v>
      </c>
      <c r="F144" s="122" t="n">
        <f aca="false">IFERROR(F142/F143,0)</f>
        <v>16.2354400420636</v>
      </c>
      <c r="G144" s="122" t="n">
        <f aca="false">IFERROR(G142/G143,0)</f>
        <v>16.5264997751487</v>
      </c>
      <c r="H144" s="122" t="n">
        <f aca="false">IFERROR(H142/H143,0)</f>
        <v>16.3186229293548</v>
      </c>
      <c r="I144" s="122" t="n">
        <f aca="false">IFERROR(I142/I143,0)</f>
        <v>16.0876551983842</v>
      </c>
    </row>
    <row r="145" customFormat="false" ht="13.5" hidden="false" customHeight="true" outlineLevel="0" collapsed="false">
      <c r="A145" s="22" t="s">
        <v>634</v>
      </c>
      <c r="C145" s="16" t="n">
        <f aca="false">MIN(D144:I144)</f>
        <v>12.872438278561</v>
      </c>
    </row>
    <row r="146" customFormat="false" ht="13.5" hidden="false" customHeight="true" outlineLevel="0" collapsed="false">
      <c r="A146" s="22" t="s">
        <v>635</v>
      </c>
      <c r="C146" s="14" t="n">
        <f aca="false">MIN($C$86:$CH$86)</f>
        <v>30000</v>
      </c>
    </row>
    <row r="147" customFormat="false" ht="13.5" hidden="false" customHeight="true" outlineLevel="0" collapsed="false">
      <c r="A147" s="22" t="s">
        <v>636</v>
      </c>
      <c r="C147" s="14" t="n">
        <f aca="false">SUM($C$36:$N$36)</f>
        <v>187388.126275719</v>
      </c>
    </row>
    <row r="148" customFormat="false" ht="13.5" hidden="false" customHeight="true" outlineLevel="0" collapsed="false">
      <c r="A148" s="22" t="s">
        <v>637</v>
      </c>
      <c r="C148" s="109" t="n">
        <f aca="false">-SUM($C$84:$N$84)</f>
        <v>-0</v>
      </c>
      <c r="D148" s="109" t="n">
        <f aca="false">-SUM($O$84:$Z$84)</f>
        <v>-0</v>
      </c>
      <c r="E148" s="109" t="n">
        <f aca="false">-SUM($AA$84:$AL$84)</f>
        <v>-0</v>
      </c>
      <c r="F148" s="109" t="n">
        <f aca="false">-SUM($AM$84:$AX$84)</f>
        <v>-0</v>
      </c>
      <c r="G148" s="109" t="n">
        <f aca="false">-SUM($AY$84:$BJ$84)</f>
        <v>-0</v>
      </c>
      <c r="H148" s="109" t="n">
        <f aca="false">-SUM($BK$84:$BV$84)</f>
        <v>-0</v>
      </c>
      <c r="I148" s="109" t="n">
        <f aca="false">-SUM($BW$84:$CH$84)</f>
        <v>-0</v>
      </c>
    </row>
    <row r="149" customFormat="false" ht="13.5" hidden="false" customHeight="true" outlineLevel="0" collapsed="false">
      <c r="A149" s="22" t="s">
        <v>638</v>
      </c>
      <c r="C149" s="14" t="n">
        <f aca="false">SUM($C$118:$N$118)/12</f>
        <v>1540</v>
      </c>
      <c r="D149" s="14" t="n">
        <f aca="false">SUM($O$118:$Z$118)/12</f>
        <v>2450</v>
      </c>
      <c r="E149" s="14" t="n">
        <f aca="false">SUM($AA$118:$AL$118)/12</f>
        <v>2800</v>
      </c>
      <c r="F149" s="14" t="n">
        <f aca="false">SUM($AM$118:$AX$118)/12</f>
        <v>3150</v>
      </c>
      <c r="G149" s="14" t="n">
        <f aca="false">SUM($AY$118:$BJ$118)/12</f>
        <v>3500</v>
      </c>
      <c r="H149" s="14" t="n">
        <f aca="false">SUM($BK$118:$BV$118)/12</f>
        <v>3850</v>
      </c>
      <c r="I149" s="14" t="n">
        <f aca="false">SUM($BW$118:$CH$118)/12</f>
        <v>4200</v>
      </c>
    </row>
    <row r="150" customFormat="false" ht="13.5" hidden="false" customHeight="true" outlineLevel="0" collapsed="false">
      <c r="A150" s="22" t="s">
        <v>639</v>
      </c>
      <c r="C150" s="14" t="n">
        <f aca="false">MAX($C$81:$CH$81)</f>
        <v>3133.46141452048</v>
      </c>
    </row>
    <row r="152" customFormat="false" ht="15" hidden="false" customHeight="true" outlineLevel="0" collapsed="false">
      <c r="A152" s="103" t="s">
        <v>640</v>
      </c>
    </row>
    <row r="153" customFormat="false" ht="15" hidden="false" customHeight="true" outlineLevel="0" collapsed="false">
      <c r="A153" s="1" t="s">
        <v>641</v>
      </c>
      <c r="C153" s="1" t="n">
        <f aca="false">SUMIFS($C$56:$CH$56,$C$3:$CH$3,"&gt;="&amp;Hipótesis!$D$124-11,$C$3:$CH$3,"&lt;="&amp;Hipótesis!$D$124)</f>
        <v>548962.010397309</v>
      </c>
    </row>
    <row r="154" customFormat="false" ht="15" hidden="false" customHeight="true" outlineLevel="0" collapsed="false">
      <c r="A154" s="1" t="s">
        <v>642</v>
      </c>
      <c r="C154" s="1" t="n">
        <f aca="false">$C$153*Hipótesis!$D$120</f>
        <v>3293772.06238385</v>
      </c>
    </row>
    <row r="155" customFormat="false" ht="15" hidden="false" customHeight="true" outlineLevel="0" collapsed="false">
      <c r="A155" s="1" t="s">
        <v>643</v>
      </c>
      <c r="C155" s="1" t="n">
        <f aca="false">SUMIFS($C$86:$CH$86,$C$3:$CH$3,"="&amp;Hipótesis!$D$124)</f>
        <v>689045.133520858</v>
      </c>
    </row>
    <row r="156" customFormat="false" ht="15" hidden="false" customHeight="true" outlineLevel="0" collapsed="false">
      <c r="A156" s="1" t="s">
        <v>644</v>
      </c>
      <c r="C156" s="1" t="n">
        <f aca="false">SUMIFS($C$96:$CH$96,$C$3:$CH$3,"="&amp;Hipótesis!$D$124)+SUMIFS($C$101:$CH$101,$C$3:$CH$3,"="&amp;Hipótesis!$D$124)+SUMIFS($C$89:$CH$89,$C$3:$CH$3,"="&amp;Hipótesis!$D$124)</f>
        <v>61666.6666666666</v>
      </c>
    </row>
    <row r="157" customFormat="false" ht="15" hidden="false" customHeight="true" outlineLevel="0" collapsed="false">
      <c r="A157" s="103" t="s">
        <v>645</v>
      </c>
      <c r="C157" s="1" t="n">
        <f aca="false">MAX(0,$C$154+Hipótesis!$D$125*($C$155-$C$156))</f>
        <v>3921150.52923805</v>
      </c>
    </row>
    <row r="158" customFormat="false" ht="15" hidden="false" customHeight="true" outlineLevel="0" collapsed="false">
      <c r="A158" s="1" t="s">
        <v>646</v>
      </c>
      <c r="C158" s="1" t="n">
        <f aca="false">MIN($C$157,MAX($C$157*Hipótesis!$D$119,Hipótesis!$D$127*Hipótesis!$D$93))</f>
        <v>392115.052923805</v>
      </c>
    </row>
    <row r="159" customFormat="false" ht="15" hidden="false" customHeight="true" outlineLevel="0" collapsed="false">
      <c r="A159" s="1" t="s">
        <v>647</v>
      </c>
      <c r="C159" s="1" t="n">
        <f aca="false">MAX(0,$C$158-$C$157*Hipótesis!$D$119)</f>
        <v>0</v>
      </c>
    </row>
    <row r="160" customFormat="false" ht="15" hidden="false" customHeight="true" outlineLevel="0" collapsed="false">
      <c r="A160" s="103" t="s">
        <v>648</v>
      </c>
    </row>
    <row r="161" customFormat="false" ht="15" hidden="false" customHeight="true" outlineLevel="0" collapsed="false">
      <c r="A161" s="1" t="s">
        <v>649</v>
      </c>
      <c r="C161" s="123" t="n">
        <f aca="false">IF(Hipótesis!$D$94=5,Hipótesis!$D$93,0)</f>
        <v>100000</v>
      </c>
    </row>
    <row r="162" customFormat="false" ht="15" hidden="false" customHeight="true" outlineLevel="0" collapsed="false">
      <c r="A162" s="1" t="s">
        <v>650</v>
      </c>
      <c r="C162" s="1" t="n">
        <f aca="false">SUMIFS($C$63:$CH$63,$C$3:$CH$3,"&lt;="&amp;Hipótesis!$D$126)</f>
        <v>0</v>
      </c>
    </row>
    <row r="163" customFormat="false" ht="15" hidden="false" customHeight="true" outlineLevel="0" collapsed="false">
      <c r="A163" s="103" t="s">
        <v>651</v>
      </c>
      <c r="C163" s="1" t="n">
        <f aca="false">$C$161+$C$162</f>
        <v>100000</v>
      </c>
    </row>
    <row r="164" customFormat="false" ht="15" hidden="false" customHeight="true" outlineLevel="0" collapsed="false">
      <c r="A164" s="1" t="s">
        <v>652</v>
      </c>
      <c r="C164" s="123" t="n">
        <f aca="false">Hipótesis!$D$105</f>
        <v>100000</v>
      </c>
    </row>
    <row r="165" customFormat="false" ht="15" hidden="false" customHeight="true" outlineLevel="0" collapsed="false">
      <c r="A165" s="103" t="s">
        <v>653</v>
      </c>
      <c r="C165" s="1" t="str">
        <f aca="false">IF($C$163&gt;=$C$164,"SI CUMPLE","NO CUMPLE - faltan "&amp;TEXT($C$164-$C$163,"#,##0")&amp;" EUR")</f>
        <v>SI CUMPLE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H1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8"/>
    <col collapsed="false" customWidth="true" hidden="false" outlineLevel="0" max="2" min="2" style="1" width="13"/>
    <col collapsed="false" customWidth="true" hidden="false" outlineLevel="0" max="86" min="3" style="1" width="11"/>
  </cols>
  <sheetData>
    <row r="1" customFormat="false" ht="18" hidden="false" customHeight="true" outlineLevel="0" collapsed="false">
      <c r="A1" s="8" t="s">
        <v>709</v>
      </c>
    </row>
    <row r="2" customFormat="false" ht="13.5" hidden="false" customHeight="true" outlineLevel="0" collapsed="false">
      <c r="A2" s="4" t="s">
        <v>707</v>
      </c>
    </row>
    <row r="3" customFormat="false" ht="13.5" hidden="false" customHeight="true" outlineLevel="0" collapsed="false">
      <c r="A3" s="115" t="s">
        <v>512</v>
      </c>
      <c r="C3" s="116" t="n">
        <v>1</v>
      </c>
      <c r="D3" s="116" t="n">
        <v>2</v>
      </c>
      <c r="E3" s="116" t="n">
        <v>3</v>
      </c>
      <c r="F3" s="116" t="n">
        <v>4</v>
      </c>
      <c r="G3" s="116" t="n">
        <v>5</v>
      </c>
      <c r="H3" s="116" t="n">
        <v>6</v>
      </c>
      <c r="I3" s="116" t="n">
        <v>7</v>
      </c>
      <c r="J3" s="116" t="n">
        <v>8</v>
      </c>
      <c r="K3" s="116" t="n">
        <v>9</v>
      </c>
      <c r="L3" s="116" t="n">
        <v>10</v>
      </c>
      <c r="M3" s="116" t="n">
        <v>11</v>
      </c>
      <c r="N3" s="116" t="n">
        <v>12</v>
      </c>
      <c r="O3" s="116" t="n">
        <v>13</v>
      </c>
      <c r="P3" s="116" t="n">
        <v>14</v>
      </c>
      <c r="Q3" s="116" t="n">
        <v>15</v>
      </c>
      <c r="R3" s="116" t="n">
        <v>16</v>
      </c>
      <c r="S3" s="116" t="n">
        <v>17</v>
      </c>
      <c r="T3" s="116" t="n">
        <v>18</v>
      </c>
      <c r="U3" s="116" t="n">
        <v>19</v>
      </c>
      <c r="V3" s="116" t="n">
        <v>20</v>
      </c>
      <c r="W3" s="116" t="n">
        <v>21</v>
      </c>
      <c r="X3" s="116" t="n">
        <v>22</v>
      </c>
      <c r="Y3" s="116" t="n">
        <v>23</v>
      </c>
      <c r="Z3" s="116" t="n">
        <v>24</v>
      </c>
      <c r="AA3" s="116" t="n">
        <v>25</v>
      </c>
      <c r="AB3" s="116" t="n">
        <v>26</v>
      </c>
      <c r="AC3" s="116" t="n">
        <v>27</v>
      </c>
      <c r="AD3" s="116" t="n">
        <v>28</v>
      </c>
      <c r="AE3" s="116" t="n">
        <v>29</v>
      </c>
      <c r="AF3" s="116" t="n">
        <v>30</v>
      </c>
      <c r="AG3" s="116" t="n">
        <v>31</v>
      </c>
      <c r="AH3" s="116" t="n">
        <v>32</v>
      </c>
      <c r="AI3" s="116" t="n">
        <v>33</v>
      </c>
      <c r="AJ3" s="116" t="n">
        <v>34</v>
      </c>
      <c r="AK3" s="116" t="n">
        <v>35</v>
      </c>
      <c r="AL3" s="116" t="n">
        <v>36</v>
      </c>
      <c r="AM3" s="116" t="n">
        <v>37</v>
      </c>
      <c r="AN3" s="116" t="n">
        <v>38</v>
      </c>
      <c r="AO3" s="116" t="n">
        <v>39</v>
      </c>
      <c r="AP3" s="116" t="n">
        <v>40</v>
      </c>
      <c r="AQ3" s="116" t="n">
        <v>41</v>
      </c>
      <c r="AR3" s="116" t="n">
        <v>42</v>
      </c>
      <c r="AS3" s="116" t="n">
        <v>43</v>
      </c>
      <c r="AT3" s="116" t="n">
        <v>44</v>
      </c>
      <c r="AU3" s="116" t="n">
        <v>45</v>
      </c>
      <c r="AV3" s="116" t="n">
        <v>46</v>
      </c>
      <c r="AW3" s="116" t="n">
        <v>47</v>
      </c>
      <c r="AX3" s="116" t="n">
        <v>48</v>
      </c>
      <c r="AY3" s="116" t="n">
        <v>49</v>
      </c>
      <c r="AZ3" s="116" t="n">
        <v>50</v>
      </c>
      <c r="BA3" s="116" t="n">
        <v>51</v>
      </c>
      <c r="BB3" s="116" t="n">
        <v>52</v>
      </c>
      <c r="BC3" s="116" t="n">
        <v>53</v>
      </c>
      <c r="BD3" s="116" t="n">
        <v>54</v>
      </c>
      <c r="BE3" s="116" t="n">
        <v>55</v>
      </c>
      <c r="BF3" s="116" t="n">
        <v>56</v>
      </c>
      <c r="BG3" s="116" t="n">
        <v>57</v>
      </c>
      <c r="BH3" s="116" t="n">
        <v>58</v>
      </c>
      <c r="BI3" s="116" t="n">
        <v>59</v>
      </c>
      <c r="BJ3" s="116" t="n">
        <v>60</v>
      </c>
      <c r="BK3" s="116" t="n">
        <v>61</v>
      </c>
      <c r="BL3" s="116" t="n">
        <v>62</v>
      </c>
      <c r="BM3" s="116" t="n">
        <v>63</v>
      </c>
      <c r="BN3" s="116" t="n">
        <v>64</v>
      </c>
      <c r="BO3" s="116" t="n">
        <v>65</v>
      </c>
      <c r="BP3" s="116" t="n">
        <v>66</v>
      </c>
      <c r="BQ3" s="116" t="n">
        <v>67</v>
      </c>
      <c r="BR3" s="116" t="n">
        <v>68</v>
      </c>
      <c r="BS3" s="116" t="n">
        <v>69</v>
      </c>
      <c r="BT3" s="116" t="n">
        <v>70</v>
      </c>
      <c r="BU3" s="116" t="n">
        <v>71</v>
      </c>
      <c r="BV3" s="116" t="n">
        <v>72</v>
      </c>
      <c r="BW3" s="116" t="n">
        <v>73</v>
      </c>
      <c r="BX3" s="116" t="n">
        <v>74</v>
      </c>
      <c r="BY3" s="116" t="n">
        <v>75</v>
      </c>
      <c r="BZ3" s="116" t="n">
        <v>76</v>
      </c>
      <c r="CA3" s="116" t="n">
        <v>77</v>
      </c>
      <c r="CB3" s="116" t="n">
        <v>78</v>
      </c>
      <c r="CC3" s="116" t="n">
        <v>79</v>
      </c>
      <c r="CD3" s="116" t="n">
        <v>80</v>
      </c>
      <c r="CE3" s="116" t="n">
        <v>81</v>
      </c>
      <c r="CF3" s="116" t="n">
        <v>82</v>
      </c>
      <c r="CG3" s="116" t="n">
        <v>83</v>
      </c>
      <c r="CH3" s="116" t="n">
        <v>84</v>
      </c>
    </row>
    <row r="4" customFormat="false" ht="13.5" hidden="false" customHeight="true" outlineLevel="0" collapsed="false">
      <c r="A4" s="115" t="s">
        <v>513</v>
      </c>
      <c r="C4" s="117" t="n">
        <f aca="false">INT((1-1)/12)+1</f>
        <v>1</v>
      </c>
      <c r="D4" s="117" t="n">
        <f aca="false">INT((2-1)/12)+1</f>
        <v>1</v>
      </c>
      <c r="E4" s="117" t="n">
        <f aca="false">INT((3-1)/12)+1</f>
        <v>1</v>
      </c>
      <c r="F4" s="117" t="n">
        <f aca="false">INT((4-1)/12)+1</f>
        <v>1</v>
      </c>
      <c r="G4" s="117" t="n">
        <f aca="false">INT((5-1)/12)+1</f>
        <v>1</v>
      </c>
      <c r="H4" s="117" t="n">
        <f aca="false">INT((6-1)/12)+1</f>
        <v>1</v>
      </c>
      <c r="I4" s="117" t="n">
        <f aca="false">INT((7-1)/12)+1</f>
        <v>1</v>
      </c>
      <c r="J4" s="117" t="n">
        <f aca="false">INT((8-1)/12)+1</f>
        <v>1</v>
      </c>
      <c r="K4" s="117" t="n">
        <f aca="false">INT((9-1)/12)+1</f>
        <v>1</v>
      </c>
      <c r="L4" s="117" t="n">
        <f aca="false">INT((10-1)/12)+1</f>
        <v>1</v>
      </c>
      <c r="M4" s="117" t="n">
        <f aca="false">INT((11-1)/12)+1</f>
        <v>1</v>
      </c>
      <c r="N4" s="117" t="n">
        <f aca="false">INT((12-1)/12)+1</f>
        <v>1</v>
      </c>
      <c r="O4" s="117" t="n">
        <f aca="false">INT((13-1)/12)+1</f>
        <v>2</v>
      </c>
      <c r="P4" s="117" t="n">
        <f aca="false">INT((14-1)/12)+1</f>
        <v>2</v>
      </c>
      <c r="Q4" s="117" t="n">
        <f aca="false">INT((15-1)/12)+1</f>
        <v>2</v>
      </c>
      <c r="R4" s="117" t="n">
        <f aca="false">INT((16-1)/12)+1</f>
        <v>2</v>
      </c>
      <c r="S4" s="117" t="n">
        <f aca="false">INT((17-1)/12)+1</f>
        <v>2</v>
      </c>
      <c r="T4" s="117" t="n">
        <f aca="false">INT((18-1)/12)+1</f>
        <v>2</v>
      </c>
      <c r="U4" s="117" t="n">
        <f aca="false">INT((19-1)/12)+1</f>
        <v>2</v>
      </c>
      <c r="V4" s="117" t="n">
        <f aca="false">INT((20-1)/12)+1</f>
        <v>2</v>
      </c>
      <c r="W4" s="117" t="n">
        <f aca="false">INT((21-1)/12)+1</f>
        <v>2</v>
      </c>
      <c r="X4" s="117" t="n">
        <f aca="false">INT((22-1)/12)+1</f>
        <v>2</v>
      </c>
      <c r="Y4" s="117" t="n">
        <f aca="false">INT((23-1)/12)+1</f>
        <v>2</v>
      </c>
      <c r="Z4" s="117" t="n">
        <f aca="false">INT((24-1)/12)+1</f>
        <v>2</v>
      </c>
      <c r="AA4" s="117" t="n">
        <f aca="false">INT((25-1)/12)+1</f>
        <v>3</v>
      </c>
      <c r="AB4" s="117" t="n">
        <f aca="false">INT((26-1)/12)+1</f>
        <v>3</v>
      </c>
      <c r="AC4" s="117" t="n">
        <f aca="false">INT((27-1)/12)+1</f>
        <v>3</v>
      </c>
      <c r="AD4" s="117" t="n">
        <f aca="false">INT((28-1)/12)+1</f>
        <v>3</v>
      </c>
      <c r="AE4" s="117" t="n">
        <f aca="false">INT((29-1)/12)+1</f>
        <v>3</v>
      </c>
      <c r="AF4" s="117" t="n">
        <f aca="false">INT((30-1)/12)+1</f>
        <v>3</v>
      </c>
      <c r="AG4" s="117" t="n">
        <f aca="false">INT((31-1)/12)+1</f>
        <v>3</v>
      </c>
      <c r="AH4" s="117" t="n">
        <f aca="false">INT((32-1)/12)+1</f>
        <v>3</v>
      </c>
      <c r="AI4" s="117" t="n">
        <f aca="false">INT((33-1)/12)+1</f>
        <v>3</v>
      </c>
      <c r="AJ4" s="117" t="n">
        <f aca="false">INT((34-1)/12)+1</f>
        <v>3</v>
      </c>
      <c r="AK4" s="117" t="n">
        <f aca="false">INT((35-1)/12)+1</f>
        <v>3</v>
      </c>
      <c r="AL4" s="117" t="n">
        <f aca="false">INT((36-1)/12)+1</f>
        <v>3</v>
      </c>
      <c r="AM4" s="117" t="n">
        <f aca="false">INT((37-1)/12)+1</f>
        <v>4</v>
      </c>
      <c r="AN4" s="117" t="n">
        <f aca="false">INT((38-1)/12)+1</f>
        <v>4</v>
      </c>
      <c r="AO4" s="117" t="n">
        <f aca="false">INT((39-1)/12)+1</f>
        <v>4</v>
      </c>
      <c r="AP4" s="117" t="n">
        <f aca="false">INT((40-1)/12)+1</f>
        <v>4</v>
      </c>
      <c r="AQ4" s="117" t="n">
        <f aca="false">INT((41-1)/12)+1</f>
        <v>4</v>
      </c>
      <c r="AR4" s="117" t="n">
        <f aca="false">INT((42-1)/12)+1</f>
        <v>4</v>
      </c>
      <c r="AS4" s="117" t="n">
        <f aca="false">INT((43-1)/12)+1</f>
        <v>4</v>
      </c>
      <c r="AT4" s="117" t="n">
        <f aca="false">INT((44-1)/12)+1</f>
        <v>4</v>
      </c>
      <c r="AU4" s="117" t="n">
        <f aca="false">INT((45-1)/12)+1</f>
        <v>4</v>
      </c>
      <c r="AV4" s="117" t="n">
        <f aca="false">INT((46-1)/12)+1</f>
        <v>4</v>
      </c>
      <c r="AW4" s="117" t="n">
        <f aca="false">INT((47-1)/12)+1</f>
        <v>4</v>
      </c>
      <c r="AX4" s="117" t="n">
        <f aca="false">INT((48-1)/12)+1</f>
        <v>4</v>
      </c>
      <c r="AY4" s="117" t="n">
        <f aca="false">INT((49-1)/12)+1</f>
        <v>5</v>
      </c>
      <c r="AZ4" s="117" t="n">
        <f aca="false">INT((50-1)/12)+1</f>
        <v>5</v>
      </c>
      <c r="BA4" s="117" t="n">
        <f aca="false">INT((51-1)/12)+1</f>
        <v>5</v>
      </c>
      <c r="BB4" s="117" t="n">
        <f aca="false">INT((52-1)/12)+1</f>
        <v>5</v>
      </c>
      <c r="BC4" s="117" t="n">
        <f aca="false">INT((53-1)/12)+1</f>
        <v>5</v>
      </c>
      <c r="BD4" s="117" t="n">
        <f aca="false">INT((54-1)/12)+1</f>
        <v>5</v>
      </c>
      <c r="BE4" s="117" t="n">
        <f aca="false">INT((55-1)/12)+1</f>
        <v>5</v>
      </c>
      <c r="BF4" s="117" t="n">
        <f aca="false">INT((56-1)/12)+1</f>
        <v>5</v>
      </c>
      <c r="BG4" s="117" t="n">
        <f aca="false">INT((57-1)/12)+1</f>
        <v>5</v>
      </c>
      <c r="BH4" s="117" t="n">
        <f aca="false">INT((58-1)/12)+1</f>
        <v>5</v>
      </c>
      <c r="BI4" s="117" t="n">
        <f aca="false">INT((59-1)/12)+1</f>
        <v>5</v>
      </c>
      <c r="BJ4" s="117" t="n">
        <f aca="false">INT((60-1)/12)+1</f>
        <v>5</v>
      </c>
      <c r="BK4" s="117" t="n">
        <f aca="false">INT((61-1)/12)+1</f>
        <v>6</v>
      </c>
      <c r="BL4" s="117" t="n">
        <f aca="false">INT((62-1)/12)+1</f>
        <v>6</v>
      </c>
      <c r="BM4" s="117" t="n">
        <f aca="false">INT((63-1)/12)+1</f>
        <v>6</v>
      </c>
      <c r="BN4" s="117" t="n">
        <f aca="false">INT((64-1)/12)+1</f>
        <v>6</v>
      </c>
      <c r="BO4" s="117" t="n">
        <f aca="false">INT((65-1)/12)+1</f>
        <v>6</v>
      </c>
      <c r="BP4" s="117" t="n">
        <f aca="false">INT((66-1)/12)+1</f>
        <v>6</v>
      </c>
      <c r="BQ4" s="117" t="n">
        <f aca="false">INT((67-1)/12)+1</f>
        <v>6</v>
      </c>
      <c r="BR4" s="117" t="n">
        <f aca="false">INT((68-1)/12)+1</f>
        <v>6</v>
      </c>
      <c r="BS4" s="117" t="n">
        <f aca="false">INT((69-1)/12)+1</f>
        <v>6</v>
      </c>
      <c r="BT4" s="117" t="n">
        <f aca="false">INT((70-1)/12)+1</f>
        <v>6</v>
      </c>
      <c r="BU4" s="117" t="n">
        <f aca="false">INT((71-1)/12)+1</f>
        <v>6</v>
      </c>
      <c r="BV4" s="117" t="n">
        <f aca="false">INT((72-1)/12)+1</f>
        <v>6</v>
      </c>
      <c r="BW4" s="117" t="n">
        <f aca="false">INT((73-1)/12)+1</f>
        <v>7</v>
      </c>
      <c r="BX4" s="117" t="n">
        <f aca="false">INT((74-1)/12)+1</f>
        <v>7</v>
      </c>
      <c r="BY4" s="117" t="n">
        <f aca="false">INT((75-1)/12)+1</f>
        <v>7</v>
      </c>
      <c r="BZ4" s="117" t="n">
        <f aca="false">INT((76-1)/12)+1</f>
        <v>7</v>
      </c>
      <c r="CA4" s="117" t="n">
        <f aca="false">INT((77-1)/12)+1</f>
        <v>7</v>
      </c>
      <c r="CB4" s="117" t="n">
        <f aca="false">INT((78-1)/12)+1</f>
        <v>7</v>
      </c>
      <c r="CC4" s="117" t="n">
        <f aca="false">INT((79-1)/12)+1</f>
        <v>7</v>
      </c>
      <c r="CD4" s="117" t="n">
        <f aca="false">INT((80-1)/12)+1</f>
        <v>7</v>
      </c>
      <c r="CE4" s="117" t="n">
        <f aca="false">INT((81-1)/12)+1</f>
        <v>7</v>
      </c>
      <c r="CF4" s="117" t="n">
        <f aca="false">INT((82-1)/12)+1</f>
        <v>7</v>
      </c>
      <c r="CG4" s="117" t="n">
        <f aca="false">INT((83-1)/12)+1</f>
        <v>7</v>
      </c>
      <c r="CH4" s="117" t="n">
        <f aca="false">INT((84-1)/12)+1</f>
        <v>7</v>
      </c>
    </row>
    <row r="5" customFormat="false" ht="13.5" hidden="false" customHeight="true" outlineLevel="0" collapsed="false"/>
    <row r="6" customFormat="false" ht="12.75" hidden="false" customHeight="true" outlineLevel="0" collapsed="false">
      <c r="A6" s="9" t="s">
        <v>514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</row>
    <row r="7" customFormat="false" ht="13.5" hidden="false" customHeight="true" outlineLevel="0" collapsed="false">
      <c r="A7" s="6" t="s">
        <v>515</v>
      </c>
      <c r="C7" s="118" t="n">
        <f aca="false">MIN(Hipótesis!$E$26,Hipótesis!$E$27+Hipótesis!$E$28*(1-1))</f>
        <v>1</v>
      </c>
      <c r="D7" s="118" t="n">
        <f aca="false">MIN(Hipótesis!$E$26,Hipótesis!$E$27+Hipótesis!$E$28*(2-1))</f>
        <v>1.5</v>
      </c>
      <c r="E7" s="118" t="n">
        <f aca="false">MIN(Hipótesis!$E$26,Hipótesis!$E$27+Hipótesis!$E$28*(3-1))</f>
        <v>2</v>
      </c>
      <c r="F7" s="118" t="n">
        <f aca="false">MIN(Hipótesis!$E$26,Hipótesis!$E$27+Hipótesis!$E$28*(4-1))</f>
        <v>2.5</v>
      </c>
      <c r="G7" s="118" t="n">
        <f aca="false">MIN(Hipótesis!$E$26,Hipótesis!$E$27+Hipótesis!$E$28*(5-1))</f>
        <v>3</v>
      </c>
      <c r="H7" s="118" t="n">
        <f aca="false">MIN(Hipótesis!$E$26,Hipótesis!$E$27+Hipótesis!$E$28*(6-1))</f>
        <v>3</v>
      </c>
      <c r="I7" s="118" t="n">
        <f aca="false">MIN(Hipótesis!$E$26,Hipótesis!$E$27+Hipótesis!$E$28*(7-1))</f>
        <v>3</v>
      </c>
      <c r="J7" s="118" t="n">
        <f aca="false">MIN(Hipótesis!$E$26,Hipótesis!$E$27+Hipótesis!$E$28*(8-1))</f>
        <v>3</v>
      </c>
      <c r="K7" s="118" t="n">
        <f aca="false">MIN(Hipótesis!$E$26,Hipótesis!$E$27+Hipótesis!$E$28*(9-1))</f>
        <v>3</v>
      </c>
      <c r="L7" s="118" t="n">
        <f aca="false">MIN(Hipótesis!$E$26,Hipótesis!$E$27+Hipótesis!$E$28*(10-1))</f>
        <v>3</v>
      </c>
      <c r="M7" s="118" t="n">
        <f aca="false">MIN(Hipótesis!$E$26,Hipótesis!$E$27+Hipótesis!$E$28*(11-1))</f>
        <v>3</v>
      </c>
      <c r="N7" s="118" t="n">
        <f aca="false">MIN(Hipótesis!$E$26,Hipótesis!$E$27+Hipótesis!$E$28*(12-1))</f>
        <v>3</v>
      </c>
      <c r="O7" s="118" t="n">
        <f aca="false">MIN(Hipótesis!$E$26,Hipótesis!$E$27+Hipótesis!$E$28*(13-1))</f>
        <v>3</v>
      </c>
      <c r="P7" s="118" t="n">
        <f aca="false">MIN(Hipótesis!$E$26,Hipótesis!$E$27+Hipótesis!$E$28*(14-1))</f>
        <v>3</v>
      </c>
      <c r="Q7" s="118" t="n">
        <f aca="false">MIN(Hipótesis!$E$26,Hipótesis!$E$27+Hipótesis!$E$28*(15-1))</f>
        <v>3</v>
      </c>
      <c r="R7" s="118" t="n">
        <f aca="false">MIN(Hipótesis!$E$26,Hipótesis!$E$27+Hipótesis!$E$28*(16-1))</f>
        <v>3</v>
      </c>
      <c r="S7" s="118" t="n">
        <f aca="false">MIN(Hipótesis!$E$26,Hipótesis!$E$27+Hipótesis!$E$28*(17-1))</f>
        <v>3</v>
      </c>
      <c r="T7" s="118" t="n">
        <f aca="false">MIN(Hipótesis!$E$26,Hipótesis!$E$27+Hipótesis!$E$28*(18-1))</f>
        <v>3</v>
      </c>
      <c r="U7" s="118" t="n">
        <f aca="false">MIN(Hipótesis!$E$26,Hipótesis!$E$27+Hipótesis!$E$28*(19-1))</f>
        <v>3</v>
      </c>
      <c r="V7" s="118" t="n">
        <f aca="false">MIN(Hipótesis!$E$26,Hipótesis!$E$27+Hipótesis!$E$28*(20-1))</f>
        <v>3</v>
      </c>
      <c r="W7" s="118" t="n">
        <f aca="false">MIN(Hipótesis!$E$26,Hipótesis!$E$27+Hipótesis!$E$28*(21-1))</f>
        <v>3</v>
      </c>
      <c r="X7" s="118" t="n">
        <f aca="false">MIN(Hipótesis!$E$26,Hipótesis!$E$27+Hipótesis!$E$28*(22-1))</f>
        <v>3</v>
      </c>
      <c r="Y7" s="118" t="n">
        <f aca="false">MIN(Hipótesis!$E$26,Hipótesis!$E$27+Hipótesis!$E$28*(23-1))</f>
        <v>3</v>
      </c>
      <c r="Z7" s="118" t="n">
        <f aca="false">MIN(Hipótesis!$E$26,Hipótesis!$E$27+Hipótesis!$E$28*(24-1))</f>
        <v>3</v>
      </c>
      <c r="AA7" s="118" t="n">
        <f aca="false">MIN(Hipótesis!$E$26,Hipótesis!$E$27+Hipótesis!$E$28*(25-1))</f>
        <v>3</v>
      </c>
      <c r="AB7" s="118" t="n">
        <f aca="false">MIN(Hipótesis!$E$26,Hipótesis!$E$27+Hipótesis!$E$28*(26-1))</f>
        <v>3</v>
      </c>
      <c r="AC7" s="118" t="n">
        <f aca="false">MIN(Hipótesis!$E$26,Hipótesis!$E$27+Hipótesis!$E$28*(27-1))</f>
        <v>3</v>
      </c>
      <c r="AD7" s="118" t="n">
        <f aca="false">MIN(Hipótesis!$E$26,Hipótesis!$E$27+Hipótesis!$E$28*(28-1))</f>
        <v>3</v>
      </c>
      <c r="AE7" s="118" t="n">
        <f aca="false">MIN(Hipótesis!$E$26,Hipótesis!$E$27+Hipótesis!$E$28*(29-1))</f>
        <v>3</v>
      </c>
      <c r="AF7" s="118" t="n">
        <f aca="false">MIN(Hipótesis!$E$26,Hipótesis!$E$27+Hipótesis!$E$28*(30-1))</f>
        <v>3</v>
      </c>
      <c r="AG7" s="118" t="n">
        <f aca="false">MIN(Hipótesis!$E$26,Hipótesis!$E$27+Hipótesis!$E$28*(31-1))</f>
        <v>3</v>
      </c>
      <c r="AH7" s="118" t="n">
        <f aca="false">MIN(Hipótesis!$E$26,Hipótesis!$E$27+Hipótesis!$E$28*(32-1))</f>
        <v>3</v>
      </c>
      <c r="AI7" s="118" t="n">
        <f aca="false">MIN(Hipótesis!$E$26,Hipótesis!$E$27+Hipótesis!$E$28*(33-1))</f>
        <v>3</v>
      </c>
      <c r="AJ7" s="118" t="n">
        <f aca="false">MIN(Hipótesis!$E$26,Hipótesis!$E$27+Hipótesis!$E$28*(34-1))</f>
        <v>3</v>
      </c>
      <c r="AK7" s="118" t="n">
        <f aca="false">MIN(Hipótesis!$E$26,Hipótesis!$E$27+Hipótesis!$E$28*(35-1))</f>
        <v>3</v>
      </c>
      <c r="AL7" s="118" t="n">
        <f aca="false">MIN(Hipótesis!$E$26,Hipótesis!$E$27+Hipótesis!$E$28*(36-1))</f>
        <v>3</v>
      </c>
      <c r="AM7" s="118" t="n">
        <f aca="false">MIN(Hipótesis!$E$26,Hipótesis!$E$27+Hipótesis!$E$28*(37-1))</f>
        <v>3</v>
      </c>
      <c r="AN7" s="118" t="n">
        <f aca="false">MIN(Hipótesis!$E$26,Hipótesis!$E$27+Hipótesis!$E$28*(38-1))</f>
        <v>3</v>
      </c>
      <c r="AO7" s="118" t="n">
        <f aca="false">MIN(Hipótesis!$E$26,Hipótesis!$E$27+Hipótesis!$E$28*(39-1))</f>
        <v>3</v>
      </c>
      <c r="AP7" s="118" t="n">
        <f aca="false">MIN(Hipótesis!$E$26,Hipótesis!$E$27+Hipótesis!$E$28*(40-1))</f>
        <v>3</v>
      </c>
      <c r="AQ7" s="118" t="n">
        <f aca="false">MIN(Hipótesis!$E$26,Hipótesis!$E$27+Hipótesis!$E$28*(41-1))</f>
        <v>3</v>
      </c>
      <c r="AR7" s="118" t="n">
        <f aca="false">MIN(Hipótesis!$E$26,Hipótesis!$E$27+Hipótesis!$E$28*(42-1))</f>
        <v>3</v>
      </c>
      <c r="AS7" s="118" t="n">
        <f aca="false">MIN(Hipótesis!$E$26,Hipótesis!$E$27+Hipótesis!$E$28*(43-1))</f>
        <v>3</v>
      </c>
      <c r="AT7" s="118" t="n">
        <f aca="false">MIN(Hipótesis!$E$26,Hipótesis!$E$27+Hipótesis!$E$28*(44-1))</f>
        <v>3</v>
      </c>
      <c r="AU7" s="118" t="n">
        <f aca="false">MIN(Hipótesis!$E$26,Hipótesis!$E$27+Hipótesis!$E$28*(45-1))</f>
        <v>3</v>
      </c>
      <c r="AV7" s="118" t="n">
        <f aca="false">MIN(Hipótesis!$E$26,Hipótesis!$E$27+Hipótesis!$E$28*(46-1))</f>
        <v>3</v>
      </c>
      <c r="AW7" s="118" t="n">
        <f aca="false">MIN(Hipótesis!$E$26,Hipótesis!$E$27+Hipótesis!$E$28*(47-1))</f>
        <v>3</v>
      </c>
      <c r="AX7" s="118" t="n">
        <f aca="false">MIN(Hipótesis!$E$26,Hipótesis!$E$27+Hipótesis!$E$28*(48-1))</f>
        <v>3</v>
      </c>
      <c r="AY7" s="118" t="n">
        <f aca="false">MIN(Hipótesis!$E$26,Hipótesis!$E$27+Hipótesis!$E$28*(49-1))</f>
        <v>3</v>
      </c>
      <c r="AZ7" s="118" t="n">
        <f aca="false">MIN(Hipótesis!$E$26,Hipótesis!$E$27+Hipótesis!$E$28*(50-1))</f>
        <v>3</v>
      </c>
      <c r="BA7" s="118" t="n">
        <f aca="false">MIN(Hipótesis!$E$26,Hipótesis!$E$27+Hipótesis!$E$28*(51-1))</f>
        <v>3</v>
      </c>
      <c r="BB7" s="118" t="n">
        <f aca="false">MIN(Hipótesis!$E$26,Hipótesis!$E$27+Hipótesis!$E$28*(52-1))</f>
        <v>3</v>
      </c>
      <c r="BC7" s="118" t="n">
        <f aca="false">MIN(Hipótesis!$E$26,Hipótesis!$E$27+Hipótesis!$E$28*(53-1))</f>
        <v>3</v>
      </c>
      <c r="BD7" s="118" t="n">
        <f aca="false">MIN(Hipótesis!$E$26,Hipótesis!$E$27+Hipótesis!$E$28*(54-1))</f>
        <v>3</v>
      </c>
      <c r="BE7" s="118" t="n">
        <f aca="false">MIN(Hipótesis!$E$26,Hipótesis!$E$27+Hipótesis!$E$28*(55-1))</f>
        <v>3</v>
      </c>
      <c r="BF7" s="118" t="n">
        <f aca="false">MIN(Hipótesis!$E$26,Hipótesis!$E$27+Hipótesis!$E$28*(56-1))</f>
        <v>3</v>
      </c>
      <c r="BG7" s="118" t="n">
        <f aca="false">MIN(Hipótesis!$E$26,Hipótesis!$E$27+Hipótesis!$E$28*(57-1))</f>
        <v>3</v>
      </c>
      <c r="BH7" s="118" t="n">
        <f aca="false">MIN(Hipótesis!$E$26,Hipótesis!$E$27+Hipótesis!$E$28*(58-1))</f>
        <v>3</v>
      </c>
      <c r="BI7" s="118" t="n">
        <f aca="false">MIN(Hipótesis!$E$26,Hipótesis!$E$27+Hipótesis!$E$28*(59-1))</f>
        <v>3</v>
      </c>
      <c r="BJ7" s="118" t="n">
        <f aca="false">MIN(Hipótesis!$E$26,Hipótesis!$E$27+Hipótesis!$E$28*(60-1))</f>
        <v>3</v>
      </c>
      <c r="BK7" s="118" t="n">
        <f aca="false">MIN(Hipótesis!$E$26,Hipótesis!$E$27+Hipótesis!$E$28*(61-1))</f>
        <v>3</v>
      </c>
      <c r="BL7" s="118" t="n">
        <f aca="false">MIN(Hipótesis!$E$26,Hipótesis!$E$27+Hipótesis!$E$28*(62-1))</f>
        <v>3</v>
      </c>
      <c r="BM7" s="118" t="n">
        <f aca="false">MIN(Hipótesis!$E$26,Hipótesis!$E$27+Hipótesis!$E$28*(63-1))</f>
        <v>3</v>
      </c>
      <c r="BN7" s="118" t="n">
        <f aca="false">MIN(Hipótesis!$E$26,Hipótesis!$E$27+Hipótesis!$E$28*(64-1))</f>
        <v>3</v>
      </c>
      <c r="BO7" s="118" t="n">
        <f aca="false">MIN(Hipótesis!$E$26,Hipótesis!$E$27+Hipótesis!$E$28*(65-1))</f>
        <v>3</v>
      </c>
      <c r="BP7" s="118" t="n">
        <f aca="false">MIN(Hipótesis!$E$26,Hipótesis!$E$27+Hipótesis!$E$28*(66-1))</f>
        <v>3</v>
      </c>
      <c r="BQ7" s="118" t="n">
        <f aca="false">MIN(Hipótesis!$E$26,Hipótesis!$E$27+Hipótesis!$E$28*(67-1))</f>
        <v>3</v>
      </c>
      <c r="BR7" s="118" t="n">
        <f aca="false">MIN(Hipótesis!$E$26,Hipótesis!$E$27+Hipótesis!$E$28*(68-1))</f>
        <v>3</v>
      </c>
      <c r="BS7" s="118" t="n">
        <f aca="false">MIN(Hipótesis!$E$26,Hipótesis!$E$27+Hipótesis!$E$28*(69-1))</f>
        <v>3</v>
      </c>
      <c r="BT7" s="118" t="n">
        <f aca="false">MIN(Hipótesis!$E$26,Hipótesis!$E$27+Hipótesis!$E$28*(70-1))</f>
        <v>3</v>
      </c>
      <c r="BU7" s="118" t="n">
        <f aca="false">MIN(Hipótesis!$E$26,Hipótesis!$E$27+Hipótesis!$E$28*(71-1))</f>
        <v>3</v>
      </c>
      <c r="BV7" s="118" t="n">
        <f aca="false">MIN(Hipótesis!$E$26,Hipótesis!$E$27+Hipótesis!$E$28*(72-1))</f>
        <v>3</v>
      </c>
      <c r="BW7" s="118" t="n">
        <f aca="false">MIN(Hipótesis!$E$26,Hipótesis!$E$27+Hipótesis!$E$28*(73-1))</f>
        <v>3</v>
      </c>
      <c r="BX7" s="118" t="n">
        <f aca="false">MIN(Hipótesis!$E$26,Hipótesis!$E$27+Hipótesis!$E$28*(74-1))</f>
        <v>3</v>
      </c>
      <c r="BY7" s="118" t="n">
        <f aca="false">MIN(Hipótesis!$E$26,Hipótesis!$E$27+Hipótesis!$E$28*(75-1))</f>
        <v>3</v>
      </c>
      <c r="BZ7" s="118" t="n">
        <f aca="false">MIN(Hipótesis!$E$26,Hipótesis!$E$27+Hipótesis!$E$28*(76-1))</f>
        <v>3</v>
      </c>
      <c r="CA7" s="118" t="n">
        <f aca="false">MIN(Hipótesis!$E$26,Hipótesis!$E$27+Hipótesis!$E$28*(77-1))</f>
        <v>3</v>
      </c>
      <c r="CB7" s="118" t="n">
        <f aca="false">MIN(Hipótesis!$E$26,Hipótesis!$E$27+Hipótesis!$E$28*(78-1))</f>
        <v>3</v>
      </c>
      <c r="CC7" s="118" t="n">
        <f aca="false">MIN(Hipótesis!$E$26,Hipótesis!$E$27+Hipótesis!$E$28*(79-1))</f>
        <v>3</v>
      </c>
      <c r="CD7" s="118" t="n">
        <f aca="false">MIN(Hipótesis!$E$26,Hipótesis!$E$27+Hipótesis!$E$28*(80-1))</f>
        <v>3</v>
      </c>
      <c r="CE7" s="118" t="n">
        <f aca="false">MIN(Hipótesis!$E$26,Hipótesis!$E$27+Hipótesis!$E$28*(81-1))</f>
        <v>3</v>
      </c>
      <c r="CF7" s="118" t="n">
        <f aca="false">MIN(Hipótesis!$E$26,Hipótesis!$E$27+Hipótesis!$E$28*(82-1))</f>
        <v>3</v>
      </c>
      <c r="CG7" s="118" t="n">
        <f aca="false">MIN(Hipótesis!$E$26,Hipótesis!$E$27+Hipótesis!$E$28*(83-1))</f>
        <v>3</v>
      </c>
      <c r="CH7" s="118" t="n">
        <f aca="false">MIN(Hipótesis!$E$26,Hipótesis!$E$27+Hipótesis!$E$28*(84-1))</f>
        <v>3</v>
      </c>
    </row>
    <row r="8" customFormat="false" ht="13.5" hidden="false" customHeight="true" outlineLevel="0" collapsed="false">
      <c r="A8" s="6" t="s">
        <v>516</v>
      </c>
      <c r="C8" s="110" t="n">
        <f aca="false">C7*Hipótesis!$D$13</f>
        <v>960</v>
      </c>
      <c r="D8" s="110" t="n">
        <f aca="false">D7*Hipótesis!$D$13</f>
        <v>1440</v>
      </c>
      <c r="E8" s="110" t="n">
        <f aca="false">E7*Hipótesis!$D$13</f>
        <v>1920</v>
      </c>
      <c r="F8" s="110" t="n">
        <f aca="false">F7*Hipótesis!$D$13</f>
        <v>2400</v>
      </c>
      <c r="G8" s="110" t="n">
        <f aca="false">G7*Hipótesis!$D$13</f>
        <v>2880</v>
      </c>
      <c r="H8" s="110" t="n">
        <f aca="false">H7*Hipótesis!$D$13</f>
        <v>2880</v>
      </c>
      <c r="I8" s="110" t="n">
        <f aca="false">I7*Hipótesis!$D$13</f>
        <v>2880</v>
      </c>
      <c r="J8" s="110" t="n">
        <f aca="false">J7*Hipótesis!$D$13</f>
        <v>2880</v>
      </c>
      <c r="K8" s="110" t="n">
        <f aca="false">K7*Hipótesis!$D$13</f>
        <v>2880</v>
      </c>
      <c r="L8" s="110" t="n">
        <f aca="false">L7*Hipótesis!$D$13</f>
        <v>2880</v>
      </c>
      <c r="M8" s="110" t="n">
        <f aca="false">M7*Hipótesis!$D$13</f>
        <v>2880</v>
      </c>
      <c r="N8" s="110" t="n">
        <f aca="false">N7*Hipótesis!$D$13</f>
        <v>2880</v>
      </c>
      <c r="O8" s="110" t="n">
        <f aca="false">O7*Hipótesis!$D$13</f>
        <v>2880</v>
      </c>
      <c r="P8" s="110" t="n">
        <f aca="false">P7*Hipótesis!$D$13</f>
        <v>2880</v>
      </c>
      <c r="Q8" s="110" t="n">
        <f aca="false">Q7*Hipótesis!$D$13</f>
        <v>2880</v>
      </c>
      <c r="R8" s="110" t="n">
        <f aca="false">R7*Hipótesis!$D$13</f>
        <v>2880</v>
      </c>
      <c r="S8" s="110" t="n">
        <f aca="false">S7*Hipótesis!$D$13</f>
        <v>2880</v>
      </c>
      <c r="T8" s="110" t="n">
        <f aca="false">T7*Hipótesis!$D$13</f>
        <v>2880</v>
      </c>
      <c r="U8" s="110" t="n">
        <f aca="false">U7*Hipótesis!$D$13</f>
        <v>2880</v>
      </c>
      <c r="V8" s="110" t="n">
        <f aca="false">V7*Hipótesis!$D$13</f>
        <v>2880</v>
      </c>
      <c r="W8" s="110" t="n">
        <f aca="false">W7*Hipótesis!$D$13</f>
        <v>2880</v>
      </c>
      <c r="X8" s="110" t="n">
        <f aca="false">X7*Hipótesis!$D$13</f>
        <v>2880</v>
      </c>
      <c r="Y8" s="110" t="n">
        <f aca="false">Y7*Hipótesis!$D$13</f>
        <v>2880</v>
      </c>
      <c r="Z8" s="110" t="n">
        <f aca="false">Z7*Hipótesis!$D$13</f>
        <v>2880</v>
      </c>
      <c r="AA8" s="110" t="n">
        <f aca="false">AA7*Hipótesis!$D$13</f>
        <v>2880</v>
      </c>
      <c r="AB8" s="110" t="n">
        <f aca="false">AB7*Hipótesis!$D$13</f>
        <v>2880</v>
      </c>
      <c r="AC8" s="110" t="n">
        <f aca="false">AC7*Hipótesis!$D$13</f>
        <v>2880</v>
      </c>
      <c r="AD8" s="110" t="n">
        <f aca="false">AD7*Hipótesis!$D$13</f>
        <v>2880</v>
      </c>
      <c r="AE8" s="110" t="n">
        <f aca="false">AE7*Hipótesis!$D$13</f>
        <v>2880</v>
      </c>
      <c r="AF8" s="110" t="n">
        <f aca="false">AF7*Hipótesis!$D$13</f>
        <v>2880</v>
      </c>
      <c r="AG8" s="110" t="n">
        <f aca="false">AG7*Hipótesis!$D$13</f>
        <v>2880</v>
      </c>
      <c r="AH8" s="110" t="n">
        <f aca="false">AH7*Hipótesis!$D$13</f>
        <v>2880</v>
      </c>
      <c r="AI8" s="110" t="n">
        <f aca="false">AI7*Hipótesis!$D$13</f>
        <v>2880</v>
      </c>
      <c r="AJ8" s="110" t="n">
        <f aca="false">AJ7*Hipótesis!$D$13</f>
        <v>2880</v>
      </c>
      <c r="AK8" s="110" t="n">
        <f aca="false">AK7*Hipótesis!$D$13</f>
        <v>2880</v>
      </c>
      <c r="AL8" s="110" t="n">
        <f aca="false">AL7*Hipótesis!$D$13</f>
        <v>2880</v>
      </c>
      <c r="AM8" s="110" t="n">
        <f aca="false">AM7*Hipótesis!$D$13</f>
        <v>2880</v>
      </c>
      <c r="AN8" s="110" t="n">
        <f aca="false">AN7*Hipótesis!$D$13</f>
        <v>2880</v>
      </c>
      <c r="AO8" s="110" t="n">
        <f aca="false">AO7*Hipótesis!$D$13</f>
        <v>2880</v>
      </c>
      <c r="AP8" s="110" t="n">
        <f aca="false">AP7*Hipótesis!$D$13</f>
        <v>2880</v>
      </c>
      <c r="AQ8" s="110" t="n">
        <f aca="false">AQ7*Hipótesis!$D$13</f>
        <v>2880</v>
      </c>
      <c r="AR8" s="110" t="n">
        <f aca="false">AR7*Hipótesis!$D$13</f>
        <v>2880</v>
      </c>
      <c r="AS8" s="110" t="n">
        <f aca="false">AS7*Hipótesis!$D$13</f>
        <v>2880</v>
      </c>
      <c r="AT8" s="110" t="n">
        <f aca="false">AT7*Hipótesis!$D$13</f>
        <v>2880</v>
      </c>
      <c r="AU8" s="110" t="n">
        <f aca="false">AU7*Hipótesis!$D$13</f>
        <v>2880</v>
      </c>
      <c r="AV8" s="110" t="n">
        <f aca="false">AV7*Hipótesis!$D$13</f>
        <v>2880</v>
      </c>
      <c r="AW8" s="110" t="n">
        <f aca="false">AW7*Hipótesis!$D$13</f>
        <v>2880</v>
      </c>
      <c r="AX8" s="110" t="n">
        <f aca="false">AX7*Hipótesis!$D$13</f>
        <v>2880</v>
      </c>
      <c r="AY8" s="110" t="n">
        <f aca="false">AY7*Hipótesis!$D$13</f>
        <v>2880</v>
      </c>
      <c r="AZ8" s="110" t="n">
        <f aca="false">AZ7*Hipótesis!$D$13</f>
        <v>2880</v>
      </c>
      <c r="BA8" s="110" t="n">
        <f aca="false">BA7*Hipótesis!$D$13</f>
        <v>2880</v>
      </c>
      <c r="BB8" s="110" t="n">
        <f aca="false">BB7*Hipótesis!$D$13</f>
        <v>2880</v>
      </c>
      <c r="BC8" s="110" t="n">
        <f aca="false">BC7*Hipótesis!$D$13</f>
        <v>2880</v>
      </c>
      <c r="BD8" s="110" t="n">
        <f aca="false">BD7*Hipótesis!$D$13</f>
        <v>2880</v>
      </c>
      <c r="BE8" s="110" t="n">
        <f aca="false">BE7*Hipótesis!$D$13</f>
        <v>2880</v>
      </c>
      <c r="BF8" s="110" t="n">
        <f aca="false">BF7*Hipótesis!$D$13</f>
        <v>2880</v>
      </c>
      <c r="BG8" s="110" t="n">
        <f aca="false">BG7*Hipótesis!$D$13</f>
        <v>2880</v>
      </c>
      <c r="BH8" s="110" t="n">
        <f aca="false">BH7*Hipótesis!$D$13</f>
        <v>2880</v>
      </c>
      <c r="BI8" s="110" t="n">
        <f aca="false">BI7*Hipótesis!$D$13</f>
        <v>2880</v>
      </c>
      <c r="BJ8" s="110" t="n">
        <f aca="false">BJ7*Hipótesis!$D$13</f>
        <v>2880</v>
      </c>
      <c r="BK8" s="110" t="n">
        <f aca="false">BK7*Hipótesis!$D$13</f>
        <v>2880</v>
      </c>
      <c r="BL8" s="110" t="n">
        <f aca="false">BL7*Hipótesis!$D$13</f>
        <v>2880</v>
      </c>
      <c r="BM8" s="110" t="n">
        <f aca="false">BM7*Hipótesis!$D$13</f>
        <v>2880</v>
      </c>
      <c r="BN8" s="110" t="n">
        <f aca="false">BN7*Hipótesis!$D$13</f>
        <v>2880</v>
      </c>
      <c r="BO8" s="110" t="n">
        <f aca="false">BO7*Hipótesis!$D$13</f>
        <v>2880</v>
      </c>
      <c r="BP8" s="110" t="n">
        <f aca="false">BP7*Hipótesis!$D$13</f>
        <v>2880</v>
      </c>
      <c r="BQ8" s="110" t="n">
        <f aca="false">BQ7*Hipótesis!$D$13</f>
        <v>2880</v>
      </c>
      <c r="BR8" s="110" t="n">
        <f aca="false">BR7*Hipótesis!$D$13</f>
        <v>2880</v>
      </c>
      <c r="BS8" s="110" t="n">
        <f aca="false">BS7*Hipótesis!$D$13</f>
        <v>2880</v>
      </c>
      <c r="BT8" s="110" t="n">
        <f aca="false">BT7*Hipótesis!$D$13</f>
        <v>2880</v>
      </c>
      <c r="BU8" s="110" t="n">
        <f aca="false">BU7*Hipótesis!$D$13</f>
        <v>2880</v>
      </c>
      <c r="BV8" s="110" t="n">
        <f aca="false">BV7*Hipótesis!$D$13</f>
        <v>2880</v>
      </c>
      <c r="BW8" s="110" t="n">
        <f aca="false">BW7*Hipótesis!$D$13</f>
        <v>2880</v>
      </c>
      <c r="BX8" s="110" t="n">
        <f aca="false">BX7*Hipótesis!$D$13</f>
        <v>2880</v>
      </c>
      <c r="BY8" s="110" t="n">
        <f aca="false">BY7*Hipótesis!$D$13</f>
        <v>2880</v>
      </c>
      <c r="BZ8" s="110" t="n">
        <f aca="false">BZ7*Hipótesis!$D$13</f>
        <v>2880</v>
      </c>
      <c r="CA8" s="110" t="n">
        <f aca="false">CA7*Hipótesis!$D$13</f>
        <v>2880</v>
      </c>
      <c r="CB8" s="110" t="n">
        <f aca="false">CB7*Hipótesis!$D$13</f>
        <v>2880</v>
      </c>
      <c r="CC8" s="110" t="n">
        <f aca="false">CC7*Hipótesis!$D$13</f>
        <v>2880</v>
      </c>
      <c r="CD8" s="110" t="n">
        <f aca="false">CD7*Hipótesis!$D$13</f>
        <v>2880</v>
      </c>
      <c r="CE8" s="110" t="n">
        <f aca="false">CE7*Hipótesis!$D$13</f>
        <v>2880</v>
      </c>
      <c r="CF8" s="110" t="n">
        <f aca="false">CF7*Hipótesis!$D$13</f>
        <v>2880</v>
      </c>
      <c r="CG8" s="110" t="n">
        <f aca="false">CG7*Hipótesis!$D$13</f>
        <v>2880</v>
      </c>
      <c r="CH8" s="110" t="n">
        <f aca="false">CH7*Hipótesis!$D$13</f>
        <v>2880</v>
      </c>
    </row>
    <row r="9" customFormat="false" ht="13.5" hidden="false" customHeight="true" outlineLevel="0" collapsed="false">
      <c r="A9" s="6" t="s">
        <v>517</v>
      </c>
      <c r="C9" s="109" t="n">
        <f aca="false">Pipeline!$Q$16*Pipeline!$D$16*MIN(1,MAX(0,(1-Pipeline!$E$16+1)/MAX(Pipeline!$F$16,1)))</f>
        <v>1005.575</v>
      </c>
      <c r="D9" s="109" t="n">
        <f aca="false">Pipeline!$Q$16*Pipeline!$D$16*MIN(1,MAX(0,(2-Pipeline!$E$16+1)/MAX(Pipeline!$F$16,1)))</f>
        <v>2011.15</v>
      </c>
      <c r="E9" s="109" t="n">
        <f aca="false">Pipeline!$Q$16*Pipeline!$D$16*MIN(1,MAX(0,(3-Pipeline!$E$16+1)/MAX(Pipeline!$F$16,1)))</f>
        <v>3016.725</v>
      </c>
      <c r="F9" s="109" t="n">
        <f aca="false">Pipeline!$Q$16*Pipeline!$D$16*MIN(1,MAX(0,(4-Pipeline!$E$16+1)/MAX(Pipeline!$F$16,1)))</f>
        <v>3016.725</v>
      </c>
      <c r="G9" s="109" t="n">
        <f aca="false">Pipeline!$Q$16*Pipeline!$D$16*MIN(1,MAX(0,(5-Pipeline!$E$16+1)/MAX(Pipeline!$F$16,1)))</f>
        <v>3016.725</v>
      </c>
      <c r="H9" s="109" t="n">
        <f aca="false">Pipeline!$Q$16*Pipeline!$D$16*MIN(1,MAX(0,(6-Pipeline!$E$16+1)/MAX(Pipeline!$F$16,1)))</f>
        <v>3016.725</v>
      </c>
      <c r="I9" s="109" t="n">
        <f aca="false">Pipeline!$Q$16*Pipeline!$D$16*MIN(1,MAX(0,(7-Pipeline!$E$16+1)/MAX(Pipeline!$F$16,1)))</f>
        <v>3016.725</v>
      </c>
      <c r="J9" s="109" t="n">
        <f aca="false">Pipeline!$Q$16*Pipeline!$D$16*MIN(1,MAX(0,(8-Pipeline!$E$16+1)/MAX(Pipeline!$F$16,1)))</f>
        <v>3016.725</v>
      </c>
      <c r="K9" s="109" t="n">
        <f aca="false">Pipeline!$Q$16*Pipeline!$D$16*MIN(1,MAX(0,(9-Pipeline!$E$16+1)/MAX(Pipeline!$F$16,1)))</f>
        <v>3016.725</v>
      </c>
      <c r="L9" s="109" t="n">
        <f aca="false">Pipeline!$Q$16*Pipeline!$D$16*MIN(1,MAX(0,(10-Pipeline!$E$16+1)/MAX(Pipeline!$F$16,1)))</f>
        <v>3016.725</v>
      </c>
      <c r="M9" s="109" t="n">
        <f aca="false">Pipeline!$Q$16*Pipeline!$D$16*MIN(1,MAX(0,(11-Pipeline!$E$16+1)/MAX(Pipeline!$F$16,1)))</f>
        <v>3016.725</v>
      </c>
      <c r="N9" s="109" t="n">
        <f aca="false">Pipeline!$Q$16*Pipeline!$D$16*MIN(1,MAX(0,(12-Pipeline!$E$16+1)/MAX(Pipeline!$F$16,1)))</f>
        <v>3016.725</v>
      </c>
      <c r="O9" s="109" t="n">
        <f aca="false">Pipeline!$Q$16*Pipeline!$D$16*MIN(1,MAX(0,(13-Pipeline!$E$16+1)/MAX(Pipeline!$F$16,1)))</f>
        <v>3016.725</v>
      </c>
      <c r="P9" s="109" t="n">
        <f aca="false">Pipeline!$Q$16*Pipeline!$D$16*MIN(1,MAX(0,(14-Pipeline!$E$16+1)/MAX(Pipeline!$F$16,1)))</f>
        <v>3016.725</v>
      </c>
      <c r="Q9" s="109" t="n">
        <f aca="false">Pipeline!$Q$16*Pipeline!$D$16*MIN(1,MAX(0,(15-Pipeline!$E$16+1)/MAX(Pipeline!$F$16,1)))</f>
        <v>3016.725</v>
      </c>
      <c r="R9" s="109" t="n">
        <f aca="false">Pipeline!$Q$16*Pipeline!$D$16*MIN(1,MAX(0,(16-Pipeline!$E$16+1)/MAX(Pipeline!$F$16,1)))</f>
        <v>3016.725</v>
      </c>
      <c r="S9" s="109" t="n">
        <f aca="false">Pipeline!$Q$16*Pipeline!$D$16*MIN(1,MAX(0,(17-Pipeline!$E$16+1)/MAX(Pipeline!$F$16,1)))</f>
        <v>3016.725</v>
      </c>
      <c r="T9" s="109" t="n">
        <f aca="false">Pipeline!$Q$16*Pipeline!$D$16*MIN(1,MAX(0,(18-Pipeline!$E$16+1)/MAX(Pipeline!$F$16,1)))</f>
        <v>3016.725</v>
      </c>
      <c r="U9" s="109" t="n">
        <f aca="false">Pipeline!$Q$16*Pipeline!$D$16*MIN(1,MAX(0,(19-Pipeline!$E$16+1)/MAX(Pipeline!$F$16,1)))</f>
        <v>3016.725</v>
      </c>
      <c r="V9" s="109" t="n">
        <f aca="false">Pipeline!$Q$16*Pipeline!$D$16*MIN(1,MAX(0,(20-Pipeline!$E$16+1)/MAX(Pipeline!$F$16,1)))</f>
        <v>3016.725</v>
      </c>
      <c r="W9" s="109" t="n">
        <f aca="false">Pipeline!$Q$16*Pipeline!$D$16*MIN(1,MAX(0,(21-Pipeline!$E$16+1)/MAX(Pipeline!$F$16,1)))</f>
        <v>3016.725</v>
      </c>
      <c r="X9" s="109" t="n">
        <f aca="false">Pipeline!$Q$16*Pipeline!$D$16*MIN(1,MAX(0,(22-Pipeline!$E$16+1)/MAX(Pipeline!$F$16,1)))</f>
        <v>3016.725</v>
      </c>
      <c r="Y9" s="109" t="n">
        <f aca="false">Pipeline!$Q$16*Pipeline!$D$16*MIN(1,MAX(0,(23-Pipeline!$E$16+1)/MAX(Pipeline!$F$16,1)))</f>
        <v>3016.725</v>
      </c>
      <c r="Z9" s="109" t="n">
        <f aca="false">Pipeline!$Q$16*Pipeline!$D$16*MIN(1,MAX(0,(24-Pipeline!$E$16+1)/MAX(Pipeline!$F$16,1)))</f>
        <v>3016.725</v>
      </c>
      <c r="AA9" s="109" t="n">
        <f aca="false">Pipeline!$Q$16*Pipeline!$D$16*MIN(1,MAX(0,(25-Pipeline!$E$16+1)/MAX(Pipeline!$F$16,1)))</f>
        <v>3016.725</v>
      </c>
      <c r="AB9" s="109" t="n">
        <f aca="false">Pipeline!$Q$16*Pipeline!$D$16*MIN(1,MAX(0,(26-Pipeline!$E$16+1)/MAX(Pipeline!$F$16,1)))</f>
        <v>3016.725</v>
      </c>
      <c r="AC9" s="109" t="n">
        <f aca="false">Pipeline!$Q$16*Pipeline!$D$16*MIN(1,MAX(0,(27-Pipeline!$E$16+1)/MAX(Pipeline!$F$16,1)))</f>
        <v>3016.725</v>
      </c>
      <c r="AD9" s="109" t="n">
        <f aca="false">Pipeline!$Q$16*Pipeline!$D$16*MIN(1,MAX(0,(28-Pipeline!$E$16+1)/MAX(Pipeline!$F$16,1)))</f>
        <v>3016.725</v>
      </c>
      <c r="AE9" s="109" t="n">
        <f aca="false">Pipeline!$Q$16*Pipeline!$D$16*MIN(1,MAX(0,(29-Pipeline!$E$16+1)/MAX(Pipeline!$F$16,1)))</f>
        <v>3016.725</v>
      </c>
      <c r="AF9" s="109" t="n">
        <f aca="false">Pipeline!$Q$16*Pipeline!$D$16*MIN(1,MAX(0,(30-Pipeline!$E$16+1)/MAX(Pipeline!$F$16,1)))</f>
        <v>3016.725</v>
      </c>
      <c r="AG9" s="109" t="n">
        <f aca="false">Pipeline!$Q$16*Pipeline!$D$16*MIN(1,MAX(0,(31-Pipeline!$E$16+1)/MAX(Pipeline!$F$16,1)))</f>
        <v>3016.725</v>
      </c>
      <c r="AH9" s="109" t="n">
        <f aca="false">Pipeline!$Q$16*Pipeline!$D$16*MIN(1,MAX(0,(32-Pipeline!$E$16+1)/MAX(Pipeline!$F$16,1)))</f>
        <v>3016.725</v>
      </c>
      <c r="AI9" s="109" t="n">
        <f aca="false">Pipeline!$Q$16*Pipeline!$D$16*MIN(1,MAX(0,(33-Pipeline!$E$16+1)/MAX(Pipeline!$F$16,1)))</f>
        <v>3016.725</v>
      </c>
      <c r="AJ9" s="109" t="n">
        <f aca="false">Pipeline!$Q$16*Pipeline!$D$16*MIN(1,MAX(0,(34-Pipeline!$E$16+1)/MAX(Pipeline!$F$16,1)))</f>
        <v>3016.725</v>
      </c>
      <c r="AK9" s="109" t="n">
        <f aca="false">Pipeline!$Q$16*Pipeline!$D$16*MIN(1,MAX(0,(35-Pipeline!$E$16+1)/MAX(Pipeline!$F$16,1)))</f>
        <v>3016.725</v>
      </c>
      <c r="AL9" s="109" t="n">
        <f aca="false">Pipeline!$Q$16*Pipeline!$D$16*MIN(1,MAX(0,(36-Pipeline!$E$16+1)/MAX(Pipeline!$F$16,1)))</f>
        <v>3016.725</v>
      </c>
      <c r="AM9" s="109" t="n">
        <f aca="false">Pipeline!$Q$16*Pipeline!$D$16*MIN(1,MAX(0,(37-Pipeline!$E$16+1)/MAX(Pipeline!$F$16,1)))</f>
        <v>3016.725</v>
      </c>
      <c r="AN9" s="109" t="n">
        <f aca="false">Pipeline!$Q$16*Pipeline!$D$16*MIN(1,MAX(0,(38-Pipeline!$E$16+1)/MAX(Pipeline!$F$16,1)))</f>
        <v>3016.725</v>
      </c>
      <c r="AO9" s="109" t="n">
        <f aca="false">Pipeline!$Q$16*Pipeline!$D$16*MIN(1,MAX(0,(39-Pipeline!$E$16+1)/MAX(Pipeline!$F$16,1)))</f>
        <v>3016.725</v>
      </c>
      <c r="AP9" s="109" t="n">
        <f aca="false">Pipeline!$Q$16*Pipeline!$D$16*MIN(1,MAX(0,(40-Pipeline!$E$16+1)/MAX(Pipeline!$F$16,1)))</f>
        <v>3016.725</v>
      </c>
      <c r="AQ9" s="109" t="n">
        <f aca="false">Pipeline!$Q$16*Pipeline!$D$16*MIN(1,MAX(0,(41-Pipeline!$E$16+1)/MAX(Pipeline!$F$16,1)))</f>
        <v>3016.725</v>
      </c>
      <c r="AR9" s="109" t="n">
        <f aca="false">Pipeline!$Q$16*Pipeline!$D$16*MIN(1,MAX(0,(42-Pipeline!$E$16+1)/MAX(Pipeline!$F$16,1)))</f>
        <v>3016.725</v>
      </c>
      <c r="AS9" s="109" t="n">
        <f aca="false">Pipeline!$Q$16*Pipeline!$D$16*MIN(1,MAX(0,(43-Pipeline!$E$16+1)/MAX(Pipeline!$F$16,1)))</f>
        <v>3016.725</v>
      </c>
      <c r="AT9" s="109" t="n">
        <f aca="false">Pipeline!$Q$16*Pipeline!$D$16*MIN(1,MAX(0,(44-Pipeline!$E$16+1)/MAX(Pipeline!$F$16,1)))</f>
        <v>3016.725</v>
      </c>
      <c r="AU9" s="109" t="n">
        <f aca="false">Pipeline!$Q$16*Pipeline!$D$16*MIN(1,MAX(0,(45-Pipeline!$E$16+1)/MAX(Pipeline!$F$16,1)))</f>
        <v>3016.725</v>
      </c>
      <c r="AV9" s="109" t="n">
        <f aca="false">Pipeline!$Q$16*Pipeline!$D$16*MIN(1,MAX(0,(46-Pipeline!$E$16+1)/MAX(Pipeline!$F$16,1)))</f>
        <v>3016.725</v>
      </c>
      <c r="AW9" s="109" t="n">
        <f aca="false">Pipeline!$Q$16*Pipeline!$D$16*MIN(1,MAX(0,(47-Pipeline!$E$16+1)/MAX(Pipeline!$F$16,1)))</f>
        <v>3016.725</v>
      </c>
      <c r="AX9" s="109" t="n">
        <f aca="false">Pipeline!$Q$16*Pipeline!$D$16*MIN(1,MAX(0,(48-Pipeline!$E$16+1)/MAX(Pipeline!$F$16,1)))</f>
        <v>3016.725</v>
      </c>
      <c r="AY9" s="109" t="n">
        <f aca="false">Pipeline!$Q$16*Pipeline!$D$16*MIN(1,MAX(0,(49-Pipeline!$E$16+1)/MAX(Pipeline!$F$16,1)))</f>
        <v>3016.725</v>
      </c>
      <c r="AZ9" s="109" t="n">
        <f aca="false">Pipeline!$Q$16*Pipeline!$D$16*MIN(1,MAX(0,(50-Pipeline!$E$16+1)/MAX(Pipeline!$F$16,1)))</f>
        <v>3016.725</v>
      </c>
      <c r="BA9" s="109" t="n">
        <f aca="false">Pipeline!$Q$16*Pipeline!$D$16*MIN(1,MAX(0,(51-Pipeline!$E$16+1)/MAX(Pipeline!$F$16,1)))</f>
        <v>3016.725</v>
      </c>
      <c r="BB9" s="109" t="n">
        <f aca="false">Pipeline!$Q$16*Pipeline!$D$16*MIN(1,MAX(0,(52-Pipeline!$E$16+1)/MAX(Pipeline!$F$16,1)))</f>
        <v>3016.725</v>
      </c>
      <c r="BC9" s="109" t="n">
        <f aca="false">Pipeline!$Q$16*Pipeline!$D$16*MIN(1,MAX(0,(53-Pipeline!$E$16+1)/MAX(Pipeline!$F$16,1)))</f>
        <v>3016.725</v>
      </c>
      <c r="BD9" s="109" t="n">
        <f aca="false">Pipeline!$Q$16*Pipeline!$D$16*MIN(1,MAX(0,(54-Pipeline!$E$16+1)/MAX(Pipeline!$F$16,1)))</f>
        <v>3016.725</v>
      </c>
      <c r="BE9" s="109" t="n">
        <f aca="false">Pipeline!$Q$16*Pipeline!$D$16*MIN(1,MAX(0,(55-Pipeline!$E$16+1)/MAX(Pipeline!$F$16,1)))</f>
        <v>3016.725</v>
      </c>
      <c r="BF9" s="109" t="n">
        <f aca="false">Pipeline!$Q$16*Pipeline!$D$16*MIN(1,MAX(0,(56-Pipeline!$E$16+1)/MAX(Pipeline!$F$16,1)))</f>
        <v>3016.725</v>
      </c>
      <c r="BG9" s="109" t="n">
        <f aca="false">Pipeline!$Q$16*Pipeline!$D$16*MIN(1,MAX(0,(57-Pipeline!$E$16+1)/MAX(Pipeline!$F$16,1)))</f>
        <v>3016.725</v>
      </c>
      <c r="BH9" s="109" t="n">
        <f aca="false">Pipeline!$Q$16*Pipeline!$D$16*MIN(1,MAX(0,(58-Pipeline!$E$16+1)/MAX(Pipeline!$F$16,1)))</f>
        <v>3016.725</v>
      </c>
      <c r="BI9" s="109" t="n">
        <f aca="false">Pipeline!$Q$16*Pipeline!$D$16*MIN(1,MAX(0,(59-Pipeline!$E$16+1)/MAX(Pipeline!$F$16,1)))</f>
        <v>3016.725</v>
      </c>
      <c r="BJ9" s="109" t="n">
        <f aca="false">Pipeline!$Q$16*Pipeline!$D$16*MIN(1,MAX(0,(60-Pipeline!$E$16+1)/MAX(Pipeline!$F$16,1)))</f>
        <v>3016.725</v>
      </c>
      <c r="BK9" s="109" t="n">
        <f aca="false">Pipeline!$Q$16*Pipeline!$D$16*MIN(1,MAX(0,(61-Pipeline!$E$16+1)/MAX(Pipeline!$F$16,1)))</f>
        <v>3016.725</v>
      </c>
      <c r="BL9" s="109" t="n">
        <f aca="false">Pipeline!$Q$16*Pipeline!$D$16*MIN(1,MAX(0,(62-Pipeline!$E$16+1)/MAX(Pipeline!$F$16,1)))</f>
        <v>3016.725</v>
      </c>
      <c r="BM9" s="109" t="n">
        <f aca="false">Pipeline!$Q$16*Pipeline!$D$16*MIN(1,MAX(0,(63-Pipeline!$E$16+1)/MAX(Pipeline!$F$16,1)))</f>
        <v>3016.725</v>
      </c>
      <c r="BN9" s="109" t="n">
        <f aca="false">Pipeline!$Q$16*Pipeline!$D$16*MIN(1,MAX(0,(64-Pipeline!$E$16+1)/MAX(Pipeline!$F$16,1)))</f>
        <v>3016.725</v>
      </c>
      <c r="BO9" s="109" t="n">
        <f aca="false">Pipeline!$Q$16*Pipeline!$D$16*MIN(1,MAX(0,(65-Pipeline!$E$16+1)/MAX(Pipeline!$F$16,1)))</f>
        <v>3016.725</v>
      </c>
      <c r="BP9" s="109" t="n">
        <f aca="false">Pipeline!$Q$16*Pipeline!$D$16*MIN(1,MAX(0,(66-Pipeline!$E$16+1)/MAX(Pipeline!$F$16,1)))</f>
        <v>3016.725</v>
      </c>
      <c r="BQ9" s="109" t="n">
        <f aca="false">Pipeline!$Q$16*Pipeline!$D$16*MIN(1,MAX(0,(67-Pipeline!$E$16+1)/MAX(Pipeline!$F$16,1)))</f>
        <v>3016.725</v>
      </c>
      <c r="BR9" s="109" t="n">
        <f aca="false">Pipeline!$Q$16*Pipeline!$D$16*MIN(1,MAX(0,(68-Pipeline!$E$16+1)/MAX(Pipeline!$F$16,1)))</f>
        <v>3016.725</v>
      </c>
      <c r="BS9" s="109" t="n">
        <f aca="false">Pipeline!$Q$16*Pipeline!$D$16*MIN(1,MAX(0,(69-Pipeline!$E$16+1)/MAX(Pipeline!$F$16,1)))</f>
        <v>3016.725</v>
      </c>
      <c r="BT9" s="109" t="n">
        <f aca="false">Pipeline!$Q$16*Pipeline!$D$16*MIN(1,MAX(0,(70-Pipeline!$E$16+1)/MAX(Pipeline!$F$16,1)))</f>
        <v>3016.725</v>
      </c>
      <c r="BU9" s="109" t="n">
        <f aca="false">Pipeline!$Q$16*Pipeline!$D$16*MIN(1,MAX(0,(71-Pipeline!$E$16+1)/MAX(Pipeline!$F$16,1)))</f>
        <v>3016.725</v>
      </c>
      <c r="BV9" s="109" t="n">
        <f aca="false">Pipeline!$Q$16*Pipeline!$D$16*MIN(1,MAX(0,(72-Pipeline!$E$16+1)/MAX(Pipeline!$F$16,1)))</f>
        <v>3016.725</v>
      </c>
      <c r="BW9" s="109" t="n">
        <f aca="false">Pipeline!$Q$16*Pipeline!$D$16*MIN(1,MAX(0,(73-Pipeline!$E$16+1)/MAX(Pipeline!$F$16,1)))</f>
        <v>3016.725</v>
      </c>
      <c r="BX9" s="109" t="n">
        <f aca="false">Pipeline!$Q$16*Pipeline!$D$16*MIN(1,MAX(0,(74-Pipeline!$E$16+1)/MAX(Pipeline!$F$16,1)))</f>
        <v>3016.725</v>
      </c>
      <c r="BY9" s="109" t="n">
        <f aca="false">Pipeline!$Q$16*Pipeline!$D$16*MIN(1,MAX(0,(75-Pipeline!$E$16+1)/MAX(Pipeline!$F$16,1)))</f>
        <v>3016.725</v>
      </c>
      <c r="BZ9" s="109" t="n">
        <f aca="false">Pipeline!$Q$16*Pipeline!$D$16*MIN(1,MAX(0,(76-Pipeline!$E$16+1)/MAX(Pipeline!$F$16,1)))</f>
        <v>3016.725</v>
      </c>
      <c r="CA9" s="109" t="n">
        <f aca="false">Pipeline!$Q$16*Pipeline!$D$16*MIN(1,MAX(0,(77-Pipeline!$E$16+1)/MAX(Pipeline!$F$16,1)))</f>
        <v>3016.725</v>
      </c>
      <c r="CB9" s="109" t="n">
        <f aca="false">Pipeline!$Q$16*Pipeline!$D$16*MIN(1,MAX(0,(78-Pipeline!$E$16+1)/MAX(Pipeline!$F$16,1)))</f>
        <v>3016.725</v>
      </c>
      <c r="CC9" s="109" t="n">
        <f aca="false">Pipeline!$Q$16*Pipeline!$D$16*MIN(1,MAX(0,(79-Pipeline!$E$16+1)/MAX(Pipeline!$F$16,1)))</f>
        <v>3016.725</v>
      </c>
      <c r="CD9" s="109" t="n">
        <f aca="false">Pipeline!$Q$16*Pipeline!$D$16*MIN(1,MAX(0,(80-Pipeline!$E$16+1)/MAX(Pipeline!$F$16,1)))</f>
        <v>3016.725</v>
      </c>
      <c r="CE9" s="109" t="n">
        <f aca="false">Pipeline!$Q$16*Pipeline!$D$16*MIN(1,MAX(0,(81-Pipeline!$E$16+1)/MAX(Pipeline!$F$16,1)))</f>
        <v>3016.725</v>
      </c>
      <c r="CF9" s="109" t="n">
        <f aca="false">Pipeline!$Q$16*Pipeline!$D$16*MIN(1,MAX(0,(82-Pipeline!$E$16+1)/MAX(Pipeline!$F$16,1)))</f>
        <v>3016.725</v>
      </c>
      <c r="CG9" s="109" t="n">
        <f aca="false">Pipeline!$Q$16*Pipeline!$D$16*MIN(1,MAX(0,(83-Pipeline!$E$16+1)/MAX(Pipeline!$F$16,1)))</f>
        <v>3016.725</v>
      </c>
      <c r="CH9" s="109" t="n">
        <f aca="false">Pipeline!$Q$16*Pipeline!$D$16*MIN(1,MAX(0,(84-Pipeline!$E$16+1)/MAX(Pipeline!$F$16,1)))</f>
        <v>3016.725</v>
      </c>
    </row>
    <row r="10" customFormat="false" ht="13.5" hidden="false" customHeight="true" outlineLevel="0" collapsed="false">
      <c r="A10" s="6" t="s">
        <v>518</v>
      </c>
      <c r="C10" s="109" t="n">
        <f aca="false">Pipeline!$Q$17*Pipeline!$D$17*MIN(1,MAX(0,(1-Pipeline!$E$17+1)/MAX(Pipeline!$F$17,1)))</f>
        <v>0</v>
      </c>
      <c r="D10" s="109" t="n">
        <f aca="false">Pipeline!$Q$17*Pipeline!$D$17*MIN(1,MAX(0,(2-Pipeline!$E$17+1)/MAX(Pipeline!$F$17,1)))</f>
        <v>78.3</v>
      </c>
      <c r="E10" s="109" t="n">
        <f aca="false">Pipeline!$Q$17*Pipeline!$D$17*MIN(1,MAX(0,(3-Pipeline!$E$17+1)/MAX(Pipeline!$F$17,1)))</f>
        <v>156.6</v>
      </c>
      <c r="F10" s="109" t="n">
        <f aca="false">Pipeline!$Q$17*Pipeline!$D$17*MIN(1,MAX(0,(4-Pipeline!$E$17+1)/MAX(Pipeline!$F$17,1)))</f>
        <v>234.9</v>
      </c>
      <c r="G10" s="109" t="n">
        <f aca="false">Pipeline!$Q$17*Pipeline!$D$17*MIN(1,MAX(0,(5-Pipeline!$E$17+1)/MAX(Pipeline!$F$17,1)))</f>
        <v>234.9</v>
      </c>
      <c r="H10" s="109" t="n">
        <f aca="false">Pipeline!$Q$17*Pipeline!$D$17*MIN(1,MAX(0,(6-Pipeline!$E$17+1)/MAX(Pipeline!$F$17,1)))</f>
        <v>234.9</v>
      </c>
      <c r="I10" s="109" t="n">
        <f aca="false">Pipeline!$Q$17*Pipeline!$D$17*MIN(1,MAX(0,(7-Pipeline!$E$17+1)/MAX(Pipeline!$F$17,1)))</f>
        <v>234.9</v>
      </c>
      <c r="J10" s="109" t="n">
        <f aca="false">Pipeline!$Q$17*Pipeline!$D$17*MIN(1,MAX(0,(8-Pipeline!$E$17+1)/MAX(Pipeline!$F$17,1)))</f>
        <v>234.9</v>
      </c>
      <c r="K10" s="109" t="n">
        <f aca="false">Pipeline!$Q$17*Pipeline!$D$17*MIN(1,MAX(0,(9-Pipeline!$E$17+1)/MAX(Pipeline!$F$17,1)))</f>
        <v>234.9</v>
      </c>
      <c r="L10" s="109" t="n">
        <f aca="false">Pipeline!$Q$17*Pipeline!$D$17*MIN(1,MAX(0,(10-Pipeline!$E$17+1)/MAX(Pipeline!$F$17,1)))</f>
        <v>234.9</v>
      </c>
      <c r="M10" s="109" t="n">
        <f aca="false">Pipeline!$Q$17*Pipeline!$D$17*MIN(1,MAX(0,(11-Pipeline!$E$17+1)/MAX(Pipeline!$F$17,1)))</f>
        <v>234.9</v>
      </c>
      <c r="N10" s="109" t="n">
        <f aca="false">Pipeline!$Q$17*Pipeline!$D$17*MIN(1,MAX(0,(12-Pipeline!$E$17+1)/MAX(Pipeline!$F$17,1)))</f>
        <v>234.9</v>
      </c>
      <c r="O10" s="109" t="n">
        <f aca="false">Pipeline!$Q$17*Pipeline!$D$17*MIN(1,MAX(0,(13-Pipeline!$E$17+1)/MAX(Pipeline!$F$17,1)))</f>
        <v>234.9</v>
      </c>
      <c r="P10" s="109" t="n">
        <f aca="false">Pipeline!$Q$17*Pipeline!$D$17*MIN(1,MAX(0,(14-Pipeline!$E$17+1)/MAX(Pipeline!$F$17,1)))</f>
        <v>234.9</v>
      </c>
      <c r="Q10" s="109" t="n">
        <f aca="false">Pipeline!$Q$17*Pipeline!$D$17*MIN(1,MAX(0,(15-Pipeline!$E$17+1)/MAX(Pipeline!$F$17,1)))</f>
        <v>234.9</v>
      </c>
      <c r="R10" s="109" t="n">
        <f aca="false">Pipeline!$Q$17*Pipeline!$D$17*MIN(1,MAX(0,(16-Pipeline!$E$17+1)/MAX(Pipeline!$F$17,1)))</f>
        <v>234.9</v>
      </c>
      <c r="S10" s="109" t="n">
        <f aca="false">Pipeline!$Q$17*Pipeline!$D$17*MIN(1,MAX(0,(17-Pipeline!$E$17+1)/MAX(Pipeline!$F$17,1)))</f>
        <v>234.9</v>
      </c>
      <c r="T10" s="109" t="n">
        <f aca="false">Pipeline!$Q$17*Pipeline!$D$17*MIN(1,MAX(0,(18-Pipeline!$E$17+1)/MAX(Pipeline!$F$17,1)))</f>
        <v>234.9</v>
      </c>
      <c r="U10" s="109" t="n">
        <f aca="false">Pipeline!$Q$17*Pipeline!$D$17*MIN(1,MAX(0,(19-Pipeline!$E$17+1)/MAX(Pipeline!$F$17,1)))</f>
        <v>234.9</v>
      </c>
      <c r="V10" s="109" t="n">
        <f aca="false">Pipeline!$Q$17*Pipeline!$D$17*MIN(1,MAX(0,(20-Pipeline!$E$17+1)/MAX(Pipeline!$F$17,1)))</f>
        <v>234.9</v>
      </c>
      <c r="W10" s="109" t="n">
        <f aca="false">Pipeline!$Q$17*Pipeline!$D$17*MIN(1,MAX(0,(21-Pipeline!$E$17+1)/MAX(Pipeline!$F$17,1)))</f>
        <v>234.9</v>
      </c>
      <c r="X10" s="109" t="n">
        <f aca="false">Pipeline!$Q$17*Pipeline!$D$17*MIN(1,MAX(0,(22-Pipeline!$E$17+1)/MAX(Pipeline!$F$17,1)))</f>
        <v>234.9</v>
      </c>
      <c r="Y10" s="109" t="n">
        <f aca="false">Pipeline!$Q$17*Pipeline!$D$17*MIN(1,MAX(0,(23-Pipeline!$E$17+1)/MAX(Pipeline!$F$17,1)))</f>
        <v>234.9</v>
      </c>
      <c r="Z10" s="109" t="n">
        <f aca="false">Pipeline!$Q$17*Pipeline!$D$17*MIN(1,MAX(0,(24-Pipeline!$E$17+1)/MAX(Pipeline!$F$17,1)))</f>
        <v>234.9</v>
      </c>
      <c r="AA10" s="109" t="n">
        <f aca="false">Pipeline!$Q$17*Pipeline!$D$17*MIN(1,MAX(0,(25-Pipeline!$E$17+1)/MAX(Pipeline!$F$17,1)))</f>
        <v>234.9</v>
      </c>
      <c r="AB10" s="109" t="n">
        <f aca="false">Pipeline!$Q$17*Pipeline!$D$17*MIN(1,MAX(0,(26-Pipeline!$E$17+1)/MAX(Pipeline!$F$17,1)))</f>
        <v>234.9</v>
      </c>
      <c r="AC10" s="109" t="n">
        <f aca="false">Pipeline!$Q$17*Pipeline!$D$17*MIN(1,MAX(0,(27-Pipeline!$E$17+1)/MAX(Pipeline!$F$17,1)))</f>
        <v>234.9</v>
      </c>
      <c r="AD10" s="109" t="n">
        <f aca="false">Pipeline!$Q$17*Pipeline!$D$17*MIN(1,MAX(0,(28-Pipeline!$E$17+1)/MAX(Pipeline!$F$17,1)))</f>
        <v>234.9</v>
      </c>
      <c r="AE10" s="109" t="n">
        <f aca="false">Pipeline!$Q$17*Pipeline!$D$17*MIN(1,MAX(0,(29-Pipeline!$E$17+1)/MAX(Pipeline!$F$17,1)))</f>
        <v>234.9</v>
      </c>
      <c r="AF10" s="109" t="n">
        <f aca="false">Pipeline!$Q$17*Pipeline!$D$17*MIN(1,MAX(0,(30-Pipeline!$E$17+1)/MAX(Pipeline!$F$17,1)))</f>
        <v>234.9</v>
      </c>
      <c r="AG10" s="109" t="n">
        <f aca="false">Pipeline!$Q$17*Pipeline!$D$17*MIN(1,MAX(0,(31-Pipeline!$E$17+1)/MAX(Pipeline!$F$17,1)))</f>
        <v>234.9</v>
      </c>
      <c r="AH10" s="109" t="n">
        <f aca="false">Pipeline!$Q$17*Pipeline!$D$17*MIN(1,MAX(0,(32-Pipeline!$E$17+1)/MAX(Pipeline!$F$17,1)))</f>
        <v>234.9</v>
      </c>
      <c r="AI10" s="109" t="n">
        <f aca="false">Pipeline!$Q$17*Pipeline!$D$17*MIN(1,MAX(0,(33-Pipeline!$E$17+1)/MAX(Pipeline!$F$17,1)))</f>
        <v>234.9</v>
      </c>
      <c r="AJ10" s="109" t="n">
        <f aca="false">Pipeline!$Q$17*Pipeline!$D$17*MIN(1,MAX(0,(34-Pipeline!$E$17+1)/MAX(Pipeline!$F$17,1)))</f>
        <v>234.9</v>
      </c>
      <c r="AK10" s="109" t="n">
        <f aca="false">Pipeline!$Q$17*Pipeline!$D$17*MIN(1,MAX(0,(35-Pipeline!$E$17+1)/MAX(Pipeline!$F$17,1)))</f>
        <v>234.9</v>
      </c>
      <c r="AL10" s="109" t="n">
        <f aca="false">Pipeline!$Q$17*Pipeline!$D$17*MIN(1,MAX(0,(36-Pipeline!$E$17+1)/MAX(Pipeline!$F$17,1)))</f>
        <v>234.9</v>
      </c>
      <c r="AM10" s="109" t="n">
        <f aca="false">Pipeline!$Q$17*Pipeline!$D$17*MIN(1,MAX(0,(37-Pipeline!$E$17+1)/MAX(Pipeline!$F$17,1)))</f>
        <v>234.9</v>
      </c>
      <c r="AN10" s="109" t="n">
        <f aca="false">Pipeline!$Q$17*Pipeline!$D$17*MIN(1,MAX(0,(38-Pipeline!$E$17+1)/MAX(Pipeline!$F$17,1)))</f>
        <v>234.9</v>
      </c>
      <c r="AO10" s="109" t="n">
        <f aca="false">Pipeline!$Q$17*Pipeline!$D$17*MIN(1,MAX(0,(39-Pipeline!$E$17+1)/MAX(Pipeline!$F$17,1)))</f>
        <v>234.9</v>
      </c>
      <c r="AP10" s="109" t="n">
        <f aca="false">Pipeline!$Q$17*Pipeline!$D$17*MIN(1,MAX(0,(40-Pipeline!$E$17+1)/MAX(Pipeline!$F$17,1)))</f>
        <v>234.9</v>
      </c>
      <c r="AQ10" s="109" t="n">
        <f aca="false">Pipeline!$Q$17*Pipeline!$D$17*MIN(1,MAX(0,(41-Pipeline!$E$17+1)/MAX(Pipeline!$F$17,1)))</f>
        <v>234.9</v>
      </c>
      <c r="AR10" s="109" t="n">
        <f aca="false">Pipeline!$Q$17*Pipeline!$D$17*MIN(1,MAX(0,(42-Pipeline!$E$17+1)/MAX(Pipeline!$F$17,1)))</f>
        <v>234.9</v>
      </c>
      <c r="AS10" s="109" t="n">
        <f aca="false">Pipeline!$Q$17*Pipeline!$D$17*MIN(1,MAX(0,(43-Pipeline!$E$17+1)/MAX(Pipeline!$F$17,1)))</f>
        <v>234.9</v>
      </c>
      <c r="AT10" s="109" t="n">
        <f aca="false">Pipeline!$Q$17*Pipeline!$D$17*MIN(1,MAX(0,(44-Pipeline!$E$17+1)/MAX(Pipeline!$F$17,1)))</f>
        <v>234.9</v>
      </c>
      <c r="AU10" s="109" t="n">
        <f aca="false">Pipeline!$Q$17*Pipeline!$D$17*MIN(1,MAX(0,(45-Pipeline!$E$17+1)/MAX(Pipeline!$F$17,1)))</f>
        <v>234.9</v>
      </c>
      <c r="AV10" s="109" t="n">
        <f aca="false">Pipeline!$Q$17*Pipeline!$D$17*MIN(1,MAX(0,(46-Pipeline!$E$17+1)/MAX(Pipeline!$F$17,1)))</f>
        <v>234.9</v>
      </c>
      <c r="AW10" s="109" t="n">
        <f aca="false">Pipeline!$Q$17*Pipeline!$D$17*MIN(1,MAX(0,(47-Pipeline!$E$17+1)/MAX(Pipeline!$F$17,1)))</f>
        <v>234.9</v>
      </c>
      <c r="AX10" s="109" t="n">
        <f aca="false">Pipeline!$Q$17*Pipeline!$D$17*MIN(1,MAX(0,(48-Pipeline!$E$17+1)/MAX(Pipeline!$F$17,1)))</f>
        <v>234.9</v>
      </c>
      <c r="AY10" s="109" t="n">
        <f aca="false">Pipeline!$Q$17*Pipeline!$D$17*MIN(1,MAX(0,(49-Pipeline!$E$17+1)/MAX(Pipeline!$F$17,1)))</f>
        <v>234.9</v>
      </c>
      <c r="AZ10" s="109" t="n">
        <f aca="false">Pipeline!$Q$17*Pipeline!$D$17*MIN(1,MAX(0,(50-Pipeline!$E$17+1)/MAX(Pipeline!$F$17,1)))</f>
        <v>234.9</v>
      </c>
      <c r="BA10" s="109" t="n">
        <f aca="false">Pipeline!$Q$17*Pipeline!$D$17*MIN(1,MAX(0,(51-Pipeline!$E$17+1)/MAX(Pipeline!$F$17,1)))</f>
        <v>234.9</v>
      </c>
      <c r="BB10" s="109" t="n">
        <f aca="false">Pipeline!$Q$17*Pipeline!$D$17*MIN(1,MAX(0,(52-Pipeline!$E$17+1)/MAX(Pipeline!$F$17,1)))</f>
        <v>234.9</v>
      </c>
      <c r="BC10" s="109" t="n">
        <f aca="false">Pipeline!$Q$17*Pipeline!$D$17*MIN(1,MAX(0,(53-Pipeline!$E$17+1)/MAX(Pipeline!$F$17,1)))</f>
        <v>234.9</v>
      </c>
      <c r="BD10" s="109" t="n">
        <f aca="false">Pipeline!$Q$17*Pipeline!$D$17*MIN(1,MAX(0,(54-Pipeline!$E$17+1)/MAX(Pipeline!$F$17,1)))</f>
        <v>234.9</v>
      </c>
      <c r="BE10" s="109" t="n">
        <f aca="false">Pipeline!$Q$17*Pipeline!$D$17*MIN(1,MAX(0,(55-Pipeline!$E$17+1)/MAX(Pipeline!$F$17,1)))</f>
        <v>234.9</v>
      </c>
      <c r="BF10" s="109" t="n">
        <f aca="false">Pipeline!$Q$17*Pipeline!$D$17*MIN(1,MAX(0,(56-Pipeline!$E$17+1)/MAX(Pipeline!$F$17,1)))</f>
        <v>234.9</v>
      </c>
      <c r="BG10" s="109" t="n">
        <f aca="false">Pipeline!$Q$17*Pipeline!$D$17*MIN(1,MAX(0,(57-Pipeline!$E$17+1)/MAX(Pipeline!$F$17,1)))</f>
        <v>234.9</v>
      </c>
      <c r="BH10" s="109" t="n">
        <f aca="false">Pipeline!$Q$17*Pipeline!$D$17*MIN(1,MAX(0,(58-Pipeline!$E$17+1)/MAX(Pipeline!$F$17,1)))</f>
        <v>234.9</v>
      </c>
      <c r="BI10" s="109" t="n">
        <f aca="false">Pipeline!$Q$17*Pipeline!$D$17*MIN(1,MAX(0,(59-Pipeline!$E$17+1)/MAX(Pipeline!$F$17,1)))</f>
        <v>234.9</v>
      </c>
      <c r="BJ10" s="109" t="n">
        <f aca="false">Pipeline!$Q$17*Pipeline!$D$17*MIN(1,MAX(0,(60-Pipeline!$E$17+1)/MAX(Pipeline!$F$17,1)))</f>
        <v>234.9</v>
      </c>
      <c r="BK10" s="109" t="n">
        <f aca="false">Pipeline!$Q$17*Pipeline!$D$17*MIN(1,MAX(0,(61-Pipeline!$E$17+1)/MAX(Pipeline!$F$17,1)))</f>
        <v>234.9</v>
      </c>
      <c r="BL10" s="109" t="n">
        <f aca="false">Pipeline!$Q$17*Pipeline!$D$17*MIN(1,MAX(0,(62-Pipeline!$E$17+1)/MAX(Pipeline!$F$17,1)))</f>
        <v>234.9</v>
      </c>
      <c r="BM10" s="109" t="n">
        <f aca="false">Pipeline!$Q$17*Pipeline!$D$17*MIN(1,MAX(0,(63-Pipeline!$E$17+1)/MAX(Pipeline!$F$17,1)))</f>
        <v>234.9</v>
      </c>
      <c r="BN10" s="109" t="n">
        <f aca="false">Pipeline!$Q$17*Pipeline!$D$17*MIN(1,MAX(0,(64-Pipeline!$E$17+1)/MAX(Pipeline!$F$17,1)))</f>
        <v>234.9</v>
      </c>
      <c r="BO10" s="109" t="n">
        <f aca="false">Pipeline!$Q$17*Pipeline!$D$17*MIN(1,MAX(0,(65-Pipeline!$E$17+1)/MAX(Pipeline!$F$17,1)))</f>
        <v>234.9</v>
      </c>
      <c r="BP10" s="109" t="n">
        <f aca="false">Pipeline!$Q$17*Pipeline!$D$17*MIN(1,MAX(0,(66-Pipeline!$E$17+1)/MAX(Pipeline!$F$17,1)))</f>
        <v>234.9</v>
      </c>
      <c r="BQ10" s="109" t="n">
        <f aca="false">Pipeline!$Q$17*Pipeline!$D$17*MIN(1,MAX(0,(67-Pipeline!$E$17+1)/MAX(Pipeline!$F$17,1)))</f>
        <v>234.9</v>
      </c>
      <c r="BR10" s="109" t="n">
        <f aca="false">Pipeline!$Q$17*Pipeline!$D$17*MIN(1,MAX(0,(68-Pipeline!$E$17+1)/MAX(Pipeline!$F$17,1)))</f>
        <v>234.9</v>
      </c>
      <c r="BS10" s="109" t="n">
        <f aca="false">Pipeline!$Q$17*Pipeline!$D$17*MIN(1,MAX(0,(69-Pipeline!$E$17+1)/MAX(Pipeline!$F$17,1)))</f>
        <v>234.9</v>
      </c>
      <c r="BT10" s="109" t="n">
        <f aca="false">Pipeline!$Q$17*Pipeline!$D$17*MIN(1,MAX(0,(70-Pipeline!$E$17+1)/MAX(Pipeline!$F$17,1)))</f>
        <v>234.9</v>
      </c>
      <c r="BU10" s="109" t="n">
        <f aca="false">Pipeline!$Q$17*Pipeline!$D$17*MIN(1,MAX(0,(71-Pipeline!$E$17+1)/MAX(Pipeline!$F$17,1)))</f>
        <v>234.9</v>
      </c>
      <c r="BV10" s="109" t="n">
        <f aca="false">Pipeline!$Q$17*Pipeline!$D$17*MIN(1,MAX(0,(72-Pipeline!$E$17+1)/MAX(Pipeline!$F$17,1)))</f>
        <v>234.9</v>
      </c>
      <c r="BW10" s="109" t="n">
        <f aca="false">Pipeline!$Q$17*Pipeline!$D$17*MIN(1,MAX(0,(73-Pipeline!$E$17+1)/MAX(Pipeline!$F$17,1)))</f>
        <v>234.9</v>
      </c>
      <c r="BX10" s="109" t="n">
        <f aca="false">Pipeline!$Q$17*Pipeline!$D$17*MIN(1,MAX(0,(74-Pipeline!$E$17+1)/MAX(Pipeline!$F$17,1)))</f>
        <v>234.9</v>
      </c>
      <c r="BY10" s="109" t="n">
        <f aca="false">Pipeline!$Q$17*Pipeline!$D$17*MIN(1,MAX(0,(75-Pipeline!$E$17+1)/MAX(Pipeline!$F$17,1)))</f>
        <v>234.9</v>
      </c>
      <c r="BZ10" s="109" t="n">
        <f aca="false">Pipeline!$Q$17*Pipeline!$D$17*MIN(1,MAX(0,(76-Pipeline!$E$17+1)/MAX(Pipeline!$F$17,1)))</f>
        <v>234.9</v>
      </c>
      <c r="CA10" s="109" t="n">
        <f aca="false">Pipeline!$Q$17*Pipeline!$D$17*MIN(1,MAX(0,(77-Pipeline!$E$17+1)/MAX(Pipeline!$F$17,1)))</f>
        <v>234.9</v>
      </c>
      <c r="CB10" s="109" t="n">
        <f aca="false">Pipeline!$Q$17*Pipeline!$D$17*MIN(1,MAX(0,(78-Pipeline!$E$17+1)/MAX(Pipeline!$F$17,1)))</f>
        <v>234.9</v>
      </c>
      <c r="CC10" s="109" t="n">
        <f aca="false">Pipeline!$Q$17*Pipeline!$D$17*MIN(1,MAX(0,(79-Pipeline!$E$17+1)/MAX(Pipeline!$F$17,1)))</f>
        <v>234.9</v>
      </c>
      <c r="CD10" s="109" t="n">
        <f aca="false">Pipeline!$Q$17*Pipeline!$D$17*MIN(1,MAX(0,(80-Pipeline!$E$17+1)/MAX(Pipeline!$F$17,1)))</f>
        <v>234.9</v>
      </c>
      <c r="CE10" s="109" t="n">
        <f aca="false">Pipeline!$Q$17*Pipeline!$D$17*MIN(1,MAX(0,(81-Pipeline!$E$17+1)/MAX(Pipeline!$F$17,1)))</f>
        <v>234.9</v>
      </c>
      <c r="CF10" s="109" t="n">
        <f aca="false">Pipeline!$Q$17*Pipeline!$D$17*MIN(1,MAX(0,(82-Pipeline!$E$17+1)/MAX(Pipeline!$F$17,1)))</f>
        <v>234.9</v>
      </c>
      <c r="CG10" s="109" t="n">
        <f aca="false">Pipeline!$Q$17*Pipeline!$D$17*MIN(1,MAX(0,(83-Pipeline!$E$17+1)/MAX(Pipeline!$F$17,1)))</f>
        <v>234.9</v>
      </c>
      <c r="CH10" s="109" t="n">
        <f aca="false">Pipeline!$Q$17*Pipeline!$D$17*MIN(1,MAX(0,(84-Pipeline!$E$17+1)/MAX(Pipeline!$F$17,1)))</f>
        <v>234.9</v>
      </c>
    </row>
    <row r="11" customFormat="false" ht="13.5" hidden="false" customHeight="true" outlineLevel="0" collapsed="false">
      <c r="A11" s="6" t="s">
        <v>519</v>
      </c>
      <c r="C11" s="109" t="n">
        <f aca="false">Pipeline!$Q$18*Pipeline!$D$18*MIN(1,MAX(0,(1-Pipeline!$E$18+1)/MAX(Pipeline!$F$18,1)))</f>
        <v>0</v>
      </c>
      <c r="D11" s="109" t="n">
        <f aca="false">Pipeline!$Q$18*Pipeline!$D$18*MIN(1,MAX(0,(2-Pipeline!$E$18+1)/MAX(Pipeline!$F$18,1)))</f>
        <v>0</v>
      </c>
      <c r="E11" s="109" t="n">
        <f aca="false">Pipeline!$Q$18*Pipeline!$D$18*MIN(1,MAX(0,(3-Pipeline!$E$18+1)/MAX(Pipeline!$F$18,1)))</f>
        <v>1178.578125</v>
      </c>
      <c r="F11" s="109" t="n">
        <f aca="false">Pipeline!$Q$18*Pipeline!$D$18*MIN(1,MAX(0,(4-Pipeline!$E$18+1)/MAX(Pipeline!$F$18,1)))</f>
        <v>2357.15625</v>
      </c>
      <c r="G11" s="109" t="n">
        <f aca="false">Pipeline!$Q$18*Pipeline!$D$18*MIN(1,MAX(0,(5-Pipeline!$E$18+1)/MAX(Pipeline!$F$18,1)))</f>
        <v>3535.734375</v>
      </c>
      <c r="H11" s="109" t="n">
        <f aca="false">Pipeline!$Q$18*Pipeline!$D$18*MIN(1,MAX(0,(6-Pipeline!$E$18+1)/MAX(Pipeline!$F$18,1)))</f>
        <v>4714.3125</v>
      </c>
      <c r="I11" s="109" t="n">
        <f aca="false">Pipeline!$Q$18*Pipeline!$D$18*MIN(1,MAX(0,(7-Pipeline!$E$18+1)/MAX(Pipeline!$F$18,1)))</f>
        <v>5892.890625</v>
      </c>
      <c r="J11" s="109" t="n">
        <f aca="false">Pipeline!$Q$18*Pipeline!$D$18*MIN(1,MAX(0,(8-Pipeline!$E$18+1)/MAX(Pipeline!$F$18,1)))</f>
        <v>7071.46875</v>
      </c>
      <c r="K11" s="109" t="n">
        <f aca="false">Pipeline!$Q$18*Pipeline!$D$18*MIN(1,MAX(0,(9-Pipeline!$E$18+1)/MAX(Pipeline!$F$18,1)))</f>
        <v>8250.046875</v>
      </c>
      <c r="L11" s="109" t="n">
        <f aca="false">Pipeline!$Q$18*Pipeline!$D$18*MIN(1,MAX(0,(10-Pipeline!$E$18+1)/MAX(Pipeline!$F$18,1)))</f>
        <v>9428.625</v>
      </c>
      <c r="M11" s="109" t="n">
        <f aca="false">Pipeline!$Q$18*Pipeline!$D$18*MIN(1,MAX(0,(11-Pipeline!$E$18+1)/MAX(Pipeline!$F$18,1)))</f>
        <v>9428.625</v>
      </c>
      <c r="N11" s="109" t="n">
        <f aca="false">Pipeline!$Q$18*Pipeline!$D$18*MIN(1,MAX(0,(12-Pipeline!$E$18+1)/MAX(Pipeline!$F$18,1)))</f>
        <v>9428.625</v>
      </c>
      <c r="O11" s="109" t="n">
        <f aca="false">Pipeline!$Q$18*Pipeline!$D$18*MIN(1,MAX(0,(13-Pipeline!$E$18+1)/MAX(Pipeline!$F$18,1)))</f>
        <v>9428.625</v>
      </c>
      <c r="P11" s="109" t="n">
        <f aca="false">Pipeline!$Q$18*Pipeline!$D$18*MIN(1,MAX(0,(14-Pipeline!$E$18+1)/MAX(Pipeline!$F$18,1)))</f>
        <v>9428.625</v>
      </c>
      <c r="Q11" s="109" t="n">
        <f aca="false">Pipeline!$Q$18*Pipeline!$D$18*MIN(1,MAX(0,(15-Pipeline!$E$18+1)/MAX(Pipeline!$F$18,1)))</f>
        <v>9428.625</v>
      </c>
      <c r="R11" s="109" t="n">
        <f aca="false">Pipeline!$Q$18*Pipeline!$D$18*MIN(1,MAX(0,(16-Pipeline!$E$18+1)/MAX(Pipeline!$F$18,1)))</f>
        <v>9428.625</v>
      </c>
      <c r="S11" s="109" t="n">
        <f aca="false">Pipeline!$Q$18*Pipeline!$D$18*MIN(1,MAX(0,(17-Pipeline!$E$18+1)/MAX(Pipeline!$F$18,1)))</f>
        <v>9428.625</v>
      </c>
      <c r="T11" s="109" t="n">
        <f aca="false">Pipeline!$Q$18*Pipeline!$D$18*MIN(1,MAX(0,(18-Pipeline!$E$18+1)/MAX(Pipeline!$F$18,1)))</f>
        <v>9428.625</v>
      </c>
      <c r="U11" s="109" t="n">
        <f aca="false">Pipeline!$Q$18*Pipeline!$D$18*MIN(1,MAX(0,(19-Pipeline!$E$18+1)/MAX(Pipeline!$F$18,1)))</f>
        <v>9428.625</v>
      </c>
      <c r="V11" s="109" t="n">
        <f aca="false">Pipeline!$Q$18*Pipeline!$D$18*MIN(1,MAX(0,(20-Pipeline!$E$18+1)/MAX(Pipeline!$F$18,1)))</f>
        <v>9428.625</v>
      </c>
      <c r="W11" s="109" t="n">
        <f aca="false">Pipeline!$Q$18*Pipeline!$D$18*MIN(1,MAX(0,(21-Pipeline!$E$18+1)/MAX(Pipeline!$F$18,1)))</f>
        <v>9428.625</v>
      </c>
      <c r="X11" s="109" t="n">
        <f aca="false">Pipeline!$Q$18*Pipeline!$D$18*MIN(1,MAX(0,(22-Pipeline!$E$18+1)/MAX(Pipeline!$F$18,1)))</f>
        <v>9428.625</v>
      </c>
      <c r="Y11" s="109" t="n">
        <f aca="false">Pipeline!$Q$18*Pipeline!$D$18*MIN(1,MAX(0,(23-Pipeline!$E$18+1)/MAX(Pipeline!$F$18,1)))</f>
        <v>9428.625</v>
      </c>
      <c r="Z11" s="109" t="n">
        <f aca="false">Pipeline!$Q$18*Pipeline!$D$18*MIN(1,MAX(0,(24-Pipeline!$E$18+1)/MAX(Pipeline!$F$18,1)))</f>
        <v>9428.625</v>
      </c>
      <c r="AA11" s="109" t="n">
        <f aca="false">Pipeline!$Q$18*Pipeline!$D$18*MIN(1,MAX(0,(25-Pipeline!$E$18+1)/MAX(Pipeline!$F$18,1)))</f>
        <v>9428.625</v>
      </c>
      <c r="AB11" s="109" t="n">
        <f aca="false">Pipeline!$Q$18*Pipeline!$D$18*MIN(1,MAX(0,(26-Pipeline!$E$18+1)/MAX(Pipeline!$F$18,1)))</f>
        <v>9428.625</v>
      </c>
      <c r="AC11" s="109" t="n">
        <f aca="false">Pipeline!$Q$18*Pipeline!$D$18*MIN(1,MAX(0,(27-Pipeline!$E$18+1)/MAX(Pipeline!$F$18,1)))</f>
        <v>9428.625</v>
      </c>
      <c r="AD11" s="109" t="n">
        <f aca="false">Pipeline!$Q$18*Pipeline!$D$18*MIN(1,MAX(0,(28-Pipeline!$E$18+1)/MAX(Pipeline!$F$18,1)))</f>
        <v>9428.625</v>
      </c>
      <c r="AE11" s="109" t="n">
        <f aca="false">Pipeline!$Q$18*Pipeline!$D$18*MIN(1,MAX(0,(29-Pipeline!$E$18+1)/MAX(Pipeline!$F$18,1)))</f>
        <v>9428.625</v>
      </c>
      <c r="AF11" s="109" t="n">
        <f aca="false">Pipeline!$Q$18*Pipeline!$D$18*MIN(1,MAX(0,(30-Pipeline!$E$18+1)/MAX(Pipeline!$F$18,1)))</f>
        <v>9428.625</v>
      </c>
      <c r="AG11" s="109" t="n">
        <f aca="false">Pipeline!$Q$18*Pipeline!$D$18*MIN(1,MAX(0,(31-Pipeline!$E$18+1)/MAX(Pipeline!$F$18,1)))</f>
        <v>9428.625</v>
      </c>
      <c r="AH11" s="109" t="n">
        <f aca="false">Pipeline!$Q$18*Pipeline!$D$18*MIN(1,MAX(0,(32-Pipeline!$E$18+1)/MAX(Pipeline!$F$18,1)))</f>
        <v>9428.625</v>
      </c>
      <c r="AI11" s="109" t="n">
        <f aca="false">Pipeline!$Q$18*Pipeline!$D$18*MIN(1,MAX(0,(33-Pipeline!$E$18+1)/MAX(Pipeline!$F$18,1)))</f>
        <v>9428.625</v>
      </c>
      <c r="AJ11" s="109" t="n">
        <f aca="false">Pipeline!$Q$18*Pipeline!$D$18*MIN(1,MAX(0,(34-Pipeline!$E$18+1)/MAX(Pipeline!$F$18,1)))</f>
        <v>9428.625</v>
      </c>
      <c r="AK11" s="109" t="n">
        <f aca="false">Pipeline!$Q$18*Pipeline!$D$18*MIN(1,MAX(0,(35-Pipeline!$E$18+1)/MAX(Pipeline!$F$18,1)))</f>
        <v>9428.625</v>
      </c>
      <c r="AL11" s="109" t="n">
        <f aca="false">Pipeline!$Q$18*Pipeline!$D$18*MIN(1,MAX(0,(36-Pipeline!$E$18+1)/MAX(Pipeline!$F$18,1)))</f>
        <v>9428.625</v>
      </c>
      <c r="AM11" s="109" t="n">
        <f aca="false">Pipeline!$Q$18*Pipeline!$D$18*MIN(1,MAX(0,(37-Pipeline!$E$18+1)/MAX(Pipeline!$F$18,1)))</f>
        <v>9428.625</v>
      </c>
      <c r="AN11" s="109" t="n">
        <f aca="false">Pipeline!$Q$18*Pipeline!$D$18*MIN(1,MAX(0,(38-Pipeline!$E$18+1)/MAX(Pipeline!$F$18,1)))</f>
        <v>9428.625</v>
      </c>
      <c r="AO11" s="109" t="n">
        <f aca="false">Pipeline!$Q$18*Pipeline!$D$18*MIN(1,MAX(0,(39-Pipeline!$E$18+1)/MAX(Pipeline!$F$18,1)))</f>
        <v>9428.625</v>
      </c>
      <c r="AP11" s="109" t="n">
        <f aca="false">Pipeline!$Q$18*Pipeline!$D$18*MIN(1,MAX(0,(40-Pipeline!$E$18+1)/MAX(Pipeline!$F$18,1)))</f>
        <v>9428.625</v>
      </c>
      <c r="AQ11" s="109" t="n">
        <f aca="false">Pipeline!$Q$18*Pipeline!$D$18*MIN(1,MAX(0,(41-Pipeline!$E$18+1)/MAX(Pipeline!$F$18,1)))</f>
        <v>9428.625</v>
      </c>
      <c r="AR11" s="109" t="n">
        <f aca="false">Pipeline!$Q$18*Pipeline!$D$18*MIN(1,MAX(0,(42-Pipeline!$E$18+1)/MAX(Pipeline!$F$18,1)))</f>
        <v>9428.625</v>
      </c>
      <c r="AS11" s="109" t="n">
        <f aca="false">Pipeline!$Q$18*Pipeline!$D$18*MIN(1,MAX(0,(43-Pipeline!$E$18+1)/MAX(Pipeline!$F$18,1)))</f>
        <v>9428.625</v>
      </c>
      <c r="AT11" s="109" t="n">
        <f aca="false">Pipeline!$Q$18*Pipeline!$D$18*MIN(1,MAX(0,(44-Pipeline!$E$18+1)/MAX(Pipeline!$F$18,1)))</f>
        <v>9428.625</v>
      </c>
      <c r="AU11" s="109" t="n">
        <f aca="false">Pipeline!$Q$18*Pipeline!$D$18*MIN(1,MAX(0,(45-Pipeline!$E$18+1)/MAX(Pipeline!$F$18,1)))</f>
        <v>9428.625</v>
      </c>
      <c r="AV11" s="109" t="n">
        <f aca="false">Pipeline!$Q$18*Pipeline!$D$18*MIN(1,MAX(0,(46-Pipeline!$E$18+1)/MAX(Pipeline!$F$18,1)))</f>
        <v>9428.625</v>
      </c>
      <c r="AW11" s="109" t="n">
        <f aca="false">Pipeline!$Q$18*Pipeline!$D$18*MIN(1,MAX(0,(47-Pipeline!$E$18+1)/MAX(Pipeline!$F$18,1)))</f>
        <v>9428.625</v>
      </c>
      <c r="AX11" s="109" t="n">
        <f aca="false">Pipeline!$Q$18*Pipeline!$D$18*MIN(1,MAX(0,(48-Pipeline!$E$18+1)/MAX(Pipeline!$F$18,1)))</f>
        <v>9428.625</v>
      </c>
      <c r="AY11" s="109" t="n">
        <f aca="false">Pipeline!$Q$18*Pipeline!$D$18*MIN(1,MAX(0,(49-Pipeline!$E$18+1)/MAX(Pipeline!$F$18,1)))</f>
        <v>9428.625</v>
      </c>
      <c r="AZ11" s="109" t="n">
        <f aca="false">Pipeline!$Q$18*Pipeline!$D$18*MIN(1,MAX(0,(50-Pipeline!$E$18+1)/MAX(Pipeline!$F$18,1)))</f>
        <v>9428.625</v>
      </c>
      <c r="BA11" s="109" t="n">
        <f aca="false">Pipeline!$Q$18*Pipeline!$D$18*MIN(1,MAX(0,(51-Pipeline!$E$18+1)/MAX(Pipeline!$F$18,1)))</f>
        <v>9428.625</v>
      </c>
      <c r="BB11" s="109" t="n">
        <f aca="false">Pipeline!$Q$18*Pipeline!$D$18*MIN(1,MAX(0,(52-Pipeline!$E$18+1)/MAX(Pipeline!$F$18,1)))</f>
        <v>9428.625</v>
      </c>
      <c r="BC11" s="109" t="n">
        <f aca="false">Pipeline!$Q$18*Pipeline!$D$18*MIN(1,MAX(0,(53-Pipeline!$E$18+1)/MAX(Pipeline!$F$18,1)))</f>
        <v>9428.625</v>
      </c>
      <c r="BD11" s="109" t="n">
        <f aca="false">Pipeline!$Q$18*Pipeline!$D$18*MIN(1,MAX(0,(54-Pipeline!$E$18+1)/MAX(Pipeline!$F$18,1)))</f>
        <v>9428.625</v>
      </c>
      <c r="BE11" s="109" t="n">
        <f aca="false">Pipeline!$Q$18*Pipeline!$D$18*MIN(1,MAX(0,(55-Pipeline!$E$18+1)/MAX(Pipeline!$F$18,1)))</f>
        <v>9428.625</v>
      </c>
      <c r="BF11" s="109" t="n">
        <f aca="false">Pipeline!$Q$18*Pipeline!$D$18*MIN(1,MAX(0,(56-Pipeline!$E$18+1)/MAX(Pipeline!$F$18,1)))</f>
        <v>9428.625</v>
      </c>
      <c r="BG11" s="109" t="n">
        <f aca="false">Pipeline!$Q$18*Pipeline!$D$18*MIN(1,MAX(0,(57-Pipeline!$E$18+1)/MAX(Pipeline!$F$18,1)))</f>
        <v>9428.625</v>
      </c>
      <c r="BH11" s="109" t="n">
        <f aca="false">Pipeline!$Q$18*Pipeline!$D$18*MIN(1,MAX(0,(58-Pipeline!$E$18+1)/MAX(Pipeline!$F$18,1)))</f>
        <v>9428.625</v>
      </c>
      <c r="BI11" s="109" t="n">
        <f aca="false">Pipeline!$Q$18*Pipeline!$D$18*MIN(1,MAX(0,(59-Pipeline!$E$18+1)/MAX(Pipeline!$F$18,1)))</f>
        <v>9428.625</v>
      </c>
      <c r="BJ11" s="109" t="n">
        <f aca="false">Pipeline!$Q$18*Pipeline!$D$18*MIN(1,MAX(0,(60-Pipeline!$E$18+1)/MAX(Pipeline!$F$18,1)))</f>
        <v>9428.625</v>
      </c>
      <c r="BK11" s="109" t="n">
        <f aca="false">Pipeline!$Q$18*Pipeline!$D$18*MIN(1,MAX(0,(61-Pipeline!$E$18+1)/MAX(Pipeline!$F$18,1)))</f>
        <v>9428.625</v>
      </c>
      <c r="BL11" s="109" t="n">
        <f aca="false">Pipeline!$Q$18*Pipeline!$D$18*MIN(1,MAX(0,(62-Pipeline!$E$18+1)/MAX(Pipeline!$F$18,1)))</f>
        <v>9428.625</v>
      </c>
      <c r="BM11" s="109" t="n">
        <f aca="false">Pipeline!$Q$18*Pipeline!$D$18*MIN(1,MAX(0,(63-Pipeline!$E$18+1)/MAX(Pipeline!$F$18,1)))</f>
        <v>9428.625</v>
      </c>
      <c r="BN11" s="109" t="n">
        <f aca="false">Pipeline!$Q$18*Pipeline!$D$18*MIN(1,MAX(0,(64-Pipeline!$E$18+1)/MAX(Pipeline!$F$18,1)))</f>
        <v>9428.625</v>
      </c>
      <c r="BO11" s="109" t="n">
        <f aca="false">Pipeline!$Q$18*Pipeline!$D$18*MIN(1,MAX(0,(65-Pipeline!$E$18+1)/MAX(Pipeline!$F$18,1)))</f>
        <v>9428.625</v>
      </c>
      <c r="BP11" s="109" t="n">
        <f aca="false">Pipeline!$Q$18*Pipeline!$D$18*MIN(1,MAX(0,(66-Pipeline!$E$18+1)/MAX(Pipeline!$F$18,1)))</f>
        <v>9428.625</v>
      </c>
      <c r="BQ11" s="109" t="n">
        <f aca="false">Pipeline!$Q$18*Pipeline!$D$18*MIN(1,MAX(0,(67-Pipeline!$E$18+1)/MAX(Pipeline!$F$18,1)))</f>
        <v>9428.625</v>
      </c>
      <c r="BR11" s="109" t="n">
        <f aca="false">Pipeline!$Q$18*Pipeline!$D$18*MIN(1,MAX(0,(68-Pipeline!$E$18+1)/MAX(Pipeline!$F$18,1)))</f>
        <v>9428.625</v>
      </c>
      <c r="BS11" s="109" t="n">
        <f aca="false">Pipeline!$Q$18*Pipeline!$D$18*MIN(1,MAX(0,(69-Pipeline!$E$18+1)/MAX(Pipeline!$F$18,1)))</f>
        <v>9428.625</v>
      </c>
      <c r="BT11" s="109" t="n">
        <f aca="false">Pipeline!$Q$18*Pipeline!$D$18*MIN(1,MAX(0,(70-Pipeline!$E$18+1)/MAX(Pipeline!$F$18,1)))</f>
        <v>9428.625</v>
      </c>
      <c r="BU11" s="109" t="n">
        <f aca="false">Pipeline!$Q$18*Pipeline!$D$18*MIN(1,MAX(0,(71-Pipeline!$E$18+1)/MAX(Pipeline!$F$18,1)))</f>
        <v>9428.625</v>
      </c>
      <c r="BV11" s="109" t="n">
        <f aca="false">Pipeline!$Q$18*Pipeline!$D$18*MIN(1,MAX(0,(72-Pipeline!$E$18+1)/MAX(Pipeline!$F$18,1)))</f>
        <v>9428.625</v>
      </c>
      <c r="BW11" s="109" t="n">
        <f aca="false">Pipeline!$Q$18*Pipeline!$D$18*MIN(1,MAX(0,(73-Pipeline!$E$18+1)/MAX(Pipeline!$F$18,1)))</f>
        <v>9428.625</v>
      </c>
      <c r="BX11" s="109" t="n">
        <f aca="false">Pipeline!$Q$18*Pipeline!$D$18*MIN(1,MAX(0,(74-Pipeline!$E$18+1)/MAX(Pipeline!$F$18,1)))</f>
        <v>9428.625</v>
      </c>
      <c r="BY11" s="109" t="n">
        <f aca="false">Pipeline!$Q$18*Pipeline!$D$18*MIN(1,MAX(0,(75-Pipeline!$E$18+1)/MAX(Pipeline!$F$18,1)))</f>
        <v>9428.625</v>
      </c>
      <c r="BZ11" s="109" t="n">
        <f aca="false">Pipeline!$Q$18*Pipeline!$D$18*MIN(1,MAX(0,(76-Pipeline!$E$18+1)/MAX(Pipeline!$F$18,1)))</f>
        <v>9428.625</v>
      </c>
      <c r="CA11" s="109" t="n">
        <f aca="false">Pipeline!$Q$18*Pipeline!$D$18*MIN(1,MAX(0,(77-Pipeline!$E$18+1)/MAX(Pipeline!$F$18,1)))</f>
        <v>9428.625</v>
      </c>
      <c r="CB11" s="109" t="n">
        <f aca="false">Pipeline!$Q$18*Pipeline!$D$18*MIN(1,MAX(0,(78-Pipeline!$E$18+1)/MAX(Pipeline!$F$18,1)))</f>
        <v>9428.625</v>
      </c>
      <c r="CC11" s="109" t="n">
        <f aca="false">Pipeline!$Q$18*Pipeline!$D$18*MIN(1,MAX(0,(79-Pipeline!$E$18+1)/MAX(Pipeline!$F$18,1)))</f>
        <v>9428.625</v>
      </c>
      <c r="CD11" s="109" t="n">
        <f aca="false">Pipeline!$Q$18*Pipeline!$D$18*MIN(1,MAX(0,(80-Pipeline!$E$18+1)/MAX(Pipeline!$F$18,1)))</f>
        <v>9428.625</v>
      </c>
      <c r="CE11" s="109" t="n">
        <f aca="false">Pipeline!$Q$18*Pipeline!$D$18*MIN(1,MAX(0,(81-Pipeline!$E$18+1)/MAX(Pipeline!$F$18,1)))</f>
        <v>9428.625</v>
      </c>
      <c r="CF11" s="109" t="n">
        <f aca="false">Pipeline!$Q$18*Pipeline!$D$18*MIN(1,MAX(0,(82-Pipeline!$E$18+1)/MAX(Pipeline!$F$18,1)))</f>
        <v>9428.625</v>
      </c>
      <c r="CG11" s="109" t="n">
        <f aca="false">Pipeline!$Q$18*Pipeline!$D$18*MIN(1,MAX(0,(83-Pipeline!$E$18+1)/MAX(Pipeline!$F$18,1)))</f>
        <v>9428.625</v>
      </c>
      <c r="CH11" s="109" t="n">
        <f aca="false">Pipeline!$Q$18*Pipeline!$D$18*MIN(1,MAX(0,(84-Pipeline!$E$18+1)/MAX(Pipeline!$F$18,1)))</f>
        <v>9428.625</v>
      </c>
    </row>
    <row r="12" customFormat="false" ht="13.5" hidden="false" customHeight="true" outlineLevel="0" collapsed="false">
      <c r="A12" s="6" t="s">
        <v>520</v>
      </c>
      <c r="C12" s="109" t="n">
        <f aca="false">Pipeline!$Q$19*Pipeline!$D$19*MIN(1,MAX(0,(1-Pipeline!$E$19+1)/MAX(Pipeline!$F$19,1)))</f>
        <v>0</v>
      </c>
      <c r="D12" s="109" t="n">
        <f aca="false">Pipeline!$Q$19*Pipeline!$D$19*MIN(1,MAX(0,(2-Pipeline!$E$19+1)/MAX(Pipeline!$F$19,1)))</f>
        <v>0</v>
      </c>
      <c r="E12" s="109" t="n">
        <f aca="false">Pipeline!$Q$19*Pipeline!$D$19*MIN(1,MAX(0,(3-Pipeline!$E$19+1)/MAX(Pipeline!$F$19,1)))</f>
        <v>0</v>
      </c>
      <c r="F12" s="109" t="n">
        <f aca="false">Pipeline!$Q$19*Pipeline!$D$19*MIN(1,MAX(0,(4-Pipeline!$E$19+1)/MAX(Pipeline!$F$19,1)))</f>
        <v>0</v>
      </c>
      <c r="G12" s="109" t="n">
        <f aca="false">Pipeline!$Q$19*Pipeline!$D$19*MIN(1,MAX(0,(5-Pipeline!$E$19+1)/MAX(Pipeline!$F$19,1)))</f>
        <v>0</v>
      </c>
      <c r="H12" s="109" t="n">
        <f aca="false">Pipeline!$Q$19*Pipeline!$D$19*MIN(1,MAX(0,(6-Pipeline!$E$19+1)/MAX(Pipeline!$F$19,1)))</f>
        <v>717.75</v>
      </c>
      <c r="I12" s="109" t="n">
        <f aca="false">Pipeline!$Q$19*Pipeline!$D$19*MIN(1,MAX(0,(7-Pipeline!$E$19+1)/MAX(Pipeline!$F$19,1)))</f>
        <v>1435.5</v>
      </c>
      <c r="J12" s="109" t="n">
        <f aca="false">Pipeline!$Q$19*Pipeline!$D$19*MIN(1,MAX(0,(8-Pipeline!$E$19+1)/MAX(Pipeline!$F$19,1)))</f>
        <v>2153.25</v>
      </c>
      <c r="K12" s="109" t="n">
        <f aca="false">Pipeline!$Q$19*Pipeline!$D$19*MIN(1,MAX(0,(9-Pipeline!$E$19+1)/MAX(Pipeline!$F$19,1)))</f>
        <v>2871</v>
      </c>
      <c r="L12" s="109" t="n">
        <f aca="false">Pipeline!$Q$19*Pipeline!$D$19*MIN(1,MAX(0,(10-Pipeline!$E$19+1)/MAX(Pipeline!$F$19,1)))</f>
        <v>3588.75</v>
      </c>
      <c r="M12" s="109" t="n">
        <f aca="false">Pipeline!$Q$19*Pipeline!$D$19*MIN(1,MAX(0,(11-Pipeline!$E$19+1)/MAX(Pipeline!$F$19,1)))</f>
        <v>4306.5</v>
      </c>
      <c r="N12" s="109" t="n">
        <f aca="false">Pipeline!$Q$19*Pipeline!$D$19*MIN(1,MAX(0,(12-Pipeline!$E$19+1)/MAX(Pipeline!$F$19,1)))</f>
        <v>5024.25</v>
      </c>
      <c r="O12" s="109" t="n">
        <f aca="false">Pipeline!$Q$19*Pipeline!$D$19*MIN(1,MAX(0,(13-Pipeline!$E$19+1)/MAX(Pipeline!$F$19,1)))</f>
        <v>5742</v>
      </c>
      <c r="P12" s="109" t="n">
        <f aca="false">Pipeline!$Q$19*Pipeline!$D$19*MIN(1,MAX(0,(14-Pipeline!$E$19+1)/MAX(Pipeline!$F$19,1)))</f>
        <v>5742</v>
      </c>
      <c r="Q12" s="109" t="n">
        <f aca="false">Pipeline!$Q$19*Pipeline!$D$19*MIN(1,MAX(0,(15-Pipeline!$E$19+1)/MAX(Pipeline!$F$19,1)))</f>
        <v>5742</v>
      </c>
      <c r="R12" s="109" t="n">
        <f aca="false">Pipeline!$Q$19*Pipeline!$D$19*MIN(1,MAX(0,(16-Pipeline!$E$19+1)/MAX(Pipeline!$F$19,1)))</f>
        <v>5742</v>
      </c>
      <c r="S12" s="109" t="n">
        <f aca="false">Pipeline!$Q$19*Pipeline!$D$19*MIN(1,MAX(0,(17-Pipeline!$E$19+1)/MAX(Pipeline!$F$19,1)))</f>
        <v>5742</v>
      </c>
      <c r="T12" s="109" t="n">
        <f aca="false">Pipeline!$Q$19*Pipeline!$D$19*MIN(1,MAX(0,(18-Pipeline!$E$19+1)/MAX(Pipeline!$F$19,1)))</f>
        <v>5742</v>
      </c>
      <c r="U12" s="109" t="n">
        <f aca="false">Pipeline!$Q$19*Pipeline!$D$19*MIN(1,MAX(0,(19-Pipeline!$E$19+1)/MAX(Pipeline!$F$19,1)))</f>
        <v>5742</v>
      </c>
      <c r="V12" s="109" t="n">
        <f aca="false">Pipeline!$Q$19*Pipeline!$D$19*MIN(1,MAX(0,(20-Pipeline!$E$19+1)/MAX(Pipeline!$F$19,1)))</f>
        <v>5742</v>
      </c>
      <c r="W12" s="109" t="n">
        <f aca="false">Pipeline!$Q$19*Pipeline!$D$19*MIN(1,MAX(0,(21-Pipeline!$E$19+1)/MAX(Pipeline!$F$19,1)))</f>
        <v>5742</v>
      </c>
      <c r="X12" s="109" t="n">
        <f aca="false">Pipeline!$Q$19*Pipeline!$D$19*MIN(1,MAX(0,(22-Pipeline!$E$19+1)/MAX(Pipeline!$F$19,1)))</f>
        <v>5742</v>
      </c>
      <c r="Y12" s="109" t="n">
        <f aca="false">Pipeline!$Q$19*Pipeline!$D$19*MIN(1,MAX(0,(23-Pipeline!$E$19+1)/MAX(Pipeline!$F$19,1)))</f>
        <v>5742</v>
      </c>
      <c r="Z12" s="109" t="n">
        <f aca="false">Pipeline!$Q$19*Pipeline!$D$19*MIN(1,MAX(0,(24-Pipeline!$E$19+1)/MAX(Pipeline!$F$19,1)))</f>
        <v>5742</v>
      </c>
      <c r="AA12" s="109" t="n">
        <f aca="false">Pipeline!$Q$19*Pipeline!$D$19*MIN(1,MAX(0,(25-Pipeline!$E$19+1)/MAX(Pipeline!$F$19,1)))</f>
        <v>5742</v>
      </c>
      <c r="AB12" s="109" t="n">
        <f aca="false">Pipeline!$Q$19*Pipeline!$D$19*MIN(1,MAX(0,(26-Pipeline!$E$19+1)/MAX(Pipeline!$F$19,1)))</f>
        <v>5742</v>
      </c>
      <c r="AC12" s="109" t="n">
        <f aca="false">Pipeline!$Q$19*Pipeline!$D$19*MIN(1,MAX(0,(27-Pipeline!$E$19+1)/MAX(Pipeline!$F$19,1)))</f>
        <v>5742</v>
      </c>
      <c r="AD12" s="109" t="n">
        <f aca="false">Pipeline!$Q$19*Pipeline!$D$19*MIN(1,MAX(0,(28-Pipeline!$E$19+1)/MAX(Pipeline!$F$19,1)))</f>
        <v>5742</v>
      </c>
      <c r="AE12" s="109" t="n">
        <f aca="false">Pipeline!$Q$19*Pipeline!$D$19*MIN(1,MAX(0,(29-Pipeline!$E$19+1)/MAX(Pipeline!$F$19,1)))</f>
        <v>5742</v>
      </c>
      <c r="AF12" s="109" t="n">
        <f aca="false">Pipeline!$Q$19*Pipeline!$D$19*MIN(1,MAX(0,(30-Pipeline!$E$19+1)/MAX(Pipeline!$F$19,1)))</f>
        <v>5742</v>
      </c>
      <c r="AG12" s="109" t="n">
        <f aca="false">Pipeline!$Q$19*Pipeline!$D$19*MIN(1,MAX(0,(31-Pipeline!$E$19+1)/MAX(Pipeline!$F$19,1)))</f>
        <v>5742</v>
      </c>
      <c r="AH12" s="109" t="n">
        <f aca="false">Pipeline!$Q$19*Pipeline!$D$19*MIN(1,MAX(0,(32-Pipeline!$E$19+1)/MAX(Pipeline!$F$19,1)))</f>
        <v>5742</v>
      </c>
      <c r="AI12" s="109" t="n">
        <f aca="false">Pipeline!$Q$19*Pipeline!$D$19*MIN(1,MAX(0,(33-Pipeline!$E$19+1)/MAX(Pipeline!$F$19,1)))</f>
        <v>5742</v>
      </c>
      <c r="AJ12" s="109" t="n">
        <f aca="false">Pipeline!$Q$19*Pipeline!$D$19*MIN(1,MAX(0,(34-Pipeline!$E$19+1)/MAX(Pipeline!$F$19,1)))</f>
        <v>5742</v>
      </c>
      <c r="AK12" s="109" t="n">
        <f aca="false">Pipeline!$Q$19*Pipeline!$D$19*MIN(1,MAX(0,(35-Pipeline!$E$19+1)/MAX(Pipeline!$F$19,1)))</f>
        <v>5742</v>
      </c>
      <c r="AL12" s="109" t="n">
        <f aca="false">Pipeline!$Q$19*Pipeline!$D$19*MIN(1,MAX(0,(36-Pipeline!$E$19+1)/MAX(Pipeline!$F$19,1)))</f>
        <v>5742</v>
      </c>
      <c r="AM12" s="109" t="n">
        <f aca="false">Pipeline!$Q$19*Pipeline!$D$19*MIN(1,MAX(0,(37-Pipeline!$E$19+1)/MAX(Pipeline!$F$19,1)))</f>
        <v>5742</v>
      </c>
      <c r="AN12" s="109" t="n">
        <f aca="false">Pipeline!$Q$19*Pipeline!$D$19*MIN(1,MAX(0,(38-Pipeline!$E$19+1)/MAX(Pipeline!$F$19,1)))</f>
        <v>5742</v>
      </c>
      <c r="AO12" s="109" t="n">
        <f aca="false">Pipeline!$Q$19*Pipeline!$D$19*MIN(1,MAX(0,(39-Pipeline!$E$19+1)/MAX(Pipeline!$F$19,1)))</f>
        <v>5742</v>
      </c>
      <c r="AP12" s="109" t="n">
        <f aca="false">Pipeline!$Q$19*Pipeline!$D$19*MIN(1,MAX(0,(40-Pipeline!$E$19+1)/MAX(Pipeline!$F$19,1)))</f>
        <v>5742</v>
      </c>
      <c r="AQ12" s="109" t="n">
        <f aca="false">Pipeline!$Q$19*Pipeline!$D$19*MIN(1,MAX(0,(41-Pipeline!$E$19+1)/MAX(Pipeline!$F$19,1)))</f>
        <v>5742</v>
      </c>
      <c r="AR12" s="109" t="n">
        <f aca="false">Pipeline!$Q$19*Pipeline!$D$19*MIN(1,MAX(0,(42-Pipeline!$E$19+1)/MAX(Pipeline!$F$19,1)))</f>
        <v>5742</v>
      </c>
      <c r="AS12" s="109" t="n">
        <f aca="false">Pipeline!$Q$19*Pipeline!$D$19*MIN(1,MAX(0,(43-Pipeline!$E$19+1)/MAX(Pipeline!$F$19,1)))</f>
        <v>5742</v>
      </c>
      <c r="AT12" s="109" t="n">
        <f aca="false">Pipeline!$Q$19*Pipeline!$D$19*MIN(1,MAX(0,(44-Pipeline!$E$19+1)/MAX(Pipeline!$F$19,1)))</f>
        <v>5742</v>
      </c>
      <c r="AU12" s="109" t="n">
        <f aca="false">Pipeline!$Q$19*Pipeline!$D$19*MIN(1,MAX(0,(45-Pipeline!$E$19+1)/MAX(Pipeline!$F$19,1)))</f>
        <v>5742</v>
      </c>
      <c r="AV12" s="109" t="n">
        <f aca="false">Pipeline!$Q$19*Pipeline!$D$19*MIN(1,MAX(0,(46-Pipeline!$E$19+1)/MAX(Pipeline!$F$19,1)))</f>
        <v>5742</v>
      </c>
      <c r="AW12" s="109" t="n">
        <f aca="false">Pipeline!$Q$19*Pipeline!$D$19*MIN(1,MAX(0,(47-Pipeline!$E$19+1)/MAX(Pipeline!$F$19,1)))</f>
        <v>5742</v>
      </c>
      <c r="AX12" s="109" t="n">
        <f aca="false">Pipeline!$Q$19*Pipeline!$D$19*MIN(1,MAX(0,(48-Pipeline!$E$19+1)/MAX(Pipeline!$F$19,1)))</f>
        <v>5742</v>
      </c>
      <c r="AY12" s="109" t="n">
        <f aca="false">Pipeline!$Q$19*Pipeline!$D$19*MIN(1,MAX(0,(49-Pipeline!$E$19+1)/MAX(Pipeline!$F$19,1)))</f>
        <v>5742</v>
      </c>
      <c r="AZ12" s="109" t="n">
        <f aca="false">Pipeline!$Q$19*Pipeline!$D$19*MIN(1,MAX(0,(50-Pipeline!$E$19+1)/MAX(Pipeline!$F$19,1)))</f>
        <v>5742</v>
      </c>
      <c r="BA12" s="109" t="n">
        <f aca="false">Pipeline!$Q$19*Pipeline!$D$19*MIN(1,MAX(0,(51-Pipeline!$E$19+1)/MAX(Pipeline!$F$19,1)))</f>
        <v>5742</v>
      </c>
      <c r="BB12" s="109" t="n">
        <f aca="false">Pipeline!$Q$19*Pipeline!$D$19*MIN(1,MAX(0,(52-Pipeline!$E$19+1)/MAX(Pipeline!$F$19,1)))</f>
        <v>5742</v>
      </c>
      <c r="BC12" s="109" t="n">
        <f aca="false">Pipeline!$Q$19*Pipeline!$D$19*MIN(1,MAX(0,(53-Pipeline!$E$19+1)/MAX(Pipeline!$F$19,1)))</f>
        <v>5742</v>
      </c>
      <c r="BD12" s="109" t="n">
        <f aca="false">Pipeline!$Q$19*Pipeline!$D$19*MIN(1,MAX(0,(54-Pipeline!$E$19+1)/MAX(Pipeline!$F$19,1)))</f>
        <v>5742</v>
      </c>
      <c r="BE12" s="109" t="n">
        <f aca="false">Pipeline!$Q$19*Pipeline!$D$19*MIN(1,MAX(0,(55-Pipeline!$E$19+1)/MAX(Pipeline!$F$19,1)))</f>
        <v>5742</v>
      </c>
      <c r="BF12" s="109" t="n">
        <f aca="false">Pipeline!$Q$19*Pipeline!$D$19*MIN(1,MAX(0,(56-Pipeline!$E$19+1)/MAX(Pipeline!$F$19,1)))</f>
        <v>5742</v>
      </c>
      <c r="BG12" s="109" t="n">
        <f aca="false">Pipeline!$Q$19*Pipeline!$D$19*MIN(1,MAX(0,(57-Pipeline!$E$19+1)/MAX(Pipeline!$F$19,1)))</f>
        <v>5742</v>
      </c>
      <c r="BH12" s="109" t="n">
        <f aca="false">Pipeline!$Q$19*Pipeline!$D$19*MIN(1,MAX(0,(58-Pipeline!$E$19+1)/MAX(Pipeline!$F$19,1)))</f>
        <v>5742</v>
      </c>
      <c r="BI12" s="109" t="n">
        <f aca="false">Pipeline!$Q$19*Pipeline!$D$19*MIN(1,MAX(0,(59-Pipeline!$E$19+1)/MAX(Pipeline!$F$19,1)))</f>
        <v>5742</v>
      </c>
      <c r="BJ12" s="109" t="n">
        <f aca="false">Pipeline!$Q$19*Pipeline!$D$19*MIN(1,MAX(0,(60-Pipeline!$E$19+1)/MAX(Pipeline!$F$19,1)))</f>
        <v>5742</v>
      </c>
      <c r="BK12" s="109" t="n">
        <f aca="false">Pipeline!$Q$19*Pipeline!$D$19*MIN(1,MAX(0,(61-Pipeline!$E$19+1)/MAX(Pipeline!$F$19,1)))</f>
        <v>5742</v>
      </c>
      <c r="BL12" s="109" t="n">
        <f aca="false">Pipeline!$Q$19*Pipeline!$D$19*MIN(1,MAX(0,(62-Pipeline!$E$19+1)/MAX(Pipeline!$F$19,1)))</f>
        <v>5742</v>
      </c>
      <c r="BM12" s="109" t="n">
        <f aca="false">Pipeline!$Q$19*Pipeline!$D$19*MIN(1,MAX(0,(63-Pipeline!$E$19+1)/MAX(Pipeline!$F$19,1)))</f>
        <v>5742</v>
      </c>
      <c r="BN12" s="109" t="n">
        <f aca="false">Pipeline!$Q$19*Pipeline!$D$19*MIN(1,MAX(0,(64-Pipeline!$E$19+1)/MAX(Pipeline!$F$19,1)))</f>
        <v>5742</v>
      </c>
      <c r="BO12" s="109" t="n">
        <f aca="false">Pipeline!$Q$19*Pipeline!$D$19*MIN(1,MAX(0,(65-Pipeline!$E$19+1)/MAX(Pipeline!$F$19,1)))</f>
        <v>5742</v>
      </c>
      <c r="BP12" s="109" t="n">
        <f aca="false">Pipeline!$Q$19*Pipeline!$D$19*MIN(1,MAX(0,(66-Pipeline!$E$19+1)/MAX(Pipeline!$F$19,1)))</f>
        <v>5742</v>
      </c>
      <c r="BQ12" s="109" t="n">
        <f aca="false">Pipeline!$Q$19*Pipeline!$D$19*MIN(1,MAX(0,(67-Pipeline!$E$19+1)/MAX(Pipeline!$F$19,1)))</f>
        <v>5742</v>
      </c>
      <c r="BR12" s="109" t="n">
        <f aca="false">Pipeline!$Q$19*Pipeline!$D$19*MIN(1,MAX(0,(68-Pipeline!$E$19+1)/MAX(Pipeline!$F$19,1)))</f>
        <v>5742</v>
      </c>
      <c r="BS12" s="109" t="n">
        <f aca="false">Pipeline!$Q$19*Pipeline!$D$19*MIN(1,MAX(0,(69-Pipeline!$E$19+1)/MAX(Pipeline!$F$19,1)))</f>
        <v>5742</v>
      </c>
      <c r="BT12" s="109" t="n">
        <f aca="false">Pipeline!$Q$19*Pipeline!$D$19*MIN(1,MAX(0,(70-Pipeline!$E$19+1)/MAX(Pipeline!$F$19,1)))</f>
        <v>5742</v>
      </c>
      <c r="BU12" s="109" t="n">
        <f aca="false">Pipeline!$Q$19*Pipeline!$D$19*MIN(1,MAX(0,(71-Pipeline!$E$19+1)/MAX(Pipeline!$F$19,1)))</f>
        <v>5742</v>
      </c>
      <c r="BV12" s="109" t="n">
        <f aca="false">Pipeline!$Q$19*Pipeline!$D$19*MIN(1,MAX(0,(72-Pipeline!$E$19+1)/MAX(Pipeline!$F$19,1)))</f>
        <v>5742</v>
      </c>
      <c r="BW12" s="109" t="n">
        <f aca="false">Pipeline!$Q$19*Pipeline!$D$19*MIN(1,MAX(0,(73-Pipeline!$E$19+1)/MAX(Pipeline!$F$19,1)))</f>
        <v>5742</v>
      </c>
      <c r="BX12" s="109" t="n">
        <f aca="false">Pipeline!$Q$19*Pipeline!$D$19*MIN(1,MAX(0,(74-Pipeline!$E$19+1)/MAX(Pipeline!$F$19,1)))</f>
        <v>5742</v>
      </c>
      <c r="BY12" s="109" t="n">
        <f aca="false">Pipeline!$Q$19*Pipeline!$D$19*MIN(1,MAX(0,(75-Pipeline!$E$19+1)/MAX(Pipeline!$F$19,1)))</f>
        <v>5742</v>
      </c>
      <c r="BZ12" s="109" t="n">
        <f aca="false">Pipeline!$Q$19*Pipeline!$D$19*MIN(1,MAX(0,(76-Pipeline!$E$19+1)/MAX(Pipeline!$F$19,1)))</f>
        <v>5742</v>
      </c>
      <c r="CA12" s="109" t="n">
        <f aca="false">Pipeline!$Q$19*Pipeline!$D$19*MIN(1,MAX(0,(77-Pipeline!$E$19+1)/MAX(Pipeline!$F$19,1)))</f>
        <v>5742</v>
      </c>
      <c r="CB12" s="109" t="n">
        <f aca="false">Pipeline!$Q$19*Pipeline!$D$19*MIN(1,MAX(0,(78-Pipeline!$E$19+1)/MAX(Pipeline!$F$19,1)))</f>
        <v>5742</v>
      </c>
      <c r="CC12" s="109" t="n">
        <f aca="false">Pipeline!$Q$19*Pipeline!$D$19*MIN(1,MAX(0,(79-Pipeline!$E$19+1)/MAX(Pipeline!$F$19,1)))</f>
        <v>5742</v>
      </c>
      <c r="CD12" s="109" t="n">
        <f aca="false">Pipeline!$Q$19*Pipeline!$D$19*MIN(1,MAX(0,(80-Pipeline!$E$19+1)/MAX(Pipeline!$F$19,1)))</f>
        <v>5742</v>
      </c>
      <c r="CE12" s="109" t="n">
        <f aca="false">Pipeline!$Q$19*Pipeline!$D$19*MIN(1,MAX(0,(81-Pipeline!$E$19+1)/MAX(Pipeline!$F$19,1)))</f>
        <v>5742</v>
      </c>
      <c r="CF12" s="109" t="n">
        <f aca="false">Pipeline!$Q$19*Pipeline!$D$19*MIN(1,MAX(0,(82-Pipeline!$E$19+1)/MAX(Pipeline!$F$19,1)))</f>
        <v>5742</v>
      </c>
      <c r="CG12" s="109" t="n">
        <f aca="false">Pipeline!$Q$19*Pipeline!$D$19*MIN(1,MAX(0,(83-Pipeline!$E$19+1)/MAX(Pipeline!$F$19,1)))</f>
        <v>5742</v>
      </c>
      <c r="CH12" s="109" t="n">
        <f aca="false">Pipeline!$Q$19*Pipeline!$D$19*MIN(1,MAX(0,(84-Pipeline!$E$19+1)/MAX(Pipeline!$F$19,1)))</f>
        <v>5742</v>
      </c>
    </row>
    <row r="13" customFormat="false" ht="13.5" hidden="false" customHeight="true" outlineLevel="0" collapsed="false">
      <c r="A13" s="6" t="s">
        <v>521</v>
      </c>
      <c r="C13" s="109" t="n">
        <f aca="false">Pipeline!$Q$20*Pipeline!$D$20*MIN(1,MAX(0,(1-Pipeline!$E$20+1)/MAX(Pipeline!$F$20,1)))</f>
        <v>0</v>
      </c>
      <c r="D13" s="109" t="n">
        <f aca="false">Pipeline!$Q$20*Pipeline!$D$20*MIN(1,MAX(0,(2-Pipeline!$E$20+1)/MAX(Pipeline!$F$20,1)))</f>
        <v>0</v>
      </c>
      <c r="E13" s="109" t="n">
        <f aca="false">Pipeline!$Q$20*Pipeline!$D$20*MIN(1,MAX(0,(3-Pipeline!$E$20+1)/MAX(Pipeline!$F$20,1)))</f>
        <v>0</v>
      </c>
      <c r="F13" s="109" t="n">
        <f aca="false">Pipeline!$Q$20*Pipeline!$D$20*MIN(1,MAX(0,(4-Pipeline!$E$20+1)/MAX(Pipeline!$F$20,1)))</f>
        <v>0</v>
      </c>
      <c r="G13" s="109" t="n">
        <f aca="false">Pipeline!$Q$20*Pipeline!$D$20*MIN(1,MAX(0,(5-Pipeline!$E$20+1)/MAX(Pipeline!$F$20,1)))</f>
        <v>0</v>
      </c>
      <c r="H13" s="109" t="n">
        <f aca="false">Pipeline!$Q$20*Pipeline!$D$20*MIN(1,MAX(0,(6-Pipeline!$E$20+1)/MAX(Pipeline!$F$20,1)))</f>
        <v>0</v>
      </c>
      <c r="I13" s="109" t="n">
        <f aca="false">Pipeline!$Q$20*Pipeline!$D$20*MIN(1,MAX(0,(7-Pipeline!$E$20+1)/MAX(Pipeline!$F$20,1)))</f>
        <v>0</v>
      </c>
      <c r="J13" s="109" t="n">
        <f aca="false">Pipeline!$Q$20*Pipeline!$D$20*MIN(1,MAX(0,(8-Pipeline!$E$20+1)/MAX(Pipeline!$F$20,1)))</f>
        <v>0</v>
      </c>
      <c r="K13" s="109" t="n">
        <f aca="false">Pipeline!$Q$20*Pipeline!$D$20*MIN(1,MAX(0,(9-Pipeline!$E$20+1)/MAX(Pipeline!$F$20,1)))</f>
        <v>0</v>
      </c>
      <c r="L13" s="109" t="n">
        <f aca="false">Pipeline!$Q$20*Pipeline!$D$20*MIN(1,MAX(0,(10-Pipeline!$E$20+1)/MAX(Pipeline!$F$20,1)))</f>
        <v>0</v>
      </c>
      <c r="M13" s="109" t="n">
        <f aca="false">Pipeline!$Q$20*Pipeline!$D$20*MIN(1,MAX(0,(11-Pipeline!$E$20+1)/MAX(Pipeline!$F$20,1)))</f>
        <v>0</v>
      </c>
      <c r="N13" s="109" t="n">
        <f aca="false">Pipeline!$Q$20*Pipeline!$D$20*MIN(1,MAX(0,(12-Pipeline!$E$20+1)/MAX(Pipeline!$F$20,1)))</f>
        <v>978.75</v>
      </c>
      <c r="O13" s="109" t="n">
        <f aca="false">Pipeline!$Q$20*Pipeline!$D$20*MIN(1,MAX(0,(13-Pipeline!$E$20+1)/MAX(Pipeline!$F$20,1)))</f>
        <v>1957.5</v>
      </c>
      <c r="P13" s="109" t="n">
        <f aca="false">Pipeline!$Q$20*Pipeline!$D$20*MIN(1,MAX(0,(14-Pipeline!$E$20+1)/MAX(Pipeline!$F$20,1)))</f>
        <v>2936.25</v>
      </c>
      <c r="Q13" s="109" t="n">
        <f aca="false">Pipeline!$Q$20*Pipeline!$D$20*MIN(1,MAX(0,(15-Pipeline!$E$20+1)/MAX(Pipeline!$F$20,1)))</f>
        <v>3915</v>
      </c>
      <c r="R13" s="109" t="n">
        <f aca="false">Pipeline!$Q$20*Pipeline!$D$20*MIN(1,MAX(0,(16-Pipeline!$E$20+1)/MAX(Pipeline!$F$20,1)))</f>
        <v>4893.75</v>
      </c>
      <c r="S13" s="109" t="n">
        <f aca="false">Pipeline!$Q$20*Pipeline!$D$20*MIN(1,MAX(0,(17-Pipeline!$E$20+1)/MAX(Pipeline!$F$20,1)))</f>
        <v>5872.5</v>
      </c>
      <c r="T13" s="109" t="n">
        <f aca="false">Pipeline!$Q$20*Pipeline!$D$20*MIN(1,MAX(0,(18-Pipeline!$E$20+1)/MAX(Pipeline!$F$20,1)))</f>
        <v>6851.25</v>
      </c>
      <c r="U13" s="109" t="n">
        <f aca="false">Pipeline!$Q$20*Pipeline!$D$20*MIN(1,MAX(0,(19-Pipeline!$E$20+1)/MAX(Pipeline!$F$20,1)))</f>
        <v>7830</v>
      </c>
      <c r="V13" s="109" t="n">
        <f aca="false">Pipeline!$Q$20*Pipeline!$D$20*MIN(1,MAX(0,(20-Pipeline!$E$20+1)/MAX(Pipeline!$F$20,1)))</f>
        <v>8808.75</v>
      </c>
      <c r="W13" s="109" t="n">
        <f aca="false">Pipeline!$Q$20*Pipeline!$D$20*MIN(1,MAX(0,(21-Pipeline!$E$20+1)/MAX(Pipeline!$F$20,1)))</f>
        <v>9787.5</v>
      </c>
      <c r="X13" s="109" t="n">
        <f aca="false">Pipeline!$Q$20*Pipeline!$D$20*MIN(1,MAX(0,(22-Pipeline!$E$20+1)/MAX(Pipeline!$F$20,1)))</f>
        <v>9787.5</v>
      </c>
      <c r="Y13" s="109" t="n">
        <f aca="false">Pipeline!$Q$20*Pipeline!$D$20*MIN(1,MAX(0,(23-Pipeline!$E$20+1)/MAX(Pipeline!$F$20,1)))</f>
        <v>9787.5</v>
      </c>
      <c r="Z13" s="109" t="n">
        <f aca="false">Pipeline!$Q$20*Pipeline!$D$20*MIN(1,MAX(0,(24-Pipeline!$E$20+1)/MAX(Pipeline!$F$20,1)))</f>
        <v>9787.5</v>
      </c>
      <c r="AA13" s="109" t="n">
        <f aca="false">Pipeline!$Q$20*Pipeline!$D$20*MIN(1,MAX(0,(25-Pipeline!$E$20+1)/MAX(Pipeline!$F$20,1)))</f>
        <v>9787.5</v>
      </c>
      <c r="AB13" s="109" t="n">
        <f aca="false">Pipeline!$Q$20*Pipeline!$D$20*MIN(1,MAX(0,(26-Pipeline!$E$20+1)/MAX(Pipeline!$F$20,1)))</f>
        <v>9787.5</v>
      </c>
      <c r="AC13" s="109" t="n">
        <f aca="false">Pipeline!$Q$20*Pipeline!$D$20*MIN(1,MAX(0,(27-Pipeline!$E$20+1)/MAX(Pipeline!$F$20,1)))</f>
        <v>9787.5</v>
      </c>
      <c r="AD13" s="109" t="n">
        <f aca="false">Pipeline!$Q$20*Pipeline!$D$20*MIN(1,MAX(0,(28-Pipeline!$E$20+1)/MAX(Pipeline!$F$20,1)))</f>
        <v>9787.5</v>
      </c>
      <c r="AE13" s="109" t="n">
        <f aca="false">Pipeline!$Q$20*Pipeline!$D$20*MIN(1,MAX(0,(29-Pipeline!$E$20+1)/MAX(Pipeline!$F$20,1)))</f>
        <v>9787.5</v>
      </c>
      <c r="AF13" s="109" t="n">
        <f aca="false">Pipeline!$Q$20*Pipeline!$D$20*MIN(1,MAX(0,(30-Pipeline!$E$20+1)/MAX(Pipeline!$F$20,1)))</f>
        <v>9787.5</v>
      </c>
      <c r="AG13" s="109" t="n">
        <f aca="false">Pipeline!$Q$20*Pipeline!$D$20*MIN(1,MAX(0,(31-Pipeline!$E$20+1)/MAX(Pipeline!$F$20,1)))</f>
        <v>9787.5</v>
      </c>
      <c r="AH13" s="109" t="n">
        <f aca="false">Pipeline!$Q$20*Pipeline!$D$20*MIN(1,MAX(0,(32-Pipeline!$E$20+1)/MAX(Pipeline!$F$20,1)))</f>
        <v>9787.5</v>
      </c>
      <c r="AI13" s="109" t="n">
        <f aca="false">Pipeline!$Q$20*Pipeline!$D$20*MIN(1,MAX(0,(33-Pipeline!$E$20+1)/MAX(Pipeline!$F$20,1)))</f>
        <v>9787.5</v>
      </c>
      <c r="AJ13" s="109" t="n">
        <f aca="false">Pipeline!$Q$20*Pipeline!$D$20*MIN(1,MAX(0,(34-Pipeline!$E$20+1)/MAX(Pipeline!$F$20,1)))</f>
        <v>9787.5</v>
      </c>
      <c r="AK13" s="109" t="n">
        <f aca="false">Pipeline!$Q$20*Pipeline!$D$20*MIN(1,MAX(0,(35-Pipeline!$E$20+1)/MAX(Pipeline!$F$20,1)))</f>
        <v>9787.5</v>
      </c>
      <c r="AL13" s="109" t="n">
        <f aca="false">Pipeline!$Q$20*Pipeline!$D$20*MIN(1,MAX(0,(36-Pipeline!$E$20+1)/MAX(Pipeline!$F$20,1)))</f>
        <v>9787.5</v>
      </c>
      <c r="AM13" s="109" t="n">
        <f aca="false">Pipeline!$Q$20*Pipeline!$D$20*MIN(1,MAX(0,(37-Pipeline!$E$20+1)/MAX(Pipeline!$F$20,1)))</f>
        <v>9787.5</v>
      </c>
      <c r="AN13" s="109" t="n">
        <f aca="false">Pipeline!$Q$20*Pipeline!$D$20*MIN(1,MAX(0,(38-Pipeline!$E$20+1)/MAX(Pipeline!$F$20,1)))</f>
        <v>9787.5</v>
      </c>
      <c r="AO13" s="109" t="n">
        <f aca="false">Pipeline!$Q$20*Pipeline!$D$20*MIN(1,MAX(0,(39-Pipeline!$E$20+1)/MAX(Pipeline!$F$20,1)))</f>
        <v>9787.5</v>
      </c>
      <c r="AP13" s="109" t="n">
        <f aca="false">Pipeline!$Q$20*Pipeline!$D$20*MIN(1,MAX(0,(40-Pipeline!$E$20+1)/MAX(Pipeline!$F$20,1)))</f>
        <v>9787.5</v>
      </c>
      <c r="AQ13" s="109" t="n">
        <f aca="false">Pipeline!$Q$20*Pipeline!$D$20*MIN(1,MAX(0,(41-Pipeline!$E$20+1)/MAX(Pipeline!$F$20,1)))</f>
        <v>9787.5</v>
      </c>
      <c r="AR13" s="109" t="n">
        <f aca="false">Pipeline!$Q$20*Pipeline!$D$20*MIN(1,MAX(0,(42-Pipeline!$E$20+1)/MAX(Pipeline!$F$20,1)))</f>
        <v>9787.5</v>
      </c>
      <c r="AS13" s="109" t="n">
        <f aca="false">Pipeline!$Q$20*Pipeline!$D$20*MIN(1,MAX(0,(43-Pipeline!$E$20+1)/MAX(Pipeline!$F$20,1)))</f>
        <v>9787.5</v>
      </c>
      <c r="AT13" s="109" t="n">
        <f aca="false">Pipeline!$Q$20*Pipeline!$D$20*MIN(1,MAX(0,(44-Pipeline!$E$20+1)/MAX(Pipeline!$F$20,1)))</f>
        <v>9787.5</v>
      </c>
      <c r="AU13" s="109" t="n">
        <f aca="false">Pipeline!$Q$20*Pipeline!$D$20*MIN(1,MAX(0,(45-Pipeline!$E$20+1)/MAX(Pipeline!$F$20,1)))</f>
        <v>9787.5</v>
      </c>
      <c r="AV13" s="109" t="n">
        <f aca="false">Pipeline!$Q$20*Pipeline!$D$20*MIN(1,MAX(0,(46-Pipeline!$E$20+1)/MAX(Pipeline!$F$20,1)))</f>
        <v>9787.5</v>
      </c>
      <c r="AW13" s="109" t="n">
        <f aca="false">Pipeline!$Q$20*Pipeline!$D$20*MIN(1,MAX(0,(47-Pipeline!$E$20+1)/MAX(Pipeline!$F$20,1)))</f>
        <v>9787.5</v>
      </c>
      <c r="AX13" s="109" t="n">
        <f aca="false">Pipeline!$Q$20*Pipeline!$D$20*MIN(1,MAX(0,(48-Pipeline!$E$20+1)/MAX(Pipeline!$F$20,1)))</f>
        <v>9787.5</v>
      </c>
      <c r="AY13" s="109" t="n">
        <f aca="false">Pipeline!$Q$20*Pipeline!$D$20*MIN(1,MAX(0,(49-Pipeline!$E$20+1)/MAX(Pipeline!$F$20,1)))</f>
        <v>9787.5</v>
      </c>
      <c r="AZ13" s="109" t="n">
        <f aca="false">Pipeline!$Q$20*Pipeline!$D$20*MIN(1,MAX(0,(50-Pipeline!$E$20+1)/MAX(Pipeline!$F$20,1)))</f>
        <v>9787.5</v>
      </c>
      <c r="BA13" s="109" t="n">
        <f aca="false">Pipeline!$Q$20*Pipeline!$D$20*MIN(1,MAX(0,(51-Pipeline!$E$20+1)/MAX(Pipeline!$F$20,1)))</f>
        <v>9787.5</v>
      </c>
      <c r="BB13" s="109" t="n">
        <f aca="false">Pipeline!$Q$20*Pipeline!$D$20*MIN(1,MAX(0,(52-Pipeline!$E$20+1)/MAX(Pipeline!$F$20,1)))</f>
        <v>9787.5</v>
      </c>
      <c r="BC13" s="109" t="n">
        <f aca="false">Pipeline!$Q$20*Pipeline!$D$20*MIN(1,MAX(0,(53-Pipeline!$E$20+1)/MAX(Pipeline!$F$20,1)))</f>
        <v>9787.5</v>
      </c>
      <c r="BD13" s="109" t="n">
        <f aca="false">Pipeline!$Q$20*Pipeline!$D$20*MIN(1,MAX(0,(54-Pipeline!$E$20+1)/MAX(Pipeline!$F$20,1)))</f>
        <v>9787.5</v>
      </c>
      <c r="BE13" s="109" t="n">
        <f aca="false">Pipeline!$Q$20*Pipeline!$D$20*MIN(1,MAX(0,(55-Pipeline!$E$20+1)/MAX(Pipeline!$F$20,1)))</f>
        <v>9787.5</v>
      </c>
      <c r="BF13" s="109" t="n">
        <f aca="false">Pipeline!$Q$20*Pipeline!$D$20*MIN(1,MAX(0,(56-Pipeline!$E$20+1)/MAX(Pipeline!$F$20,1)))</f>
        <v>9787.5</v>
      </c>
      <c r="BG13" s="109" t="n">
        <f aca="false">Pipeline!$Q$20*Pipeline!$D$20*MIN(1,MAX(0,(57-Pipeline!$E$20+1)/MAX(Pipeline!$F$20,1)))</f>
        <v>9787.5</v>
      </c>
      <c r="BH13" s="109" t="n">
        <f aca="false">Pipeline!$Q$20*Pipeline!$D$20*MIN(1,MAX(0,(58-Pipeline!$E$20+1)/MAX(Pipeline!$F$20,1)))</f>
        <v>9787.5</v>
      </c>
      <c r="BI13" s="109" t="n">
        <f aca="false">Pipeline!$Q$20*Pipeline!$D$20*MIN(1,MAX(0,(59-Pipeline!$E$20+1)/MAX(Pipeline!$F$20,1)))</f>
        <v>9787.5</v>
      </c>
      <c r="BJ13" s="109" t="n">
        <f aca="false">Pipeline!$Q$20*Pipeline!$D$20*MIN(1,MAX(0,(60-Pipeline!$E$20+1)/MAX(Pipeline!$F$20,1)))</f>
        <v>9787.5</v>
      </c>
      <c r="BK13" s="109" t="n">
        <f aca="false">Pipeline!$Q$20*Pipeline!$D$20*MIN(1,MAX(0,(61-Pipeline!$E$20+1)/MAX(Pipeline!$F$20,1)))</f>
        <v>9787.5</v>
      </c>
      <c r="BL13" s="109" t="n">
        <f aca="false">Pipeline!$Q$20*Pipeline!$D$20*MIN(1,MAX(0,(62-Pipeline!$E$20+1)/MAX(Pipeline!$F$20,1)))</f>
        <v>9787.5</v>
      </c>
      <c r="BM13" s="109" t="n">
        <f aca="false">Pipeline!$Q$20*Pipeline!$D$20*MIN(1,MAX(0,(63-Pipeline!$E$20+1)/MAX(Pipeline!$F$20,1)))</f>
        <v>9787.5</v>
      </c>
      <c r="BN13" s="109" t="n">
        <f aca="false">Pipeline!$Q$20*Pipeline!$D$20*MIN(1,MAX(0,(64-Pipeline!$E$20+1)/MAX(Pipeline!$F$20,1)))</f>
        <v>9787.5</v>
      </c>
      <c r="BO13" s="109" t="n">
        <f aca="false">Pipeline!$Q$20*Pipeline!$D$20*MIN(1,MAX(0,(65-Pipeline!$E$20+1)/MAX(Pipeline!$F$20,1)))</f>
        <v>9787.5</v>
      </c>
      <c r="BP13" s="109" t="n">
        <f aca="false">Pipeline!$Q$20*Pipeline!$D$20*MIN(1,MAX(0,(66-Pipeline!$E$20+1)/MAX(Pipeline!$F$20,1)))</f>
        <v>9787.5</v>
      </c>
      <c r="BQ13" s="109" t="n">
        <f aca="false">Pipeline!$Q$20*Pipeline!$D$20*MIN(1,MAX(0,(67-Pipeline!$E$20+1)/MAX(Pipeline!$F$20,1)))</f>
        <v>9787.5</v>
      </c>
      <c r="BR13" s="109" t="n">
        <f aca="false">Pipeline!$Q$20*Pipeline!$D$20*MIN(1,MAX(0,(68-Pipeline!$E$20+1)/MAX(Pipeline!$F$20,1)))</f>
        <v>9787.5</v>
      </c>
      <c r="BS13" s="109" t="n">
        <f aca="false">Pipeline!$Q$20*Pipeline!$D$20*MIN(1,MAX(0,(69-Pipeline!$E$20+1)/MAX(Pipeline!$F$20,1)))</f>
        <v>9787.5</v>
      </c>
      <c r="BT13" s="109" t="n">
        <f aca="false">Pipeline!$Q$20*Pipeline!$D$20*MIN(1,MAX(0,(70-Pipeline!$E$20+1)/MAX(Pipeline!$F$20,1)))</f>
        <v>9787.5</v>
      </c>
      <c r="BU13" s="109" t="n">
        <f aca="false">Pipeline!$Q$20*Pipeline!$D$20*MIN(1,MAX(0,(71-Pipeline!$E$20+1)/MAX(Pipeline!$F$20,1)))</f>
        <v>9787.5</v>
      </c>
      <c r="BV13" s="109" t="n">
        <f aca="false">Pipeline!$Q$20*Pipeline!$D$20*MIN(1,MAX(0,(72-Pipeline!$E$20+1)/MAX(Pipeline!$F$20,1)))</f>
        <v>9787.5</v>
      </c>
      <c r="BW13" s="109" t="n">
        <f aca="false">Pipeline!$Q$20*Pipeline!$D$20*MIN(1,MAX(0,(73-Pipeline!$E$20+1)/MAX(Pipeline!$F$20,1)))</f>
        <v>9787.5</v>
      </c>
      <c r="BX13" s="109" t="n">
        <f aca="false">Pipeline!$Q$20*Pipeline!$D$20*MIN(1,MAX(0,(74-Pipeline!$E$20+1)/MAX(Pipeline!$F$20,1)))</f>
        <v>9787.5</v>
      </c>
      <c r="BY13" s="109" t="n">
        <f aca="false">Pipeline!$Q$20*Pipeline!$D$20*MIN(1,MAX(0,(75-Pipeline!$E$20+1)/MAX(Pipeline!$F$20,1)))</f>
        <v>9787.5</v>
      </c>
      <c r="BZ13" s="109" t="n">
        <f aca="false">Pipeline!$Q$20*Pipeline!$D$20*MIN(1,MAX(0,(76-Pipeline!$E$20+1)/MAX(Pipeline!$F$20,1)))</f>
        <v>9787.5</v>
      </c>
      <c r="CA13" s="109" t="n">
        <f aca="false">Pipeline!$Q$20*Pipeline!$D$20*MIN(1,MAX(0,(77-Pipeline!$E$20+1)/MAX(Pipeline!$F$20,1)))</f>
        <v>9787.5</v>
      </c>
      <c r="CB13" s="109" t="n">
        <f aca="false">Pipeline!$Q$20*Pipeline!$D$20*MIN(1,MAX(0,(78-Pipeline!$E$20+1)/MAX(Pipeline!$F$20,1)))</f>
        <v>9787.5</v>
      </c>
      <c r="CC13" s="109" t="n">
        <f aca="false">Pipeline!$Q$20*Pipeline!$D$20*MIN(1,MAX(0,(79-Pipeline!$E$20+1)/MAX(Pipeline!$F$20,1)))</f>
        <v>9787.5</v>
      </c>
      <c r="CD13" s="109" t="n">
        <f aca="false">Pipeline!$Q$20*Pipeline!$D$20*MIN(1,MAX(0,(80-Pipeline!$E$20+1)/MAX(Pipeline!$F$20,1)))</f>
        <v>9787.5</v>
      </c>
      <c r="CE13" s="109" t="n">
        <f aca="false">Pipeline!$Q$20*Pipeline!$D$20*MIN(1,MAX(0,(81-Pipeline!$E$20+1)/MAX(Pipeline!$F$20,1)))</f>
        <v>9787.5</v>
      </c>
      <c r="CF13" s="109" t="n">
        <f aca="false">Pipeline!$Q$20*Pipeline!$D$20*MIN(1,MAX(0,(82-Pipeline!$E$20+1)/MAX(Pipeline!$F$20,1)))</f>
        <v>9787.5</v>
      </c>
      <c r="CG13" s="109" t="n">
        <f aca="false">Pipeline!$Q$20*Pipeline!$D$20*MIN(1,MAX(0,(83-Pipeline!$E$20+1)/MAX(Pipeline!$F$20,1)))</f>
        <v>9787.5</v>
      </c>
      <c r="CH13" s="109" t="n">
        <f aca="false">Pipeline!$Q$20*Pipeline!$D$20*MIN(1,MAX(0,(84-Pipeline!$E$20+1)/MAX(Pipeline!$F$20,1)))</f>
        <v>9787.5</v>
      </c>
    </row>
    <row r="14" customFormat="false" ht="13.5" hidden="false" customHeight="true" outlineLevel="0" collapsed="false">
      <c r="A14" s="6" t="s">
        <v>522</v>
      </c>
      <c r="C14" s="109" t="n">
        <f aca="false">Pipeline!$Q$21*Pipeline!$D$21*MIN(1,MAX(0,(1-Pipeline!$E$21+1)/MAX(Pipeline!$F$21,1)))</f>
        <v>0</v>
      </c>
      <c r="D14" s="109" t="n">
        <f aca="false">Pipeline!$Q$21*Pipeline!$D$21*MIN(1,MAX(0,(2-Pipeline!$E$21+1)/MAX(Pipeline!$F$21,1)))</f>
        <v>0</v>
      </c>
      <c r="E14" s="109" t="n">
        <f aca="false">Pipeline!$Q$21*Pipeline!$D$21*MIN(1,MAX(0,(3-Pipeline!$E$21+1)/MAX(Pipeline!$F$21,1)))</f>
        <v>0</v>
      </c>
      <c r="F14" s="109" t="n">
        <f aca="false">Pipeline!$Q$21*Pipeline!$D$21*MIN(1,MAX(0,(4-Pipeline!$E$21+1)/MAX(Pipeline!$F$21,1)))</f>
        <v>0</v>
      </c>
      <c r="G14" s="109" t="n">
        <f aca="false">Pipeline!$Q$21*Pipeline!$D$21*MIN(1,MAX(0,(5-Pipeline!$E$21+1)/MAX(Pipeline!$F$21,1)))</f>
        <v>0</v>
      </c>
      <c r="H14" s="109" t="n">
        <f aca="false">Pipeline!$Q$21*Pipeline!$D$21*MIN(1,MAX(0,(6-Pipeline!$E$21+1)/MAX(Pipeline!$F$21,1)))</f>
        <v>0</v>
      </c>
      <c r="I14" s="109" t="n">
        <f aca="false">Pipeline!$Q$21*Pipeline!$D$21*MIN(1,MAX(0,(7-Pipeline!$E$21+1)/MAX(Pipeline!$F$21,1)))</f>
        <v>0</v>
      </c>
      <c r="J14" s="109" t="n">
        <f aca="false">Pipeline!$Q$21*Pipeline!$D$21*MIN(1,MAX(0,(8-Pipeline!$E$21+1)/MAX(Pipeline!$F$21,1)))</f>
        <v>0</v>
      </c>
      <c r="K14" s="109" t="n">
        <f aca="false">Pipeline!$Q$21*Pipeline!$D$21*MIN(1,MAX(0,(9-Pipeline!$E$21+1)/MAX(Pipeline!$F$21,1)))</f>
        <v>0</v>
      </c>
      <c r="L14" s="109" t="n">
        <f aca="false">Pipeline!$Q$21*Pipeline!$D$21*MIN(1,MAX(0,(10-Pipeline!$E$21+1)/MAX(Pipeline!$F$21,1)))</f>
        <v>0</v>
      </c>
      <c r="M14" s="109" t="n">
        <f aca="false">Pipeline!$Q$21*Pipeline!$D$21*MIN(1,MAX(0,(11-Pipeline!$E$21+1)/MAX(Pipeline!$F$21,1)))</f>
        <v>0</v>
      </c>
      <c r="N14" s="109" t="n">
        <f aca="false">Pipeline!$Q$21*Pipeline!$D$21*MIN(1,MAX(0,(12-Pipeline!$E$21+1)/MAX(Pipeline!$F$21,1)))</f>
        <v>0</v>
      </c>
      <c r="O14" s="109" t="n">
        <f aca="false">Pipeline!$Q$21*Pipeline!$D$21*MIN(1,MAX(0,(13-Pipeline!$E$21+1)/MAX(Pipeline!$F$21,1)))</f>
        <v>0</v>
      </c>
      <c r="P14" s="109" t="n">
        <f aca="false">Pipeline!$Q$21*Pipeline!$D$21*MIN(1,MAX(0,(14-Pipeline!$E$21+1)/MAX(Pipeline!$F$21,1)))</f>
        <v>365.4</v>
      </c>
      <c r="Q14" s="109" t="n">
        <f aca="false">Pipeline!$Q$21*Pipeline!$D$21*MIN(1,MAX(0,(15-Pipeline!$E$21+1)/MAX(Pipeline!$F$21,1)))</f>
        <v>730.8</v>
      </c>
      <c r="R14" s="109" t="n">
        <f aca="false">Pipeline!$Q$21*Pipeline!$D$21*MIN(1,MAX(0,(16-Pipeline!$E$21+1)/MAX(Pipeline!$F$21,1)))</f>
        <v>1096.2</v>
      </c>
      <c r="S14" s="109" t="n">
        <f aca="false">Pipeline!$Q$21*Pipeline!$D$21*MIN(1,MAX(0,(17-Pipeline!$E$21+1)/MAX(Pipeline!$F$21,1)))</f>
        <v>1461.6</v>
      </c>
      <c r="T14" s="109" t="n">
        <f aca="false">Pipeline!$Q$21*Pipeline!$D$21*MIN(1,MAX(0,(18-Pipeline!$E$21+1)/MAX(Pipeline!$F$21,1)))</f>
        <v>1827</v>
      </c>
      <c r="U14" s="109" t="n">
        <f aca="false">Pipeline!$Q$21*Pipeline!$D$21*MIN(1,MAX(0,(19-Pipeline!$E$21+1)/MAX(Pipeline!$F$21,1)))</f>
        <v>2192.4</v>
      </c>
      <c r="V14" s="109" t="n">
        <f aca="false">Pipeline!$Q$21*Pipeline!$D$21*MIN(1,MAX(0,(20-Pipeline!$E$21+1)/MAX(Pipeline!$F$21,1)))</f>
        <v>2557.8</v>
      </c>
      <c r="W14" s="109" t="n">
        <f aca="false">Pipeline!$Q$21*Pipeline!$D$21*MIN(1,MAX(0,(21-Pipeline!$E$21+1)/MAX(Pipeline!$F$21,1)))</f>
        <v>2923.2</v>
      </c>
      <c r="X14" s="109" t="n">
        <f aca="false">Pipeline!$Q$21*Pipeline!$D$21*MIN(1,MAX(0,(22-Pipeline!$E$21+1)/MAX(Pipeline!$F$21,1)))</f>
        <v>3288.6</v>
      </c>
      <c r="Y14" s="109" t="n">
        <f aca="false">Pipeline!$Q$21*Pipeline!$D$21*MIN(1,MAX(0,(23-Pipeline!$E$21+1)/MAX(Pipeline!$F$21,1)))</f>
        <v>3654</v>
      </c>
      <c r="Z14" s="109" t="n">
        <f aca="false">Pipeline!$Q$21*Pipeline!$D$21*MIN(1,MAX(0,(24-Pipeline!$E$21+1)/MAX(Pipeline!$F$21,1)))</f>
        <v>3654</v>
      </c>
      <c r="AA14" s="109" t="n">
        <f aca="false">Pipeline!$Q$21*Pipeline!$D$21*MIN(1,MAX(0,(25-Pipeline!$E$21+1)/MAX(Pipeline!$F$21,1)))</f>
        <v>3654</v>
      </c>
      <c r="AB14" s="109" t="n">
        <f aca="false">Pipeline!$Q$21*Pipeline!$D$21*MIN(1,MAX(0,(26-Pipeline!$E$21+1)/MAX(Pipeline!$F$21,1)))</f>
        <v>3654</v>
      </c>
      <c r="AC14" s="109" t="n">
        <f aca="false">Pipeline!$Q$21*Pipeline!$D$21*MIN(1,MAX(0,(27-Pipeline!$E$21+1)/MAX(Pipeline!$F$21,1)))</f>
        <v>3654</v>
      </c>
      <c r="AD14" s="109" t="n">
        <f aca="false">Pipeline!$Q$21*Pipeline!$D$21*MIN(1,MAX(0,(28-Pipeline!$E$21+1)/MAX(Pipeline!$F$21,1)))</f>
        <v>3654</v>
      </c>
      <c r="AE14" s="109" t="n">
        <f aca="false">Pipeline!$Q$21*Pipeline!$D$21*MIN(1,MAX(0,(29-Pipeline!$E$21+1)/MAX(Pipeline!$F$21,1)))</f>
        <v>3654</v>
      </c>
      <c r="AF14" s="109" t="n">
        <f aca="false">Pipeline!$Q$21*Pipeline!$D$21*MIN(1,MAX(0,(30-Pipeline!$E$21+1)/MAX(Pipeline!$F$21,1)))</f>
        <v>3654</v>
      </c>
      <c r="AG14" s="109" t="n">
        <f aca="false">Pipeline!$Q$21*Pipeline!$D$21*MIN(1,MAX(0,(31-Pipeline!$E$21+1)/MAX(Pipeline!$F$21,1)))</f>
        <v>3654</v>
      </c>
      <c r="AH14" s="109" t="n">
        <f aca="false">Pipeline!$Q$21*Pipeline!$D$21*MIN(1,MAX(0,(32-Pipeline!$E$21+1)/MAX(Pipeline!$F$21,1)))</f>
        <v>3654</v>
      </c>
      <c r="AI14" s="109" t="n">
        <f aca="false">Pipeline!$Q$21*Pipeline!$D$21*MIN(1,MAX(0,(33-Pipeline!$E$21+1)/MAX(Pipeline!$F$21,1)))</f>
        <v>3654</v>
      </c>
      <c r="AJ14" s="109" t="n">
        <f aca="false">Pipeline!$Q$21*Pipeline!$D$21*MIN(1,MAX(0,(34-Pipeline!$E$21+1)/MAX(Pipeline!$F$21,1)))</f>
        <v>3654</v>
      </c>
      <c r="AK14" s="109" t="n">
        <f aca="false">Pipeline!$Q$21*Pipeline!$D$21*MIN(1,MAX(0,(35-Pipeline!$E$21+1)/MAX(Pipeline!$F$21,1)))</f>
        <v>3654</v>
      </c>
      <c r="AL14" s="109" t="n">
        <f aca="false">Pipeline!$Q$21*Pipeline!$D$21*MIN(1,MAX(0,(36-Pipeline!$E$21+1)/MAX(Pipeline!$F$21,1)))</f>
        <v>3654</v>
      </c>
      <c r="AM14" s="109" t="n">
        <f aca="false">Pipeline!$Q$21*Pipeline!$D$21*MIN(1,MAX(0,(37-Pipeline!$E$21+1)/MAX(Pipeline!$F$21,1)))</f>
        <v>3654</v>
      </c>
      <c r="AN14" s="109" t="n">
        <f aca="false">Pipeline!$Q$21*Pipeline!$D$21*MIN(1,MAX(0,(38-Pipeline!$E$21+1)/MAX(Pipeline!$F$21,1)))</f>
        <v>3654</v>
      </c>
      <c r="AO14" s="109" t="n">
        <f aca="false">Pipeline!$Q$21*Pipeline!$D$21*MIN(1,MAX(0,(39-Pipeline!$E$21+1)/MAX(Pipeline!$F$21,1)))</f>
        <v>3654</v>
      </c>
      <c r="AP14" s="109" t="n">
        <f aca="false">Pipeline!$Q$21*Pipeline!$D$21*MIN(1,MAX(0,(40-Pipeline!$E$21+1)/MAX(Pipeline!$F$21,1)))</f>
        <v>3654</v>
      </c>
      <c r="AQ14" s="109" t="n">
        <f aca="false">Pipeline!$Q$21*Pipeline!$D$21*MIN(1,MAX(0,(41-Pipeline!$E$21+1)/MAX(Pipeline!$F$21,1)))</f>
        <v>3654</v>
      </c>
      <c r="AR14" s="109" t="n">
        <f aca="false">Pipeline!$Q$21*Pipeline!$D$21*MIN(1,MAX(0,(42-Pipeline!$E$21+1)/MAX(Pipeline!$F$21,1)))</f>
        <v>3654</v>
      </c>
      <c r="AS14" s="109" t="n">
        <f aca="false">Pipeline!$Q$21*Pipeline!$D$21*MIN(1,MAX(0,(43-Pipeline!$E$21+1)/MAX(Pipeline!$F$21,1)))</f>
        <v>3654</v>
      </c>
      <c r="AT14" s="109" t="n">
        <f aca="false">Pipeline!$Q$21*Pipeline!$D$21*MIN(1,MAX(0,(44-Pipeline!$E$21+1)/MAX(Pipeline!$F$21,1)))</f>
        <v>3654</v>
      </c>
      <c r="AU14" s="109" t="n">
        <f aca="false">Pipeline!$Q$21*Pipeline!$D$21*MIN(1,MAX(0,(45-Pipeline!$E$21+1)/MAX(Pipeline!$F$21,1)))</f>
        <v>3654</v>
      </c>
      <c r="AV14" s="109" t="n">
        <f aca="false">Pipeline!$Q$21*Pipeline!$D$21*MIN(1,MAX(0,(46-Pipeline!$E$21+1)/MAX(Pipeline!$F$21,1)))</f>
        <v>3654</v>
      </c>
      <c r="AW14" s="109" t="n">
        <f aca="false">Pipeline!$Q$21*Pipeline!$D$21*MIN(1,MAX(0,(47-Pipeline!$E$21+1)/MAX(Pipeline!$F$21,1)))</f>
        <v>3654</v>
      </c>
      <c r="AX14" s="109" t="n">
        <f aca="false">Pipeline!$Q$21*Pipeline!$D$21*MIN(1,MAX(0,(48-Pipeline!$E$21+1)/MAX(Pipeline!$F$21,1)))</f>
        <v>3654</v>
      </c>
      <c r="AY14" s="109" t="n">
        <f aca="false">Pipeline!$Q$21*Pipeline!$D$21*MIN(1,MAX(0,(49-Pipeline!$E$21+1)/MAX(Pipeline!$F$21,1)))</f>
        <v>3654</v>
      </c>
      <c r="AZ14" s="109" t="n">
        <f aca="false">Pipeline!$Q$21*Pipeline!$D$21*MIN(1,MAX(0,(50-Pipeline!$E$21+1)/MAX(Pipeline!$F$21,1)))</f>
        <v>3654</v>
      </c>
      <c r="BA14" s="109" t="n">
        <f aca="false">Pipeline!$Q$21*Pipeline!$D$21*MIN(1,MAX(0,(51-Pipeline!$E$21+1)/MAX(Pipeline!$F$21,1)))</f>
        <v>3654</v>
      </c>
      <c r="BB14" s="109" t="n">
        <f aca="false">Pipeline!$Q$21*Pipeline!$D$21*MIN(1,MAX(0,(52-Pipeline!$E$21+1)/MAX(Pipeline!$F$21,1)))</f>
        <v>3654</v>
      </c>
      <c r="BC14" s="109" t="n">
        <f aca="false">Pipeline!$Q$21*Pipeline!$D$21*MIN(1,MAX(0,(53-Pipeline!$E$21+1)/MAX(Pipeline!$F$21,1)))</f>
        <v>3654</v>
      </c>
      <c r="BD14" s="109" t="n">
        <f aca="false">Pipeline!$Q$21*Pipeline!$D$21*MIN(1,MAX(0,(54-Pipeline!$E$21+1)/MAX(Pipeline!$F$21,1)))</f>
        <v>3654</v>
      </c>
      <c r="BE14" s="109" t="n">
        <f aca="false">Pipeline!$Q$21*Pipeline!$D$21*MIN(1,MAX(0,(55-Pipeline!$E$21+1)/MAX(Pipeline!$F$21,1)))</f>
        <v>3654</v>
      </c>
      <c r="BF14" s="109" t="n">
        <f aca="false">Pipeline!$Q$21*Pipeline!$D$21*MIN(1,MAX(0,(56-Pipeline!$E$21+1)/MAX(Pipeline!$F$21,1)))</f>
        <v>3654</v>
      </c>
      <c r="BG14" s="109" t="n">
        <f aca="false">Pipeline!$Q$21*Pipeline!$D$21*MIN(1,MAX(0,(57-Pipeline!$E$21+1)/MAX(Pipeline!$F$21,1)))</f>
        <v>3654</v>
      </c>
      <c r="BH14" s="109" t="n">
        <f aca="false">Pipeline!$Q$21*Pipeline!$D$21*MIN(1,MAX(0,(58-Pipeline!$E$21+1)/MAX(Pipeline!$F$21,1)))</f>
        <v>3654</v>
      </c>
      <c r="BI14" s="109" t="n">
        <f aca="false">Pipeline!$Q$21*Pipeline!$D$21*MIN(1,MAX(0,(59-Pipeline!$E$21+1)/MAX(Pipeline!$F$21,1)))</f>
        <v>3654</v>
      </c>
      <c r="BJ14" s="109" t="n">
        <f aca="false">Pipeline!$Q$21*Pipeline!$D$21*MIN(1,MAX(0,(60-Pipeline!$E$21+1)/MAX(Pipeline!$F$21,1)))</f>
        <v>3654</v>
      </c>
      <c r="BK14" s="109" t="n">
        <f aca="false">Pipeline!$Q$21*Pipeline!$D$21*MIN(1,MAX(0,(61-Pipeline!$E$21+1)/MAX(Pipeline!$F$21,1)))</f>
        <v>3654</v>
      </c>
      <c r="BL14" s="109" t="n">
        <f aca="false">Pipeline!$Q$21*Pipeline!$D$21*MIN(1,MAX(0,(62-Pipeline!$E$21+1)/MAX(Pipeline!$F$21,1)))</f>
        <v>3654</v>
      </c>
      <c r="BM14" s="109" t="n">
        <f aca="false">Pipeline!$Q$21*Pipeline!$D$21*MIN(1,MAX(0,(63-Pipeline!$E$21+1)/MAX(Pipeline!$F$21,1)))</f>
        <v>3654</v>
      </c>
      <c r="BN14" s="109" t="n">
        <f aca="false">Pipeline!$Q$21*Pipeline!$D$21*MIN(1,MAX(0,(64-Pipeline!$E$21+1)/MAX(Pipeline!$F$21,1)))</f>
        <v>3654</v>
      </c>
      <c r="BO14" s="109" t="n">
        <f aca="false">Pipeline!$Q$21*Pipeline!$D$21*MIN(1,MAX(0,(65-Pipeline!$E$21+1)/MAX(Pipeline!$F$21,1)))</f>
        <v>3654</v>
      </c>
      <c r="BP14" s="109" t="n">
        <f aca="false">Pipeline!$Q$21*Pipeline!$D$21*MIN(1,MAX(0,(66-Pipeline!$E$21+1)/MAX(Pipeline!$F$21,1)))</f>
        <v>3654</v>
      </c>
      <c r="BQ14" s="109" t="n">
        <f aca="false">Pipeline!$Q$21*Pipeline!$D$21*MIN(1,MAX(0,(67-Pipeline!$E$21+1)/MAX(Pipeline!$F$21,1)))</f>
        <v>3654</v>
      </c>
      <c r="BR14" s="109" t="n">
        <f aca="false">Pipeline!$Q$21*Pipeline!$D$21*MIN(1,MAX(0,(68-Pipeline!$E$21+1)/MAX(Pipeline!$F$21,1)))</f>
        <v>3654</v>
      </c>
      <c r="BS14" s="109" t="n">
        <f aca="false">Pipeline!$Q$21*Pipeline!$D$21*MIN(1,MAX(0,(69-Pipeline!$E$21+1)/MAX(Pipeline!$F$21,1)))</f>
        <v>3654</v>
      </c>
      <c r="BT14" s="109" t="n">
        <f aca="false">Pipeline!$Q$21*Pipeline!$D$21*MIN(1,MAX(0,(70-Pipeline!$E$21+1)/MAX(Pipeline!$F$21,1)))</f>
        <v>3654</v>
      </c>
      <c r="BU14" s="109" t="n">
        <f aca="false">Pipeline!$Q$21*Pipeline!$D$21*MIN(1,MAX(0,(71-Pipeline!$E$21+1)/MAX(Pipeline!$F$21,1)))</f>
        <v>3654</v>
      </c>
      <c r="BV14" s="109" t="n">
        <f aca="false">Pipeline!$Q$21*Pipeline!$D$21*MIN(1,MAX(0,(72-Pipeline!$E$21+1)/MAX(Pipeline!$F$21,1)))</f>
        <v>3654</v>
      </c>
      <c r="BW14" s="109" t="n">
        <f aca="false">Pipeline!$Q$21*Pipeline!$D$21*MIN(1,MAX(0,(73-Pipeline!$E$21+1)/MAX(Pipeline!$F$21,1)))</f>
        <v>3654</v>
      </c>
      <c r="BX14" s="109" t="n">
        <f aca="false">Pipeline!$Q$21*Pipeline!$D$21*MIN(1,MAX(0,(74-Pipeline!$E$21+1)/MAX(Pipeline!$F$21,1)))</f>
        <v>3654</v>
      </c>
      <c r="BY14" s="109" t="n">
        <f aca="false">Pipeline!$Q$21*Pipeline!$D$21*MIN(1,MAX(0,(75-Pipeline!$E$21+1)/MAX(Pipeline!$F$21,1)))</f>
        <v>3654</v>
      </c>
      <c r="BZ14" s="109" t="n">
        <f aca="false">Pipeline!$Q$21*Pipeline!$D$21*MIN(1,MAX(0,(76-Pipeline!$E$21+1)/MAX(Pipeline!$F$21,1)))</f>
        <v>3654</v>
      </c>
      <c r="CA14" s="109" t="n">
        <f aca="false">Pipeline!$Q$21*Pipeline!$D$21*MIN(1,MAX(0,(77-Pipeline!$E$21+1)/MAX(Pipeline!$F$21,1)))</f>
        <v>3654</v>
      </c>
      <c r="CB14" s="109" t="n">
        <f aca="false">Pipeline!$Q$21*Pipeline!$D$21*MIN(1,MAX(0,(78-Pipeline!$E$21+1)/MAX(Pipeline!$F$21,1)))</f>
        <v>3654</v>
      </c>
      <c r="CC14" s="109" t="n">
        <f aca="false">Pipeline!$Q$21*Pipeline!$D$21*MIN(1,MAX(0,(79-Pipeline!$E$21+1)/MAX(Pipeline!$F$21,1)))</f>
        <v>3654</v>
      </c>
      <c r="CD14" s="109" t="n">
        <f aca="false">Pipeline!$Q$21*Pipeline!$D$21*MIN(1,MAX(0,(80-Pipeline!$E$21+1)/MAX(Pipeline!$F$21,1)))</f>
        <v>3654</v>
      </c>
      <c r="CE14" s="109" t="n">
        <f aca="false">Pipeline!$Q$21*Pipeline!$D$21*MIN(1,MAX(0,(81-Pipeline!$E$21+1)/MAX(Pipeline!$F$21,1)))</f>
        <v>3654</v>
      </c>
      <c r="CF14" s="109" t="n">
        <f aca="false">Pipeline!$Q$21*Pipeline!$D$21*MIN(1,MAX(0,(82-Pipeline!$E$21+1)/MAX(Pipeline!$F$21,1)))</f>
        <v>3654</v>
      </c>
      <c r="CG14" s="109" t="n">
        <f aca="false">Pipeline!$Q$21*Pipeline!$D$21*MIN(1,MAX(0,(83-Pipeline!$E$21+1)/MAX(Pipeline!$F$21,1)))</f>
        <v>3654</v>
      </c>
      <c r="CH14" s="109" t="n">
        <f aca="false">Pipeline!$Q$21*Pipeline!$D$21*MIN(1,MAX(0,(84-Pipeline!$E$21+1)/MAX(Pipeline!$F$21,1)))</f>
        <v>3654</v>
      </c>
    </row>
    <row r="15" customFormat="false" ht="13.5" hidden="false" customHeight="true" outlineLevel="0" collapsed="false">
      <c r="A15" s="6" t="s">
        <v>523</v>
      </c>
      <c r="C15" s="109" t="n">
        <f aca="false">Pipeline!$Q$22*Pipeline!$D$22*MIN(1,MAX(0,(1-Pipeline!$E$22+1)/MAX(Pipeline!$F$22,1)))</f>
        <v>0</v>
      </c>
      <c r="D15" s="109" t="n">
        <f aca="false">Pipeline!$Q$22*Pipeline!$D$22*MIN(1,MAX(0,(2-Pipeline!$E$22+1)/MAX(Pipeline!$F$22,1)))</f>
        <v>0</v>
      </c>
      <c r="E15" s="109" t="n">
        <f aca="false">Pipeline!$Q$22*Pipeline!$D$22*MIN(1,MAX(0,(3-Pipeline!$E$22+1)/MAX(Pipeline!$F$22,1)))</f>
        <v>0</v>
      </c>
      <c r="F15" s="109" t="n">
        <f aca="false">Pipeline!$Q$22*Pipeline!$D$22*MIN(1,MAX(0,(4-Pipeline!$E$22+1)/MAX(Pipeline!$F$22,1)))</f>
        <v>0</v>
      </c>
      <c r="G15" s="109" t="n">
        <f aca="false">Pipeline!$Q$22*Pipeline!$D$22*MIN(1,MAX(0,(5-Pipeline!$E$22+1)/MAX(Pipeline!$F$22,1)))</f>
        <v>0</v>
      </c>
      <c r="H15" s="109" t="n">
        <f aca="false">Pipeline!$Q$22*Pipeline!$D$22*MIN(1,MAX(0,(6-Pipeline!$E$22+1)/MAX(Pipeline!$F$22,1)))</f>
        <v>0</v>
      </c>
      <c r="I15" s="109" t="n">
        <f aca="false">Pipeline!$Q$22*Pipeline!$D$22*MIN(1,MAX(0,(7-Pipeline!$E$22+1)/MAX(Pipeline!$F$22,1)))</f>
        <v>0</v>
      </c>
      <c r="J15" s="109" t="n">
        <f aca="false">Pipeline!$Q$22*Pipeline!$D$22*MIN(1,MAX(0,(8-Pipeline!$E$22+1)/MAX(Pipeline!$F$22,1)))</f>
        <v>0</v>
      </c>
      <c r="K15" s="109" t="n">
        <f aca="false">Pipeline!$Q$22*Pipeline!$D$22*MIN(1,MAX(0,(9-Pipeline!$E$22+1)/MAX(Pipeline!$F$22,1)))</f>
        <v>0</v>
      </c>
      <c r="L15" s="109" t="n">
        <f aca="false">Pipeline!$Q$22*Pipeline!$D$22*MIN(1,MAX(0,(10-Pipeline!$E$22+1)/MAX(Pipeline!$F$22,1)))</f>
        <v>0</v>
      </c>
      <c r="M15" s="109" t="n">
        <f aca="false">Pipeline!$Q$22*Pipeline!$D$22*MIN(1,MAX(0,(11-Pipeline!$E$22+1)/MAX(Pipeline!$F$22,1)))</f>
        <v>0</v>
      </c>
      <c r="N15" s="109" t="n">
        <f aca="false">Pipeline!$Q$22*Pipeline!$D$22*MIN(1,MAX(0,(12-Pipeline!$E$22+1)/MAX(Pipeline!$F$22,1)))</f>
        <v>0</v>
      </c>
      <c r="O15" s="109" t="n">
        <f aca="false">Pipeline!$Q$22*Pipeline!$D$22*MIN(1,MAX(0,(13-Pipeline!$E$22+1)/MAX(Pipeline!$F$22,1)))</f>
        <v>0</v>
      </c>
      <c r="P15" s="109" t="n">
        <f aca="false">Pipeline!$Q$22*Pipeline!$D$22*MIN(1,MAX(0,(14-Pipeline!$E$22+1)/MAX(Pipeline!$F$22,1)))</f>
        <v>0</v>
      </c>
      <c r="Q15" s="109" t="n">
        <f aca="false">Pipeline!$Q$22*Pipeline!$D$22*MIN(1,MAX(0,(15-Pipeline!$E$22+1)/MAX(Pipeline!$F$22,1)))</f>
        <v>0</v>
      </c>
      <c r="R15" s="109" t="n">
        <f aca="false">Pipeline!$Q$22*Pipeline!$D$22*MIN(1,MAX(0,(16-Pipeline!$E$22+1)/MAX(Pipeline!$F$22,1)))</f>
        <v>0</v>
      </c>
      <c r="S15" s="109" t="n">
        <f aca="false">Pipeline!$Q$22*Pipeline!$D$22*MIN(1,MAX(0,(17-Pipeline!$E$22+1)/MAX(Pipeline!$F$22,1)))</f>
        <v>0</v>
      </c>
      <c r="T15" s="109" t="n">
        <f aca="false">Pipeline!$Q$22*Pipeline!$D$22*MIN(1,MAX(0,(18-Pipeline!$E$22+1)/MAX(Pipeline!$F$22,1)))</f>
        <v>0</v>
      </c>
      <c r="U15" s="109" t="n">
        <f aca="false">Pipeline!$Q$22*Pipeline!$D$22*MIN(1,MAX(0,(19-Pipeline!$E$22+1)/MAX(Pipeline!$F$22,1)))</f>
        <v>0</v>
      </c>
      <c r="V15" s="109" t="n">
        <f aca="false">Pipeline!$Q$22*Pipeline!$D$22*MIN(1,MAX(0,(20-Pipeline!$E$22+1)/MAX(Pipeline!$F$22,1)))</f>
        <v>0</v>
      </c>
      <c r="W15" s="109" t="n">
        <f aca="false">Pipeline!$Q$22*Pipeline!$D$22*MIN(1,MAX(0,(21-Pipeline!$E$22+1)/MAX(Pipeline!$F$22,1)))</f>
        <v>0</v>
      </c>
      <c r="X15" s="109" t="n">
        <f aca="false">Pipeline!$Q$22*Pipeline!$D$22*MIN(1,MAX(0,(22-Pipeline!$E$22+1)/MAX(Pipeline!$F$22,1)))</f>
        <v>0</v>
      </c>
      <c r="Y15" s="109" t="n">
        <f aca="false">Pipeline!$Q$22*Pipeline!$D$22*MIN(1,MAX(0,(23-Pipeline!$E$22+1)/MAX(Pipeline!$F$22,1)))</f>
        <v>0</v>
      </c>
      <c r="Z15" s="109" t="n">
        <f aca="false">Pipeline!$Q$22*Pipeline!$D$22*MIN(1,MAX(0,(24-Pipeline!$E$22+1)/MAX(Pipeline!$F$22,1)))</f>
        <v>0</v>
      </c>
      <c r="AA15" s="109" t="n">
        <f aca="false">Pipeline!$Q$22*Pipeline!$D$22*MIN(1,MAX(0,(25-Pipeline!$E$22+1)/MAX(Pipeline!$F$22,1)))</f>
        <v>0</v>
      </c>
      <c r="AB15" s="109" t="n">
        <f aca="false">Pipeline!$Q$22*Pipeline!$D$22*MIN(1,MAX(0,(26-Pipeline!$E$22+1)/MAX(Pipeline!$F$22,1)))</f>
        <v>0</v>
      </c>
      <c r="AC15" s="109" t="n">
        <f aca="false">Pipeline!$Q$22*Pipeline!$D$22*MIN(1,MAX(0,(27-Pipeline!$E$22+1)/MAX(Pipeline!$F$22,1)))</f>
        <v>0</v>
      </c>
      <c r="AD15" s="109" t="n">
        <f aca="false">Pipeline!$Q$22*Pipeline!$D$22*MIN(1,MAX(0,(28-Pipeline!$E$22+1)/MAX(Pipeline!$F$22,1)))</f>
        <v>0</v>
      </c>
      <c r="AE15" s="109" t="n">
        <f aca="false">Pipeline!$Q$22*Pipeline!$D$22*MIN(1,MAX(0,(29-Pipeline!$E$22+1)/MAX(Pipeline!$F$22,1)))</f>
        <v>0</v>
      </c>
      <c r="AF15" s="109" t="n">
        <f aca="false">Pipeline!$Q$22*Pipeline!$D$22*MIN(1,MAX(0,(30-Pipeline!$E$22+1)/MAX(Pipeline!$F$22,1)))</f>
        <v>0</v>
      </c>
      <c r="AG15" s="109" t="n">
        <f aca="false">Pipeline!$Q$22*Pipeline!$D$22*MIN(1,MAX(0,(31-Pipeline!$E$22+1)/MAX(Pipeline!$F$22,1)))</f>
        <v>0</v>
      </c>
      <c r="AH15" s="109" t="n">
        <f aca="false">Pipeline!$Q$22*Pipeline!$D$22*MIN(1,MAX(0,(32-Pipeline!$E$22+1)/MAX(Pipeline!$F$22,1)))</f>
        <v>0</v>
      </c>
      <c r="AI15" s="109" t="n">
        <f aca="false">Pipeline!$Q$22*Pipeline!$D$22*MIN(1,MAX(0,(33-Pipeline!$E$22+1)/MAX(Pipeline!$F$22,1)))</f>
        <v>0</v>
      </c>
      <c r="AJ15" s="109" t="n">
        <f aca="false">Pipeline!$Q$22*Pipeline!$D$22*MIN(1,MAX(0,(34-Pipeline!$E$22+1)/MAX(Pipeline!$F$22,1)))</f>
        <v>0</v>
      </c>
      <c r="AK15" s="109" t="n">
        <f aca="false">Pipeline!$Q$22*Pipeline!$D$22*MIN(1,MAX(0,(35-Pipeline!$E$22+1)/MAX(Pipeline!$F$22,1)))</f>
        <v>0</v>
      </c>
      <c r="AL15" s="109" t="n">
        <f aca="false">Pipeline!$Q$22*Pipeline!$D$22*MIN(1,MAX(0,(36-Pipeline!$E$22+1)/MAX(Pipeline!$F$22,1)))</f>
        <v>0</v>
      </c>
      <c r="AM15" s="109" t="n">
        <f aca="false">Pipeline!$Q$22*Pipeline!$D$22*MIN(1,MAX(0,(37-Pipeline!$E$22+1)/MAX(Pipeline!$F$22,1)))</f>
        <v>0</v>
      </c>
      <c r="AN15" s="109" t="n">
        <f aca="false">Pipeline!$Q$22*Pipeline!$D$22*MIN(1,MAX(0,(38-Pipeline!$E$22+1)/MAX(Pipeline!$F$22,1)))</f>
        <v>0</v>
      </c>
      <c r="AO15" s="109" t="n">
        <f aca="false">Pipeline!$Q$22*Pipeline!$D$22*MIN(1,MAX(0,(39-Pipeline!$E$22+1)/MAX(Pipeline!$F$22,1)))</f>
        <v>0</v>
      </c>
      <c r="AP15" s="109" t="n">
        <f aca="false">Pipeline!$Q$22*Pipeline!$D$22*MIN(1,MAX(0,(40-Pipeline!$E$22+1)/MAX(Pipeline!$F$22,1)))</f>
        <v>0</v>
      </c>
      <c r="AQ15" s="109" t="n">
        <f aca="false">Pipeline!$Q$22*Pipeline!$D$22*MIN(1,MAX(0,(41-Pipeline!$E$22+1)/MAX(Pipeline!$F$22,1)))</f>
        <v>0</v>
      </c>
      <c r="AR15" s="109" t="n">
        <f aca="false">Pipeline!$Q$22*Pipeline!$D$22*MIN(1,MAX(0,(42-Pipeline!$E$22+1)/MAX(Pipeline!$F$22,1)))</f>
        <v>0</v>
      </c>
      <c r="AS15" s="109" t="n">
        <f aca="false">Pipeline!$Q$22*Pipeline!$D$22*MIN(1,MAX(0,(43-Pipeline!$E$22+1)/MAX(Pipeline!$F$22,1)))</f>
        <v>0</v>
      </c>
      <c r="AT15" s="109" t="n">
        <f aca="false">Pipeline!$Q$22*Pipeline!$D$22*MIN(1,MAX(0,(44-Pipeline!$E$22+1)/MAX(Pipeline!$F$22,1)))</f>
        <v>0</v>
      </c>
      <c r="AU15" s="109" t="n">
        <f aca="false">Pipeline!$Q$22*Pipeline!$D$22*MIN(1,MAX(0,(45-Pipeline!$E$22+1)/MAX(Pipeline!$F$22,1)))</f>
        <v>0</v>
      </c>
      <c r="AV15" s="109" t="n">
        <f aca="false">Pipeline!$Q$22*Pipeline!$D$22*MIN(1,MAX(0,(46-Pipeline!$E$22+1)/MAX(Pipeline!$F$22,1)))</f>
        <v>0</v>
      </c>
      <c r="AW15" s="109" t="n">
        <f aca="false">Pipeline!$Q$22*Pipeline!$D$22*MIN(1,MAX(0,(47-Pipeline!$E$22+1)/MAX(Pipeline!$F$22,1)))</f>
        <v>0</v>
      </c>
      <c r="AX15" s="109" t="n">
        <f aca="false">Pipeline!$Q$22*Pipeline!$D$22*MIN(1,MAX(0,(48-Pipeline!$E$22+1)/MAX(Pipeline!$F$22,1)))</f>
        <v>0</v>
      </c>
      <c r="AY15" s="109" t="n">
        <f aca="false">Pipeline!$Q$22*Pipeline!$D$22*MIN(1,MAX(0,(49-Pipeline!$E$22+1)/MAX(Pipeline!$F$22,1)))</f>
        <v>0</v>
      </c>
      <c r="AZ15" s="109" t="n">
        <f aca="false">Pipeline!$Q$22*Pipeline!$D$22*MIN(1,MAX(0,(50-Pipeline!$E$22+1)/MAX(Pipeline!$F$22,1)))</f>
        <v>0</v>
      </c>
      <c r="BA15" s="109" t="n">
        <f aca="false">Pipeline!$Q$22*Pipeline!$D$22*MIN(1,MAX(0,(51-Pipeline!$E$22+1)/MAX(Pipeline!$F$22,1)))</f>
        <v>0</v>
      </c>
      <c r="BB15" s="109" t="n">
        <f aca="false">Pipeline!$Q$22*Pipeline!$D$22*MIN(1,MAX(0,(52-Pipeline!$E$22+1)/MAX(Pipeline!$F$22,1)))</f>
        <v>0</v>
      </c>
      <c r="BC15" s="109" t="n">
        <f aca="false">Pipeline!$Q$22*Pipeline!$D$22*MIN(1,MAX(0,(53-Pipeline!$E$22+1)/MAX(Pipeline!$F$22,1)))</f>
        <v>0</v>
      </c>
      <c r="BD15" s="109" t="n">
        <f aca="false">Pipeline!$Q$22*Pipeline!$D$22*MIN(1,MAX(0,(54-Pipeline!$E$22+1)/MAX(Pipeline!$F$22,1)))</f>
        <v>0</v>
      </c>
      <c r="BE15" s="109" t="n">
        <f aca="false">Pipeline!$Q$22*Pipeline!$D$22*MIN(1,MAX(0,(55-Pipeline!$E$22+1)/MAX(Pipeline!$F$22,1)))</f>
        <v>0</v>
      </c>
      <c r="BF15" s="109" t="n">
        <f aca="false">Pipeline!$Q$22*Pipeline!$D$22*MIN(1,MAX(0,(56-Pipeline!$E$22+1)/MAX(Pipeline!$F$22,1)))</f>
        <v>0</v>
      </c>
      <c r="BG15" s="109" t="n">
        <f aca="false">Pipeline!$Q$22*Pipeline!$D$22*MIN(1,MAX(0,(57-Pipeline!$E$22+1)/MAX(Pipeline!$F$22,1)))</f>
        <v>0</v>
      </c>
      <c r="BH15" s="109" t="n">
        <f aca="false">Pipeline!$Q$22*Pipeline!$D$22*MIN(1,MAX(0,(58-Pipeline!$E$22+1)/MAX(Pipeline!$F$22,1)))</f>
        <v>0</v>
      </c>
      <c r="BI15" s="109" t="n">
        <f aca="false">Pipeline!$Q$22*Pipeline!$D$22*MIN(1,MAX(0,(59-Pipeline!$E$22+1)/MAX(Pipeline!$F$22,1)))</f>
        <v>0</v>
      </c>
      <c r="BJ15" s="109" t="n">
        <f aca="false">Pipeline!$Q$22*Pipeline!$D$22*MIN(1,MAX(0,(60-Pipeline!$E$22+1)/MAX(Pipeline!$F$22,1)))</f>
        <v>0</v>
      </c>
      <c r="BK15" s="109" t="n">
        <f aca="false">Pipeline!$Q$22*Pipeline!$D$22*MIN(1,MAX(0,(61-Pipeline!$E$22+1)/MAX(Pipeline!$F$22,1)))</f>
        <v>0</v>
      </c>
      <c r="BL15" s="109" t="n">
        <f aca="false">Pipeline!$Q$22*Pipeline!$D$22*MIN(1,MAX(0,(62-Pipeline!$E$22+1)/MAX(Pipeline!$F$22,1)))</f>
        <v>0</v>
      </c>
      <c r="BM15" s="109" t="n">
        <f aca="false">Pipeline!$Q$22*Pipeline!$D$22*MIN(1,MAX(0,(63-Pipeline!$E$22+1)/MAX(Pipeline!$F$22,1)))</f>
        <v>0</v>
      </c>
      <c r="BN15" s="109" t="n">
        <f aca="false">Pipeline!$Q$22*Pipeline!$D$22*MIN(1,MAX(0,(64-Pipeline!$E$22+1)/MAX(Pipeline!$F$22,1)))</f>
        <v>0</v>
      </c>
      <c r="BO15" s="109" t="n">
        <f aca="false">Pipeline!$Q$22*Pipeline!$D$22*MIN(1,MAX(0,(65-Pipeline!$E$22+1)/MAX(Pipeline!$F$22,1)))</f>
        <v>0</v>
      </c>
      <c r="BP15" s="109" t="n">
        <f aca="false">Pipeline!$Q$22*Pipeline!$D$22*MIN(1,MAX(0,(66-Pipeline!$E$22+1)/MAX(Pipeline!$F$22,1)))</f>
        <v>0</v>
      </c>
      <c r="BQ15" s="109" t="n">
        <f aca="false">Pipeline!$Q$22*Pipeline!$D$22*MIN(1,MAX(0,(67-Pipeline!$E$22+1)/MAX(Pipeline!$F$22,1)))</f>
        <v>0</v>
      </c>
      <c r="BR15" s="109" t="n">
        <f aca="false">Pipeline!$Q$22*Pipeline!$D$22*MIN(1,MAX(0,(68-Pipeline!$E$22+1)/MAX(Pipeline!$F$22,1)))</f>
        <v>0</v>
      </c>
      <c r="BS15" s="109" t="n">
        <f aca="false">Pipeline!$Q$22*Pipeline!$D$22*MIN(1,MAX(0,(69-Pipeline!$E$22+1)/MAX(Pipeline!$F$22,1)))</f>
        <v>0</v>
      </c>
      <c r="BT15" s="109" t="n">
        <f aca="false">Pipeline!$Q$22*Pipeline!$D$22*MIN(1,MAX(0,(70-Pipeline!$E$22+1)/MAX(Pipeline!$F$22,1)))</f>
        <v>0</v>
      </c>
      <c r="BU15" s="109" t="n">
        <f aca="false">Pipeline!$Q$22*Pipeline!$D$22*MIN(1,MAX(0,(71-Pipeline!$E$22+1)/MAX(Pipeline!$F$22,1)))</f>
        <v>0</v>
      </c>
      <c r="BV15" s="109" t="n">
        <f aca="false">Pipeline!$Q$22*Pipeline!$D$22*MIN(1,MAX(0,(72-Pipeline!$E$22+1)/MAX(Pipeline!$F$22,1)))</f>
        <v>0</v>
      </c>
      <c r="BW15" s="109" t="n">
        <f aca="false">Pipeline!$Q$22*Pipeline!$D$22*MIN(1,MAX(0,(73-Pipeline!$E$22+1)/MAX(Pipeline!$F$22,1)))</f>
        <v>0</v>
      </c>
      <c r="BX15" s="109" t="n">
        <f aca="false">Pipeline!$Q$22*Pipeline!$D$22*MIN(1,MAX(0,(74-Pipeline!$E$22+1)/MAX(Pipeline!$F$22,1)))</f>
        <v>0</v>
      </c>
      <c r="BY15" s="109" t="n">
        <f aca="false">Pipeline!$Q$22*Pipeline!$D$22*MIN(1,MAX(0,(75-Pipeline!$E$22+1)/MAX(Pipeline!$F$22,1)))</f>
        <v>0</v>
      </c>
      <c r="BZ15" s="109" t="n">
        <f aca="false">Pipeline!$Q$22*Pipeline!$D$22*MIN(1,MAX(0,(76-Pipeline!$E$22+1)/MAX(Pipeline!$F$22,1)))</f>
        <v>0</v>
      </c>
      <c r="CA15" s="109" t="n">
        <f aca="false">Pipeline!$Q$22*Pipeline!$D$22*MIN(1,MAX(0,(77-Pipeline!$E$22+1)/MAX(Pipeline!$F$22,1)))</f>
        <v>0</v>
      </c>
      <c r="CB15" s="109" t="n">
        <f aca="false">Pipeline!$Q$22*Pipeline!$D$22*MIN(1,MAX(0,(78-Pipeline!$E$22+1)/MAX(Pipeline!$F$22,1)))</f>
        <v>0</v>
      </c>
      <c r="CC15" s="109" t="n">
        <f aca="false">Pipeline!$Q$22*Pipeline!$D$22*MIN(1,MAX(0,(79-Pipeline!$E$22+1)/MAX(Pipeline!$F$22,1)))</f>
        <v>0</v>
      </c>
      <c r="CD15" s="109" t="n">
        <f aca="false">Pipeline!$Q$22*Pipeline!$D$22*MIN(1,MAX(0,(80-Pipeline!$E$22+1)/MAX(Pipeline!$F$22,1)))</f>
        <v>0</v>
      </c>
      <c r="CE15" s="109" t="n">
        <f aca="false">Pipeline!$Q$22*Pipeline!$D$22*MIN(1,MAX(0,(81-Pipeline!$E$22+1)/MAX(Pipeline!$F$22,1)))</f>
        <v>0</v>
      </c>
      <c r="CF15" s="109" t="n">
        <f aca="false">Pipeline!$Q$22*Pipeline!$D$22*MIN(1,MAX(0,(82-Pipeline!$E$22+1)/MAX(Pipeline!$F$22,1)))</f>
        <v>0</v>
      </c>
      <c r="CG15" s="109" t="n">
        <f aca="false">Pipeline!$Q$22*Pipeline!$D$22*MIN(1,MAX(0,(83-Pipeline!$E$22+1)/MAX(Pipeline!$F$22,1)))</f>
        <v>0</v>
      </c>
      <c r="CH15" s="109" t="n">
        <f aca="false">Pipeline!$Q$22*Pipeline!$D$22*MIN(1,MAX(0,(84-Pipeline!$E$22+1)/MAX(Pipeline!$F$22,1)))</f>
        <v>0</v>
      </c>
    </row>
    <row r="16" customFormat="false" ht="13.5" hidden="false" customHeight="true" outlineLevel="0" collapsed="false">
      <c r="A16" s="22" t="s">
        <v>524</v>
      </c>
      <c r="C16" s="109" t="n">
        <f aca="false">SUM(C9:C15)</f>
        <v>1005.575</v>
      </c>
      <c r="D16" s="109" t="n">
        <f aca="false">SUM(D9:D15)</f>
        <v>2089.45</v>
      </c>
      <c r="E16" s="109" t="n">
        <f aca="false">SUM(E9:E15)</f>
        <v>4351.903125</v>
      </c>
      <c r="F16" s="109" t="n">
        <f aca="false">SUM(F9:F15)</f>
        <v>5608.78125</v>
      </c>
      <c r="G16" s="109" t="n">
        <f aca="false">SUM(G9:G15)</f>
        <v>6787.359375</v>
      </c>
      <c r="H16" s="109" t="n">
        <f aca="false">SUM(H9:H15)</f>
        <v>8683.6875</v>
      </c>
      <c r="I16" s="109" t="n">
        <f aca="false">SUM(I9:I15)</f>
        <v>10580.015625</v>
      </c>
      <c r="J16" s="109" t="n">
        <f aca="false">SUM(J9:J15)</f>
        <v>12476.34375</v>
      </c>
      <c r="K16" s="109" t="n">
        <f aca="false">SUM(K9:K15)</f>
        <v>14372.671875</v>
      </c>
      <c r="L16" s="109" t="n">
        <f aca="false">SUM(L9:L15)</f>
        <v>16269</v>
      </c>
      <c r="M16" s="109" t="n">
        <f aca="false">SUM(M9:M15)</f>
        <v>16986.75</v>
      </c>
      <c r="N16" s="109" t="n">
        <f aca="false">SUM(N9:N15)</f>
        <v>18683.25</v>
      </c>
      <c r="O16" s="109" t="n">
        <f aca="false">SUM(O9:O15)</f>
        <v>20379.75</v>
      </c>
      <c r="P16" s="109" t="n">
        <f aca="false">SUM(P9:P15)</f>
        <v>21723.9</v>
      </c>
      <c r="Q16" s="109" t="n">
        <f aca="false">SUM(Q9:Q15)</f>
        <v>23068.05</v>
      </c>
      <c r="R16" s="109" t="n">
        <f aca="false">SUM(R9:R15)</f>
        <v>24412.2</v>
      </c>
      <c r="S16" s="109" t="n">
        <f aca="false">SUM(S9:S15)</f>
        <v>25756.35</v>
      </c>
      <c r="T16" s="109" t="n">
        <f aca="false">SUM(T9:T15)</f>
        <v>27100.5</v>
      </c>
      <c r="U16" s="109" t="n">
        <f aca="false">SUM(U9:U15)</f>
        <v>28444.65</v>
      </c>
      <c r="V16" s="109" t="n">
        <f aca="false">SUM(V9:V15)</f>
        <v>29788.8</v>
      </c>
      <c r="W16" s="109" t="n">
        <f aca="false">SUM(W9:W15)</f>
        <v>31132.95</v>
      </c>
      <c r="X16" s="109" t="n">
        <f aca="false">SUM(X9:X15)</f>
        <v>31498.35</v>
      </c>
      <c r="Y16" s="109" t="n">
        <f aca="false">SUM(Y9:Y15)</f>
        <v>31863.75</v>
      </c>
      <c r="Z16" s="109" t="n">
        <f aca="false">SUM(Z9:Z15)</f>
        <v>31863.75</v>
      </c>
      <c r="AA16" s="109" t="n">
        <f aca="false">SUM(AA9:AA15)</f>
        <v>31863.75</v>
      </c>
      <c r="AB16" s="109" t="n">
        <f aca="false">SUM(AB9:AB15)</f>
        <v>31863.75</v>
      </c>
      <c r="AC16" s="109" t="n">
        <f aca="false">SUM(AC9:AC15)</f>
        <v>31863.75</v>
      </c>
      <c r="AD16" s="109" t="n">
        <f aca="false">SUM(AD9:AD15)</f>
        <v>31863.75</v>
      </c>
      <c r="AE16" s="109" t="n">
        <f aca="false">SUM(AE9:AE15)</f>
        <v>31863.75</v>
      </c>
      <c r="AF16" s="109" t="n">
        <f aca="false">SUM(AF9:AF15)</f>
        <v>31863.75</v>
      </c>
      <c r="AG16" s="109" t="n">
        <f aca="false">SUM(AG9:AG15)</f>
        <v>31863.75</v>
      </c>
      <c r="AH16" s="109" t="n">
        <f aca="false">SUM(AH9:AH15)</f>
        <v>31863.75</v>
      </c>
      <c r="AI16" s="109" t="n">
        <f aca="false">SUM(AI9:AI15)</f>
        <v>31863.75</v>
      </c>
      <c r="AJ16" s="109" t="n">
        <f aca="false">SUM(AJ9:AJ15)</f>
        <v>31863.75</v>
      </c>
      <c r="AK16" s="109" t="n">
        <f aca="false">SUM(AK9:AK15)</f>
        <v>31863.75</v>
      </c>
      <c r="AL16" s="109" t="n">
        <f aca="false">SUM(AL9:AL15)</f>
        <v>31863.75</v>
      </c>
      <c r="AM16" s="109" t="n">
        <f aca="false">SUM(AM9:AM15)</f>
        <v>31863.75</v>
      </c>
      <c r="AN16" s="109" t="n">
        <f aca="false">SUM(AN9:AN15)</f>
        <v>31863.75</v>
      </c>
      <c r="AO16" s="109" t="n">
        <f aca="false">SUM(AO9:AO15)</f>
        <v>31863.75</v>
      </c>
      <c r="AP16" s="109" t="n">
        <f aca="false">SUM(AP9:AP15)</f>
        <v>31863.75</v>
      </c>
      <c r="AQ16" s="109" t="n">
        <f aca="false">SUM(AQ9:AQ15)</f>
        <v>31863.75</v>
      </c>
      <c r="AR16" s="109" t="n">
        <f aca="false">SUM(AR9:AR15)</f>
        <v>31863.75</v>
      </c>
      <c r="AS16" s="109" t="n">
        <f aca="false">SUM(AS9:AS15)</f>
        <v>31863.75</v>
      </c>
      <c r="AT16" s="109" t="n">
        <f aca="false">SUM(AT9:AT15)</f>
        <v>31863.75</v>
      </c>
      <c r="AU16" s="109" t="n">
        <f aca="false">SUM(AU9:AU15)</f>
        <v>31863.75</v>
      </c>
      <c r="AV16" s="109" t="n">
        <f aca="false">SUM(AV9:AV15)</f>
        <v>31863.75</v>
      </c>
      <c r="AW16" s="109" t="n">
        <f aca="false">SUM(AW9:AW15)</f>
        <v>31863.75</v>
      </c>
      <c r="AX16" s="109" t="n">
        <f aca="false">SUM(AX9:AX15)</f>
        <v>31863.75</v>
      </c>
      <c r="AY16" s="109" t="n">
        <f aca="false">SUM(AY9:AY15)</f>
        <v>31863.75</v>
      </c>
      <c r="AZ16" s="109" t="n">
        <f aca="false">SUM(AZ9:AZ15)</f>
        <v>31863.75</v>
      </c>
      <c r="BA16" s="109" t="n">
        <f aca="false">SUM(BA9:BA15)</f>
        <v>31863.75</v>
      </c>
      <c r="BB16" s="109" t="n">
        <f aca="false">SUM(BB9:BB15)</f>
        <v>31863.75</v>
      </c>
      <c r="BC16" s="109" t="n">
        <f aca="false">SUM(BC9:BC15)</f>
        <v>31863.75</v>
      </c>
      <c r="BD16" s="109" t="n">
        <f aca="false">SUM(BD9:BD15)</f>
        <v>31863.75</v>
      </c>
      <c r="BE16" s="109" t="n">
        <f aca="false">SUM(BE9:BE15)</f>
        <v>31863.75</v>
      </c>
      <c r="BF16" s="109" t="n">
        <f aca="false">SUM(BF9:BF15)</f>
        <v>31863.75</v>
      </c>
      <c r="BG16" s="109" t="n">
        <f aca="false">SUM(BG9:BG15)</f>
        <v>31863.75</v>
      </c>
      <c r="BH16" s="109" t="n">
        <f aca="false">SUM(BH9:BH15)</f>
        <v>31863.75</v>
      </c>
      <c r="BI16" s="109" t="n">
        <f aca="false">SUM(BI9:BI15)</f>
        <v>31863.75</v>
      </c>
      <c r="BJ16" s="109" t="n">
        <f aca="false">SUM(BJ9:BJ15)</f>
        <v>31863.75</v>
      </c>
      <c r="BK16" s="109" t="n">
        <f aca="false">SUM(BK9:BK15)</f>
        <v>31863.75</v>
      </c>
      <c r="BL16" s="109" t="n">
        <f aca="false">SUM(BL9:BL15)</f>
        <v>31863.75</v>
      </c>
      <c r="BM16" s="109" t="n">
        <f aca="false">SUM(BM9:BM15)</f>
        <v>31863.75</v>
      </c>
      <c r="BN16" s="109" t="n">
        <f aca="false">SUM(BN9:BN15)</f>
        <v>31863.75</v>
      </c>
      <c r="BO16" s="109" t="n">
        <f aca="false">SUM(BO9:BO15)</f>
        <v>31863.75</v>
      </c>
      <c r="BP16" s="109" t="n">
        <f aca="false">SUM(BP9:BP15)</f>
        <v>31863.75</v>
      </c>
      <c r="BQ16" s="109" t="n">
        <f aca="false">SUM(BQ9:BQ15)</f>
        <v>31863.75</v>
      </c>
      <c r="BR16" s="109" t="n">
        <f aca="false">SUM(BR9:BR15)</f>
        <v>31863.75</v>
      </c>
      <c r="BS16" s="109" t="n">
        <f aca="false">SUM(BS9:BS15)</f>
        <v>31863.75</v>
      </c>
      <c r="BT16" s="109" t="n">
        <f aca="false">SUM(BT9:BT15)</f>
        <v>31863.75</v>
      </c>
      <c r="BU16" s="109" t="n">
        <f aca="false">SUM(BU9:BU15)</f>
        <v>31863.75</v>
      </c>
      <c r="BV16" s="109" t="n">
        <f aca="false">SUM(BV9:BV15)</f>
        <v>31863.75</v>
      </c>
      <c r="BW16" s="109" t="n">
        <f aca="false">SUM(BW9:BW15)</f>
        <v>31863.75</v>
      </c>
      <c r="BX16" s="109" t="n">
        <f aca="false">SUM(BX9:BX15)</f>
        <v>31863.75</v>
      </c>
      <c r="BY16" s="109" t="n">
        <f aca="false">SUM(BY9:BY15)</f>
        <v>31863.75</v>
      </c>
      <c r="BZ16" s="109" t="n">
        <f aca="false">SUM(BZ9:BZ15)</f>
        <v>31863.75</v>
      </c>
      <c r="CA16" s="109" t="n">
        <f aca="false">SUM(CA9:CA15)</f>
        <v>31863.75</v>
      </c>
      <c r="CB16" s="109" t="n">
        <f aca="false">SUM(CB9:CB15)</f>
        <v>31863.75</v>
      </c>
      <c r="CC16" s="109" t="n">
        <f aca="false">SUM(CC9:CC15)</f>
        <v>31863.75</v>
      </c>
      <c r="CD16" s="109" t="n">
        <f aca="false">SUM(CD9:CD15)</f>
        <v>31863.75</v>
      </c>
      <c r="CE16" s="109" t="n">
        <f aca="false">SUM(CE9:CE15)</f>
        <v>31863.75</v>
      </c>
      <c r="CF16" s="109" t="n">
        <f aca="false">SUM(CF9:CF15)</f>
        <v>31863.75</v>
      </c>
      <c r="CG16" s="109" t="n">
        <f aca="false">SUM(CG9:CG15)</f>
        <v>31863.75</v>
      </c>
      <c r="CH16" s="109" t="n">
        <f aca="false">SUM(CH9:CH15)</f>
        <v>31863.75</v>
      </c>
    </row>
    <row r="17" customFormat="false" ht="13.5" hidden="false" customHeight="true" outlineLevel="0" collapsed="false">
      <c r="A17" s="6" t="s">
        <v>525</v>
      </c>
      <c r="C17" s="110" t="n">
        <f aca="false">(Pipeline!$T$16*Pipeline!$D$16*MIN(1,MAX(0,(1-Pipeline!$E$16+1)/MAX(Pipeline!$F$16,1)))+Pipeline!$T$17*Pipeline!$D$17*MIN(1,MAX(0,(1-Pipeline!$E$17+1)/MAX(Pipeline!$F$17,1)))+Pipeline!$T$18*Pipeline!$D$18*MIN(1,MAX(0,(1-Pipeline!$E$18+1)/MAX(Pipeline!$F$18,1)))+Pipeline!$T$19*Pipeline!$D$19*MIN(1,MAX(0,(1-Pipeline!$E$19+1)/MAX(Pipeline!$F$19,1)))+Pipeline!$T$20*Pipeline!$D$20*MIN(1,MAX(0,(1-Pipeline!$E$20+1)/MAX(Pipeline!$F$20,1)))+Pipeline!$T$21*Pipeline!$D$21*MIN(1,MAX(0,(1-Pipeline!$E$21+1)/MAX(Pipeline!$F$21,1)))+Pipeline!$T$22*Pipeline!$D$22*MIN(1,MAX(0,(1-Pipeline!$E$22+1)/MAX(Pipeline!$F$22,1))))/Hipótesis!$E$17</f>
        <v>97.0911949685535</v>
      </c>
      <c r="D17" s="110" t="n">
        <f aca="false">(Pipeline!$T$16*Pipeline!$D$16*MIN(1,MAX(0,(2-Pipeline!$E$16+1)/MAX(Pipeline!$F$16,1)))+Pipeline!$T$17*Pipeline!$D$17*MIN(1,MAX(0,(2-Pipeline!$E$17+1)/MAX(Pipeline!$F$17,1)))+Pipeline!$T$18*Pipeline!$D$18*MIN(1,MAX(0,(2-Pipeline!$E$18+1)/MAX(Pipeline!$F$18,1)))+Pipeline!$T$19*Pipeline!$D$19*MIN(1,MAX(0,(2-Pipeline!$E$19+1)/MAX(Pipeline!$F$19,1)))+Pipeline!$T$20*Pipeline!$D$20*MIN(1,MAX(0,(2-Pipeline!$E$20+1)/MAX(Pipeline!$F$20,1)))+Pipeline!$T$21*Pipeline!$D$21*MIN(1,MAX(0,(2-Pipeline!$E$21+1)/MAX(Pipeline!$F$21,1)))+Pipeline!$T$22*Pipeline!$D$22*MIN(1,MAX(0,(2-Pipeline!$E$22+1)/MAX(Pipeline!$F$22,1))))/Hipótesis!$E$17</f>
        <v>208.666296707362</v>
      </c>
      <c r="E17" s="110" t="n">
        <f aca="false">(Pipeline!$T$16*Pipeline!$D$16*MIN(1,MAX(0,(3-Pipeline!$E$16+1)/MAX(Pipeline!$F$16,1)))+Pipeline!$T$17*Pipeline!$D$17*MIN(1,MAX(0,(3-Pipeline!$E$17+1)/MAX(Pipeline!$F$17,1)))+Pipeline!$T$18*Pipeline!$D$18*MIN(1,MAX(0,(3-Pipeline!$E$18+1)/MAX(Pipeline!$F$18,1)))+Pipeline!$T$19*Pipeline!$D$19*MIN(1,MAX(0,(3-Pipeline!$E$19+1)/MAX(Pipeline!$F$19,1)))+Pipeline!$T$20*Pipeline!$D$20*MIN(1,MAX(0,(3-Pipeline!$E$20+1)/MAX(Pipeline!$F$20,1)))+Pipeline!$T$21*Pipeline!$D$21*MIN(1,MAX(0,(3-Pipeline!$E$21+1)/MAX(Pipeline!$F$21,1)))+Pipeline!$T$22*Pipeline!$D$22*MIN(1,MAX(0,(3-Pipeline!$E$22+1)/MAX(Pipeline!$F$22,1))))/Hipótesis!$E$17</f>
        <v>508.366518777322</v>
      </c>
      <c r="F17" s="110" t="n">
        <f aca="false">(Pipeline!$T$16*Pipeline!$D$16*MIN(1,MAX(0,(4-Pipeline!$E$16+1)/MAX(Pipeline!$F$16,1)))+Pipeline!$T$17*Pipeline!$D$17*MIN(1,MAX(0,(4-Pipeline!$E$17+1)/MAX(Pipeline!$F$17,1)))+Pipeline!$T$18*Pipeline!$D$18*MIN(1,MAX(0,(4-Pipeline!$E$18+1)/MAX(Pipeline!$F$18,1)))+Pipeline!$T$19*Pipeline!$D$19*MIN(1,MAX(0,(4-Pipeline!$E$19+1)/MAX(Pipeline!$F$19,1)))+Pipeline!$T$20*Pipeline!$D$20*MIN(1,MAX(0,(4-Pipeline!$E$20+1)/MAX(Pipeline!$F$20,1)))+Pipeline!$T$21*Pipeline!$D$21*MIN(1,MAX(0,(4-Pipeline!$E$21+1)/MAX(Pipeline!$F$21,1)))+Pipeline!$T$22*Pipeline!$D$22*MIN(1,MAX(0,(4-Pipeline!$E$22+1)/MAX(Pipeline!$F$22,1))))/Hipótesis!$E$17</f>
        <v>710.975545878729</v>
      </c>
      <c r="G17" s="110" t="n">
        <f aca="false">(Pipeline!$T$16*Pipeline!$D$16*MIN(1,MAX(0,(5-Pipeline!$E$16+1)/MAX(Pipeline!$F$16,1)))+Pipeline!$T$17*Pipeline!$D$17*MIN(1,MAX(0,(5-Pipeline!$E$17+1)/MAX(Pipeline!$F$17,1)))+Pipeline!$T$18*Pipeline!$D$18*MIN(1,MAX(0,(5-Pipeline!$E$18+1)/MAX(Pipeline!$F$18,1)))+Pipeline!$T$19*Pipeline!$D$19*MIN(1,MAX(0,(5-Pipeline!$E$19+1)/MAX(Pipeline!$F$19,1)))+Pipeline!$T$20*Pipeline!$D$20*MIN(1,MAX(0,(5-Pipeline!$E$20+1)/MAX(Pipeline!$F$20,1)))+Pipeline!$T$21*Pipeline!$D$21*MIN(1,MAX(0,(5-Pipeline!$E$21+1)/MAX(Pipeline!$F$21,1)))+Pipeline!$T$22*Pipeline!$D$22*MIN(1,MAX(0,(5-Pipeline!$E$22+1)/MAX(Pipeline!$F$22,1))))/Hipótesis!$E$17</f>
        <v>899.10066620988</v>
      </c>
      <c r="H17" s="110" t="n">
        <f aca="false">(Pipeline!$T$16*Pipeline!$D$16*MIN(1,MAX(0,(6-Pipeline!$E$16+1)/MAX(Pipeline!$F$16,1)))+Pipeline!$T$17*Pipeline!$D$17*MIN(1,MAX(0,(6-Pipeline!$E$17+1)/MAX(Pipeline!$F$17,1)))+Pipeline!$T$18*Pipeline!$D$18*MIN(1,MAX(0,(6-Pipeline!$E$18+1)/MAX(Pipeline!$F$18,1)))+Pipeline!$T$19*Pipeline!$D$19*MIN(1,MAX(0,(6-Pipeline!$E$19+1)/MAX(Pipeline!$F$19,1)))+Pipeline!$T$20*Pipeline!$D$20*MIN(1,MAX(0,(6-Pipeline!$E$20+1)/MAX(Pipeline!$F$20,1)))+Pipeline!$T$21*Pipeline!$D$21*MIN(1,MAX(0,(6-Pipeline!$E$21+1)/MAX(Pipeline!$F$21,1)))+Pipeline!$T$22*Pipeline!$D$22*MIN(1,MAX(0,(6-Pipeline!$E$22+1)/MAX(Pipeline!$F$22,1))))/Hipótesis!$E$17</f>
        <v>1253.18721828354</v>
      </c>
      <c r="I17" s="110" t="n">
        <f aca="false">(Pipeline!$T$16*Pipeline!$D$16*MIN(1,MAX(0,(7-Pipeline!$E$16+1)/MAX(Pipeline!$F$16,1)))+Pipeline!$T$17*Pipeline!$D$17*MIN(1,MAX(0,(7-Pipeline!$E$17+1)/MAX(Pipeline!$F$17,1)))+Pipeline!$T$18*Pipeline!$D$18*MIN(1,MAX(0,(7-Pipeline!$E$18+1)/MAX(Pipeline!$F$18,1)))+Pipeline!$T$19*Pipeline!$D$19*MIN(1,MAX(0,(7-Pipeline!$E$19+1)/MAX(Pipeline!$F$19,1)))+Pipeline!$T$20*Pipeline!$D$20*MIN(1,MAX(0,(7-Pipeline!$E$20+1)/MAX(Pipeline!$F$20,1)))+Pipeline!$T$21*Pipeline!$D$21*MIN(1,MAX(0,(7-Pipeline!$E$21+1)/MAX(Pipeline!$F$21,1)))+Pipeline!$T$22*Pipeline!$D$22*MIN(1,MAX(0,(7-Pipeline!$E$22+1)/MAX(Pipeline!$F$22,1))))/Hipótesis!$E$17</f>
        <v>1607.2737703572</v>
      </c>
      <c r="J17" s="110" t="n">
        <f aca="false">(Pipeline!$T$16*Pipeline!$D$16*MIN(1,MAX(0,(8-Pipeline!$E$16+1)/MAX(Pipeline!$F$16,1)))+Pipeline!$T$17*Pipeline!$D$17*MIN(1,MAX(0,(8-Pipeline!$E$17+1)/MAX(Pipeline!$F$17,1)))+Pipeline!$T$18*Pipeline!$D$18*MIN(1,MAX(0,(8-Pipeline!$E$18+1)/MAX(Pipeline!$F$18,1)))+Pipeline!$T$19*Pipeline!$D$19*MIN(1,MAX(0,(8-Pipeline!$E$19+1)/MAX(Pipeline!$F$19,1)))+Pipeline!$T$20*Pipeline!$D$20*MIN(1,MAX(0,(8-Pipeline!$E$20+1)/MAX(Pipeline!$F$20,1)))+Pipeline!$T$21*Pipeline!$D$21*MIN(1,MAX(0,(8-Pipeline!$E$21+1)/MAX(Pipeline!$F$21,1)))+Pipeline!$T$22*Pipeline!$D$22*MIN(1,MAX(0,(8-Pipeline!$E$22+1)/MAX(Pipeline!$F$22,1))))/Hipótesis!$E$17</f>
        <v>1961.36032243086</v>
      </c>
      <c r="K17" s="110" t="n">
        <f aca="false">(Pipeline!$T$16*Pipeline!$D$16*MIN(1,MAX(0,(9-Pipeline!$E$16+1)/MAX(Pipeline!$F$16,1)))+Pipeline!$T$17*Pipeline!$D$17*MIN(1,MAX(0,(9-Pipeline!$E$17+1)/MAX(Pipeline!$F$17,1)))+Pipeline!$T$18*Pipeline!$D$18*MIN(1,MAX(0,(9-Pipeline!$E$18+1)/MAX(Pipeline!$F$18,1)))+Pipeline!$T$19*Pipeline!$D$19*MIN(1,MAX(0,(9-Pipeline!$E$19+1)/MAX(Pipeline!$F$19,1)))+Pipeline!$T$20*Pipeline!$D$20*MIN(1,MAX(0,(9-Pipeline!$E$20+1)/MAX(Pipeline!$F$20,1)))+Pipeline!$T$21*Pipeline!$D$21*MIN(1,MAX(0,(9-Pipeline!$E$21+1)/MAX(Pipeline!$F$21,1)))+Pipeline!$T$22*Pipeline!$D$22*MIN(1,MAX(0,(9-Pipeline!$E$22+1)/MAX(Pipeline!$F$22,1))))/Hipótesis!$E$17</f>
        <v>2315.44687450452</v>
      </c>
      <c r="L17" s="110" t="n">
        <f aca="false">(Pipeline!$T$16*Pipeline!$D$16*MIN(1,MAX(0,(10-Pipeline!$E$16+1)/MAX(Pipeline!$F$16,1)))+Pipeline!$T$17*Pipeline!$D$17*MIN(1,MAX(0,(10-Pipeline!$E$17+1)/MAX(Pipeline!$F$17,1)))+Pipeline!$T$18*Pipeline!$D$18*MIN(1,MAX(0,(10-Pipeline!$E$18+1)/MAX(Pipeline!$F$18,1)))+Pipeline!$T$19*Pipeline!$D$19*MIN(1,MAX(0,(10-Pipeline!$E$19+1)/MAX(Pipeline!$F$19,1)))+Pipeline!$T$20*Pipeline!$D$20*MIN(1,MAX(0,(10-Pipeline!$E$20+1)/MAX(Pipeline!$F$20,1)))+Pipeline!$T$21*Pipeline!$D$21*MIN(1,MAX(0,(10-Pipeline!$E$21+1)/MAX(Pipeline!$F$21,1)))+Pipeline!$T$22*Pipeline!$D$22*MIN(1,MAX(0,(10-Pipeline!$E$22+1)/MAX(Pipeline!$F$22,1))))/Hipótesis!$E$17</f>
        <v>2669.53342657818</v>
      </c>
      <c r="M17" s="110" t="n">
        <f aca="false">(Pipeline!$T$16*Pipeline!$D$16*MIN(1,MAX(0,(11-Pipeline!$E$16+1)/MAX(Pipeline!$F$16,1)))+Pipeline!$T$17*Pipeline!$D$17*MIN(1,MAX(0,(11-Pipeline!$E$17+1)/MAX(Pipeline!$F$17,1)))+Pipeline!$T$18*Pipeline!$D$18*MIN(1,MAX(0,(11-Pipeline!$E$18+1)/MAX(Pipeline!$F$18,1)))+Pipeline!$T$19*Pipeline!$D$19*MIN(1,MAX(0,(11-Pipeline!$E$19+1)/MAX(Pipeline!$F$19,1)))+Pipeline!$T$20*Pipeline!$D$20*MIN(1,MAX(0,(11-Pipeline!$E$20+1)/MAX(Pipeline!$F$20,1)))+Pipeline!$T$21*Pipeline!$D$21*MIN(1,MAX(0,(11-Pipeline!$E$21+1)/MAX(Pipeline!$F$21,1)))+Pipeline!$T$22*Pipeline!$D$22*MIN(1,MAX(0,(11-Pipeline!$E$22+1)/MAX(Pipeline!$F$22,1))))/Hipótesis!$E$17</f>
        <v>2835.49485832069</v>
      </c>
      <c r="N17" s="110" t="n">
        <f aca="false">(Pipeline!$T$16*Pipeline!$D$16*MIN(1,MAX(0,(12-Pipeline!$E$16+1)/MAX(Pipeline!$F$16,1)))+Pipeline!$T$17*Pipeline!$D$17*MIN(1,MAX(0,(12-Pipeline!$E$17+1)/MAX(Pipeline!$F$17,1)))+Pipeline!$T$18*Pipeline!$D$18*MIN(1,MAX(0,(12-Pipeline!$E$18+1)/MAX(Pipeline!$F$18,1)))+Pipeline!$T$19*Pipeline!$D$19*MIN(1,MAX(0,(12-Pipeline!$E$19+1)/MAX(Pipeline!$F$19,1)))+Pipeline!$T$20*Pipeline!$D$20*MIN(1,MAX(0,(12-Pipeline!$E$20+1)/MAX(Pipeline!$F$20,1)))+Pipeline!$T$21*Pipeline!$D$21*MIN(1,MAX(0,(12-Pipeline!$E$21+1)/MAX(Pipeline!$F$21,1)))+Pipeline!$T$22*Pipeline!$D$22*MIN(1,MAX(0,(12-Pipeline!$E$22+1)/MAX(Pipeline!$F$22,1))))/Hipótesis!$E$17</f>
        <v>3242.85473623412</v>
      </c>
      <c r="O17" s="110" t="n">
        <f aca="false">(Pipeline!$T$16*Pipeline!$D$16*MIN(1,MAX(0,(13-Pipeline!$E$16+1)/MAX(Pipeline!$F$16,1)))+Pipeline!$T$17*Pipeline!$D$17*MIN(1,MAX(0,(13-Pipeline!$E$17+1)/MAX(Pipeline!$F$17,1)))+Pipeline!$T$18*Pipeline!$D$18*MIN(1,MAX(0,(13-Pipeline!$E$18+1)/MAX(Pipeline!$F$18,1)))+Pipeline!$T$19*Pipeline!$D$19*MIN(1,MAX(0,(13-Pipeline!$E$19+1)/MAX(Pipeline!$F$19,1)))+Pipeline!$T$20*Pipeline!$D$20*MIN(1,MAX(0,(13-Pipeline!$E$20+1)/MAX(Pipeline!$F$20,1)))+Pipeline!$T$21*Pipeline!$D$21*MIN(1,MAX(0,(13-Pipeline!$E$21+1)/MAX(Pipeline!$F$21,1)))+Pipeline!$T$22*Pipeline!$D$22*MIN(1,MAX(0,(13-Pipeline!$E$22+1)/MAX(Pipeline!$F$22,1))))/Hipótesis!$E$17</f>
        <v>3650.21461414755</v>
      </c>
      <c r="P17" s="110" t="n">
        <f aca="false">(Pipeline!$T$16*Pipeline!$D$16*MIN(1,MAX(0,(14-Pipeline!$E$16+1)/MAX(Pipeline!$F$16,1)))+Pipeline!$T$17*Pipeline!$D$17*MIN(1,MAX(0,(14-Pipeline!$E$17+1)/MAX(Pipeline!$F$17,1)))+Pipeline!$T$18*Pipeline!$D$18*MIN(1,MAX(0,(14-Pipeline!$E$18+1)/MAX(Pipeline!$F$18,1)))+Pipeline!$T$19*Pipeline!$D$19*MIN(1,MAX(0,(14-Pipeline!$E$19+1)/MAX(Pipeline!$F$19,1)))+Pipeline!$T$20*Pipeline!$D$20*MIN(1,MAX(0,(14-Pipeline!$E$20+1)/MAX(Pipeline!$F$20,1)))+Pipeline!$T$21*Pipeline!$D$21*MIN(1,MAX(0,(14-Pipeline!$E$21+1)/MAX(Pipeline!$F$21,1)))+Pipeline!$T$22*Pipeline!$D$22*MIN(1,MAX(0,(14-Pipeline!$E$22+1)/MAX(Pipeline!$F$22,1))))/Hipótesis!$E$17</f>
        <v>3988.17243878683</v>
      </c>
      <c r="Q17" s="110" t="n">
        <f aca="false">(Pipeline!$T$16*Pipeline!$D$16*MIN(1,MAX(0,(15-Pipeline!$E$16+1)/MAX(Pipeline!$F$16,1)))+Pipeline!$T$17*Pipeline!$D$17*MIN(1,MAX(0,(15-Pipeline!$E$17+1)/MAX(Pipeline!$F$17,1)))+Pipeline!$T$18*Pipeline!$D$18*MIN(1,MAX(0,(15-Pipeline!$E$18+1)/MAX(Pipeline!$F$18,1)))+Pipeline!$T$19*Pipeline!$D$19*MIN(1,MAX(0,(15-Pipeline!$E$19+1)/MAX(Pipeline!$F$19,1)))+Pipeline!$T$20*Pipeline!$D$20*MIN(1,MAX(0,(15-Pipeline!$E$20+1)/MAX(Pipeline!$F$20,1)))+Pipeline!$T$21*Pipeline!$D$21*MIN(1,MAX(0,(15-Pipeline!$E$21+1)/MAX(Pipeline!$F$21,1)))+Pipeline!$T$22*Pipeline!$D$22*MIN(1,MAX(0,(15-Pipeline!$E$22+1)/MAX(Pipeline!$F$22,1))))/Hipótesis!$E$17</f>
        <v>4326.13026342613</v>
      </c>
      <c r="R17" s="110" t="n">
        <f aca="false">(Pipeline!$T$16*Pipeline!$D$16*MIN(1,MAX(0,(16-Pipeline!$E$16+1)/MAX(Pipeline!$F$16,1)))+Pipeline!$T$17*Pipeline!$D$17*MIN(1,MAX(0,(16-Pipeline!$E$17+1)/MAX(Pipeline!$F$17,1)))+Pipeline!$T$18*Pipeline!$D$18*MIN(1,MAX(0,(16-Pipeline!$E$18+1)/MAX(Pipeline!$F$18,1)))+Pipeline!$T$19*Pipeline!$D$19*MIN(1,MAX(0,(16-Pipeline!$E$19+1)/MAX(Pipeline!$F$19,1)))+Pipeline!$T$20*Pipeline!$D$20*MIN(1,MAX(0,(16-Pipeline!$E$20+1)/MAX(Pipeline!$F$20,1)))+Pipeline!$T$21*Pipeline!$D$21*MIN(1,MAX(0,(16-Pipeline!$E$21+1)/MAX(Pipeline!$F$21,1)))+Pipeline!$T$22*Pipeline!$D$22*MIN(1,MAX(0,(16-Pipeline!$E$22+1)/MAX(Pipeline!$F$22,1))))/Hipótesis!$E$17</f>
        <v>4664.08808806541</v>
      </c>
      <c r="S17" s="110" t="n">
        <f aca="false">(Pipeline!$T$16*Pipeline!$D$16*MIN(1,MAX(0,(17-Pipeline!$E$16+1)/MAX(Pipeline!$F$16,1)))+Pipeline!$T$17*Pipeline!$D$17*MIN(1,MAX(0,(17-Pipeline!$E$17+1)/MAX(Pipeline!$F$17,1)))+Pipeline!$T$18*Pipeline!$D$18*MIN(1,MAX(0,(17-Pipeline!$E$18+1)/MAX(Pipeline!$F$18,1)))+Pipeline!$T$19*Pipeline!$D$19*MIN(1,MAX(0,(17-Pipeline!$E$19+1)/MAX(Pipeline!$F$19,1)))+Pipeline!$T$20*Pipeline!$D$20*MIN(1,MAX(0,(17-Pipeline!$E$20+1)/MAX(Pipeline!$F$20,1)))+Pipeline!$T$21*Pipeline!$D$21*MIN(1,MAX(0,(17-Pipeline!$E$21+1)/MAX(Pipeline!$F$21,1)))+Pipeline!$T$22*Pipeline!$D$22*MIN(1,MAX(0,(17-Pipeline!$E$22+1)/MAX(Pipeline!$F$22,1))))/Hipótesis!$E$17</f>
        <v>5002.0459127047</v>
      </c>
      <c r="T17" s="110" t="n">
        <f aca="false">(Pipeline!$T$16*Pipeline!$D$16*MIN(1,MAX(0,(18-Pipeline!$E$16+1)/MAX(Pipeline!$F$16,1)))+Pipeline!$T$17*Pipeline!$D$17*MIN(1,MAX(0,(18-Pipeline!$E$17+1)/MAX(Pipeline!$F$17,1)))+Pipeline!$T$18*Pipeline!$D$18*MIN(1,MAX(0,(18-Pipeline!$E$18+1)/MAX(Pipeline!$F$18,1)))+Pipeline!$T$19*Pipeline!$D$19*MIN(1,MAX(0,(18-Pipeline!$E$19+1)/MAX(Pipeline!$F$19,1)))+Pipeline!$T$20*Pipeline!$D$20*MIN(1,MAX(0,(18-Pipeline!$E$20+1)/MAX(Pipeline!$F$20,1)))+Pipeline!$T$21*Pipeline!$D$21*MIN(1,MAX(0,(18-Pipeline!$E$21+1)/MAX(Pipeline!$F$21,1)))+Pipeline!$T$22*Pipeline!$D$22*MIN(1,MAX(0,(18-Pipeline!$E$22+1)/MAX(Pipeline!$F$22,1))))/Hipótesis!$E$17</f>
        <v>5340.00373734399</v>
      </c>
      <c r="U17" s="110" t="n">
        <f aca="false">(Pipeline!$T$16*Pipeline!$D$16*MIN(1,MAX(0,(19-Pipeline!$E$16+1)/MAX(Pipeline!$F$16,1)))+Pipeline!$T$17*Pipeline!$D$17*MIN(1,MAX(0,(19-Pipeline!$E$17+1)/MAX(Pipeline!$F$17,1)))+Pipeline!$T$18*Pipeline!$D$18*MIN(1,MAX(0,(19-Pipeline!$E$18+1)/MAX(Pipeline!$F$18,1)))+Pipeline!$T$19*Pipeline!$D$19*MIN(1,MAX(0,(19-Pipeline!$E$19+1)/MAX(Pipeline!$F$19,1)))+Pipeline!$T$20*Pipeline!$D$20*MIN(1,MAX(0,(19-Pipeline!$E$20+1)/MAX(Pipeline!$F$20,1)))+Pipeline!$T$21*Pipeline!$D$21*MIN(1,MAX(0,(19-Pipeline!$E$21+1)/MAX(Pipeline!$F$21,1)))+Pipeline!$T$22*Pipeline!$D$22*MIN(1,MAX(0,(19-Pipeline!$E$22+1)/MAX(Pipeline!$F$22,1))))/Hipótesis!$E$17</f>
        <v>5677.96156198328</v>
      </c>
      <c r="V17" s="110" t="n">
        <f aca="false">(Pipeline!$T$16*Pipeline!$D$16*MIN(1,MAX(0,(20-Pipeline!$E$16+1)/MAX(Pipeline!$F$16,1)))+Pipeline!$T$17*Pipeline!$D$17*MIN(1,MAX(0,(20-Pipeline!$E$17+1)/MAX(Pipeline!$F$17,1)))+Pipeline!$T$18*Pipeline!$D$18*MIN(1,MAX(0,(20-Pipeline!$E$18+1)/MAX(Pipeline!$F$18,1)))+Pipeline!$T$19*Pipeline!$D$19*MIN(1,MAX(0,(20-Pipeline!$E$19+1)/MAX(Pipeline!$F$19,1)))+Pipeline!$T$20*Pipeline!$D$20*MIN(1,MAX(0,(20-Pipeline!$E$20+1)/MAX(Pipeline!$F$20,1)))+Pipeline!$T$21*Pipeline!$D$21*MIN(1,MAX(0,(20-Pipeline!$E$21+1)/MAX(Pipeline!$F$21,1)))+Pipeline!$T$22*Pipeline!$D$22*MIN(1,MAX(0,(20-Pipeline!$E$22+1)/MAX(Pipeline!$F$22,1))))/Hipótesis!$E$17</f>
        <v>6015.91938662257</v>
      </c>
      <c r="W17" s="110" t="n">
        <f aca="false">(Pipeline!$T$16*Pipeline!$D$16*MIN(1,MAX(0,(21-Pipeline!$E$16+1)/MAX(Pipeline!$F$16,1)))+Pipeline!$T$17*Pipeline!$D$17*MIN(1,MAX(0,(21-Pipeline!$E$17+1)/MAX(Pipeline!$F$17,1)))+Pipeline!$T$18*Pipeline!$D$18*MIN(1,MAX(0,(21-Pipeline!$E$18+1)/MAX(Pipeline!$F$18,1)))+Pipeline!$T$19*Pipeline!$D$19*MIN(1,MAX(0,(21-Pipeline!$E$19+1)/MAX(Pipeline!$F$19,1)))+Pipeline!$T$20*Pipeline!$D$20*MIN(1,MAX(0,(21-Pipeline!$E$20+1)/MAX(Pipeline!$F$20,1)))+Pipeline!$T$21*Pipeline!$D$21*MIN(1,MAX(0,(21-Pipeline!$E$21+1)/MAX(Pipeline!$F$21,1)))+Pipeline!$T$22*Pipeline!$D$22*MIN(1,MAX(0,(21-Pipeline!$E$22+1)/MAX(Pipeline!$F$22,1))))/Hipótesis!$E$17</f>
        <v>6353.87721126186</v>
      </c>
      <c r="X17" s="110" t="n">
        <f aca="false">(Pipeline!$T$16*Pipeline!$D$16*MIN(1,MAX(0,(22-Pipeline!$E$16+1)/MAX(Pipeline!$F$16,1)))+Pipeline!$T$17*Pipeline!$D$17*MIN(1,MAX(0,(22-Pipeline!$E$17+1)/MAX(Pipeline!$F$17,1)))+Pipeline!$T$18*Pipeline!$D$18*MIN(1,MAX(0,(22-Pipeline!$E$18+1)/MAX(Pipeline!$F$18,1)))+Pipeline!$T$19*Pipeline!$D$19*MIN(1,MAX(0,(22-Pipeline!$E$19+1)/MAX(Pipeline!$F$19,1)))+Pipeline!$T$20*Pipeline!$D$20*MIN(1,MAX(0,(22-Pipeline!$E$20+1)/MAX(Pipeline!$F$20,1)))+Pipeline!$T$21*Pipeline!$D$21*MIN(1,MAX(0,(22-Pipeline!$E$21+1)/MAX(Pipeline!$F$21,1)))+Pipeline!$T$22*Pipeline!$D$22*MIN(1,MAX(0,(22-Pipeline!$E$22+1)/MAX(Pipeline!$F$22,1))))/Hipótesis!$E$17</f>
        <v>6450.43658973023</v>
      </c>
      <c r="Y17" s="110" t="n">
        <f aca="false">(Pipeline!$T$16*Pipeline!$D$16*MIN(1,MAX(0,(23-Pipeline!$E$16+1)/MAX(Pipeline!$F$16,1)))+Pipeline!$T$17*Pipeline!$D$17*MIN(1,MAX(0,(23-Pipeline!$E$17+1)/MAX(Pipeline!$F$17,1)))+Pipeline!$T$18*Pipeline!$D$18*MIN(1,MAX(0,(23-Pipeline!$E$18+1)/MAX(Pipeline!$F$18,1)))+Pipeline!$T$19*Pipeline!$D$19*MIN(1,MAX(0,(23-Pipeline!$E$19+1)/MAX(Pipeline!$F$19,1)))+Pipeline!$T$20*Pipeline!$D$20*MIN(1,MAX(0,(23-Pipeline!$E$20+1)/MAX(Pipeline!$F$20,1)))+Pipeline!$T$21*Pipeline!$D$21*MIN(1,MAX(0,(23-Pipeline!$E$21+1)/MAX(Pipeline!$F$21,1)))+Pipeline!$T$22*Pipeline!$D$22*MIN(1,MAX(0,(23-Pipeline!$E$22+1)/MAX(Pipeline!$F$22,1))))/Hipótesis!$E$17</f>
        <v>6546.9959681986</v>
      </c>
      <c r="Z17" s="110" t="n">
        <f aca="false">(Pipeline!$T$16*Pipeline!$D$16*MIN(1,MAX(0,(24-Pipeline!$E$16+1)/MAX(Pipeline!$F$16,1)))+Pipeline!$T$17*Pipeline!$D$17*MIN(1,MAX(0,(24-Pipeline!$E$17+1)/MAX(Pipeline!$F$17,1)))+Pipeline!$T$18*Pipeline!$D$18*MIN(1,MAX(0,(24-Pipeline!$E$18+1)/MAX(Pipeline!$F$18,1)))+Pipeline!$T$19*Pipeline!$D$19*MIN(1,MAX(0,(24-Pipeline!$E$19+1)/MAX(Pipeline!$F$19,1)))+Pipeline!$T$20*Pipeline!$D$20*MIN(1,MAX(0,(24-Pipeline!$E$20+1)/MAX(Pipeline!$F$20,1)))+Pipeline!$T$21*Pipeline!$D$21*MIN(1,MAX(0,(24-Pipeline!$E$21+1)/MAX(Pipeline!$F$21,1)))+Pipeline!$T$22*Pipeline!$D$22*MIN(1,MAX(0,(24-Pipeline!$E$22+1)/MAX(Pipeline!$F$22,1))))/Hipótesis!$E$17</f>
        <v>6546.9959681986</v>
      </c>
      <c r="AA17" s="110" t="n">
        <f aca="false">(Pipeline!$T$16*Pipeline!$D$16*MIN(1,MAX(0,(25-Pipeline!$E$16+1)/MAX(Pipeline!$F$16,1)))+Pipeline!$T$17*Pipeline!$D$17*MIN(1,MAX(0,(25-Pipeline!$E$17+1)/MAX(Pipeline!$F$17,1)))+Pipeline!$T$18*Pipeline!$D$18*MIN(1,MAX(0,(25-Pipeline!$E$18+1)/MAX(Pipeline!$F$18,1)))+Pipeline!$T$19*Pipeline!$D$19*MIN(1,MAX(0,(25-Pipeline!$E$19+1)/MAX(Pipeline!$F$19,1)))+Pipeline!$T$20*Pipeline!$D$20*MIN(1,MAX(0,(25-Pipeline!$E$20+1)/MAX(Pipeline!$F$20,1)))+Pipeline!$T$21*Pipeline!$D$21*MIN(1,MAX(0,(25-Pipeline!$E$21+1)/MAX(Pipeline!$F$21,1)))+Pipeline!$T$22*Pipeline!$D$22*MIN(1,MAX(0,(25-Pipeline!$E$22+1)/MAX(Pipeline!$F$22,1))))/Hipótesis!$E$17</f>
        <v>6546.9959681986</v>
      </c>
      <c r="AB17" s="110" t="n">
        <f aca="false">(Pipeline!$T$16*Pipeline!$D$16*MIN(1,MAX(0,(26-Pipeline!$E$16+1)/MAX(Pipeline!$F$16,1)))+Pipeline!$T$17*Pipeline!$D$17*MIN(1,MAX(0,(26-Pipeline!$E$17+1)/MAX(Pipeline!$F$17,1)))+Pipeline!$T$18*Pipeline!$D$18*MIN(1,MAX(0,(26-Pipeline!$E$18+1)/MAX(Pipeline!$F$18,1)))+Pipeline!$T$19*Pipeline!$D$19*MIN(1,MAX(0,(26-Pipeline!$E$19+1)/MAX(Pipeline!$F$19,1)))+Pipeline!$T$20*Pipeline!$D$20*MIN(1,MAX(0,(26-Pipeline!$E$20+1)/MAX(Pipeline!$F$20,1)))+Pipeline!$T$21*Pipeline!$D$21*MIN(1,MAX(0,(26-Pipeline!$E$21+1)/MAX(Pipeline!$F$21,1)))+Pipeline!$T$22*Pipeline!$D$22*MIN(1,MAX(0,(26-Pipeline!$E$22+1)/MAX(Pipeline!$F$22,1))))/Hipótesis!$E$17</f>
        <v>6546.9959681986</v>
      </c>
      <c r="AC17" s="110" t="n">
        <f aca="false">(Pipeline!$T$16*Pipeline!$D$16*MIN(1,MAX(0,(27-Pipeline!$E$16+1)/MAX(Pipeline!$F$16,1)))+Pipeline!$T$17*Pipeline!$D$17*MIN(1,MAX(0,(27-Pipeline!$E$17+1)/MAX(Pipeline!$F$17,1)))+Pipeline!$T$18*Pipeline!$D$18*MIN(1,MAX(0,(27-Pipeline!$E$18+1)/MAX(Pipeline!$F$18,1)))+Pipeline!$T$19*Pipeline!$D$19*MIN(1,MAX(0,(27-Pipeline!$E$19+1)/MAX(Pipeline!$F$19,1)))+Pipeline!$T$20*Pipeline!$D$20*MIN(1,MAX(0,(27-Pipeline!$E$20+1)/MAX(Pipeline!$F$20,1)))+Pipeline!$T$21*Pipeline!$D$21*MIN(1,MAX(0,(27-Pipeline!$E$21+1)/MAX(Pipeline!$F$21,1)))+Pipeline!$T$22*Pipeline!$D$22*MIN(1,MAX(0,(27-Pipeline!$E$22+1)/MAX(Pipeline!$F$22,1))))/Hipótesis!$E$17</f>
        <v>6546.9959681986</v>
      </c>
      <c r="AD17" s="110" t="n">
        <f aca="false">(Pipeline!$T$16*Pipeline!$D$16*MIN(1,MAX(0,(28-Pipeline!$E$16+1)/MAX(Pipeline!$F$16,1)))+Pipeline!$T$17*Pipeline!$D$17*MIN(1,MAX(0,(28-Pipeline!$E$17+1)/MAX(Pipeline!$F$17,1)))+Pipeline!$T$18*Pipeline!$D$18*MIN(1,MAX(0,(28-Pipeline!$E$18+1)/MAX(Pipeline!$F$18,1)))+Pipeline!$T$19*Pipeline!$D$19*MIN(1,MAX(0,(28-Pipeline!$E$19+1)/MAX(Pipeline!$F$19,1)))+Pipeline!$T$20*Pipeline!$D$20*MIN(1,MAX(0,(28-Pipeline!$E$20+1)/MAX(Pipeline!$F$20,1)))+Pipeline!$T$21*Pipeline!$D$21*MIN(1,MAX(0,(28-Pipeline!$E$21+1)/MAX(Pipeline!$F$21,1)))+Pipeline!$T$22*Pipeline!$D$22*MIN(1,MAX(0,(28-Pipeline!$E$22+1)/MAX(Pipeline!$F$22,1))))/Hipótesis!$E$17</f>
        <v>6546.9959681986</v>
      </c>
      <c r="AE17" s="110" t="n">
        <f aca="false">(Pipeline!$T$16*Pipeline!$D$16*MIN(1,MAX(0,(29-Pipeline!$E$16+1)/MAX(Pipeline!$F$16,1)))+Pipeline!$T$17*Pipeline!$D$17*MIN(1,MAX(0,(29-Pipeline!$E$17+1)/MAX(Pipeline!$F$17,1)))+Pipeline!$T$18*Pipeline!$D$18*MIN(1,MAX(0,(29-Pipeline!$E$18+1)/MAX(Pipeline!$F$18,1)))+Pipeline!$T$19*Pipeline!$D$19*MIN(1,MAX(0,(29-Pipeline!$E$19+1)/MAX(Pipeline!$F$19,1)))+Pipeline!$T$20*Pipeline!$D$20*MIN(1,MAX(0,(29-Pipeline!$E$20+1)/MAX(Pipeline!$F$20,1)))+Pipeline!$T$21*Pipeline!$D$21*MIN(1,MAX(0,(29-Pipeline!$E$21+1)/MAX(Pipeline!$F$21,1)))+Pipeline!$T$22*Pipeline!$D$22*MIN(1,MAX(0,(29-Pipeline!$E$22+1)/MAX(Pipeline!$F$22,1))))/Hipótesis!$E$17</f>
        <v>6546.9959681986</v>
      </c>
      <c r="AF17" s="110" t="n">
        <f aca="false">(Pipeline!$T$16*Pipeline!$D$16*MIN(1,MAX(0,(30-Pipeline!$E$16+1)/MAX(Pipeline!$F$16,1)))+Pipeline!$T$17*Pipeline!$D$17*MIN(1,MAX(0,(30-Pipeline!$E$17+1)/MAX(Pipeline!$F$17,1)))+Pipeline!$T$18*Pipeline!$D$18*MIN(1,MAX(0,(30-Pipeline!$E$18+1)/MAX(Pipeline!$F$18,1)))+Pipeline!$T$19*Pipeline!$D$19*MIN(1,MAX(0,(30-Pipeline!$E$19+1)/MAX(Pipeline!$F$19,1)))+Pipeline!$T$20*Pipeline!$D$20*MIN(1,MAX(0,(30-Pipeline!$E$20+1)/MAX(Pipeline!$F$20,1)))+Pipeline!$T$21*Pipeline!$D$21*MIN(1,MAX(0,(30-Pipeline!$E$21+1)/MAX(Pipeline!$F$21,1)))+Pipeline!$T$22*Pipeline!$D$22*MIN(1,MAX(0,(30-Pipeline!$E$22+1)/MAX(Pipeline!$F$22,1))))/Hipótesis!$E$17</f>
        <v>6546.9959681986</v>
      </c>
      <c r="AG17" s="110" t="n">
        <f aca="false">(Pipeline!$T$16*Pipeline!$D$16*MIN(1,MAX(0,(31-Pipeline!$E$16+1)/MAX(Pipeline!$F$16,1)))+Pipeline!$T$17*Pipeline!$D$17*MIN(1,MAX(0,(31-Pipeline!$E$17+1)/MAX(Pipeline!$F$17,1)))+Pipeline!$T$18*Pipeline!$D$18*MIN(1,MAX(0,(31-Pipeline!$E$18+1)/MAX(Pipeline!$F$18,1)))+Pipeline!$T$19*Pipeline!$D$19*MIN(1,MAX(0,(31-Pipeline!$E$19+1)/MAX(Pipeline!$F$19,1)))+Pipeline!$T$20*Pipeline!$D$20*MIN(1,MAX(0,(31-Pipeline!$E$20+1)/MAX(Pipeline!$F$20,1)))+Pipeline!$T$21*Pipeline!$D$21*MIN(1,MAX(0,(31-Pipeline!$E$21+1)/MAX(Pipeline!$F$21,1)))+Pipeline!$T$22*Pipeline!$D$22*MIN(1,MAX(0,(31-Pipeline!$E$22+1)/MAX(Pipeline!$F$22,1))))/Hipótesis!$E$17</f>
        <v>6546.9959681986</v>
      </c>
      <c r="AH17" s="110" t="n">
        <f aca="false">(Pipeline!$T$16*Pipeline!$D$16*MIN(1,MAX(0,(32-Pipeline!$E$16+1)/MAX(Pipeline!$F$16,1)))+Pipeline!$T$17*Pipeline!$D$17*MIN(1,MAX(0,(32-Pipeline!$E$17+1)/MAX(Pipeline!$F$17,1)))+Pipeline!$T$18*Pipeline!$D$18*MIN(1,MAX(0,(32-Pipeline!$E$18+1)/MAX(Pipeline!$F$18,1)))+Pipeline!$T$19*Pipeline!$D$19*MIN(1,MAX(0,(32-Pipeline!$E$19+1)/MAX(Pipeline!$F$19,1)))+Pipeline!$T$20*Pipeline!$D$20*MIN(1,MAX(0,(32-Pipeline!$E$20+1)/MAX(Pipeline!$F$20,1)))+Pipeline!$T$21*Pipeline!$D$21*MIN(1,MAX(0,(32-Pipeline!$E$21+1)/MAX(Pipeline!$F$21,1)))+Pipeline!$T$22*Pipeline!$D$22*MIN(1,MAX(0,(32-Pipeline!$E$22+1)/MAX(Pipeline!$F$22,1))))/Hipótesis!$E$17</f>
        <v>6546.9959681986</v>
      </c>
      <c r="AI17" s="110" t="n">
        <f aca="false">(Pipeline!$T$16*Pipeline!$D$16*MIN(1,MAX(0,(33-Pipeline!$E$16+1)/MAX(Pipeline!$F$16,1)))+Pipeline!$T$17*Pipeline!$D$17*MIN(1,MAX(0,(33-Pipeline!$E$17+1)/MAX(Pipeline!$F$17,1)))+Pipeline!$T$18*Pipeline!$D$18*MIN(1,MAX(0,(33-Pipeline!$E$18+1)/MAX(Pipeline!$F$18,1)))+Pipeline!$T$19*Pipeline!$D$19*MIN(1,MAX(0,(33-Pipeline!$E$19+1)/MAX(Pipeline!$F$19,1)))+Pipeline!$T$20*Pipeline!$D$20*MIN(1,MAX(0,(33-Pipeline!$E$20+1)/MAX(Pipeline!$F$20,1)))+Pipeline!$T$21*Pipeline!$D$21*MIN(1,MAX(0,(33-Pipeline!$E$21+1)/MAX(Pipeline!$F$21,1)))+Pipeline!$T$22*Pipeline!$D$22*MIN(1,MAX(0,(33-Pipeline!$E$22+1)/MAX(Pipeline!$F$22,1))))/Hipótesis!$E$17</f>
        <v>6546.9959681986</v>
      </c>
      <c r="AJ17" s="110" t="n">
        <f aca="false">(Pipeline!$T$16*Pipeline!$D$16*MIN(1,MAX(0,(34-Pipeline!$E$16+1)/MAX(Pipeline!$F$16,1)))+Pipeline!$T$17*Pipeline!$D$17*MIN(1,MAX(0,(34-Pipeline!$E$17+1)/MAX(Pipeline!$F$17,1)))+Pipeline!$T$18*Pipeline!$D$18*MIN(1,MAX(0,(34-Pipeline!$E$18+1)/MAX(Pipeline!$F$18,1)))+Pipeline!$T$19*Pipeline!$D$19*MIN(1,MAX(0,(34-Pipeline!$E$19+1)/MAX(Pipeline!$F$19,1)))+Pipeline!$T$20*Pipeline!$D$20*MIN(1,MAX(0,(34-Pipeline!$E$20+1)/MAX(Pipeline!$F$20,1)))+Pipeline!$T$21*Pipeline!$D$21*MIN(1,MAX(0,(34-Pipeline!$E$21+1)/MAX(Pipeline!$F$21,1)))+Pipeline!$T$22*Pipeline!$D$22*MIN(1,MAX(0,(34-Pipeline!$E$22+1)/MAX(Pipeline!$F$22,1))))/Hipótesis!$E$17</f>
        <v>6546.9959681986</v>
      </c>
      <c r="AK17" s="110" t="n">
        <f aca="false">(Pipeline!$T$16*Pipeline!$D$16*MIN(1,MAX(0,(35-Pipeline!$E$16+1)/MAX(Pipeline!$F$16,1)))+Pipeline!$T$17*Pipeline!$D$17*MIN(1,MAX(0,(35-Pipeline!$E$17+1)/MAX(Pipeline!$F$17,1)))+Pipeline!$T$18*Pipeline!$D$18*MIN(1,MAX(0,(35-Pipeline!$E$18+1)/MAX(Pipeline!$F$18,1)))+Pipeline!$T$19*Pipeline!$D$19*MIN(1,MAX(0,(35-Pipeline!$E$19+1)/MAX(Pipeline!$F$19,1)))+Pipeline!$T$20*Pipeline!$D$20*MIN(1,MAX(0,(35-Pipeline!$E$20+1)/MAX(Pipeline!$F$20,1)))+Pipeline!$T$21*Pipeline!$D$21*MIN(1,MAX(0,(35-Pipeline!$E$21+1)/MAX(Pipeline!$F$21,1)))+Pipeline!$T$22*Pipeline!$D$22*MIN(1,MAX(0,(35-Pipeline!$E$22+1)/MAX(Pipeline!$F$22,1))))/Hipótesis!$E$17</f>
        <v>6546.9959681986</v>
      </c>
      <c r="AL17" s="110" t="n">
        <f aca="false">(Pipeline!$T$16*Pipeline!$D$16*MIN(1,MAX(0,(36-Pipeline!$E$16+1)/MAX(Pipeline!$F$16,1)))+Pipeline!$T$17*Pipeline!$D$17*MIN(1,MAX(0,(36-Pipeline!$E$17+1)/MAX(Pipeline!$F$17,1)))+Pipeline!$T$18*Pipeline!$D$18*MIN(1,MAX(0,(36-Pipeline!$E$18+1)/MAX(Pipeline!$F$18,1)))+Pipeline!$T$19*Pipeline!$D$19*MIN(1,MAX(0,(36-Pipeline!$E$19+1)/MAX(Pipeline!$F$19,1)))+Pipeline!$T$20*Pipeline!$D$20*MIN(1,MAX(0,(36-Pipeline!$E$20+1)/MAX(Pipeline!$F$20,1)))+Pipeline!$T$21*Pipeline!$D$21*MIN(1,MAX(0,(36-Pipeline!$E$21+1)/MAX(Pipeline!$F$21,1)))+Pipeline!$T$22*Pipeline!$D$22*MIN(1,MAX(0,(36-Pipeline!$E$22+1)/MAX(Pipeline!$F$22,1))))/Hipótesis!$E$17</f>
        <v>6546.9959681986</v>
      </c>
      <c r="AM17" s="110" t="n">
        <f aca="false">(Pipeline!$T$16*Pipeline!$D$16*MIN(1,MAX(0,(37-Pipeline!$E$16+1)/MAX(Pipeline!$F$16,1)))+Pipeline!$T$17*Pipeline!$D$17*MIN(1,MAX(0,(37-Pipeline!$E$17+1)/MAX(Pipeline!$F$17,1)))+Pipeline!$T$18*Pipeline!$D$18*MIN(1,MAX(0,(37-Pipeline!$E$18+1)/MAX(Pipeline!$F$18,1)))+Pipeline!$T$19*Pipeline!$D$19*MIN(1,MAX(0,(37-Pipeline!$E$19+1)/MAX(Pipeline!$F$19,1)))+Pipeline!$T$20*Pipeline!$D$20*MIN(1,MAX(0,(37-Pipeline!$E$20+1)/MAX(Pipeline!$F$20,1)))+Pipeline!$T$21*Pipeline!$D$21*MIN(1,MAX(0,(37-Pipeline!$E$21+1)/MAX(Pipeline!$F$21,1)))+Pipeline!$T$22*Pipeline!$D$22*MIN(1,MAX(0,(37-Pipeline!$E$22+1)/MAX(Pipeline!$F$22,1))))/Hipótesis!$E$17</f>
        <v>6546.9959681986</v>
      </c>
      <c r="AN17" s="110" t="n">
        <f aca="false">(Pipeline!$T$16*Pipeline!$D$16*MIN(1,MAX(0,(38-Pipeline!$E$16+1)/MAX(Pipeline!$F$16,1)))+Pipeline!$T$17*Pipeline!$D$17*MIN(1,MAX(0,(38-Pipeline!$E$17+1)/MAX(Pipeline!$F$17,1)))+Pipeline!$T$18*Pipeline!$D$18*MIN(1,MAX(0,(38-Pipeline!$E$18+1)/MAX(Pipeline!$F$18,1)))+Pipeline!$T$19*Pipeline!$D$19*MIN(1,MAX(0,(38-Pipeline!$E$19+1)/MAX(Pipeline!$F$19,1)))+Pipeline!$T$20*Pipeline!$D$20*MIN(1,MAX(0,(38-Pipeline!$E$20+1)/MAX(Pipeline!$F$20,1)))+Pipeline!$T$21*Pipeline!$D$21*MIN(1,MAX(0,(38-Pipeline!$E$21+1)/MAX(Pipeline!$F$21,1)))+Pipeline!$T$22*Pipeline!$D$22*MIN(1,MAX(0,(38-Pipeline!$E$22+1)/MAX(Pipeline!$F$22,1))))/Hipótesis!$E$17</f>
        <v>6546.9959681986</v>
      </c>
      <c r="AO17" s="110" t="n">
        <f aca="false">(Pipeline!$T$16*Pipeline!$D$16*MIN(1,MAX(0,(39-Pipeline!$E$16+1)/MAX(Pipeline!$F$16,1)))+Pipeline!$T$17*Pipeline!$D$17*MIN(1,MAX(0,(39-Pipeline!$E$17+1)/MAX(Pipeline!$F$17,1)))+Pipeline!$T$18*Pipeline!$D$18*MIN(1,MAX(0,(39-Pipeline!$E$18+1)/MAX(Pipeline!$F$18,1)))+Pipeline!$T$19*Pipeline!$D$19*MIN(1,MAX(0,(39-Pipeline!$E$19+1)/MAX(Pipeline!$F$19,1)))+Pipeline!$T$20*Pipeline!$D$20*MIN(1,MAX(0,(39-Pipeline!$E$20+1)/MAX(Pipeline!$F$20,1)))+Pipeline!$T$21*Pipeline!$D$21*MIN(1,MAX(0,(39-Pipeline!$E$21+1)/MAX(Pipeline!$F$21,1)))+Pipeline!$T$22*Pipeline!$D$22*MIN(1,MAX(0,(39-Pipeline!$E$22+1)/MAX(Pipeline!$F$22,1))))/Hipótesis!$E$17</f>
        <v>6546.9959681986</v>
      </c>
      <c r="AP17" s="110" t="n">
        <f aca="false">(Pipeline!$T$16*Pipeline!$D$16*MIN(1,MAX(0,(40-Pipeline!$E$16+1)/MAX(Pipeline!$F$16,1)))+Pipeline!$T$17*Pipeline!$D$17*MIN(1,MAX(0,(40-Pipeline!$E$17+1)/MAX(Pipeline!$F$17,1)))+Pipeline!$T$18*Pipeline!$D$18*MIN(1,MAX(0,(40-Pipeline!$E$18+1)/MAX(Pipeline!$F$18,1)))+Pipeline!$T$19*Pipeline!$D$19*MIN(1,MAX(0,(40-Pipeline!$E$19+1)/MAX(Pipeline!$F$19,1)))+Pipeline!$T$20*Pipeline!$D$20*MIN(1,MAX(0,(40-Pipeline!$E$20+1)/MAX(Pipeline!$F$20,1)))+Pipeline!$T$21*Pipeline!$D$21*MIN(1,MAX(0,(40-Pipeline!$E$21+1)/MAX(Pipeline!$F$21,1)))+Pipeline!$T$22*Pipeline!$D$22*MIN(1,MAX(0,(40-Pipeline!$E$22+1)/MAX(Pipeline!$F$22,1))))/Hipótesis!$E$17</f>
        <v>6546.9959681986</v>
      </c>
      <c r="AQ17" s="110" t="n">
        <f aca="false">(Pipeline!$T$16*Pipeline!$D$16*MIN(1,MAX(0,(41-Pipeline!$E$16+1)/MAX(Pipeline!$F$16,1)))+Pipeline!$T$17*Pipeline!$D$17*MIN(1,MAX(0,(41-Pipeline!$E$17+1)/MAX(Pipeline!$F$17,1)))+Pipeline!$T$18*Pipeline!$D$18*MIN(1,MAX(0,(41-Pipeline!$E$18+1)/MAX(Pipeline!$F$18,1)))+Pipeline!$T$19*Pipeline!$D$19*MIN(1,MAX(0,(41-Pipeline!$E$19+1)/MAX(Pipeline!$F$19,1)))+Pipeline!$T$20*Pipeline!$D$20*MIN(1,MAX(0,(41-Pipeline!$E$20+1)/MAX(Pipeline!$F$20,1)))+Pipeline!$T$21*Pipeline!$D$21*MIN(1,MAX(0,(41-Pipeline!$E$21+1)/MAX(Pipeline!$F$21,1)))+Pipeline!$T$22*Pipeline!$D$22*MIN(1,MAX(0,(41-Pipeline!$E$22+1)/MAX(Pipeline!$F$22,1))))/Hipótesis!$E$17</f>
        <v>6546.9959681986</v>
      </c>
      <c r="AR17" s="110" t="n">
        <f aca="false">(Pipeline!$T$16*Pipeline!$D$16*MIN(1,MAX(0,(42-Pipeline!$E$16+1)/MAX(Pipeline!$F$16,1)))+Pipeline!$T$17*Pipeline!$D$17*MIN(1,MAX(0,(42-Pipeline!$E$17+1)/MAX(Pipeline!$F$17,1)))+Pipeline!$T$18*Pipeline!$D$18*MIN(1,MAX(0,(42-Pipeline!$E$18+1)/MAX(Pipeline!$F$18,1)))+Pipeline!$T$19*Pipeline!$D$19*MIN(1,MAX(0,(42-Pipeline!$E$19+1)/MAX(Pipeline!$F$19,1)))+Pipeline!$T$20*Pipeline!$D$20*MIN(1,MAX(0,(42-Pipeline!$E$20+1)/MAX(Pipeline!$F$20,1)))+Pipeline!$T$21*Pipeline!$D$21*MIN(1,MAX(0,(42-Pipeline!$E$21+1)/MAX(Pipeline!$F$21,1)))+Pipeline!$T$22*Pipeline!$D$22*MIN(1,MAX(0,(42-Pipeline!$E$22+1)/MAX(Pipeline!$F$22,1))))/Hipótesis!$E$17</f>
        <v>6546.9959681986</v>
      </c>
      <c r="AS17" s="110" t="n">
        <f aca="false">(Pipeline!$T$16*Pipeline!$D$16*MIN(1,MAX(0,(43-Pipeline!$E$16+1)/MAX(Pipeline!$F$16,1)))+Pipeline!$T$17*Pipeline!$D$17*MIN(1,MAX(0,(43-Pipeline!$E$17+1)/MAX(Pipeline!$F$17,1)))+Pipeline!$T$18*Pipeline!$D$18*MIN(1,MAX(0,(43-Pipeline!$E$18+1)/MAX(Pipeline!$F$18,1)))+Pipeline!$T$19*Pipeline!$D$19*MIN(1,MAX(0,(43-Pipeline!$E$19+1)/MAX(Pipeline!$F$19,1)))+Pipeline!$T$20*Pipeline!$D$20*MIN(1,MAX(0,(43-Pipeline!$E$20+1)/MAX(Pipeline!$F$20,1)))+Pipeline!$T$21*Pipeline!$D$21*MIN(1,MAX(0,(43-Pipeline!$E$21+1)/MAX(Pipeline!$F$21,1)))+Pipeline!$T$22*Pipeline!$D$22*MIN(1,MAX(0,(43-Pipeline!$E$22+1)/MAX(Pipeline!$F$22,1))))/Hipótesis!$E$17</f>
        <v>6546.9959681986</v>
      </c>
      <c r="AT17" s="110" t="n">
        <f aca="false">(Pipeline!$T$16*Pipeline!$D$16*MIN(1,MAX(0,(44-Pipeline!$E$16+1)/MAX(Pipeline!$F$16,1)))+Pipeline!$T$17*Pipeline!$D$17*MIN(1,MAX(0,(44-Pipeline!$E$17+1)/MAX(Pipeline!$F$17,1)))+Pipeline!$T$18*Pipeline!$D$18*MIN(1,MAX(0,(44-Pipeline!$E$18+1)/MAX(Pipeline!$F$18,1)))+Pipeline!$T$19*Pipeline!$D$19*MIN(1,MAX(0,(44-Pipeline!$E$19+1)/MAX(Pipeline!$F$19,1)))+Pipeline!$T$20*Pipeline!$D$20*MIN(1,MAX(0,(44-Pipeline!$E$20+1)/MAX(Pipeline!$F$20,1)))+Pipeline!$T$21*Pipeline!$D$21*MIN(1,MAX(0,(44-Pipeline!$E$21+1)/MAX(Pipeline!$F$21,1)))+Pipeline!$T$22*Pipeline!$D$22*MIN(1,MAX(0,(44-Pipeline!$E$22+1)/MAX(Pipeline!$F$22,1))))/Hipótesis!$E$17</f>
        <v>6546.9959681986</v>
      </c>
      <c r="AU17" s="110" t="n">
        <f aca="false">(Pipeline!$T$16*Pipeline!$D$16*MIN(1,MAX(0,(45-Pipeline!$E$16+1)/MAX(Pipeline!$F$16,1)))+Pipeline!$T$17*Pipeline!$D$17*MIN(1,MAX(0,(45-Pipeline!$E$17+1)/MAX(Pipeline!$F$17,1)))+Pipeline!$T$18*Pipeline!$D$18*MIN(1,MAX(0,(45-Pipeline!$E$18+1)/MAX(Pipeline!$F$18,1)))+Pipeline!$T$19*Pipeline!$D$19*MIN(1,MAX(0,(45-Pipeline!$E$19+1)/MAX(Pipeline!$F$19,1)))+Pipeline!$T$20*Pipeline!$D$20*MIN(1,MAX(0,(45-Pipeline!$E$20+1)/MAX(Pipeline!$F$20,1)))+Pipeline!$T$21*Pipeline!$D$21*MIN(1,MAX(0,(45-Pipeline!$E$21+1)/MAX(Pipeline!$F$21,1)))+Pipeline!$T$22*Pipeline!$D$22*MIN(1,MAX(0,(45-Pipeline!$E$22+1)/MAX(Pipeline!$F$22,1))))/Hipótesis!$E$17</f>
        <v>6546.9959681986</v>
      </c>
      <c r="AV17" s="110" t="n">
        <f aca="false">(Pipeline!$T$16*Pipeline!$D$16*MIN(1,MAX(0,(46-Pipeline!$E$16+1)/MAX(Pipeline!$F$16,1)))+Pipeline!$T$17*Pipeline!$D$17*MIN(1,MAX(0,(46-Pipeline!$E$17+1)/MAX(Pipeline!$F$17,1)))+Pipeline!$T$18*Pipeline!$D$18*MIN(1,MAX(0,(46-Pipeline!$E$18+1)/MAX(Pipeline!$F$18,1)))+Pipeline!$T$19*Pipeline!$D$19*MIN(1,MAX(0,(46-Pipeline!$E$19+1)/MAX(Pipeline!$F$19,1)))+Pipeline!$T$20*Pipeline!$D$20*MIN(1,MAX(0,(46-Pipeline!$E$20+1)/MAX(Pipeline!$F$20,1)))+Pipeline!$T$21*Pipeline!$D$21*MIN(1,MAX(0,(46-Pipeline!$E$21+1)/MAX(Pipeline!$F$21,1)))+Pipeline!$T$22*Pipeline!$D$22*MIN(1,MAX(0,(46-Pipeline!$E$22+1)/MAX(Pipeline!$F$22,1))))/Hipótesis!$E$17</f>
        <v>6546.9959681986</v>
      </c>
      <c r="AW17" s="110" t="n">
        <f aca="false">(Pipeline!$T$16*Pipeline!$D$16*MIN(1,MAX(0,(47-Pipeline!$E$16+1)/MAX(Pipeline!$F$16,1)))+Pipeline!$T$17*Pipeline!$D$17*MIN(1,MAX(0,(47-Pipeline!$E$17+1)/MAX(Pipeline!$F$17,1)))+Pipeline!$T$18*Pipeline!$D$18*MIN(1,MAX(0,(47-Pipeline!$E$18+1)/MAX(Pipeline!$F$18,1)))+Pipeline!$T$19*Pipeline!$D$19*MIN(1,MAX(0,(47-Pipeline!$E$19+1)/MAX(Pipeline!$F$19,1)))+Pipeline!$T$20*Pipeline!$D$20*MIN(1,MAX(0,(47-Pipeline!$E$20+1)/MAX(Pipeline!$F$20,1)))+Pipeline!$T$21*Pipeline!$D$21*MIN(1,MAX(0,(47-Pipeline!$E$21+1)/MAX(Pipeline!$F$21,1)))+Pipeline!$T$22*Pipeline!$D$22*MIN(1,MAX(0,(47-Pipeline!$E$22+1)/MAX(Pipeline!$F$22,1))))/Hipótesis!$E$17</f>
        <v>6546.9959681986</v>
      </c>
      <c r="AX17" s="110" t="n">
        <f aca="false">(Pipeline!$T$16*Pipeline!$D$16*MIN(1,MAX(0,(48-Pipeline!$E$16+1)/MAX(Pipeline!$F$16,1)))+Pipeline!$T$17*Pipeline!$D$17*MIN(1,MAX(0,(48-Pipeline!$E$17+1)/MAX(Pipeline!$F$17,1)))+Pipeline!$T$18*Pipeline!$D$18*MIN(1,MAX(0,(48-Pipeline!$E$18+1)/MAX(Pipeline!$F$18,1)))+Pipeline!$T$19*Pipeline!$D$19*MIN(1,MAX(0,(48-Pipeline!$E$19+1)/MAX(Pipeline!$F$19,1)))+Pipeline!$T$20*Pipeline!$D$20*MIN(1,MAX(0,(48-Pipeline!$E$20+1)/MAX(Pipeline!$F$20,1)))+Pipeline!$T$21*Pipeline!$D$21*MIN(1,MAX(0,(48-Pipeline!$E$21+1)/MAX(Pipeline!$F$21,1)))+Pipeline!$T$22*Pipeline!$D$22*MIN(1,MAX(0,(48-Pipeline!$E$22+1)/MAX(Pipeline!$F$22,1))))/Hipótesis!$E$17</f>
        <v>6546.9959681986</v>
      </c>
      <c r="AY17" s="110" t="n">
        <f aca="false">(Pipeline!$T$16*Pipeline!$D$16*MIN(1,MAX(0,(49-Pipeline!$E$16+1)/MAX(Pipeline!$F$16,1)))+Pipeline!$T$17*Pipeline!$D$17*MIN(1,MAX(0,(49-Pipeline!$E$17+1)/MAX(Pipeline!$F$17,1)))+Pipeline!$T$18*Pipeline!$D$18*MIN(1,MAX(0,(49-Pipeline!$E$18+1)/MAX(Pipeline!$F$18,1)))+Pipeline!$T$19*Pipeline!$D$19*MIN(1,MAX(0,(49-Pipeline!$E$19+1)/MAX(Pipeline!$F$19,1)))+Pipeline!$T$20*Pipeline!$D$20*MIN(1,MAX(0,(49-Pipeline!$E$20+1)/MAX(Pipeline!$F$20,1)))+Pipeline!$T$21*Pipeline!$D$21*MIN(1,MAX(0,(49-Pipeline!$E$21+1)/MAX(Pipeline!$F$21,1)))+Pipeline!$T$22*Pipeline!$D$22*MIN(1,MAX(0,(49-Pipeline!$E$22+1)/MAX(Pipeline!$F$22,1))))/Hipótesis!$E$17</f>
        <v>6546.9959681986</v>
      </c>
      <c r="AZ17" s="110" t="n">
        <f aca="false">(Pipeline!$T$16*Pipeline!$D$16*MIN(1,MAX(0,(50-Pipeline!$E$16+1)/MAX(Pipeline!$F$16,1)))+Pipeline!$T$17*Pipeline!$D$17*MIN(1,MAX(0,(50-Pipeline!$E$17+1)/MAX(Pipeline!$F$17,1)))+Pipeline!$T$18*Pipeline!$D$18*MIN(1,MAX(0,(50-Pipeline!$E$18+1)/MAX(Pipeline!$F$18,1)))+Pipeline!$T$19*Pipeline!$D$19*MIN(1,MAX(0,(50-Pipeline!$E$19+1)/MAX(Pipeline!$F$19,1)))+Pipeline!$T$20*Pipeline!$D$20*MIN(1,MAX(0,(50-Pipeline!$E$20+1)/MAX(Pipeline!$F$20,1)))+Pipeline!$T$21*Pipeline!$D$21*MIN(1,MAX(0,(50-Pipeline!$E$21+1)/MAX(Pipeline!$F$21,1)))+Pipeline!$T$22*Pipeline!$D$22*MIN(1,MAX(0,(50-Pipeline!$E$22+1)/MAX(Pipeline!$F$22,1))))/Hipótesis!$E$17</f>
        <v>6546.9959681986</v>
      </c>
      <c r="BA17" s="110" t="n">
        <f aca="false">(Pipeline!$T$16*Pipeline!$D$16*MIN(1,MAX(0,(51-Pipeline!$E$16+1)/MAX(Pipeline!$F$16,1)))+Pipeline!$T$17*Pipeline!$D$17*MIN(1,MAX(0,(51-Pipeline!$E$17+1)/MAX(Pipeline!$F$17,1)))+Pipeline!$T$18*Pipeline!$D$18*MIN(1,MAX(0,(51-Pipeline!$E$18+1)/MAX(Pipeline!$F$18,1)))+Pipeline!$T$19*Pipeline!$D$19*MIN(1,MAX(0,(51-Pipeline!$E$19+1)/MAX(Pipeline!$F$19,1)))+Pipeline!$T$20*Pipeline!$D$20*MIN(1,MAX(0,(51-Pipeline!$E$20+1)/MAX(Pipeline!$F$20,1)))+Pipeline!$T$21*Pipeline!$D$21*MIN(1,MAX(0,(51-Pipeline!$E$21+1)/MAX(Pipeline!$F$21,1)))+Pipeline!$T$22*Pipeline!$D$22*MIN(1,MAX(0,(51-Pipeline!$E$22+1)/MAX(Pipeline!$F$22,1))))/Hipótesis!$E$17</f>
        <v>6546.9959681986</v>
      </c>
      <c r="BB17" s="110" t="n">
        <f aca="false">(Pipeline!$T$16*Pipeline!$D$16*MIN(1,MAX(0,(52-Pipeline!$E$16+1)/MAX(Pipeline!$F$16,1)))+Pipeline!$T$17*Pipeline!$D$17*MIN(1,MAX(0,(52-Pipeline!$E$17+1)/MAX(Pipeline!$F$17,1)))+Pipeline!$T$18*Pipeline!$D$18*MIN(1,MAX(0,(52-Pipeline!$E$18+1)/MAX(Pipeline!$F$18,1)))+Pipeline!$T$19*Pipeline!$D$19*MIN(1,MAX(0,(52-Pipeline!$E$19+1)/MAX(Pipeline!$F$19,1)))+Pipeline!$T$20*Pipeline!$D$20*MIN(1,MAX(0,(52-Pipeline!$E$20+1)/MAX(Pipeline!$F$20,1)))+Pipeline!$T$21*Pipeline!$D$21*MIN(1,MAX(0,(52-Pipeline!$E$21+1)/MAX(Pipeline!$F$21,1)))+Pipeline!$T$22*Pipeline!$D$22*MIN(1,MAX(0,(52-Pipeline!$E$22+1)/MAX(Pipeline!$F$22,1))))/Hipótesis!$E$17</f>
        <v>6546.9959681986</v>
      </c>
      <c r="BC17" s="110" t="n">
        <f aca="false">(Pipeline!$T$16*Pipeline!$D$16*MIN(1,MAX(0,(53-Pipeline!$E$16+1)/MAX(Pipeline!$F$16,1)))+Pipeline!$T$17*Pipeline!$D$17*MIN(1,MAX(0,(53-Pipeline!$E$17+1)/MAX(Pipeline!$F$17,1)))+Pipeline!$T$18*Pipeline!$D$18*MIN(1,MAX(0,(53-Pipeline!$E$18+1)/MAX(Pipeline!$F$18,1)))+Pipeline!$T$19*Pipeline!$D$19*MIN(1,MAX(0,(53-Pipeline!$E$19+1)/MAX(Pipeline!$F$19,1)))+Pipeline!$T$20*Pipeline!$D$20*MIN(1,MAX(0,(53-Pipeline!$E$20+1)/MAX(Pipeline!$F$20,1)))+Pipeline!$T$21*Pipeline!$D$21*MIN(1,MAX(0,(53-Pipeline!$E$21+1)/MAX(Pipeline!$F$21,1)))+Pipeline!$T$22*Pipeline!$D$22*MIN(1,MAX(0,(53-Pipeline!$E$22+1)/MAX(Pipeline!$F$22,1))))/Hipótesis!$E$17</f>
        <v>6546.9959681986</v>
      </c>
      <c r="BD17" s="110" t="n">
        <f aca="false">(Pipeline!$T$16*Pipeline!$D$16*MIN(1,MAX(0,(54-Pipeline!$E$16+1)/MAX(Pipeline!$F$16,1)))+Pipeline!$T$17*Pipeline!$D$17*MIN(1,MAX(0,(54-Pipeline!$E$17+1)/MAX(Pipeline!$F$17,1)))+Pipeline!$T$18*Pipeline!$D$18*MIN(1,MAX(0,(54-Pipeline!$E$18+1)/MAX(Pipeline!$F$18,1)))+Pipeline!$T$19*Pipeline!$D$19*MIN(1,MAX(0,(54-Pipeline!$E$19+1)/MAX(Pipeline!$F$19,1)))+Pipeline!$T$20*Pipeline!$D$20*MIN(1,MAX(0,(54-Pipeline!$E$20+1)/MAX(Pipeline!$F$20,1)))+Pipeline!$T$21*Pipeline!$D$21*MIN(1,MAX(0,(54-Pipeline!$E$21+1)/MAX(Pipeline!$F$21,1)))+Pipeline!$T$22*Pipeline!$D$22*MIN(1,MAX(0,(54-Pipeline!$E$22+1)/MAX(Pipeline!$F$22,1))))/Hipótesis!$E$17</f>
        <v>6546.9959681986</v>
      </c>
      <c r="BE17" s="110" t="n">
        <f aca="false">(Pipeline!$T$16*Pipeline!$D$16*MIN(1,MAX(0,(55-Pipeline!$E$16+1)/MAX(Pipeline!$F$16,1)))+Pipeline!$T$17*Pipeline!$D$17*MIN(1,MAX(0,(55-Pipeline!$E$17+1)/MAX(Pipeline!$F$17,1)))+Pipeline!$T$18*Pipeline!$D$18*MIN(1,MAX(0,(55-Pipeline!$E$18+1)/MAX(Pipeline!$F$18,1)))+Pipeline!$T$19*Pipeline!$D$19*MIN(1,MAX(0,(55-Pipeline!$E$19+1)/MAX(Pipeline!$F$19,1)))+Pipeline!$T$20*Pipeline!$D$20*MIN(1,MAX(0,(55-Pipeline!$E$20+1)/MAX(Pipeline!$F$20,1)))+Pipeline!$T$21*Pipeline!$D$21*MIN(1,MAX(0,(55-Pipeline!$E$21+1)/MAX(Pipeline!$F$21,1)))+Pipeline!$T$22*Pipeline!$D$22*MIN(1,MAX(0,(55-Pipeline!$E$22+1)/MAX(Pipeline!$F$22,1))))/Hipótesis!$E$17</f>
        <v>6546.9959681986</v>
      </c>
      <c r="BF17" s="110" t="n">
        <f aca="false">(Pipeline!$T$16*Pipeline!$D$16*MIN(1,MAX(0,(56-Pipeline!$E$16+1)/MAX(Pipeline!$F$16,1)))+Pipeline!$T$17*Pipeline!$D$17*MIN(1,MAX(0,(56-Pipeline!$E$17+1)/MAX(Pipeline!$F$17,1)))+Pipeline!$T$18*Pipeline!$D$18*MIN(1,MAX(0,(56-Pipeline!$E$18+1)/MAX(Pipeline!$F$18,1)))+Pipeline!$T$19*Pipeline!$D$19*MIN(1,MAX(0,(56-Pipeline!$E$19+1)/MAX(Pipeline!$F$19,1)))+Pipeline!$T$20*Pipeline!$D$20*MIN(1,MAX(0,(56-Pipeline!$E$20+1)/MAX(Pipeline!$F$20,1)))+Pipeline!$T$21*Pipeline!$D$21*MIN(1,MAX(0,(56-Pipeline!$E$21+1)/MAX(Pipeline!$F$21,1)))+Pipeline!$T$22*Pipeline!$D$22*MIN(1,MAX(0,(56-Pipeline!$E$22+1)/MAX(Pipeline!$F$22,1))))/Hipótesis!$E$17</f>
        <v>6546.9959681986</v>
      </c>
      <c r="BG17" s="110" t="n">
        <f aca="false">(Pipeline!$T$16*Pipeline!$D$16*MIN(1,MAX(0,(57-Pipeline!$E$16+1)/MAX(Pipeline!$F$16,1)))+Pipeline!$T$17*Pipeline!$D$17*MIN(1,MAX(0,(57-Pipeline!$E$17+1)/MAX(Pipeline!$F$17,1)))+Pipeline!$T$18*Pipeline!$D$18*MIN(1,MAX(0,(57-Pipeline!$E$18+1)/MAX(Pipeline!$F$18,1)))+Pipeline!$T$19*Pipeline!$D$19*MIN(1,MAX(0,(57-Pipeline!$E$19+1)/MAX(Pipeline!$F$19,1)))+Pipeline!$T$20*Pipeline!$D$20*MIN(1,MAX(0,(57-Pipeline!$E$20+1)/MAX(Pipeline!$F$20,1)))+Pipeline!$T$21*Pipeline!$D$21*MIN(1,MAX(0,(57-Pipeline!$E$21+1)/MAX(Pipeline!$F$21,1)))+Pipeline!$T$22*Pipeline!$D$22*MIN(1,MAX(0,(57-Pipeline!$E$22+1)/MAX(Pipeline!$F$22,1))))/Hipótesis!$E$17</f>
        <v>6546.9959681986</v>
      </c>
      <c r="BH17" s="110" t="n">
        <f aca="false">(Pipeline!$T$16*Pipeline!$D$16*MIN(1,MAX(0,(58-Pipeline!$E$16+1)/MAX(Pipeline!$F$16,1)))+Pipeline!$T$17*Pipeline!$D$17*MIN(1,MAX(0,(58-Pipeline!$E$17+1)/MAX(Pipeline!$F$17,1)))+Pipeline!$T$18*Pipeline!$D$18*MIN(1,MAX(0,(58-Pipeline!$E$18+1)/MAX(Pipeline!$F$18,1)))+Pipeline!$T$19*Pipeline!$D$19*MIN(1,MAX(0,(58-Pipeline!$E$19+1)/MAX(Pipeline!$F$19,1)))+Pipeline!$T$20*Pipeline!$D$20*MIN(1,MAX(0,(58-Pipeline!$E$20+1)/MAX(Pipeline!$F$20,1)))+Pipeline!$T$21*Pipeline!$D$21*MIN(1,MAX(0,(58-Pipeline!$E$21+1)/MAX(Pipeline!$F$21,1)))+Pipeline!$T$22*Pipeline!$D$22*MIN(1,MAX(0,(58-Pipeline!$E$22+1)/MAX(Pipeline!$F$22,1))))/Hipótesis!$E$17</f>
        <v>6546.9959681986</v>
      </c>
      <c r="BI17" s="110" t="n">
        <f aca="false">(Pipeline!$T$16*Pipeline!$D$16*MIN(1,MAX(0,(59-Pipeline!$E$16+1)/MAX(Pipeline!$F$16,1)))+Pipeline!$T$17*Pipeline!$D$17*MIN(1,MAX(0,(59-Pipeline!$E$17+1)/MAX(Pipeline!$F$17,1)))+Pipeline!$T$18*Pipeline!$D$18*MIN(1,MAX(0,(59-Pipeline!$E$18+1)/MAX(Pipeline!$F$18,1)))+Pipeline!$T$19*Pipeline!$D$19*MIN(1,MAX(0,(59-Pipeline!$E$19+1)/MAX(Pipeline!$F$19,1)))+Pipeline!$T$20*Pipeline!$D$20*MIN(1,MAX(0,(59-Pipeline!$E$20+1)/MAX(Pipeline!$F$20,1)))+Pipeline!$T$21*Pipeline!$D$21*MIN(1,MAX(0,(59-Pipeline!$E$21+1)/MAX(Pipeline!$F$21,1)))+Pipeline!$T$22*Pipeline!$D$22*MIN(1,MAX(0,(59-Pipeline!$E$22+1)/MAX(Pipeline!$F$22,1))))/Hipótesis!$E$17</f>
        <v>6546.9959681986</v>
      </c>
      <c r="BJ17" s="110" t="n">
        <f aca="false">(Pipeline!$T$16*Pipeline!$D$16*MIN(1,MAX(0,(60-Pipeline!$E$16+1)/MAX(Pipeline!$F$16,1)))+Pipeline!$T$17*Pipeline!$D$17*MIN(1,MAX(0,(60-Pipeline!$E$17+1)/MAX(Pipeline!$F$17,1)))+Pipeline!$T$18*Pipeline!$D$18*MIN(1,MAX(0,(60-Pipeline!$E$18+1)/MAX(Pipeline!$F$18,1)))+Pipeline!$T$19*Pipeline!$D$19*MIN(1,MAX(0,(60-Pipeline!$E$19+1)/MAX(Pipeline!$F$19,1)))+Pipeline!$T$20*Pipeline!$D$20*MIN(1,MAX(0,(60-Pipeline!$E$20+1)/MAX(Pipeline!$F$20,1)))+Pipeline!$T$21*Pipeline!$D$21*MIN(1,MAX(0,(60-Pipeline!$E$21+1)/MAX(Pipeline!$F$21,1)))+Pipeline!$T$22*Pipeline!$D$22*MIN(1,MAX(0,(60-Pipeline!$E$22+1)/MAX(Pipeline!$F$22,1))))/Hipótesis!$E$17</f>
        <v>6546.9959681986</v>
      </c>
      <c r="BK17" s="110" t="n">
        <f aca="false">(Pipeline!$T$16*Pipeline!$D$16*MIN(1,MAX(0,(61-Pipeline!$E$16+1)/MAX(Pipeline!$F$16,1)))+Pipeline!$T$17*Pipeline!$D$17*MIN(1,MAX(0,(61-Pipeline!$E$17+1)/MAX(Pipeline!$F$17,1)))+Pipeline!$T$18*Pipeline!$D$18*MIN(1,MAX(0,(61-Pipeline!$E$18+1)/MAX(Pipeline!$F$18,1)))+Pipeline!$T$19*Pipeline!$D$19*MIN(1,MAX(0,(61-Pipeline!$E$19+1)/MAX(Pipeline!$F$19,1)))+Pipeline!$T$20*Pipeline!$D$20*MIN(1,MAX(0,(61-Pipeline!$E$20+1)/MAX(Pipeline!$F$20,1)))+Pipeline!$T$21*Pipeline!$D$21*MIN(1,MAX(0,(61-Pipeline!$E$21+1)/MAX(Pipeline!$F$21,1)))+Pipeline!$T$22*Pipeline!$D$22*MIN(1,MAX(0,(61-Pipeline!$E$22+1)/MAX(Pipeline!$F$22,1))))/Hipótesis!$E$17</f>
        <v>6546.9959681986</v>
      </c>
      <c r="BL17" s="110" t="n">
        <f aca="false">(Pipeline!$T$16*Pipeline!$D$16*MIN(1,MAX(0,(62-Pipeline!$E$16+1)/MAX(Pipeline!$F$16,1)))+Pipeline!$T$17*Pipeline!$D$17*MIN(1,MAX(0,(62-Pipeline!$E$17+1)/MAX(Pipeline!$F$17,1)))+Pipeline!$T$18*Pipeline!$D$18*MIN(1,MAX(0,(62-Pipeline!$E$18+1)/MAX(Pipeline!$F$18,1)))+Pipeline!$T$19*Pipeline!$D$19*MIN(1,MAX(0,(62-Pipeline!$E$19+1)/MAX(Pipeline!$F$19,1)))+Pipeline!$T$20*Pipeline!$D$20*MIN(1,MAX(0,(62-Pipeline!$E$20+1)/MAX(Pipeline!$F$20,1)))+Pipeline!$T$21*Pipeline!$D$21*MIN(1,MAX(0,(62-Pipeline!$E$21+1)/MAX(Pipeline!$F$21,1)))+Pipeline!$T$22*Pipeline!$D$22*MIN(1,MAX(0,(62-Pipeline!$E$22+1)/MAX(Pipeline!$F$22,1))))/Hipótesis!$E$17</f>
        <v>6546.9959681986</v>
      </c>
      <c r="BM17" s="110" t="n">
        <f aca="false">(Pipeline!$T$16*Pipeline!$D$16*MIN(1,MAX(0,(63-Pipeline!$E$16+1)/MAX(Pipeline!$F$16,1)))+Pipeline!$T$17*Pipeline!$D$17*MIN(1,MAX(0,(63-Pipeline!$E$17+1)/MAX(Pipeline!$F$17,1)))+Pipeline!$T$18*Pipeline!$D$18*MIN(1,MAX(0,(63-Pipeline!$E$18+1)/MAX(Pipeline!$F$18,1)))+Pipeline!$T$19*Pipeline!$D$19*MIN(1,MAX(0,(63-Pipeline!$E$19+1)/MAX(Pipeline!$F$19,1)))+Pipeline!$T$20*Pipeline!$D$20*MIN(1,MAX(0,(63-Pipeline!$E$20+1)/MAX(Pipeline!$F$20,1)))+Pipeline!$T$21*Pipeline!$D$21*MIN(1,MAX(0,(63-Pipeline!$E$21+1)/MAX(Pipeline!$F$21,1)))+Pipeline!$T$22*Pipeline!$D$22*MIN(1,MAX(0,(63-Pipeline!$E$22+1)/MAX(Pipeline!$F$22,1))))/Hipótesis!$E$17</f>
        <v>6546.9959681986</v>
      </c>
      <c r="BN17" s="110" t="n">
        <f aca="false">(Pipeline!$T$16*Pipeline!$D$16*MIN(1,MAX(0,(64-Pipeline!$E$16+1)/MAX(Pipeline!$F$16,1)))+Pipeline!$T$17*Pipeline!$D$17*MIN(1,MAX(0,(64-Pipeline!$E$17+1)/MAX(Pipeline!$F$17,1)))+Pipeline!$T$18*Pipeline!$D$18*MIN(1,MAX(0,(64-Pipeline!$E$18+1)/MAX(Pipeline!$F$18,1)))+Pipeline!$T$19*Pipeline!$D$19*MIN(1,MAX(0,(64-Pipeline!$E$19+1)/MAX(Pipeline!$F$19,1)))+Pipeline!$T$20*Pipeline!$D$20*MIN(1,MAX(0,(64-Pipeline!$E$20+1)/MAX(Pipeline!$F$20,1)))+Pipeline!$T$21*Pipeline!$D$21*MIN(1,MAX(0,(64-Pipeline!$E$21+1)/MAX(Pipeline!$F$21,1)))+Pipeline!$T$22*Pipeline!$D$22*MIN(1,MAX(0,(64-Pipeline!$E$22+1)/MAX(Pipeline!$F$22,1))))/Hipótesis!$E$17</f>
        <v>6546.9959681986</v>
      </c>
      <c r="BO17" s="110" t="n">
        <f aca="false">(Pipeline!$T$16*Pipeline!$D$16*MIN(1,MAX(0,(65-Pipeline!$E$16+1)/MAX(Pipeline!$F$16,1)))+Pipeline!$T$17*Pipeline!$D$17*MIN(1,MAX(0,(65-Pipeline!$E$17+1)/MAX(Pipeline!$F$17,1)))+Pipeline!$T$18*Pipeline!$D$18*MIN(1,MAX(0,(65-Pipeline!$E$18+1)/MAX(Pipeline!$F$18,1)))+Pipeline!$T$19*Pipeline!$D$19*MIN(1,MAX(0,(65-Pipeline!$E$19+1)/MAX(Pipeline!$F$19,1)))+Pipeline!$T$20*Pipeline!$D$20*MIN(1,MAX(0,(65-Pipeline!$E$20+1)/MAX(Pipeline!$F$20,1)))+Pipeline!$T$21*Pipeline!$D$21*MIN(1,MAX(0,(65-Pipeline!$E$21+1)/MAX(Pipeline!$F$21,1)))+Pipeline!$T$22*Pipeline!$D$22*MIN(1,MAX(0,(65-Pipeline!$E$22+1)/MAX(Pipeline!$F$22,1))))/Hipótesis!$E$17</f>
        <v>6546.9959681986</v>
      </c>
      <c r="BP17" s="110" t="n">
        <f aca="false">(Pipeline!$T$16*Pipeline!$D$16*MIN(1,MAX(0,(66-Pipeline!$E$16+1)/MAX(Pipeline!$F$16,1)))+Pipeline!$T$17*Pipeline!$D$17*MIN(1,MAX(0,(66-Pipeline!$E$17+1)/MAX(Pipeline!$F$17,1)))+Pipeline!$T$18*Pipeline!$D$18*MIN(1,MAX(0,(66-Pipeline!$E$18+1)/MAX(Pipeline!$F$18,1)))+Pipeline!$T$19*Pipeline!$D$19*MIN(1,MAX(0,(66-Pipeline!$E$19+1)/MAX(Pipeline!$F$19,1)))+Pipeline!$T$20*Pipeline!$D$20*MIN(1,MAX(0,(66-Pipeline!$E$20+1)/MAX(Pipeline!$F$20,1)))+Pipeline!$T$21*Pipeline!$D$21*MIN(1,MAX(0,(66-Pipeline!$E$21+1)/MAX(Pipeline!$F$21,1)))+Pipeline!$T$22*Pipeline!$D$22*MIN(1,MAX(0,(66-Pipeline!$E$22+1)/MAX(Pipeline!$F$22,1))))/Hipótesis!$E$17</f>
        <v>6546.9959681986</v>
      </c>
      <c r="BQ17" s="110" t="n">
        <f aca="false">(Pipeline!$T$16*Pipeline!$D$16*MIN(1,MAX(0,(67-Pipeline!$E$16+1)/MAX(Pipeline!$F$16,1)))+Pipeline!$T$17*Pipeline!$D$17*MIN(1,MAX(0,(67-Pipeline!$E$17+1)/MAX(Pipeline!$F$17,1)))+Pipeline!$T$18*Pipeline!$D$18*MIN(1,MAX(0,(67-Pipeline!$E$18+1)/MAX(Pipeline!$F$18,1)))+Pipeline!$T$19*Pipeline!$D$19*MIN(1,MAX(0,(67-Pipeline!$E$19+1)/MAX(Pipeline!$F$19,1)))+Pipeline!$T$20*Pipeline!$D$20*MIN(1,MAX(0,(67-Pipeline!$E$20+1)/MAX(Pipeline!$F$20,1)))+Pipeline!$T$21*Pipeline!$D$21*MIN(1,MAX(0,(67-Pipeline!$E$21+1)/MAX(Pipeline!$F$21,1)))+Pipeline!$T$22*Pipeline!$D$22*MIN(1,MAX(0,(67-Pipeline!$E$22+1)/MAX(Pipeline!$F$22,1))))/Hipótesis!$E$17</f>
        <v>6546.9959681986</v>
      </c>
      <c r="BR17" s="110" t="n">
        <f aca="false">(Pipeline!$T$16*Pipeline!$D$16*MIN(1,MAX(0,(68-Pipeline!$E$16+1)/MAX(Pipeline!$F$16,1)))+Pipeline!$T$17*Pipeline!$D$17*MIN(1,MAX(0,(68-Pipeline!$E$17+1)/MAX(Pipeline!$F$17,1)))+Pipeline!$T$18*Pipeline!$D$18*MIN(1,MAX(0,(68-Pipeline!$E$18+1)/MAX(Pipeline!$F$18,1)))+Pipeline!$T$19*Pipeline!$D$19*MIN(1,MAX(0,(68-Pipeline!$E$19+1)/MAX(Pipeline!$F$19,1)))+Pipeline!$T$20*Pipeline!$D$20*MIN(1,MAX(0,(68-Pipeline!$E$20+1)/MAX(Pipeline!$F$20,1)))+Pipeline!$T$21*Pipeline!$D$21*MIN(1,MAX(0,(68-Pipeline!$E$21+1)/MAX(Pipeline!$F$21,1)))+Pipeline!$T$22*Pipeline!$D$22*MIN(1,MAX(0,(68-Pipeline!$E$22+1)/MAX(Pipeline!$F$22,1))))/Hipótesis!$E$17</f>
        <v>6546.9959681986</v>
      </c>
      <c r="BS17" s="110" t="n">
        <f aca="false">(Pipeline!$T$16*Pipeline!$D$16*MIN(1,MAX(0,(69-Pipeline!$E$16+1)/MAX(Pipeline!$F$16,1)))+Pipeline!$T$17*Pipeline!$D$17*MIN(1,MAX(0,(69-Pipeline!$E$17+1)/MAX(Pipeline!$F$17,1)))+Pipeline!$T$18*Pipeline!$D$18*MIN(1,MAX(0,(69-Pipeline!$E$18+1)/MAX(Pipeline!$F$18,1)))+Pipeline!$T$19*Pipeline!$D$19*MIN(1,MAX(0,(69-Pipeline!$E$19+1)/MAX(Pipeline!$F$19,1)))+Pipeline!$T$20*Pipeline!$D$20*MIN(1,MAX(0,(69-Pipeline!$E$20+1)/MAX(Pipeline!$F$20,1)))+Pipeline!$T$21*Pipeline!$D$21*MIN(1,MAX(0,(69-Pipeline!$E$21+1)/MAX(Pipeline!$F$21,1)))+Pipeline!$T$22*Pipeline!$D$22*MIN(1,MAX(0,(69-Pipeline!$E$22+1)/MAX(Pipeline!$F$22,1))))/Hipótesis!$E$17</f>
        <v>6546.9959681986</v>
      </c>
      <c r="BT17" s="110" t="n">
        <f aca="false">(Pipeline!$T$16*Pipeline!$D$16*MIN(1,MAX(0,(70-Pipeline!$E$16+1)/MAX(Pipeline!$F$16,1)))+Pipeline!$T$17*Pipeline!$D$17*MIN(1,MAX(0,(70-Pipeline!$E$17+1)/MAX(Pipeline!$F$17,1)))+Pipeline!$T$18*Pipeline!$D$18*MIN(1,MAX(0,(70-Pipeline!$E$18+1)/MAX(Pipeline!$F$18,1)))+Pipeline!$T$19*Pipeline!$D$19*MIN(1,MAX(0,(70-Pipeline!$E$19+1)/MAX(Pipeline!$F$19,1)))+Pipeline!$T$20*Pipeline!$D$20*MIN(1,MAX(0,(70-Pipeline!$E$20+1)/MAX(Pipeline!$F$20,1)))+Pipeline!$T$21*Pipeline!$D$21*MIN(1,MAX(0,(70-Pipeline!$E$21+1)/MAX(Pipeline!$F$21,1)))+Pipeline!$T$22*Pipeline!$D$22*MIN(1,MAX(0,(70-Pipeline!$E$22+1)/MAX(Pipeline!$F$22,1))))/Hipótesis!$E$17</f>
        <v>6546.9959681986</v>
      </c>
      <c r="BU17" s="110" t="n">
        <f aca="false">(Pipeline!$T$16*Pipeline!$D$16*MIN(1,MAX(0,(71-Pipeline!$E$16+1)/MAX(Pipeline!$F$16,1)))+Pipeline!$T$17*Pipeline!$D$17*MIN(1,MAX(0,(71-Pipeline!$E$17+1)/MAX(Pipeline!$F$17,1)))+Pipeline!$T$18*Pipeline!$D$18*MIN(1,MAX(0,(71-Pipeline!$E$18+1)/MAX(Pipeline!$F$18,1)))+Pipeline!$T$19*Pipeline!$D$19*MIN(1,MAX(0,(71-Pipeline!$E$19+1)/MAX(Pipeline!$F$19,1)))+Pipeline!$T$20*Pipeline!$D$20*MIN(1,MAX(0,(71-Pipeline!$E$20+1)/MAX(Pipeline!$F$20,1)))+Pipeline!$T$21*Pipeline!$D$21*MIN(1,MAX(0,(71-Pipeline!$E$21+1)/MAX(Pipeline!$F$21,1)))+Pipeline!$T$22*Pipeline!$D$22*MIN(1,MAX(0,(71-Pipeline!$E$22+1)/MAX(Pipeline!$F$22,1))))/Hipótesis!$E$17</f>
        <v>6546.9959681986</v>
      </c>
      <c r="BV17" s="110" t="n">
        <f aca="false">(Pipeline!$T$16*Pipeline!$D$16*MIN(1,MAX(0,(72-Pipeline!$E$16+1)/MAX(Pipeline!$F$16,1)))+Pipeline!$T$17*Pipeline!$D$17*MIN(1,MAX(0,(72-Pipeline!$E$17+1)/MAX(Pipeline!$F$17,1)))+Pipeline!$T$18*Pipeline!$D$18*MIN(1,MAX(0,(72-Pipeline!$E$18+1)/MAX(Pipeline!$F$18,1)))+Pipeline!$T$19*Pipeline!$D$19*MIN(1,MAX(0,(72-Pipeline!$E$19+1)/MAX(Pipeline!$F$19,1)))+Pipeline!$T$20*Pipeline!$D$20*MIN(1,MAX(0,(72-Pipeline!$E$20+1)/MAX(Pipeline!$F$20,1)))+Pipeline!$T$21*Pipeline!$D$21*MIN(1,MAX(0,(72-Pipeline!$E$21+1)/MAX(Pipeline!$F$21,1)))+Pipeline!$T$22*Pipeline!$D$22*MIN(1,MAX(0,(72-Pipeline!$E$22+1)/MAX(Pipeline!$F$22,1))))/Hipótesis!$E$17</f>
        <v>6546.9959681986</v>
      </c>
      <c r="BW17" s="110" t="n">
        <f aca="false">(Pipeline!$T$16*Pipeline!$D$16*MIN(1,MAX(0,(73-Pipeline!$E$16+1)/MAX(Pipeline!$F$16,1)))+Pipeline!$T$17*Pipeline!$D$17*MIN(1,MAX(0,(73-Pipeline!$E$17+1)/MAX(Pipeline!$F$17,1)))+Pipeline!$T$18*Pipeline!$D$18*MIN(1,MAX(0,(73-Pipeline!$E$18+1)/MAX(Pipeline!$F$18,1)))+Pipeline!$T$19*Pipeline!$D$19*MIN(1,MAX(0,(73-Pipeline!$E$19+1)/MAX(Pipeline!$F$19,1)))+Pipeline!$T$20*Pipeline!$D$20*MIN(1,MAX(0,(73-Pipeline!$E$20+1)/MAX(Pipeline!$F$20,1)))+Pipeline!$T$21*Pipeline!$D$21*MIN(1,MAX(0,(73-Pipeline!$E$21+1)/MAX(Pipeline!$F$21,1)))+Pipeline!$T$22*Pipeline!$D$22*MIN(1,MAX(0,(73-Pipeline!$E$22+1)/MAX(Pipeline!$F$22,1))))/Hipótesis!$E$17</f>
        <v>6546.9959681986</v>
      </c>
      <c r="BX17" s="110" t="n">
        <f aca="false">(Pipeline!$T$16*Pipeline!$D$16*MIN(1,MAX(0,(74-Pipeline!$E$16+1)/MAX(Pipeline!$F$16,1)))+Pipeline!$T$17*Pipeline!$D$17*MIN(1,MAX(0,(74-Pipeline!$E$17+1)/MAX(Pipeline!$F$17,1)))+Pipeline!$T$18*Pipeline!$D$18*MIN(1,MAX(0,(74-Pipeline!$E$18+1)/MAX(Pipeline!$F$18,1)))+Pipeline!$T$19*Pipeline!$D$19*MIN(1,MAX(0,(74-Pipeline!$E$19+1)/MAX(Pipeline!$F$19,1)))+Pipeline!$T$20*Pipeline!$D$20*MIN(1,MAX(0,(74-Pipeline!$E$20+1)/MAX(Pipeline!$F$20,1)))+Pipeline!$T$21*Pipeline!$D$21*MIN(1,MAX(0,(74-Pipeline!$E$21+1)/MAX(Pipeline!$F$21,1)))+Pipeline!$T$22*Pipeline!$D$22*MIN(1,MAX(0,(74-Pipeline!$E$22+1)/MAX(Pipeline!$F$22,1))))/Hipótesis!$E$17</f>
        <v>6546.9959681986</v>
      </c>
      <c r="BY17" s="110" t="n">
        <f aca="false">(Pipeline!$T$16*Pipeline!$D$16*MIN(1,MAX(0,(75-Pipeline!$E$16+1)/MAX(Pipeline!$F$16,1)))+Pipeline!$T$17*Pipeline!$D$17*MIN(1,MAX(0,(75-Pipeline!$E$17+1)/MAX(Pipeline!$F$17,1)))+Pipeline!$T$18*Pipeline!$D$18*MIN(1,MAX(0,(75-Pipeline!$E$18+1)/MAX(Pipeline!$F$18,1)))+Pipeline!$T$19*Pipeline!$D$19*MIN(1,MAX(0,(75-Pipeline!$E$19+1)/MAX(Pipeline!$F$19,1)))+Pipeline!$T$20*Pipeline!$D$20*MIN(1,MAX(0,(75-Pipeline!$E$20+1)/MAX(Pipeline!$F$20,1)))+Pipeline!$T$21*Pipeline!$D$21*MIN(1,MAX(0,(75-Pipeline!$E$21+1)/MAX(Pipeline!$F$21,1)))+Pipeline!$T$22*Pipeline!$D$22*MIN(1,MAX(0,(75-Pipeline!$E$22+1)/MAX(Pipeline!$F$22,1))))/Hipótesis!$E$17</f>
        <v>6546.9959681986</v>
      </c>
      <c r="BZ17" s="110" t="n">
        <f aca="false">(Pipeline!$T$16*Pipeline!$D$16*MIN(1,MAX(0,(76-Pipeline!$E$16+1)/MAX(Pipeline!$F$16,1)))+Pipeline!$T$17*Pipeline!$D$17*MIN(1,MAX(0,(76-Pipeline!$E$17+1)/MAX(Pipeline!$F$17,1)))+Pipeline!$T$18*Pipeline!$D$18*MIN(1,MAX(0,(76-Pipeline!$E$18+1)/MAX(Pipeline!$F$18,1)))+Pipeline!$T$19*Pipeline!$D$19*MIN(1,MAX(0,(76-Pipeline!$E$19+1)/MAX(Pipeline!$F$19,1)))+Pipeline!$T$20*Pipeline!$D$20*MIN(1,MAX(0,(76-Pipeline!$E$20+1)/MAX(Pipeline!$F$20,1)))+Pipeline!$T$21*Pipeline!$D$21*MIN(1,MAX(0,(76-Pipeline!$E$21+1)/MAX(Pipeline!$F$21,1)))+Pipeline!$T$22*Pipeline!$D$22*MIN(1,MAX(0,(76-Pipeline!$E$22+1)/MAX(Pipeline!$F$22,1))))/Hipótesis!$E$17</f>
        <v>6546.9959681986</v>
      </c>
      <c r="CA17" s="110" t="n">
        <f aca="false">(Pipeline!$T$16*Pipeline!$D$16*MIN(1,MAX(0,(77-Pipeline!$E$16+1)/MAX(Pipeline!$F$16,1)))+Pipeline!$T$17*Pipeline!$D$17*MIN(1,MAX(0,(77-Pipeline!$E$17+1)/MAX(Pipeline!$F$17,1)))+Pipeline!$T$18*Pipeline!$D$18*MIN(1,MAX(0,(77-Pipeline!$E$18+1)/MAX(Pipeline!$F$18,1)))+Pipeline!$T$19*Pipeline!$D$19*MIN(1,MAX(0,(77-Pipeline!$E$19+1)/MAX(Pipeline!$F$19,1)))+Pipeline!$T$20*Pipeline!$D$20*MIN(1,MAX(0,(77-Pipeline!$E$20+1)/MAX(Pipeline!$F$20,1)))+Pipeline!$T$21*Pipeline!$D$21*MIN(1,MAX(0,(77-Pipeline!$E$21+1)/MAX(Pipeline!$F$21,1)))+Pipeline!$T$22*Pipeline!$D$22*MIN(1,MAX(0,(77-Pipeline!$E$22+1)/MAX(Pipeline!$F$22,1))))/Hipótesis!$E$17</f>
        <v>6546.9959681986</v>
      </c>
      <c r="CB17" s="110" t="n">
        <f aca="false">(Pipeline!$T$16*Pipeline!$D$16*MIN(1,MAX(0,(78-Pipeline!$E$16+1)/MAX(Pipeline!$F$16,1)))+Pipeline!$T$17*Pipeline!$D$17*MIN(1,MAX(0,(78-Pipeline!$E$17+1)/MAX(Pipeline!$F$17,1)))+Pipeline!$T$18*Pipeline!$D$18*MIN(1,MAX(0,(78-Pipeline!$E$18+1)/MAX(Pipeline!$F$18,1)))+Pipeline!$T$19*Pipeline!$D$19*MIN(1,MAX(0,(78-Pipeline!$E$19+1)/MAX(Pipeline!$F$19,1)))+Pipeline!$T$20*Pipeline!$D$20*MIN(1,MAX(0,(78-Pipeline!$E$20+1)/MAX(Pipeline!$F$20,1)))+Pipeline!$T$21*Pipeline!$D$21*MIN(1,MAX(0,(78-Pipeline!$E$21+1)/MAX(Pipeline!$F$21,1)))+Pipeline!$T$22*Pipeline!$D$22*MIN(1,MAX(0,(78-Pipeline!$E$22+1)/MAX(Pipeline!$F$22,1))))/Hipótesis!$E$17</f>
        <v>6546.9959681986</v>
      </c>
      <c r="CC17" s="110" t="n">
        <f aca="false">(Pipeline!$T$16*Pipeline!$D$16*MIN(1,MAX(0,(79-Pipeline!$E$16+1)/MAX(Pipeline!$F$16,1)))+Pipeline!$T$17*Pipeline!$D$17*MIN(1,MAX(0,(79-Pipeline!$E$17+1)/MAX(Pipeline!$F$17,1)))+Pipeline!$T$18*Pipeline!$D$18*MIN(1,MAX(0,(79-Pipeline!$E$18+1)/MAX(Pipeline!$F$18,1)))+Pipeline!$T$19*Pipeline!$D$19*MIN(1,MAX(0,(79-Pipeline!$E$19+1)/MAX(Pipeline!$F$19,1)))+Pipeline!$T$20*Pipeline!$D$20*MIN(1,MAX(0,(79-Pipeline!$E$20+1)/MAX(Pipeline!$F$20,1)))+Pipeline!$T$21*Pipeline!$D$21*MIN(1,MAX(0,(79-Pipeline!$E$21+1)/MAX(Pipeline!$F$21,1)))+Pipeline!$T$22*Pipeline!$D$22*MIN(1,MAX(0,(79-Pipeline!$E$22+1)/MAX(Pipeline!$F$22,1))))/Hipótesis!$E$17</f>
        <v>6546.9959681986</v>
      </c>
      <c r="CD17" s="110" t="n">
        <f aca="false">(Pipeline!$T$16*Pipeline!$D$16*MIN(1,MAX(0,(80-Pipeline!$E$16+1)/MAX(Pipeline!$F$16,1)))+Pipeline!$T$17*Pipeline!$D$17*MIN(1,MAX(0,(80-Pipeline!$E$17+1)/MAX(Pipeline!$F$17,1)))+Pipeline!$T$18*Pipeline!$D$18*MIN(1,MAX(0,(80-Pipeline!$E$18+1)/MAX(Pipeline!$F$18,1)))+Pipeline!$T$19*Pipeline!$D$19*MIN(1,MAX(0,(80-Pipeline!$E$19+1)/MAX(Pipeline!$F$19,1)))+Pipeline!$T$20*Pipeline!$D$20*MIN(1,MAX(0,(80-Pipeline!$E$20+1)/MAX(Pipeline!$F$20,1)))+Pipeline!$T$21*Pipeline!$D$21*MIN(1,MAX(0,(80-Pipeline!$E$21+1)/MAX(Pipeline!$F$21,1)))+Pipeline!$T$22*Pipeline!$D$22*MIN(1,MAX(0,(80-Pipeline!$E$22+1)/MAX(Pipeline!$F$22,1))))/Hipótesis!$E$17</f>
        <v>6546.9959681986</v>
      </c>
      <c r="CE17" s="110" t="n">
        <f aca="false">(Pipeline!$T$16*Pipeline!$D$16*MIN(1,MAX(0,(81-Pipeline!$E$16+1)/MAX(Pipeline!$F$16,1)))+Pipeline!$T$17*Pipeline!$D$17*MIN(1,MAX(0,(81-Pipeline!$E$17+1)/MAX(Pipeline!$F$17,1)))+Pipeline!$T$18*Pipeline!$D$18*MIN(1,MAX(0,(81-Pipeline!$E$18+1)/MAX(Pipeline!$F$18,1)))+Pipeline!$T$19*Pipeline!$D$19*MIN(1,MAX(0,(81-Pipeline!$E$19+1)/MAX(Pipeline!$F$19,1)))+Pipeline!$T$20*Pipeline!$D$20*MIN(1,MAX(0,(81-Pipeline!$E$20+1)/MAX(Pipeline!$F$20,1)))+Pipeline!$T$21*Pipeline!$D$21*MIN(1,MAX(0,(81-Pipeline!$E$21+1)/MAX(Pipeline!$F$21,1)))+Pipeline!$T$22*Pipeline!$D$22*MIN(1,MAX(0,(81-Pipeline!$E$22+1)/MAX(Pipeline!$F$22,1))))/Hipótesis!$E$17</f>
        <v>6546.9959681986</v>
      </c>
      <c r="CF17" s="110" t="n">
        <f aca="false">(Pipeline!$T$16*Pipeline!$D$16*MIN(1,MAX(0,(82-Pipeline!$E$16+1)/MAX(Pipeline!$F$16,1)))+Pipeline!$T$17*Pipeline!$D$17*MIN(1,MAX(0,(82-Pipeline!$E$17+1)/MAX(Pipeline!$F$17,1)))+Pipeline!$T$18*Pipeline!$D$18*MIN(1,MAX(0,(82-Pipeline!$E$18+1)/MAX(Pipeline!$F$18,1)))+Pipeline!$T$19*Pipeline!$D$19*MIN(1,MAX(0,(82-Pipeline!$E$19+1)/MAX(Pipeline!$F$19,1)))+Pipeline!$T$20*Pipeline!$D$20*MIN(1,MAX(0,(82-Pipeline!$E$20+1)/MAX(Pipeline!$F$20,1)))+Pipeline!$T$21*Pipeline!$D$21*MIN(1,MAX(0,(82-Pipeline!$E$21+1)/MAX(Pipeline!$F$21,1)))+Pipeline!$T$22*Pipeline!$D$22*MIN(1,MAX(0,(82-Pipeline!$E$22+1)/MAX(Pipeline!$F$22,1))))/Hipótesis!$E$17</f>
        <v>6546.9959681986</v>
      </c>
      <c r="CG17" s="110" t="n">
        <f aca="false">(Pipeline!$T$16*Pipeline!$D$16*MIN(1,MAX(0,(83-Pipeline!$E$16+1)/MAX(Pipeline!$F$16,1)))+Pipeline!$T$17*Pipeline!$D$17*MIN(1,MAX(0,(83-Pipeline!$E$17+1)/MAX(Pipeline!$F$17,1)))+Pipeline!$T$18*Pipeline!$D$18*MIN(1,MAX(0,(83-Pipeline!$E$18+1)/MAX(Pipeline!$F$18,1)))+Pipeline!$T$19*Pipeline!$D$19*MIN(1,MAX(0,(83-Pipeline!$E$19+1)/MAX(Pipeline!$F$19,1)))+Pipeline!$T$20*Pipeline!$D$20*MIN(1,MAX(0,(83-Pipeline!$E$20+1)/MAX(Pipeline!$F$20,1)))+Pipeline!$T$21*Pipeline!$D$21*MIN(1,MAX(0,(83-Pipeline!$E$21+1)/MAX(Pipeline!$F$21,1)))+Pipeline!$T$22*Pipeline!$D$22*MIN(1,MAX(0,(83-Pipeline!$E$22+1)/MAX(Pipeline!$F$22,1))))/Hipótesis!$E$17</f>
        <v>6546.9959681986</v>
      </c>
      <c r="CH17" s="110" t="n">
        <f aca="false">(Pipeline!$T$16*Pipeline!$D$16*MIN(1,MAX(0,(84-Pipeline!$E$16+1)/MAX(Pipeline!$F$16,1)))+Pipeline!$T$17*Pipeline!$D$17*MIN(1,MAX(0,(84-Pipeline!$E$17+1)/MAX(Pipeline!$F$17,1)))+Pipeline!$T$18*Pipeline!$D$18*MIN(1,MAX(0,(84-Pipeline!$E$18+1)/MAX(Pipeline!$F$18,1)))+Pipeline!$T$19*Pipeline!$D$19*MIN(1,MAX(0,(84-Pipeline!$E$19+1)/MAX(Pipeline!$F$19,1)))+Pipeline!$T$20*Pipeline!$D$20*MIN(1,MAX(0,(84-Pipeline!$E$20+1)/MAX(Pipeline!$F$20,1)))+Pipeline!$T$21*Pipeline!$D$21*MIN(1,MAX(0,(84-Pipeline!$E$21+1)/MAX(Pipeline!$F$21,1)))+Pipeline!$T$22*Pipeline!$D$22*MIN(1,MAX(0,(84-Pipeline!$E$22+1)/MAX(Pipeline!$F$22,1))))/Hipótesis!$E$17</f>
        <v>6546.9959681986</v>
      </c>
    </row>
    <row r="18" customFormat="false" ht="13.5" hidden="false" customHeight="true" outlineLevel="0" collapsed="false">
      <c r="A18" s="6" t="s">
        <v>526</v>
      </c>
      <c r="C18" s="119" t="n">
        <f aca="false">(Pipeline!$U$16*Pipeline!$D$16*MIN(1,MAX(0,(1-Pipeline!$E$16+1)/MAX(Pipeline!$F$16,1)))+Pipeline!$U$17*Pipeline!$D$17*MIN(1,MAX(0,(1-Pipeline!$E$17+1)/MAX(Pipeline!$F$17,1)))+Pipeline!$U$18*Pipeline!$D$18*MIN(1,MAX(0,(1-Pipeline!$E$18+1)/MAX(Pipeline!$F$18,1)))+Pipeline!$U$19*Pipeline!$D$19*MIN(1,MAX(0,(1-Pipeline!$E$19+1)/MAX(Pipeline!$F$19,1)))+Pipeline!$U$20*Pipeline!$D$20*MIN(1,MAX(0,(1-Pipeline!$E$20+1)/MAX(Pipeline!$F$20,1)))+Pipeline!$U$21*Pipeline!$D$21*MIN(1,MAX(0,(1-Pipeline!$E$21+1)/MAX(Pipeline!$F$21,1)))+Pipeline!$U$22*Pipeline!$D$22*MIN(1,MAX(0,(1-Pipeline!$E$22+1)/MAX(Pipeline!$F$22,1))))/Hipótesis!$E$17</f>
        <v>37.9565537402983</v>
      </c>
      <c r="D18" s="119" t="n">
        <f aca="false">(Pipeline!$U$16*Pipeline!$D$16*MIN(1,MAX(0,(2-Pipeline!$E$16+1)/MAX(Pipeline!$F$16,1)))+Pipeline!$U$17*Pipeline!$D$17*MIN(1,MAX(0,(2-Pipeline!$E$17+1)/MAX(Pipeline!$F$17,1)))+Pipeline!$U$18*Pipeline!$D$18*MIN(1,MAX(0,(2-Pipeline!$E$18+1)/MAX(Pipeline!$F$18,1)))+Pipeline!$U$19*Pipeline!$D$19*MIN(1,MAX(0,(2-Pipeline!$E$19+1)/MAX(Pipeline!$F$19,1)))+Pipeline!$U$20*Pipeline!$D$20*MIN(1,MAX(0,(2-Pipeline!$E$20+1)/MAX(Pipeline!$F$20,1)))+Pipeline!$U$21*Pipeline!$D$21*MIN(1,MAX(0,(2-Pipeline!$E$21+1)/MAX(Pipeline!$F$21,1)))+Pipeline!$U$22*Pipeline!$D$22*MIN(1,MAX(0,(2-Pipeline!$E$22+1)/MAX(Pipeline!$F$22,1))))/Hipótesis!$E$17</f>
        <v>77.674792393481</v>
      </c>
      <c r="E18" s="119" t="n">
        <f aca="false">(Pipeline!$U$16*Pipeline!$D$16*MIN(1,MAX(0,(3-Pipeline!$E$16+1)/MAX(Pipeline!$F$16,1)))+Pipeline!$U$17*Pipeline!$D$17*MIN(1,MAX(0,(3-Pipeline!$E$17+1)/MAX(Pipeline!$F$17,1)))+Pipeline!$U$18*Pipeline!$D$18*MIN(1,MAX(0,(3-Pipeline!$E$18+1)/MAX(Pipeline!$F$18,1)))+Pipeline!$U$19*Pipeline!$D$19*MIN(1,MAX(0,(3-Pipeline!$E$19+1)/MAX(Pipeline!$F$19,1)))+Pipeline!$U$20*Pipeline!$D$20*MIN(1,MAX(0,(3-Pipeline!$E$20+1)/MAX(Pipeline!$F$20,1)))+Pipeline!$U$21*Pipeline!$D$21*MIN(1,MAX(0,(3-Pipeline!$E$21+1)/MAX(Pipeline!$F$21,1)))+Pipeline!$U$22*Pipeline!$D$22*MIN(1,MAX(0,(3-Pipeline!$E$22+1)/MAX(Pipeline!$F$22,1))))/Hipótesis!$E$17</f>
        <v>146.637318030558</v>
      </c>
      <c r="F18" s="119" t="n">
        <f aca="false">(Pipeline!$U$16*Pipeline!$D$16*MIN(1,MAX(0,(4-Pipeline!$E$16+1)/MAX(Pipeline!$F$16,1)))+Pipeline!$U$17*Pipeline!$D$17*MIN(1,MAX(0,(4-Pipeline!$E$17+1)/MAX(Pipeline!$F$17,1)))+Pipeline!$U$18*Pipeline!$D$18*MIN(1,MAX(0,(4-Pipeline!$E$18+1)/MAX(Pipeline!$F$18,1)))+Pipeline!$U$19*Pipeline!$D$19*MIN(1,MAX(0,(4-Pipeline!$E$19+1)/MAX(Pipeline!$F$19,1)))+Pipeline!$U$20*Pipeline!$D$20*MIN(1,MAX(0,(4-Pipeline!$E$20+1)/MAX(Pipeline!$F$20,1)))+Pipeline!$U$21*Pipeline!$D$21*MIN(1,MAX(0,(4-Pipeline!$E$21+1)/MAX(Pipeline!$F$21,1)))+Pipeline!$U$22*Pipeline!$D$22*MIN(1,MAX(0,(4-Pipeline!$E$22+1)/MAX(Pipeline!$F$22,1))))/Hipótesis!$E$17</f>
        <v>177.643289927336</v>
      </c>
      <c r="G18" s="119" t="n">
        <f aca="false">(Pipeline!$U$16*Pipeline!$D$16*MIN(1,MAX(0,(5-Pipeline!$E$16+1)/MAX(Pipeline!$F$16,1)))+Pipeline!$U$17*Pipeline!$D$17*MIN(1,MAX(0,(5-Pipeline!$E$17+1)/MAX(Pipeline!$F$17,1)))+Pipeline!$U$18*Pipeline!$D$18*MIN(1,MAX(0,(5-Pipeline!$E$18+1)/MAX(Pipeline!$F$18,1)))+Pipeline!$U$19*Pipeline!$D$19*MIN(1,MAX(0,(5-Pipeline!$E$19+1)/MAX(Pipeline!$F$19,1)))+Pipeline!$U$20*Pipeline!$D$20*MIN(1,MAX(0,(5-Pipeline!$E$20+1)/MAX(Pipeline!$F$20,1)))+Pipeline!$U$21*Pipeline!$D$21*MIN(1,MAX(0,(5-Pipeline!$E$21+1)/MAX(Pipeline!$F$21,1)))+Pipeline!$U$22*Pipeline!$D$22*MIN(1,MAX(0,(5-Pipeline!$E$22+1)/MAX(Pipeline!$F$22,1))))/Hipótesis!$E$17</f>
        <v>206.88757691123</v>
      </c>
      <c r="H18" s="119" t="n">
        <f aca="false">(Pipeline!$U$16*Pipeline!$D$16*MIN(1,MAX(0,(6-Pipeline!$E$16+1)/MAX(Pipeline!$F$16,1)))+Pipeline!$U$17*Pipeline!$D$17*MIN(1,MAX(0,(6-Pipeline!$E$17+1)/MAX(Pipeline!$F$17,1)))+Pipeline!$U$18*Pipeline!$D$18*MIN(1,MAX(0,(6-Pipeline!$E$18+1)/MAX(Pipeline!$F$18,1)))+Pipeline!$U$19*Pipeline!$D$19*MIN(1,MAX(0,(6-Pipeline!$E$19+1)/MAX(Pipeline!$F$19,1)))+Pipeline!$U$20*Pipeline!$D$20*MIN(1,MAX(0,(6-Pipeline!$E$20+1)/MAX(Pipeline!$F$20,1)))+Pipeline!$U$21*Pipeline!$D$21*MIN(1,MAX(0,(6-Pipeline!$E$21+1)/MAX(Pipeline!$F$21,1)))+Pipeline!$U$22*Pipeline!$D$22*MIN(1,MAX(0,(6-Pipeline!$E$22+1)/MAX(Pipeline!$F$22,1))))/Hipótesis!$E$17</f>
        <v>256.317836855259</v>
      </c>
      <c r="I18" s="119" t="n">
        <f aca="false">(Pipeline!$U$16*Pipeline!$D$16*MIN(1,MAX(0,(7-Pipeline!$E$16+1)/MAX(Pipeline!$F$16,1)))+Pipeline!$U$17*Pipeline!$D$17*MIN(1,MAX(0,(7-Pipeline!$E$17+1)/MAX(Pipeline!$F$17,1)))+Pipeline!$U$18*Pipeline!$D$18*MIN(1,MAX(0,(7-Pipeline!$E$18+1)/MAX(Pipeline!$F$18,1)))+Pipeline!$U$19*Pipeline!$D$19*MIN(1,MAX(0,(7-Pipeline!$E$19+1)/MAX(Pipeline!$F$19,1)))+Pipeline!$U$20*Pipeline!$D$20*MIN(1,MAX(0,(7-Pipeline!$E$20+1)/MAX(Pipeline!$F$20,1)))+Pipeline!$U$21*Pipeline!$D$21*MIN(1,MAX(0,(7-Pipeline!$E$21+1)/MAX(Pipeline!$F$21,1)))+Pipeline!$U$22*Pipeline!$D$22*MIN(1,MAX(0,(7-Pipeline!$E$22+1)/MAX(Pipeline!$F$22,1))))/Hipótesis!$E$17</f>
        <v>305.748096799287</v>
      </c>
      <c r="J18" s="119" t="n">
        <f aca="false">(Pipeline!$U$16*Pipeline!$D$16*MIN(1,MAX(0,(8-Pipeline!$E$16+1)/MAX(Pipeline!$F$16,1)))+Pipeline!$U$17*Pipeline!$D$17*MIN(1,MAX(0,(8-Pipeline!$E$17+1)/MAX(Pipeline!$F$17,1)))+Pipeline!$U$18*Pipeline!$D$18*MIN(1,MAX(0,(8-Pipeline!$E$18+1)/MAX(Pipeline!$F$18,1)))+Pipeline!$U$19*Pipeline!$D$19*MIN(1,MAX(0,(8-Pipeline!$E$19+1)/MAX(Pipeline!$F$19,1)))+Pipeline!$U$20*Pipeline!$D$20*MIN(1,MAX(0,(8-Pipeline!$E$20+1)/MAX(Pipeline!$F$20,1)))+Pipeline!$U$21*Pipeline!$D$21*MIN(1,MAX(0,(8-Pipeline!$E$21+1)/MAX(Pipeline!$F$21,1)))+Pipeline!$U$22*Pipeline!$D$22*MIN(1,MAX(0,(8-Pipeline!$E$22+1)/MAX(Pipeline!$F$22,1))))/Hipótesis!$E$17</f>
        <v>355.178356743315</v>
      </c>
      <c r="K18" s="119" t="n">
        <f aca="false">(Pipeline!$U$16*Pipeline!$D$16*MIN(1,MAX(0,(9-Pipeline!$E$16+1)/MAX(Pipeline!$F$16,1)))+Pipeline!$U$17*Pipeline!$D$17*MIN(1,MAX(0,(9-Pipeline!$E$17+1)/MAX(Pipeline!$F$17,1)))+Pipeline!$U$18*Pipeline!$D$18*MIN(1,MAX(0,(9-Pipeline!$E$18+1)/MAX(Pipeline!$F$18,1)))+Pipeline!$U$19*Pipeline!$D$19*MIN(1,MAX(0,(9-Pipeline!$E$19+1)/MAX(Pipeline!$F$19,1)))+Pipeline!$U$20*Pipeline!$D$20*MIN(1,MAX(0,(9-Pipeline!$E$20+1)/MAX(Pipeline!$F$20,1)))+Pipeline!$U$21*Pipeline!$D$21*MIN(1,MAX(0,(9-Pipeline!$E$21+1)/MAX(Pipeline!$F$21,1)))+Pipeline!$U$22*Pipeline!$D$22*MIN(1,MAX(0,(9-Pipeline!$E$22+1)/MAX(Pipeline!$F$22,1))))/Hipótesis!$E$17</f>
        <v>404.608616687343</v>
      </c>
      <c r="L18" s="119" t="n">
        <f aca="false">(Pipeline!$U$16*Pipeline!$D$16*MIN(1,MAX(0,(10-Pipeline!$E$16+1)/MAX(Pipeline!$F$16,1)))+Pipeline!$U$17*Pipeline!$D$17*MIN(1,MAX(0,(10-Pipeline!$E$17+1)/MAX(Pipeline!$F$17,1)))+Pipeline!$U$18*Pipeline!$D$18*MIN(1,MAX(0,(10-Pipeline!$E$18+1)/MAX(Pipeline!$F$18,1)))+Pipeline!$U$19*Pipeline!$D$19*MIN(1,MAX(0,(10-Pipeline!$E$19+1)/MAX(Pipeline!$F$19,1)))+Pipeline!$U$20*Pipeline!$D$20*MIN(1,MAX(0,(10-Pipeline!$E$20+1)/MAX(Pipeline!$F$20,1)))+Pipeline!$U$21*Pipeline!$D$21*MIN(1,MAX(0,(10-Pipeline!$E$21+1)/MAX(Pipeline!$F$21,1)))+Pipeline!$U$22*Pipeline!$D$22*MIN(1,MAX(0,(10-Pipeline!$E$22+1)/MAX(Pipeline!$F$22,1))))/Hipótesis!$E$17</f>
        <v>454.038876631371</v>
      </c>
      <c r="M18" s="119" t="n">
        <f aca="false">(Pipeline!$U$16*Pipeline!$D$16*MIN(1,MAX(0,(11-Pipeline!$E$16+1)/MAX(Pipeline!$F$16,1)))+Pipeline!$U$17*Pipeline!$D$17*MIN(1,MAX(0,(11-Pipeline!$E$17+1)/MAX(Pipeline!$F$17,1)))+Pipeline!$U$18*Pipeline!$D$18*MIN(1,MAX(0,(11-Pipeline!$E$18+1)/MAX(Pipeline!$F$18,1)))+Pipeline!$U$19*Pipeline!$D$19*MIN(1,MAX(0,(11-Pipeline!$E$19+1)/MAX(Pipeline!$F$19,1)))+Pipeline!$U$20*Pipeline!$D$20*MIN(1,MAX(0,(11-Pipeline!$E$20+1)/MAX(Pipeline!$F$20,1)))+Pipeline!$U$21*Pipeline!$D$21*MIN(1,MAX(0,(11-Pipeline!$E$21+1)/MAX(Pipeline!$F$21,1)))+Pipeline!$U$22*Pipeline!$D$22*MIN(1,MAX(0,(11-Pipeline!$E$22+1)/MAX(Pipeline!$F$22,1))))/Hipótesis!$E$17</f>
        <v>474.224849591506</v>
      </c>
      <c r="N18" s="119" t="n">
        <f aca="false">(Pipeline!$U$16*Pipeline!$D$16*MIN(1,MAX(0,(12-Pipeline!$E$16+1)/MAX(Pipeline!$F$16,1)))+Pipeline!$U$17*Pipeline!$D$17*MIN(1,MAX(0,(12-Pipeline!$E$17+1)/MAX(Pipeline!$F$17,1)))+Pipeline!$U$18*Pipeline!$D$18*MIN(1,MAX(0,(12-Pipeline!$E$18+1)/MAX(Pipeline!$F$18,1)))+Pipeline!$U$19*Pipeline!$D$19*MIN(1,MAX(0,(12-Pipeline!$E$19+1)/MAX(Pipeline!$F$19,1)))+Pipeline!$U$20*Pipeline!$D$20*MIN(1,MAX(0,(12-Pipeline!$E$20+1)/MAX(Pipeline!$F$20,1)))+Pipeline!$U$21*Pipeline!$D$21*MIN(1,MAX(0,(12-Pipeline!$E$21+1)/MAX(Pipeline!$F$21,1)))+Pipeline!$U$22*Pipeline!$D$22*MIN(1,MAX(0,(12-Pipeline!$E$22+1)/MAX(Pipeline!$F$22,1))))/Hipótesis!$E$17</f>
        <v>523.77223776638</v>
      </c>
      <c r="O18" s="119" t="n">
        <f aca="false">(Pipeline!$U$16*Pipeline!$D$16*MIN(1,MAX(0,(13-Pipeline!$E$16+1)/MAX(Pipeline!$F$16,1)))+Pipeline!$U$17*Pipeline!$D$17*MIN(1,MAX(0,(13-Pipeline!$E$17+1)/MAX(Pipeline!$F$17,1)))+Pipeline!$U$18*Pipeline!$D$18*MIN(1,MAX(0,(13-Pipeline!$E$18+1)/MAX(Pipeline!$F$18,1)))+Pipeline!$U$19*Pipeline!$D$19*MIN(1,MAX(0,(13-Pipeline!$E$19+1)/MAX(Pipeline!$F$19,1)))+Pipeline!$U$20*Pipeline!$D$20*MIN(1,MAX(0,(13-Pipeline!$E$20+1)/MAX(Pipeline!$F$20,1)))+Pipeline!$U$21*Pipeline!$D$21*MIN(1,MAX(0,(13-Pipeline!$E$21+1)/MAX(Pipeline!$F$21,1)))+Pipeline!$U$22*Pipeline!$D$22*MIN(1,MAX(0,(13-Pipeline!$E$22+1)/MAX(Pipeline!$F$22,1))))/Hipótesis!$E$17</f>
        <v>573.319625941255</v>
      </c>
      <c r="P18" s="119" t="n">
        <f aca="false">(Pipeline!$U$16*Pipeline!$D$16*MIN(1,MAX(0,(14-Pipeline!$E$16+1)/MAX(Pipeline!$F$16,1)))+Pipeline!$U$17*Pipeline!$D$17*MIN(1,MAX(0,(14-Pipeline!$E$17+1)/MAX(Pipeline!$F$17,1)))+Pipeline!$U$18*Pipeline!$D$18*MIN(1,MAX(0,(14-Pipeline!$E$18+1)/MAX(Pipeline!$F$18,1)))+Pipeline!$U$19*Pipeline!$D$19*MIN(1,MAX(0,(14-Pipeline!$E$19+1)/MAX(Pipeline!$F$19,1)))+Pipeline!$U$20*Pipeline!$D$20*MIN(1,MAX(0,(14-Pipeline!$E$20+1)/MAX(Pipeline!$F$20,1)))+Pipeline!$U$21*Pipeline!$D$21*MIN(1,MAX(0,(14-Pipeline!$E$21+1)/MAX(Pipeline!$F$21,1)))+Pipeline!$U$22*Pipeline!$D$22*MIN(1,MAX(0,(14-Pipeline!$E$22+1)/MAX(Pipeline!$F$22,1))))/Hipótesis!$E$17</f>
        <v>614.425607241892</v>
      </c>
      <c r="Q18" s="119" t="n">
        <f aca="false">(Pipeline!$U$16*Pipeline!$D$16*MIN(1,MAX(0,(15-Pipeline!$E$16+1)/MAX(Pipeline!$F$16,1)))+Pipeline!$U$17*Pipeline!$D$17*MIN(1,MAX(0,(15-Pipeline!$E$17+1)/MAX(Pipeline!$F$17,1)))+Pipeline!$U$18*Pipeline!$D$18*MIN(1,MAX(0,(15-Pipeline!$E$18+1)/MAX(Pipeline!$F$18,1)))+Pipeline!$U$19*Pipeline!$D$19*MIN(1,MAX(0,(15-Pipeline!$E$19+1)/MAX(Pipeline!$F$19,1)))+Pipeline!$U$20*Pipeline!$D$20*MIN(1,MAX(0,(15-Pipeline!$E$20+1)/MAX(Pipeline!$F$20,1)))+Pipeline!$U$21*Pipeline!$D$21*MIN(1,MAX(0,(15-Pipeline!$E$21+1)/MAX(Pipeline!$F$21,1)))+Pipeline!$U$22*Pipeline!$D$22*MIN(1,MAX(0,(15-Pipeline!$E$22+1)/MAX(Pipeline!$F$22,1))))/Hipótesis!$E$17</f>
        <v>655.531588542529</v>
      </c>
      <c r="R18" s="119" t="n">
        <f aca="false">(Pipeline!$U$16*Pipeline!$D$16*MIN(1,MAX(0,(16-Pipeline!$E$16+1)/MAX(Pipeline!$F$16,1)))+Pipeline!$U$17*Pipeline!$D$17*MIN(1,MAX(0,(16-Pipeline!$E$17+1)/MAX(Pipeline!$F$17,1)))+Pipeline!$U$18*Pipeline!$D$18*MIN(1,MAX(0,(16-Pipeline!$E$18+1)/MAX(Pipeline!$F$18,1)))+Pipeline!$U$19*Pipeline!$D$19*MIN(1,MAX(0,(16-Pipeline!$E$19+1)/MAX(Pipeline!$F$19,1)))+Pipeline!$U$20*Pipeline!$D$20*MIN(1,MAX(0,(16-Pipeline!$E$20+1)/MAX(Pipeline!$F$20,1)))+Pipeline!$U$21*Pipeline!$D$21*MIN(1,MAX(0,(16-Pipeline!$E$21+1)/MAX(Pipeline!$F$21,1)))+Pipeline!$U$22*Pipeline!$D$22*MIN(1,MAX(0,(16-Pipeline!$E$22+1)/MAX(Pipeline!$F$22,1))))/Hipótesis!$E$17</f>
        <v>696.637569843165</v>
      </c>
      <c r="S18" s="119" t="n">
        <f aca="false">(Pipeline!$U$16*Pipeline!$D$16*MIN(1,MAX(0,(17-Pipeline!$E$16+1)/MAX(Pipeline!$F$16,1)))+Pipeline!$U$17*Pipeline!$D$17*MIN(1,MAX(0,(17-Pipeline!$E$17+1)/MAX(Pipeline!$F$17,1)))+Pipeline!$U$18*Pipeline!$D$18*MIN(1,MAX(0,(17-Pipeline!$E$18+1)/MAX(Pipeline!$F$18,1)))+Pipeline!$U$19*Pipeline!$D$19*MIN(1,MAX(0,(17-Pipeline!$E$19+1)/MAX(Pipeline!$F$19,1)))+Pipeline!$U$20*Pipeline!$D$20*MIN(1,MAX(0,(17-Pipeline!$E$20+1)/MAX(Pipeline!$F$20,1)))+Pipeline!$U$21*Pipeline!$D$21*MIN(1,MAX(0,(17-Pipeline!$E$21+1)/MAX(Pipeline!$F$21,1)))+Pipeline!$U$22*Pipeline!$D$22*MIN(1,MAX(0,(17-Pipeline!$E$22+1)/MAX(Pipeline!$F$22,1))))/Hipótesis!$E$17</f>
        <v>737.743551143802</v>
      </c>
      <c r="T18" s="119" t="n">
        <f aca="false">(Pipeline!$U$16*Pipeline!$D$16*MIN(1,MAX(0,(18-Pipeline!$E$16+1)/MAX(Pipeline!$F$16,1)))+Pipeline!$U$17*Pipeline!$D$17*MIN(1,MAX(0,(18-Pipeline!$E$17+1)/MAX(Pipeline!$F$17,1)))+Pipeline!$U$18*Pipeline!$D$18*MIN(1,MAX(0,(18-Pipeline!$E$18+1)/MAX(Pipeline!$F$18,1)))+Pipeline!$U$19*Pipeline!$D$19*MIN(1,MAX(0,(18-Pipeline!$E$19+1)/MAX(Pipeline!$F$19,1)))+Pipeline!$U$20*Pipeline!$D$20*MIN(1,MAX(0,(18-Pipeline!$E$20+1)/MAX(Pipeline!$F$20,1)))+Pipeline!$U$21*Pipeline!$D$21*MIN(1,MAX(0,(18-Pipeline!$E$21+1)/MAX(Pipeline!$F$21,1)))+Pipeline!$U$22*Pipeline!$D$22*MIN(1,MAX(0,(18-Pipeline!$E$22+1)/MAX(Pipeline!$F$22,1))))/Hipótesis!$E$17</f>
        <v>778.849532444439</v>
      </c>
      <c r="U18" s="119" t="n">
        <f aca="false">(Pipeline!$U$16*Pipeline!$D$16*MIN(1,MAX(0,(19-Pipeline!$E$16+1)/MAX(Pipeline!$F$16,1)))+Pipeline!$U$17*Pipeline!$D$17*MIN(1,MAX(0,(19-Pipeline!$E$17+1)/MAX(Pipeline!$F$17,1)))+Pipeline!$U$18*Pipeline!$D$18*MIN(1,MAX(0,(19-Pipeline!$E$18+1)/MAX(Pipeline!$F$18,1)))+Pipeline!$U$19*Pipeline!$D$19*MIN(1,MAX(0,(19-Pipeline!$E$19+1)/MAX(Pipeline!$F$19,1)))+Pipeline!$U$20*Pipeline!$D$20*MIN(1,MAX(0,(19-Pipeline!$E$20+1)/MAX(Pipeline!$F$20,1)))+Pipeline!$U$21*Pipeline!$D$21*MIN(1,MAX(0,(19-Pipeline!$E$21+1)/MAX(Pipeline!$F$21,1)))+Pipeline!$U$22*Pipeline!$D$22*MIN(1,MAX(0,(19-Pipeline!$E$22+1)/MAX(Pipeline!$F$22,1))))/Hipótesis!$E$17</f>
        <v>819.955513745076</v>
      </c>
      <c r="V18" s="119" t="n">
        <f aca="false">(Pipeline!$U$16*Pipeline!$D$16*MIN(1,MAX(0,(20-Pipeline!$E$16+1)/MAX(Pipeline!$F$16,1)))+Pipeline!$U$17*Pipeline!$D$17*MIN(1,MAX(0,(20-Pipeline!$E$17+1)/MAX(Pipeline!$F$17,1)))+Pipeline!$U$18*Pipeline!$D$18*MIN(1,MAX(0,(20-Pipeline!$E$18+1)/MAX(Pipeline!$F$18,1)))+Pipeline!$U$19*Pipeline!$D$19*MIN(1,MAX(0,(20-Pipeline!$E$19+1)/MAX(Pipeline!$F$19,1)))+Pipeline!$U$20*Pipeline!$D$20*MIN(1,MAX(0,(20-Pipeline!$E$20+1)/MAX(Pipeline!$F$20,1)))+Pipeline!$U$21*Pipeline!$D$21*MIN(1,MAX(0,(20-Pipeline!$E$21+1)/MAX(Pipeline!$F$21,1)))+Pipeline!$U$22*Pipeline!$D$22*MIN(1,MAX(0,(20-Pipeline!$E$22+1)/MAX(Pipeline!$F$22,1))))/Hipótesis!$E$17</f>
        <v>861.061495045713</v>
      </c>
      <c r="W18" s="119" t="n">
        <f aca="false">(Pipeline!$U$16*Pipeline!$D$16*MIN(1,MAX(0,(21-Pipeline!$E$16+1)/MAX(Pipeline!$F$16,1)))+Pipeline!$U$17*Pipeline!$D$17*MIN(1,MAX(0,(21-Pipeline!$E$17+1)/MAX(Pipeline!$F$17,1)))+Pipeline!$U$18*Pipeline!$D$18*MIN(1,MAX(0,(21-Pipeline!$E$18+1)/MAX(Pipeline!$F$18,1)))+Pipeline!$U$19*Pipeline!$D$19*MIN(1,MAX(0,(21-Pipeline!$E$19+1)/MAX(Pipeline!$F$19,1)))+Pipeline!$U$20*Pipeline!$D$20*MIN(1,MAX(0,(21-Pipeline!$E$20+1)/MAX(Pipeline!$F$20,1)))+Pipeline!$U$21*Pipeline!$D$21*MIN(1,MAX(0,(21-Pipeline!$E$21+1)/MAX(Pipeline!$F$21,1)))+Pipeline!$U$22*Pipeline!$D$22*MIN(1,MAX(0,(21-Pipeline!$E$22+1)/MAX(Pipeline!$F$22,1))))/Hipótesis!$E$17</f>
        <v>902.167476346349</v>
      </c>
      <c r="X18" s="119" t="n">
        <f aca="false">(Pipeline!$U$16*Pipeline!$D$16*MIN(1,MAX(0,(22-Pipeline!$E$16+1)/MAX(Pipeline!$F$16,1)))+Pipeline!$U$17*Pipeline!$D$17*MIN(1,MAX(0,(22-Pipeline!$E$17+1)/MAX(Pipeline!$F$17,1)))+Pipeline!$U$18*Pipeline!$D$18*MIN(1,MAX(0,(22-Pipeline!$E$18+1)/MAX(Pipeline!$F$18,1)))+Pipeline!$U$19*Pipeline!$D$19*MIN(1,MAX(0,(22-Pipeline!$E$19+1)/MAX(Pipeline!$F$19,1)))+Pipeline!$U$20*Pipeline!$D$20*MIN(1,MAX(0,(22-Pipeline!$E$20+1)/MAX(Pipeline!$F$20,1)))+Pipeline!$U$21*Pipeline!$D$21*MIN(1,MAX(0,(22-Pipeline!$E$21+1)/MAX(Pipeline!$F$21,1)))+Pipeline!$U$22*Pipeline!$D$22*MIN(1,MAX(0,(22-Pipeline!$E$22+1)/MAX(Pipeline!$F$22,1))))/Hipótesis!$E$17</f>
        <v>913.912042432246</v>
      </c>
      <c r="Y18" s="119" t="n">
        <f aca="false">(Pipeline!$U$16*Pipeline!$D$16*MIN(1,MAX(0,(23-Pipeline!$E$16+1)/MAX(Pipeline!$F$16,1)))+Pipeline!$U$17*Pipeline!$D$17*MIN(1,MAX(0,(23-Pipeline!$E$17+1)/MAX(Pipeline!$F$17,1)))+Pipeline!$U$18*Pipeline!$D$18*MIN(1,MAX(0,(23-Pipeline!$E$18+1)/MAX(Pipeline!$F$18,1)))+Pipeline!$U$19*Pipeline!$D$19*MIN(1,MAX(0,(23-Pipeline!$E$19+1)/MAX(Pipeline!$F$19,1)))+Pipeline!$U$20*Pipeline!$D$20*MIN(1,MAX(0,(23-Pipeline!$E$20+1)/MAX(Pipeline!$F$20,1)))+Pipeline!$U$21*Pipeline!$D$21*MIN(1,MAX(0,(23-Pipeline!$E$21+1)/MAX(Pipeline!$F$21,1)))+Pipeline!$U$22*Pipeline!$D$22*MIN(1,MAX(0,(23-Pipeline!$E$22+1)/MAX(Pipeline!$F$22,1))))/Hipótesis!$E$17</f>
        <v>925.656608518142</v>
      </c>
      <c r="Z18" s="119" t="n">
        <f aca="false">(Pipeline!$U$16*Pipeline!$D$16*MIN(1,MAX(0,(24-Pipeline!$E$16+1)/MAX(Pipeline!$F$16,1)))+Pipeline!$U$17*Pipeline!$D$17*MIN(1,MAX(0,(24-Pipeline!$E$17+1)/MAX(Pipeline!$F$17,1)))+Pipeline!$U$18*Pipeline!$D$18*MIN(1,MAX(0,(24-Pipeline!$E$18+1)/MAX(Pipeline!$F$18,1)))+Pipeline!$U$19*Pipeline!$D$19*MIN(1,MAX(0,(24-Pipeline!$E$19+1)/MAX(Pipeline!$F$19,1)))+Pipeline!$U$20*Pipeline!$D$20*MIN(1,MAX(0,(24-Pipeline!$E$20+1)/MAX(Pipeline!$F$20,1)))+Pipeline!$U$21*Pipeline!$D$21*MIN(1,MAX(0,(24-Pipeline!$E$21+1)/MAX(Pipeline!$F$21,1)))+Pipeline!$U$22*Pipeline!$D$22*MIN(1,MAX(0,(24-Pipeline!$E$22+1)/MAX(Pipeline!$F$22,1))))/Hipótesis!$E$17</f>
        <v>925.656608518142</v>
      </c>
      <c r="AA18" s="119" t="n">
        <f aca="false">(Pipeline!$U$16*Pipeline!$D$16*MIN(1,MAX(0,(25-Pipeline!$E$16+1)/MAX(Pipeline!$F$16,1)))+Pipeline!$U$17*Pipeline!$D$17*MIN(1,MAX(0,(25-Pipeline!$E$17+1)/MAX(Pipeline!$F$17,1)))+Pipeline!$U$18*Pipeline!$D$18*MIN(1,MAX(0,(25-Pipeline!$E$18+1)/MAX(Pipeline!$F$18,1)))+Pipeline!$U$19*Pipeline!$D$19*MIN(1,MAX(0,(25-Pipeline!$E$19+1)/MAX(Pipeline!$F$19,1)))+Pipeline!$U$20*Pipeline!$D$20*MIN(1,MAX(0,(25-Pipeline!$E$20+1)/MAX(Pipeline!$F$20,1)))+Pipeline!$U$21*Pipeline!$D$21*MIN(1,MAX(0,(25-Pipeline!$E$21+1)/MAX(Pipeline!$F$21,1)))+Pipeline!$U$22*Pipeline!$D$22*MIN(1,MAX(0,(25-Pipeline!$E$22+1)/MAX(Pipeline!$F$22,1))))/Hipótesis!$E$17</f>
        <v>925.656608518142</v>
      </c>
      <c r="AB18" s="119" t="n">
        <f aca="false">(Pipeline!$U$16*Pipeline!$D$16*MIN(1,MAX(0,(26-Pipeline!$E$16+1)/MAX(Pipeline!$F$16,1)))+Pipeline!$U$17*Pipeline!$D$17*MIN(1,MAX(0,(26-Pipeline!$E$17+1)/MAX(Pipeline!$F$17,1)))+Pipeline!$U$18*Pipeline!$D$18*MIN(1,MAX(0,(26-Pipeline!$E$18+1)/MAX(Pipeline!$F$18,1)))+Pipeline!$U$19*Pipeline!$D$19*MIN(1,MAX(0,(26-Pipeline!$E$19+1)/MAX(Pipeline!$F$19,1)))+Pipeline!$U$20*Pipeline!$D$20*MIN(1,MAX(0,(26-Pipeline!$E$20+1)/MAX(Pipeline!$F$20,1)))+Pipeline!$U$21*Pipeline!$D$21*MIN(1,MAX(0,(26-Pipeline!$E$21+1)/MAX(Pipeline!$F$21,1)))+Pipeline!$U$22*Pipeline!$D$22*MIN(1,MAX(0,(26-Pipeline!$E$22+1)/MAX(Pipeline!$F$22,1))))/Hipótesis!$E$17</f>
        <v>925.656608518142</v>
      </c>
      <c r="AC18" s="119" t="n">
        <f aca="false">(Pipeline!$U$16*Pipeline!$D$16*MIN(1,MAX(0,(27-Pipeline!$E$16+1)/MAX(Pipeline!$F$16,1)))+Pipeline!$U$17*Pipeline!$D$17*MIN(1,MAX(0,(27-Pipeline!$E$17+1)/MAX(Pipeline!$F$17,1)))+Pipeline!$U$18*Pipeline!$D$18*MIN(1,MAX(0,(27-Pipeline!$E$18+1)/MAX(Pipeline!$F$18,1)))+Pipeline!$U$19*Pipeline!$D$19*MIN(1,MAX(0,(27-Pipeline!$E$19+1)/MAX(Pipeline!$F$19,1)))+Pipeline!$U$20*Pipeline!$D$20*MIN(1,MAX(0,(27-Pipeline!$E$20+1)/MAX(Pipeline!$F$20,1)))+Pipeline!$U$21*Pipeline!$D$21*MIN(1,MAX(0,(27-Pipeline!$E$21+1)/MAX(Pipeline!$F$21,1)))+Pipeline!$U$22*Pipeline!$D$22*MIN(1,MAX(0,(27-Pipeline!$E$22+1)/MAX(Pipeline!$F$22,1))))/Hipótesis!$E$17</f>
        <v>925.656608518142</v>
      </c>
      <c r="AD18" s="119" t="n">
        <f aca="false">(Pipeline!$U$16*Pipeline!$D$16*MIN(1,MAX(0,(28-Pipeline!$E$16+1)/MAX(Pipeline!$F$16,1)))+Pipeline!$U$17*Pipeline!$D$17*MIN(1,MAX(0,(28-Pipeline!$E$17+1)/MAX(Pipeline!$F$17,1)))+Pipeline!$U$18*Pipeline!$D$18*MIN(1,MAX(0,(28-Pipeline!$E$18+1)/MAX(Pipeline!$F$18,1)))+Pipeline!$U$19*Pipeline!$D$19*MIN(1,MAX(0,(28-Pipeline!$E$19+1)/MAX(Pipeline!$F$19,1)))+Pipeline!$U$20*Pipeline!$D$20*MIN(1,MAX(0,(28-Pipeline!$E$20+1)/MAX(Pipeline!$F$20,1)))+Pipeline!$U$21*Pipeline!$D$21*MIN(1,MAX(0,(28-Pipeline!$E$21+1)/MAX(Pipeline!$F$21,1)))+Pipeline!$U$22*Pipeline!$D$22*MIN(1,MAX(0,(28-Pipeline!$E$22+1)/MAX(Pipeline!$F$22,1))))/Hipótesis!$E$17</f>
        <v>925.656608518142</v>
      </c>
      <c r="AE18" s="119" t="n">
        <f aca="false">(Pipeline!$U$16*Pipeline!$D$16*MIN(1,MAX(0,(29-Pipeline!$E$16+1)/MAX(Pipeline!$F$16,1)))+Pipeline!$U$17*Pipeline!$D$17*MIN(1,MAX(0,(29-Pipeline!$E$17+1)/MAX(Pipeline!$F$17,1)))+Pipeline!$U$18*Pipeline!$D$18*MIN(1,MAX(0,(29-Pipeline!$E$18+1)/MAX(Pipeline!$F$18,1)))+Pipeline!$U$19*Pipeline!$D$19*MIN(1,MAX(0,(29-Pipeline!$E$19+1)/MAX(Pipeline!$F$19,1)))+Pipeline!$U$20*Pipeline!$D$20*MIN(1,MAX(0,(29-Pipeline!$E$20+1)/MAX(Pipeline!$F$20,1)))+Pipeline!$U$21*Pipeline!$D$21*MIN(1,MAX(0,(29-Pipeline!$E$21+1)/MAX(Pipeline!$F$21,1)))+Pipeline!$U$22*Pipeline!$D$22*MIN(1,MAX(0,(29-Pipeline!$E$22+1)/MAX(Pipeline!$F$22,1))))/Hipótesis!$E$17</f>
        <v>925.656608518142</v>
      </c>
      <c r="AF18" s="119" t="n">
        <f aca="false">(Pipeline!$U$16*Pipeline!$D$16*MIN(1,MAX(0,(30-Pipeline!$E$16+1)/MAX(Pipeline!$F$16,1)))+Pipeline!$U$17*Pipeline!$D$17*MIN(1,MAX(0,(30-Pipeline!$E$17+1)/MAX(Pipeline!$F$17,1)))+Pipeline!$U$18*Pipeline!$D$18*MIN(1,MAX(0,(30-Pipeline!$E$18+1)/MAX(Pipeline!$F$18,1)))+Pipeline!$U$19*Pipeline!$D$19*MIN(1,MAX(0,(30-Pipeline!$E$19+1)/MAX(Pipeline!$F$19,1)))+Pipeline!$U$20*Pipeline!$D$20*MIN(1,MAX(0,(30-Pipeline!$E$20+1)/MAX(Pipeline!$F$20,1)))+Pipeline!$U$21*Pipeline!$D$21*MIN(1,MAX(0,(30-Pipeline!$E$21+1)/MAX(Pipeline!$F$21,1)))+Pipeline!$U$22*Pipeline!$D$22*MIN(1,MAX(0,(30-Pipeline!$E$22+1)/MAX(Pipeline!$F$22,1))))/Hipótesis!$E$17</f>
        <v>925.656608518142</v>
      </c>
      <c r="AG18" s="119" t="n">
        <f aca="false">(Pipeline!$U$16*Pipeline!$D$16*MIN(1,MAX(0,(31-Pipeline!$E$16+1)/MAX(Pipeline!$F$16,1)))+Pipeline!$U$17*Pipeline!$D$17*MIN(1,MAX(0,(31-Pipeline!$E$17+1)/MAX(Pipeline!$F$17,1)))+Pipeline!$U$18*Pipeline!$D$18*MIN(1,MAX(0,(31-Pipeline!$E$18+1)/MAX(Pipeline!$F$18,1)))+Pipeline!$U$19*Pipeline!$D$19*MIN(1,MAX(0,(31-Pipeline!$E$19+1)/MAX(Pipeline!$F$19,1)))+Pipeline!$U$20*Pipeline!$D$20*MIN(1,MAX(0,(31-Pipeline!$E$20+1)/MAX(Pipeline!$F$20,1)))+Pipeline!$U$21*Pipeline!$D$21*MIN(1,MAX(0,(31-Pipeline!$E$21+1)/MAX(Pipeline!$F$21,1)))+Pipeline!$U$22*Pipeline!$D$22*MIN(1,MAX(0,(31-Pipeline!$E$22+1)/MAX(Pipeline!$F$22,1))))/Hipótesis!$E$17</f>
        <v>925.656608518142</v>
      </c>
      <c r="AH18" s="119" t="n">
        <f aca="false">(Pipeline!$U$16*Pipeline!$D$16*MIN(1,MAX(0,(32-Pipeline!$E$16+1)/MAX(Pipeline!$F$16,1)))+Pipeline!$U$17*Pipeline!$D$17*MIN(1,MAX(0,(32-Pipeline!$E$17+1)/MAX(Pipeline!$F$17,1)))+Pipeline!$U$18*Pipeline!$D$18*MIN(1,MAX(0,(32-Pipeline!$E$18+1)/MAX(Pipeline!$F$18,1)))+Pipeline!$U$19*Pipeline!$D$19*MIN(1,MAX(0,(32-Pipeline!$E$19+1)/MAX(Pipeline!$F$19,1)))+Pipeline!$U$20*Pipeline!$D$20*MIN(1,MAX(0,(32-Pipeline!$E$20+1)/MAX(Pipeline!$F$20,1)))+Pipeline!$U$21*Pipeline!$D$21*MIN(1,MAX(0,(32-Pipeline!$E$21+1)/MAX(Pipeline!$F$21,1)))+Pipeline!$U$22*Pipeline!$D$22*MIN(1,MAX(0,(32-Pipeline!$E$22+1)/MAX(Pipeline!$F$22,1))))/Hipótesis!$E$17</f>
        <v>925.656608518142</v>
      </c>
      <c r="AI18" s="119" t="n">
        <f aca="false">(Pipeline!$U$16*Pipeline!$D$16*MIN(1,MAX(0,(33-Pipeline!$E$16+1)/MAX(Pipeline!$F$16,1)))+Pipeline!$U$17*Pipeline!$D$17*MIN(1,MAX(0,(33-Pipeline!$E$17+1)/MAX(Pipeline!$F$17,1)))+Pipeline!$U$18*Pipeline!$D$18*MIN(1,MAX(0,(33-Pipeline!$E$18+1)/MAX(Pipeline!$F$18,1)))+Pipeline!$U$19*Pipeline!$D$19*MIN(1,MAX(0,(33-Pipeline!$E$19+1)/MAX(Pipeline!$F$19,1)))+Pipeline!$U$20*Pipeline!$D$20*MIN(1,MAX(0,(33-Pipeline!$E$20+1)/MAX(Pipeline!$F$20,1)))+Pipeline!$U$21*Pipeline!$D$21*MIN(1,MAX(0,(33-Pipeline!$E$21+1)/MAX(Pipeline!$F$21,1)))+Pipeline!$U$22*Pipeline!$D$22*MIN(1,MAX(0,(33-Pipeline!$E$22+1)/MAX(Pipeline!$F$22,1))))/Hipótesis!$E$17</f>
        <v>925.656608518142</v>
      </c>
      <c r="AJ18" s="119" t="n">
        <f aca="false">(Pipeline!$U$16*Pipeline!$D$16*MIN(1,MAX(0,(34-Pipeline!$E$16+1)/MAX(Pipeline!$F$16,1)))+Pipeline!$U$17*Pipeline!$D$17*MIN(1,MAX(0,(34-Pipeline!$E$17+1)/MAX(Pipeline!$F$17,1)))+Pipeline!$U$18*Pipeline!$D$18*MIN(1,MAX(0,(34-Pipeline!$E$18+1)/MAX(Pipeline!$F$18,1)))+Pipeline!$U$19*Pipeline!$D$19*MIN(1,MAX(0,(34-Pipeline!$E$19+1)/MAX(Pipeline!$F$19,1)))+Pipeline!$U$20*Pipeline!$D$20*MIN(1,MAX(0,(34-Pipeline!$E$20+1)/MAX(Pipeline!$F$20,1)))+Pipeline!$U$21*Pipeline!$D$21*MIN(1,MAX(0,(34-Pipeline!$E$21+1)/MAX(Pipeline!$F$21,1)))+Pipeline!$U$22*Pipeline!$D$22*MIN(1,MAX(0,(34-Pipeline!$E$22+1)/MAX(Pipeline!$F$22,1))))/Hipótesis!$E$17</f>
        <v>925.656608518142</v>
      </c>
      <c r="AK18" s="119" t="n">
        <f aca="false">(Pipeline!$U$16*Pipeline!$D$16*MIN(1,MAX(0,(35-Pipeline!$E$16+1)/MAX(Pipeline!$F$16,1)))+Pipeline!$U$17*Pipeline!$D$17*MIN(1,MAX(0,(35-Pipeline!$E$17+1)/MAX(Pipeline!$F$17,1)))+Pipeline!$U$18*Pipeline!$D$18*MIN(1,MAX(0,(35-Pipeline!$E$18+1)/MAX(Pipeline!$F$18,1)))+Pipeline!$U$19*Pipeline!$D$19*MIN(1,MAX(0,(35-Pipeline!$E$19+1)/MAX(Pipeline!$F$19,1)))+Pipeline!$U$20*Pipeline!$D$20*MIN(1,MAX(0,(35-Pipeline!$E$20+1)/MAX(Pipeline!$F$20,1)))+Pipeline!$U$21*Pipeline!$D$21*MIN(1,MAX(0,(35-Pipeline!$E$21+1)/MAX(Pipeline!$F$21,1)))+Pipeline!$U$22*Pipeline!$D$22*MIN(1,MAX(0,(35-Pipeline!$E$22+1)/MAX(Pipeline!$F$22,1))))/Hipótesis!$E$17</f>
        <v>925.656608518142</v>
      </c>
      <c r="AL18" s="119" t="n">
        <f aca="false">(Pipeline!$U$16*Pipeline!$D$16*MIN(1,MAX(0,(36-Pipeline!$E$16+1)/MAX(Pipeline!$F$16,1)))+Pipeline!$U$17*Pipeline!$D$17*MIN(1,MAX(0,(36-Pipeline!$E$17+1)/MAX(Pipeline!$F$17,1)))+Pipeline!$U$18*Pipeline!$D$18*MIN(1,MAX(0,(36-Pipeline!$E$18+1)/MAX(Pipeline!$F$18,1)))+Pipeline!$U$19*Pipeline!$D$19*MIN(1,MAX(0,(36-Pipeline!$E$19+1)/MAX(Pipeline!$F$19,1)))+Pipeline!$U$20*Pipeline!$D$20*MIN(1,MAX(0,(36-Pipeline!$E$20+1)/MAX(Pipeline!$F$20,1)))+Pipeline!$U$21*Pipeline!$D$21*MIN(1,MAX(0,(36-Pipeline!$E$21+1)/MAX(Pipeline!$F$21,1)))+Pipeline!$U$22*Pipeline!$D$22*MIN(1,MAX(0,(36-Pipeline!$E$22+1)/MAX(Pipeline!$F$22,1))))/Hipótesis!$E$17</f>
        <v>925.656608518142</v>
      </c>
      <c r="AM18" s="119" t="n">
        <f aca="false">(Pipeline!$U$16*Pipeline!$D$16*MIN(1,MAX(0,(37-Pipeline!$E$16+1)/MAX(Pipeline!$F$16,1)))+Pipeline!$U$17*Pipeline!$D$17*MIN(1,MAX(0,(37-Pipeline!$E$17+1)/MAX(Pipeline!$F$17,1)))+Pipeline!$U$18*Pipeline!$D$18*MIN(1,MAX(0,(37-Pipeline!$E$18+1)/MAX(Pipeline!$F$18,1)))+Pipeline!$U$19*Pipeline!$D$19*MIN(1,MAX(0,(37-Pipeline!$E$19+1)/MAX(Pipeline!$F$19,1)))+Pipeline!$U$20*Pipeline!$D$20*MIN(1,MAX(0,(37-Pipeline!$E$20+1)/MAX(Pipeline!$F$20,1)))+Pipeline!$U$21*Pipeline!$D$21*MIN(1,MAX(0,(37-Pipeline!$E$21+1)/MAX(Pipeline!$F$21,1)))+Pipeline!$U$22*Pipeline!$D$22*MIN(1,MAX(0,(37-Pipeline!$E$22+1)/MAX(Pipeline!$F$22,1))))/Hipótesis!$E$17</f>
        <v>925.656608518142</v>
      </c>
      <c r="AN18" s="119" t="n">
        <f aca="false">(Pipeline!$U$16*Pipeline!$D$16*MIN(1,MAX(0,(38-Pipeline!$E$16+1)/MAX(Pipeline!$F$16,1)))+Pipeline!$U$17*Pipeline!$D$17*MIN(1,MAX(0,(38-Pipeline!$E$17+1)/MAX(Pipeline!$F$17,1)))+Pipeline!$U$18*Pipeline!$D$18*MIN(1,MAX(0,(38-Pipeline!$E$18+1)/MAX(Pipeline!$F$18,1)))+Pipeline!$U$19*Pipeline!$D$19*MIN(1,MAX(0,(38-Pipeline!$E$19+1)/MAX(Pipeline!$F$19,1)))+Pipeline!$U$20*Pipeline!$D$20*MIN(1,MAX(0,(38-Pipeline!$E$20+1)/MAX(Pipeline!$F$20,1)))+Pipeline!$U$21*Pipeline!$D$21*MIN(1,MAX(0,(38-Pipeline!$E$21+1)/MAX(Pipeline!$F$21,1)))+Pipeline!$U$22*Pipeline!$D$22*MIN(1,MAX(0,(38-Pipeline!$E$22+1)/MAX(Pipeline!$F$22,1))))/Hipótesis!$E$17</f>
        <v>925.656608518142</v>
      </c>
      <c r="AO18" s="119" t="n">
        <f aca="false">(Pipeline!$U$16*Pipeline!$D$16*MIN(1,MAX(0,(39-Pipeline!$E$16+1)/MAX(Pipeline!$F$16,1)))+Pipeline!$U$17*Pipeline!$D$17*MIN(1,MAX(0,(39-Pipeline!$E$17+1)/MAX(Pipeline!$F$17,1)))+Pipeline!$U$18*Pipeline!$D$18*MIN(1,MAX(0,(39-Pipeline!$E$18+1)/MAX(Pipeline!$F$18,1)))+Pipeline!$U$19*Pipeline!$D$19*MIN(1,MAX(0,(39-Pipeline!$E$19+1)/MAX(Pipeline!$F$19,1)))+Pipeline!$U$20*Pipeline!$D$20*MIN(1,MAX(0,(39-Pipeline!$E$20+1)/MAX(Pipeline!$F$20,1)))+Pipeline!$U$21*Pipeline!$D$21*MIN(1,MAX(0,(39-Pipeline!$E$21+1)/MAX(Pipeline!$F$21,1)))+Pipeline!$U$22*Pipeline!$D$22*MIN(1,MAX(0,(39-Pipeline!$E$22+1)/MAX(Pipeline!$F$22,1))))/Hipótesis!$E$17</f>
        <v>925.656608518142</v>
      </c>
      <c r="AP18" s="119" t="n">
        <f aca="false">(Pipeline!$U$16*Pipeline!$D$16*MIN(1,MAX(0,(40-Pipeline!$E$16+1)/MAX(Pipeline!$F$16,1)))+Pipeline!$U$17*Pipeline!$D$17*MIN(1,MAX(0,(40-Pipeline!$E$17+1)/MAX(Pipeline!$F$17,1)))+Pipeline!$U$18*Pipeline!$D$18*MIN(1,MAX(0,(40-Pipeline!$E$18+1)/MAX(Pipeline!$F$18,1)))+Pipeline!$U$19*Pipeline!$D$19*MIN(1,MAX(0,(40-Pipeline!$E$19+1)/MAX(Pipeline!$F$19,1)))+Pipeline!$U$20*Pipeline!$D$20*MIN(1,MAX(0,(40-Pipeline!$E$20+1)/MAX(Pipeline!$F$20,1)))+Pipeline!$U$21*Pipeline!$D$21*MIN(1,MAX(0,(40-Pipeline!$E$21+1)/MAX(Pipeline!$F$21,1)))+Pipeline!$U$22*Pipeline!$D$22*MIN(1,MAX(0,(40-Pipeline!$E$22+1)/MAX(Pipeline!$F$22,1))))/Hipótesis!$E$17</f>
        <v>925.656608518142</v>
      </c>
      <c r="AQ18" s="119" t="n">
        <f aca="false">(Pipeline!$U$16*Pipeline!$D$16*MIN(1,MAX(0,(41-Pipeline!$E$16+1)/MAX(Pipeline!$F$16,1)))+Pipeline!$U$17*Pipeline!$D$17*MIN(1,MAX(0,(41-Pipeline!$E$17+1)/MAX(Pipeline!$F$17,1)))+Pipeline!$U$18*Pipeline!$D$18*MIN(1,MAX(0,(41-Pipeline!$E$18+1)/MAX(Pipeline!$F$18,1)))+Pipeline!$U$19*Pipeline!$D$19*MIN(1,MAX(0,(41-Pipeline!$E$19+1)/MAX(Pipeline!$F$19,1)))+Pipeline!$U$20*Pipeline!$D$20*MIN(1,MAX(0,(41-Pipeline!$E$20+1)/MAX(Pipeline!$F$20,1)))+Pipeline!$U$21*Pipeline!$D$21*MIN(1,MAX(0,(41-Pipeline!$E$21+1)/MAX(Pipeline!$F$21,1)))+Pipeline!$U$22*Pipeline!$D$22*MIN(1,MAX(0,(41-Pipeline!$E$22+1)/MAX(Pipeline!$F$22,1))))/Hipótesis!$E$17</f>
        <v>925.656608518142</v>
      </c>
      <c r="AR18" s="119" t="n">
        <f aca="false">(Pipeline!$U$16*Pipeline!$D$16*MIN(1,MAX(0,(42-Pipeline!$E$16+1)/MAX(Pipeline!$F$16,1)))+Pipeline!$U$17*Pipeline!$D$17*MIN(1,MAX(0,(42-Pipeline!$E$17+1)/MAX(Pipeline!$F$17,1)))+Pipeline!$U$18*Pipeline!$D$18*MIN(1,MAX(0,(42-Pipeline!$E$18+1)/MAX(Pipeline!$F$18,1)))+Pipeline!$U$19*Pipeline!$D$19*MIN(1,MAX(0,(42-Pipeline!$E$19+1)/MAX(Pipeline!$F$19,1)))+Pipeline!$U$20*Pipeline!$D$20*MIN(1,MAX(0,(42-Pipeline!$E$20+1)/MAX(Pipeline!$F$20,1)))+Pipeline!$U$21*Pipeline!$D$21*MIN(1,MAX(0,(42-Pipeline!$E$21+1)/MAX(Pipeline!$F$21,1)))+Pipeline!$U$22*Pipeline!$D$22*MIN(1,MAX(0,(42-Pipeline!$E$22+1)/MAX(Pipeline!$F$22,1))))/Hipótesis!$E$17</f>
        <v>925.656608518142</v>
      </c>
      <c r="AS18" s="119" t="n">
        <f aca="false">(Pipeline!$U$16*Pipeline!$D$16*MIN(1,MAX(0,(43-Pipeline!$E$16+1)/MAX(Pipeline!$F$16,1)))+Pipeline!$U$17*Pipeline!$D$17*MIN(1,MAX(0,(43-Pipeline!$E$17+1)/MAX(Pipeline!$F$17,1)))+Pipeline!$U$18*Pipeline!$D$18*MIN(1,MAX(0,(43-Pipeline!$E$18+1)/MAX(Pipeline!$F$18,1)))+Pipeline!$U$19*Pipeline!$D$19*MIN(1,MAX(0,(43-Pipeline!$E$19+1)/MAX(Pipeline!$F$19,1)))+Pipeline!$U$20*Pipeline!$D$20*MIN(1,MAX(0,(43-Pipeline!$E$20+1)/MAX(Pipeline!$F$20,1)))+Pipeline!$U$21*Pipeline!$D$21*MIN(1,MAX(0,(43-Pipeline!$E$21+1)/MAX(Pipeline!$F$21,1)))+Pipeline!$U$22*Pipeline!$D$22*MIN(1,MAX(0,(43-Pipeline!$E$22+1)/MAX(Pipeline!$F$22,1))))/Hipótesis!$E$17</f>
        <v>925.656608518142</v>
      </c>
      <c r="AT18" s="119" t="n">
        <f aca="false">(Pipeline!$U$16*Pipeline!$D$16*MIN(1,MAX(0,(44-Pipeline!$E$16+1)/MAX(Pipeline!$F$16,1)))+Pipeline!$U$17*Pipeline!$D$17*MIN(1,MAX(0,(44-Pipeline!$E$17+1)/MAX(Pipeline!$F$17,1)))+Pipeline!$U$18*Pipeline!$D$18*MIN(1,MAX(0,(44-Pipeline!$E$18+1)/MAX(Pipeline!$F$18,1)))+Pipeline!$U$19*Pipeline!$D$19*MIN(1,MAX(0,(44-Pipeline!$E$19+1)/MAX(Pipeline!$F$19,1)))+Pipeline!$U$20*Pipeline!$D$20*MIN(1,MAX(0,(44-Pipeline!$E$20+1)/MAX(Pipeline!$F$20,1)))+Pipeline!$U$21*Pipeline!$D$21*MIN(1,MAX(0,(44-Pipeline!$E$21+1)/MAX(Pipeline!$F$21,1)))+Pipeline!$U$22*Pipeline!$D$22*MIN(1,MAX(0,(44-Pipeline!$E$22+1)/MAX(Pipeline!$F$22,1))))/Hipótesis!$E$17</f>
        <v>925.656608518142</v>
      </c>
      <c r="AU18" s="119" t="n">
        <f aca="false">(Pipeline!$U$16*Pipeline!$D$16*MIN(1,MAX(0,(45-Pipeline!$E$16+1)/MAX(Pipeline!$F$16,1)))+Pipeline!$U$17*Pipeline!$D$17*MIN(1,MAX(0,(45-Pipeline!$E$17+1)/MAX(Pipeline!$F$17,1)))+Pipeline!$U$18*Pipeline!$D$18*MIN(1,MAX(0,(45-Pipeline!$E$18+1)/MAX(Pipeline!$F$18,1)))+Pipeline!$U$19*Pipeline!$D$19*MIN(1,MAX(0,(45-Pipeline!$E$19+1)/MAX(Pipeline!$F$19,1)))+Pipeline!$U$20*Pipeline!$D$20*MIN(1,MAX(0,(45-Pipeline!$E$20+1)/MAX(Pipeline!$F$20,1)))+Pipeline!$U$21*Pipeline!$D$21*MIN(1,MAX(0,(45-Pipeline!$E$21+1)/MAX(Pipeline!$F$21,1)))+Pipeline!$U$22*Pipeline!$D$22*MIN(1,MAX(0,(45-Pipeline!$E$22+1)/MAX(Pipeline!$F$22,1))))/Hipótesis!$E$17</f>
        <v>925.656608518142</v>
      </c>
      <c r="AV18" s="119" t="n">
        <f aca="false">(Pipeline!$U$16*Pipeline!$D$16*MIN(1,MAX(0,(46-Pipeline!$E$16+1)/MAX(Pipeline!$F$16,1)))+Pipeline!$U$17*Pipeline!$D$17*MIN(1,MAX(0,(46-Pipeline!$E$17+1)/MAX(Pipeline!$F$17,1)))+Pipeline!$U$18*Pipeline!$D$18*MIN(1,MAX(0,(46-Pipeline!$E$18+1)/MAX(Pipeline!$F$18,1)))+Pipeline!$U$19*Pipeline!$D$19*MIN(1,MAX(0,(46-Pipeline!$E$19+1)/MAX(Pipeline!$F$19,1)))+Pipeline!$U$20*Pipeline!$D$20*MIN(1,MAX(0,(46-Pipeline!$E$20+1)/MAX(Pipeline!$F$20,1)))+Pipeline!$U$21*Pipeline!$D$21*MIN(1,MAX(0,(46-Pipeline!$E$21+1)/MAX(Pipeline!$F$21,1)))+Pipeline!$U$22*Pipeline!$D$22*MIN(1,MAX(0,(46-Pipeline!$E$22+1)/MAX(Pipeline!$F$22,1))))/Hipótesis!$E$17</f>
        <v>925.656608518142</v>
      </c>
      <c r="AW18" s="119" t="n">
        <f aca="false">(Pipeline!$U$16*Pipeline!$D$16*MIN(1,MAX(0,(47-Pipeline!$E$16+1)/MAX(Pipeline!$F$16,1)))+Pipeline!$U$17*Pipeline!$D$17*MIN(1,MAX(0,(47-Pipeline!$E$17+1)/MAX(Pipeline!$F$17,1)))+Pipeline!$U$18*Pipeline!$D$18*MIN(1,MAX(0,(47-Pipeline!$E$18+1)/MAX(Pipeline!$F$18,1)))+Pipeline!$U$19*Pipeline!$D$19*MIN(1,MAX(0,(47-Pipeline!$E$19+1)/MAX(Pipeline!$F$19,1)))+Pipeline!$U$20*Pipeline!$D$20*MIN(1,MAX(0,(47-Pipeline!$E$20+1)/MAX(Pipeline!$F$20,1)))+Pipeline!$U$21*Pipeline!$D$21*MIN(1,MAX(0,(47-Pipeline!$E$21+1)/MAX(Pipeline!$F$21,1)))+Pipeline!$U$22*Pipeline!$D$22*MIN(1,MAX(0,(47-Pipeline!$E$22+1)/MAX(Pipeline!$F$22,1))))/Hipótesis!$E$17</f>
        <v>925.656608518142</v>
      </c>
      <c r="AX18" s="119" t="n">
        <f aca="false">(Pipeline!$U$16*Pipeline!$D$16*MIN(1,MAX(0,(48-Pipeline!$E$16+1)/MAX(Pipeline!$F$16,1)))+Pipeline!$U$17*Pipeline!$D$17*MIN(1,MAX(0,(48-Pipeline!$E$17+1)/MAX(Pipeline!$F$17,1)))+Pipeline!$U$18*Pipeline!$D$18*MIN(1,MAX(0,(48-Pipeline!$E$18+1)/MAX(Pipeline!$F$18,1)))+Pipeline!$U$19*Pipeline!$D$19*MIN(1,MAX(0,(48-Pipeline!$E$19+1)/MAX(Pipeline!$F$19,1)))+Pipeline!$U$20*Pipeline!$D$20*MIN(1,MAX(0,(48-Pipeline!$E$20+1)/MAX(Pipeline!$F$20,1)))+Pipeline!$U$21*Pipeline!$D$21*MIN(1,MAX(0,(48-Pipeline!$E$21+1)/MAX(Pipeline!$F$21,1)))+Pipeline!$U$22*Pipeline!$D$22*MIN(1,MAX(0,(48-Pipeline!$E$22+1)/MAX(Pipeline!$F$22,1))))/Hipótesis!$E$17</f>
        <v>925.656608518142</v>
      </c>
      <c r="AY18" s="119" t="n">
        <f aca="false">(Pipeline!$U$16*Pipeline!$D$16*MIN(1,MAX(0,(49-Pipeline!$E$16+1)/MAX(Pipeline!$F$16,1)))+Pipeline!$U$17*Pipeline!$D$17*MIN(1,MAX(0,(49-Pipeline!$E$17+1)/MAX(Pipeline!$F$17,1)))+Pipeline!$U$18*Pipeline!$D$18*MIN(1,MAX(0,(49-Pipeline!$E$18+1)/MAX(Pipeline!$F$18,1)))+Pipeline!$U$19*Pipeline!$D$19*MIN(1,MAX(0,(49-Pipeline!$E$19+1)/MAX(Pipeline!$F$19,1)))+Pipeline!$U$20*Pipeline!$D$20*MIN(1,MAX(0,(49-Pipeline!$E$20+1)/MAX(Pipeline!$F$20,1)))+Pipeline!$U$21*Pipeline!$D$21*MIN(1,MAX(0,(49-Pipeline!$E$21+1)/MAX(Pipeline!$F$21,1)))+Pipeline!$U$22*Pipeline!$D$22*MIN(1,MAX(0,(49-Pipeline!$E$22+1)/MAX(Pipeline!$F$22,1))))/Hipótesis!$E$17</f>
        <v>925.656608518142</v>
      </c>
      <c r="AZ18" s="119" t="n">
        <f aca="false">(Pipeline!$U$16*Pipeline!$D$16*MIN(1,MAX(0,(50-Pipeline!$E$16+1)/MAX(Pipeline!$F$16,1)))+Pipeline!$U$17*Pipeline!$D$17*MIN(1,MAX(0,(50-Pipeline!$E$17+1)/MAX(Pipeline!$F$17,1)))+Pipeline!$U$18*Pipeline!$D$18*MIN(1,MAX(0,(50-Pipeline!$E$18+1)/MAX(Pipeline!$F$18,1)))+Pipeline!$U$19*Pipeline!$D$19*MIN(1,MAX(0,(50-Pipeline!$E$19+1)/MAX(Pipeline!$F$19,1)))+Pipeline!$U$20*Pipeline!$D$20*MIN(1,MAX(0,(50-Pipeline!$E$20+1)/MAX(Pipeline!$F$20,1)))+Pipeline!$U$21*Pipeline!$D$21*MIN(1,MAX(0,(50-Pipeline!$E$21+1)/MAX(Pipeline!$F$21,1)))+Pipeline!$U$22*Pipeline!$D$22*MIN(1,MAX(0,(50-Pipeline!$E$22+1)/MAX(Pipeline!$F$22,1))))/Hipótesis!$E$17</f>
        <v>925.656608518142</v>
      </c>
      <c r="BA18" s="119" t="n">
        <f aca="false">(Pipeline!$U$16*Pipeline!$D$16*MIN(1,MAX(0,(51-Pipeline!$E$16+1)/MAX(Pipeline!$F$16,1)))+Pipeline!$U$17*Pipeline!$D$17*MIN(1,MAX(0,(51-Pipeline!$E$17+1)/MAX(Pipeline!$F$17,1)))+Pipeline!$U$18*Pipeline!$D$18*MIN(1,MAX(0,(51-Pipeline!$E$18+1)/MAX(Pipeline!$F$18,1)))+Pipeline!$U$19*Pipeline!$D$19*MIN(1,MAX(0,(51-Pipeline!$E$19+1)/MAX(Pipeline!$F$19,1)))+Pipeline!$U$20*Pipeline!$D$20*MIN(1,MAX(0,(51-Pipeline!$E$20+1)/MAX(Pipeline!$F$20,1)))+Pipeline!$U$21*Pipeline!$D$21*MIN(1,MAX(0,(51-Pipeline!$E$21+1)/MAX(Pipeline!$F$21,1)))+Pipeline!$U$22*Pipeline!$D$22*MIN(1,MAX(0,(51-Pipeline!$E$22+1)/MAX(Pipeline!$F$22,1))))/Hipótesis!$E$17</f>
        <v>925.656608518142</v>
      </c>
      <c r="BB18" s="119" t="n">
        <f aca="false">(Pipeline!$U$16*Pipeline!$D$16*MIN(1,MAX(0,(52-Pipeline!$E$16+1)/MAX(Pipeline!$F$16,1)))+Pipeline!$U$17*Pipeline!$D$17*MIN(1,MAX(0,(52-Pipeline!$E$17+1)/MAX(Pipeline!$F$17,1)))+Pipeline!$U$18*Pipeline!$D$18*MIN(1,MAX(0,(52-Pipeline!$E$18+1)/MAX(Pipeline!$F$18,1)))+Pipeline!$U$19*Pipeline!$D$19*MIN(1,MAX(0,(52-Pipeline!$E$19+1)/MAX(Pipeline!$F$19,1)))+Pipeline!$U$20*Pipeline!$D$20*MIN(1,MAX(0,(52-Pipeline!$E$20+1)/MAX(Pipeline!$F$20,1)))+Pipeline!$U$21*Pipeline!$D$21*MIN(1,MAX(0,(52-Pipeline!$E$21+1)/MAX(Pipeline!$F$21,1)))+Pipeline!$U$22*Pipeline!$D$22*MIN(1,MAX(0,(52-Pipeline!$E$22+1)/MAX(Pipeline!$F$22,1))))/Hipótesis!$E$17</f>
        <v>925.656608518142</v>
      </c>
      <c r="BC18" s="119" t="n">
        <f aca="false">(Pipeline!$U$16*Pipeline!$D$16*MIN(1,MAX(0,(53-Pipeline!$E$16+1)/MAX(Pipeline!$F$16,1)))+Pipeline!$U$17*Pipeline!$D$17*MIN(1,MAX(0,(53-Pipeline!$E$17+1)/MAX(Pipeline!$F$17,1)))+Pipeline!$U$18*Pipeline!$D$18*MIN(1,MAX(0,(53-Pipeline!$E$18+1)/MAX(Pipeline!$F$18,1)))+Pipeline!$U$19*Pipeline!$D$19*MIN(1,MAX(0,(53-Pipeline!$E$19+1)/MAX(Pipeline!$F$19,1)))+Pipeline!$U$20*Pipeline!$D$20*MIN(1,MAX(0,(53-Pipeline!$E$20+1)/MAX(Pipeline!$F$20,1)))+Pipeline!$U$21*Pipeline!$D$21*MIN(1,MAX(0,(53-Pipeline!$E$21+1)/MAX(Pipeline!$F$21,1)))+Pipeline!$U$22*Pipeline!$D$22*MIN(1,MAX(0,(53-Pipeline!$E$22+1)/MAX(Pipeline!$F$22,1))))/Hipótesis!$E$17</f>
        <v>925.656608518142</v>
      </c>
      <c r="BD18" s="119" t="n">
        <f aca="false">(Pipeline!$U$16*Pipeline!$D$16*MIN(1,MAX(0,(54-Pipeline!$E$16+1)/MAX(Pipeline!$F$16,1)))+Pipeline!$U$17*Pipeline!$D$17*MIN(1,MAX(0,(54-Pipeline!$E$17+1)/MAX(Pipeline!$F$17,1)))+Pipeline!$U$18*Pipeline!$D$18*MIN(1,MAX(0,(54-Pipeline!$E$18+1)/MAX(Pipeline!$F$18,1)))+Pipeline!$U$19*Pipeline!$D$19*MIN(1,MAX(0,(54-Pipeline!$E$19+1)/MAX(Pipeline!$F$19,1)))+Pipeline!$U$20*Pipeline!$D$20*MIN(1,MAX(0,(54-Pipeline!$E$20+1)/MAX(Pipeline!$F$20,1)))+Pipeline!$U$21*Pipeline!$D$21*MIN(1,MAX(0,(54-Pipeline!$E$21+1)/MAX(Pipeline!$F$21,1)))+Pipeline!$U$22*Pipeline!$D$22*MIN(1,MAX(0,(54-Pipeline!$E$22+1)/MAX(Pipeline!$F$22,1))))/Hipótesis!$E$17</f>
        <v>925.656608518142</v>
      </c>
      <c r="BE18" s="119" t="n">
        <f aca="false">(Pipeline!$U$16*Pipeline!$D$16*MIN(1,MAX(0,(55-Pipeline!$E$16+1)/MAX(Pipeline!$F$16,1)))+Pipeline!$U$17*Pipeline!$D$17*MIN(1,MAX(0,(55-Pipeline!$E$17+1)/MAX(Pipeline!$F$17,1)))+Pipeline!$U$18*Pipeline!$D$18*MIN(1,MAX(0,(55-Pipeline!$E$18+1)/MAX(Pipeline!$F$18,1)))+Pipeline!$U$19*Pipeline!$D$19*MIN(1,MAX(0,(55-Pipeline!$E$19+1)/MAX(Pipeline!$F$19,1)))+Pipeline!$U$20*Pipeline!$D$20*MIN(1,MAX(0,(55-Pipeline!$E$20+1)/MAX(Pipeline!$F$20,1)))+Pipeline!$U$21*Pipeline!$D$21*MIN(1,MAX(0,(55-Pipeline!$E$21+1)/MAX(Pipeline!$F$21,1)))+Pipeline!$U$22*Pipeline!$D$22*MIN(1,MAX(0,(55-Pipeline!$E$22+1)/MAX(Pipeline!$F$22,1))))/Hipótesis!$E$17</f>
        <v>925.656608518142</v>
      </c>
      <c r="BF18" s="119" t="n">
        <f aca="false">(Pipeline!$U$16*Pipeline!$D$16*MIN(1,MAX(0,(56-Pipeline!$E$16+1)/MAX(Pipeline!$F$16,1)))+Pipeline!$U$17*Pipeline!$D$17*MIN(1,MAX(0,(56-Pipeline!$E$17+1)/MAX(Pipeline!$F$17,1)))+Pipeline!$U$18*Pipeline!$D$18*MIN(1,MAX(0,(56-Pipeline!$E$18+1)/MAX(Pipeline!$F$18,1)))+Pipeline!$U$19*Pipeline!$D$19*MIN(1,MAX(0,(56-Pipeline!$E$19+1)/MAX(Pipeline!$F$19,1)))+Pipeline!$U$20*Pipeline!$D$20*MIN(1,MAX(0,(56-Pipeline!$E$20+1)/MAX(Pipeline!$F$20,1)))+Pipeline!$U$21*Pipeline!$D$21*MIN(1,MAX(0,(56-Pipeline!$E$21+1)/MAX(Pipeline!$F$21,1)))+Pipeline!$U$22*Pipeline!$D$22*MIN(1,MAX(0,(56-Pipeline!$E$22+1)/MAX(Pipeline!$F$22,1))))/Hipótesis!$E$17</f>
        <v>925.656608518142</v>
      </c>
      <c r="BG18" s="119" t="n">
        <f aca="false">(Pipeline!$U$16*Pipeline!$D$16*MIN(1,MAX(0,(57-Pipeline!$E$16+1)/MAX(Pipeline!$F$16,1)))+Pipeline!$U$17*Pipeline!$D$17*MIN(1,MAX(0,(57-Pipeline!$E$17+1)/MAX(Pipeline!$F$17,1)))+Pipeline!$U$18*Pipeline!$D$18*MIN(1,MAX(0,(57-Pipeline!$E$18+1)/MAX(Pipeline!$F$18,1)))+Pipeline!$U$19*Pipeline!$D$19*MIN(1,MAX(0,(57-Pipeline!$E$19+1)/MAX(Pipeline!$F$19,1)))+Pipeline!$U$20*Pipeline!$D$20*MIN(1,MAX(0,(57-Pipeline!$E$20+1)/MAX(Pipeline!$F$20,1)))+Pipeline!$U$21*Pipeline!$D$21*MIN(1,MAX(0,(57-Pipeline!$E$21+1)/MAX(Pipeline!$F$21,1)))+Pipeline!$U$22*Pipeline!$D$22*MIN(1,MAX(0,(57-Pipeline!$E$22+1)/MAX(Pipeline!$F$22,1))))/Hipótesis!$E$17</f>
        <v>925.656608518142</v>
      </c>
      <c r="BH18" s="119" t="n">
        <f aca="false">(Pipeline!$U$16*Pipeline!$D$16*MIN(1,MAX(0,(58-Pipeline!$E$16+1)/MAX(Pipeline!$F$16,1)))+Pipeline!$U$17*Pipeline!$D$17*MIN(1,MAX(0,(58-Pipeline!$E$17+1)/MAX(Pipeline!$F$17,1)))+Pipeline!$U$18*Pipeline!$D$18*MIN(1,MAX(0,(58-Pipeline!$E$18+1)/MAX(Pipeline!$F$18,1)))+Pipeline!$U$19*Pipeline!$D$19*MIN(1,MAX(0,(58-Pipeline!$E$19+1)/MAX(Pipeline!$F$19,1)))+Pipeline!$U$20*Pipeline!$D$20*MIN(1,MAX(0,(58-Pipeline!$E$20+1)/MAX(Pipeline!$F$20,1)))+Pipeline!$U$21*Pipeline!$D$21*MIN(1,MAX(0,(58-Pipeline!$E$21+1)/MAX(Pipeline!$F$21,1)))+Pipeline!$U$22*Pipeline!$D$22*MIN(1,MAX(0,(58-Pipeline!$E$22+1)/MAX(Pipeline!$F$22,1))))/Hipótesis!$E$17</f>
        <v>925.656608518142</v>
      </c>
      <c r="BI18" s="119" t="n">
        <f aca="false">(Pipeline!$U$16*Pipeline!$D$16*MIN(1,MAX(0,(59-Pipeline!$E$16+1)/MAX(Pipeline!$F$16,1)))+Pipeline!$U$17*Pipeline!$D$17*MIN(1,MAX(0,(59-Pipeline!$E$17+1)/MAX(Pipeline!$F$17,1)))+Pipeline!$U$18*Pipeline!$D$18*MIN(1,MAX(0,(59-Pipeline!$E$18+1)/MAX(Pipeline!$F$18,1)))+Pipeline!$U$19*Pipeline!$D$19*MIN(1,MAX(0,(59-Pipeline!$E$19+1)/MAX(Pipeline!$F$19,1)))+Pipeline!$U$20*Pipeline!$D$20*MIN(1,MAX(0,(59-Pipeline!$E$20+1)/MAX(Pipeline!$F$20,1)))+Pipeline!$U$21*Pipeline!$D$21*MIN(1,MAX(0,(59-Pipeline!$E$21+1)/MAX(Pipeline!$F$21,1)))+Pipeline!$U$22*Pipeline!$D$22*MIN(1,MAX(0,(59-Pipeline!$E$22+1)/MAX(Pipeline!$F$22,1))))/Hipótesis!$E$17</f>
        <v>925.656608518142</v>
      </c>
      <c r="BJ18" s="119" t="n">
        <f aca="false">(Pipeline!$U$16*Pipeline!$D$16*MIN(1,MAX(0,(60-Pipeline!$E$16+1)/MAX(Pipeline!$F$16,1)))+Pipeline!$U$17*Pipeline!$D$17*MIN(1,MAX(0,(60-Pipeline!$E$17+1)/MAX(Pipeline!$F$17,1)))+Pipeline!$U$18*Pipeline!$D$18*MIN(1,MAX(0,(60-Pipeline!$E$18+1)/MAX(Pipeline!$F$18,1)))+Pipeline!$U$19*Pipeline!$D$19*MIN(1,MAX(0,(60-Pipeline!$E$19+1)/MAX(Pipeline!$F$19,1)))+Pipeline!$U$20*Pipeline!$D$20*MIN(1,MAX(0,(60-Pipeline!$E$20+1)/MAX(Pipeline!$F$20,1)))+Pipeline!$U$21*Pipeline!$D$21*MIN(1,MAX(0,(60-Pipeline!$E$21+1)/MAX(Pipeline!$F$21,1)))+Pipeline!$U$22*Pipeline!$D$22*MIN(1,MAX(0,(60-Pipeline!$E$22+1)/MAX(Pipeline!$F$22,1))))/Hipótesis!$E$17</f>
        <v>925.656608518142</v>
      </c>
      <c r="BK18" s="119" t="n">
        <f aca="false">(Pipeline!$U$16*Pipeline!$D$16*MIN(1,MAX(0,(61-Pipeline!$E$16+1)/MAX(Pipeline!$F$16,1)))+Pipeline!$U$17*Pipeline!$D$17*MIN(1,MAX(0,(61-Pipeline!$E$17+1)/MAX(Pipeline!$F$17,1)))+Pipeline!$U$18*Pipeline!$D$18*MIN(1,MAX(0,(61-Pipeline!$E$18+1)/MAX(Pipeline!$F$18,1)))+Pipeline!$U$19*Pipeline!$D$19*MIN(1,MAX(0,(61-Pipeline!$E$19+1)/MAX(Pipeline!$F$19,1)))+Pipeline!$U$20*Pipeline!$D$20*MIN(1,MAX(0,(61-Pipeline!$E$20+1)/MAX(Pipeline!$F$20,1)))+Pipeline!$U$21*Pipeline!$D$21*MIN(1,MAX(0,(61-Pipeline!$E$21+1)/MAX(Pipeline!$F$21,1)))+Pipeline!$U$22*Pipeline!$D$22*MIN(1,MAX(0,(61-Pipeline!$E$22+1)/MAX(Pipeline!$F$22,1))))/Hipótesis!$E$17</f>
        <v>925.656608518142</v>
      </c>
      <c r="BL18" s="119" t="n">
        <f aca="false">(Pipeline!$U$16*Pipeline!$D$16*MIN(1,MAX(0,(62-Pipeline!$E$16+1)/MAX(Pipeline!$F$16,1)))+Pipeline!$U$17*Pipeline!$D$17*MIN(1,MAX(0,(62-Pipeline!$E$17+1)/MAX(Pipeline!$F$17,1)))+Pipeline!$U$18*Pipeline!$D$18*MIN(1,MAX(0,(62-Pipeline!$E$18+1)/MAX(Pipeline!$F$18,1)))+Pipeline!$U$19*Pipeline!$D$19*MIN(1,MAX(0,(62-Pipeline!$E$19+1)/MAX(Pipeline!$F$19,1)))+Pipeline!$U$20*Pipeline!$D$20*MIN(1,MAX(0,(62-Pipeline!$E$20+1)/MAX(Pipeline!$F$20,1)))+Pipeline!$U$21*Pipeline!$D$21*MIN(1,MAX(0,(62-Pipeline!$E$21+1)/MAX(Pipeline!$F$21,1)))+Pipeline!$U$22*Pipeline!$D$22*MIN(1,MAX(0,(62-Pipeline!$E$22+1)/MAX(Pipeline!$F$22,1))))/Hipótesis!$E$17</f>
        <v>925.656608518142</v>
      </c>
      <c r="BM18" s="119" t="n">
        <f aca="false">(Pipeline!$U$16*Pipeline!$D$16*MIN(1,MAX(0,(63-Pipeline!$E$16+1)/MAX(Pipeline!$F$16,1)))+Pipeline!$U$17*Pipeline!$D$17*MIN(1,MAX(0,(63-Pipeline!$E$17+1)/MAX(Pipeline!$F$17,1)))+Pipeline!$U$18*Pipeline!$D$18*MIN(1,MAX(0,(63-Pipeline!$E$18+1)/MAX(Pipeline!$F$18,1)))+Pipeline!$U$19*Pipeline!$D$19*MIN(1,MAX(0,(63-Pipeline!$E$19+1)/MAX(Pipeline!$F$19,1)))+Pipeline!$U$20*Pipeline!$D$20*MIN(1,MAX(0,(63-Pipeline!$E$20+1)/MAX(Pipeline!$F$20,1)))+Pipeline!$U$21*Pipeline!$D$21*MIN(1,MAX(0,(63-Pipeline!$E$21+1)/MAX(Pipeline!$F$21,1)))+Pipeline!$U$22*Pipeline!$D$22*MIN(1,MAX(0,(63-Pipeline!$E$22+1)/MAX(Pipeline!$F$22,1))))/Hipótesis!$E$17</f>
        <v>925.656608518142</v>
      </c>
      <c r="BN18" s="119" t="n">
        <f aca="false">(Pipeline!$U$16*Pipeline!$D$16*MIN(1,MAX(0,(64-Pipeline!$E$16+1)/MAX(Pipeline!$F$16,1)))+Pipeline!$U$17*Pipeline!$D$17*MIN(1,MAX(0,(64-Pipeline!$E$17+1)/MAX(Pipeline!$F$17,1)))+Pipeline!$U$18*Pipeline!$D$18*MIN(1,MAX(0,(64-Pipeline!$E$18+1)/MAX(Pipeline!$F$18,1)))+Pipeline!$U$19*Pipeline!$D$19*MIN(1,MAX(0,(64-Pipeline!$E$19+1)/MAX(Pipeline!$F$19,1)))+Pipeline!$U$20*Pipeline!$D$20*MIN(1,MAX(0,(64-Pipeline!$E$20+1)/MAX(Pipeline!$F$20,1)))+Pipeline!$U$21*Pipeline!$D$21*MIN(1,MAX(0,(64-Pipeline!$E$21+1)/MAX(Pipeline!$F$21,1)))+Pipeline!$U$22*Pipeline!$D$22*MIN(1,MAX(0,(64-Pipeline!$E$22+1)/MAX(Pipeline!$F$22,1))))/Hipótesis!$E$17</f>
        <v>925.656608518142</v>
      </c>
      <c r="BO18" s="119" t="n">
        <f aca="false">(Pipeline!$U$16*Pipeline!$D$16*MIN(1,MAX(0,(65-Pipeline!$E$16+1)/MAX(Pipeline!$F$16,1)))+Pipeline!$U$17*Pipeline!$D$17*MIN(1,MAX(0,(65-Pipeline!$E$17+1)/MAX(Pipeline!$F$17,1)))+Pipeline!$U$18*Pipeline!$D$18*MIN(1,MAX(0,(65-Pipeline!$E$18+1)/MAX(Pipeline!$F$18,1)))+Pipeline!$U$19*Pipeline!$D$19*MIN(1,MAX(0,(65-Pipeline!$E$19+1)/MAX(Pipeline!$F$19,1)))+Pipeline!$U$20*Pipeline!$D$20*MIN(1,MAX(0,(65-Pipeline!$E$20+1)/MAX(Pipeline!$F$20,1)))+Pipeline!$U$21*Pipeline!$D$21*MIN(1,MAX(0,(65-Pipeline!$E$21+1)/MAX(Pipeline!$F$21,1)))+Pipeline!$U$22*Pipeline!$D$22*MIN(1,MAX(0,(65-Pipeline!$E$22+1)/MAX(Pipeline!$F$22,1))))/Hipótesis!$E$17</f>
        <v>925.656608518142</v>
      </c>
      <c r="BP18" s="119" t="n">
        <f aca="false">(Pipeline!$U$16*Pipeline!$D$16*MIN(1,MAX(0,(66-Pipeline!$E$16+1)/MAX(Pipeline!$F$16,1)))+Pipeline!$U$17*Pipeline!$D$17*MIN(1,MAX(0,(66-Pipeline!$E$17+1)/MAX(Pipeline!$F$17,1)))+Pipeline!$U$18*Pipeline!$D$18*MIN(1,MAX(0,(66-Pipeline!$E$18+1)/MAX(Pipeline!$F$18,1)))+Pipeline!$U$19*Pipeline!$D$19*MIN(1,MAX(0,(66-Pipeline!$E$19+1)/MAX(Pipeline!$F$19,1)))+Pipeline!$U$20*Pipeline!$D$20*MIN(1,MAX(0,(66-Pipeline!$E$20+1)/MAX(Pipeline!$F$20,1)))+Pipeline!$U$21*Pipeline!$D$21*MIN(1,MAX(0,(66-Pipeline!$E$21+1)/MAX(Pipeline!$F$21,1)))+Pipeline!$U$22*Pipeline!$D$22*MIN(1,MAX(0,(66-Pipeline!$E$22+1)/MAX(Pipeline!$F$22,1))))/Hipótesis!$E$17</f>
        <v>925.656608518142</v>
      </c>
      <c r="BQ18" s="119" t="n">
        <f aca="false">(Pipeline!$U$16*Pipeline!$D$16*MIN(1,MAX(0,(67-Pipeline!$E$16+1)/MAX(Pipeline!$F$16,1)))+Pipeline!$U$17*Pipeline!$D$17*MIN(1,MAX(0,(67-Pipeline!$E$17+1)/MAX(Pipeline!$F$17,1)))+Pipeline!$U$18*Pipeline!$D$18*MIN(1,MAX(0,(67-Pipeline!$E$18+1)/MAX(Pipeline!$F$18,1)))+Pipeline!$U$19*Pipeline!$D$19*MIN(1,MAX(0,(67-Pipeline!$E$19+1)/MAX(Pipeline!$F$19,1)))+Pipeline!$U$20*Pipeline!$D$20*MIN(1,MAX(0,(67-Pipeline!$E$20+1)/MAX(Pipeline!$F$20,1)))+Pipeline!$U$21*Pipeline!$D$21*MIN(1,MAX(0,(67-Pipeline!$E$21+1)/MAX(Pipeline!$F$21,1)))+Pipeline!$U$22*Pipeline!$D$22*MIN(1,MAX(0,(67-Pipeline!$E$22+1)/MAX(Pipeline!$F$22,1))))/Hipótesis!$E$17</f>
        <v>925.656608518142</v>
      </c>
      <c r="BR18" s="119" t="n">
        <f aca="false">(Pipeline!$U$16*Pipeline!$D$16*MIN(1,MAX(0,(68-Pipeline!$E$16+1)/MAX(Pipeline!$F$16,1)))+Pipeline!$U$17*Pipeline!$D$17*MIN(1,MAX(0,(68-Pipeline!$E$17+1)/MAX(Pipeline!$F$17,1)))+Pipeline!$U$18*Pipeline!$D$18*MIN(1,MAX(0,(68-Pipeline!$E$18+1)/MAX(Pipeline!$F$18,1)))+Pipeline!$U$19*Pipeline!$D$19*MIN(1,MAX(0,(68-Pipeline!$E$19+1)/MAX(Pipeline!$F$19,1)))+Pipeline!$U$20*Pipeline!$D$20*MIN(1,MAX(0,(68-Pipeline!$E$20+1)/MAX(Pipeline!$F$20,1)))+Pipeline!$U$21*Pipeline!$D$21*MIN(1,MAX(0,(68-Pipeline!$E$21+1)/MAX(Pipeline!$F$21,1)))+Pipeline!$U$22*Pipeline!$D$22*MIN(1,MAX(0,(68-Pipeline!$E$22+1)/MAX(Pipeline!$F$22,1))))/Hipótesis!$E$17</f>
        <v>925.656608518142</v>
      </c>
      <c r="BS18" s="119" t="n">
        <f aca="false">(Pipeline!$U$16*Pipeline!$D$16*MIN(1,MAX(0,(69-Pipeline!$E$16+1)/MAX(Pipeline!$F$16,1)))+Pipeline!$U$17*Pipeline!$D$17*MIN(1,MAX(0,(69-Pipeline!$E$17+1)/MAX(Pipeline!$F$17,1)))+Pipeline!$U$18*Pipeline!$D$18*MIN(1,MAX(0,(69-Pipeline!$E$18+1)/MAX(Pipeline!$F$18,1)))+Pipeline!$U$19*Pipeline!$D$19*MIN(1,MAX(0,(69-Pipeline!$E$19+1)/MAX(Pipeline!$F$19,1)))+Pipeline!$U$20*Pipeline!$D$20*MIN(1,MAX(0,(69-Pipeline!$E$20+1)/MAX(Pipeline!$F$20,1)))+Pipeline!$U$21*Pipeline!$D$21*MIN(1,MAX(0,(69-Pipeline!$E$21+1)/MAX(Pipeline!$F$21,1)))+Pipeline!$U$22*Pipeline!$D$22*MIN(1,MAX(0,(69-Pipeline!$E$22+1)/MAX(Pipeline!$F$22,1))))/Hipótesis!$E$17</f>
        <v>925.656608518142</v>
      </c>
      <c r="BT18" s="119" t="n">
        <f aca="false">(Pipeline!$U$16*Pipeline!$D$16*MIN(1,MAX(0,(70-Pipeline!$E$16+1)/MAX(Pipeline!$F$16,1)))+Pipeline!$U$17*Pipeline!$D$17*MIN(1,MAX(0,(70-Pipeline!$E$17+1)/MAX(Pipeline!$F$17,1)))+Pipeline!$U$18*Pipeline!$D$18*MIN(1,MAX(0,(70-Pipeline!$E$18+1)/MAX(Pipeline!$F$18,1)))+Pipeline!$U$19*Pipeline!$D$19*MIN(1,MAX(0,(70-Pipeline!$E$19+1)/MAX(Pipeline!$F$19,1)))+Pipeline!$U$20*Pipeline!$D$20*MIN(1,MAX(0,(70-Pipeline!$E$20+1)/MAX(Pipeline!$F$20,1)))+Pipeline!$U$21*Pipeline!$D$21*MIN(1,MAX(0,(70-Pipeline!$E$21+1)/MAX(Pipeline!$F$21,1)))+Pipeline!$U$22*Pipeline!$D$22*MIN(1,MAX(0,(70-Pipeline!$E$22+1)/MAX(Pipeline!$F$22,1))))/Hipótesis!$E$17</f>
        <v>925.656608518142</v>
      </c>
      <c r="BU18" s="119" t="n">
        <f aca="false">(Pipeline!$U$16*Pipeline!$D$16*MIN(1,MAX(0,(71-Pipeline!$E$16+1)/MAX(Pipeline!$F$16,1)))+Pipeline!$U$17*Pipeline!$D$17*MIN(1,MAX(0,(71-Pipeline!$E$17+1)/MAX(Pipeline!$F$17,1)))+Pipeline!$U$18*Pipeline!$D$18*MIN(1,MAX(0,(71-Pipeline!$E$18+1)/MAX(Pipeline!$F$18,1)))+Pipeline!$U$19*Pipeline!$D$19*MIN(1,MAX(0,(71-Pipeline!$E$19+1)/MAX(Pipeline!$F$19,1)))+Pipeline!$U$20*Pipeline!$D$20*MIN(1,MAX(0,(71-Pipeline!$E$20+1)/MAX(Pipeline!$F$20,1)))+Pipeline!$U$21*Pipeline!$D$21*MIN(1,MAX(0,(71-Pipeline!$E$21+1)/MAX(Pipeline!$F$21,1)))+Pipeline!$U$22*Pipeline!$D$22*MIN(1,MAX(0,(71-Pipeline!$E$22+1)/MAX(Pipeline!$F$22,1))))/Hipótesis!$E$17</f>
        <v>925.656608518142</v>
      </c>
      <c r="BV18" s="119" t="n">
        <f aca="false">(Pipeline!$U$16*Pipeline!$D$16*MIN(1,MAX(0,(72-Pipeline!$E$16+1)/MAX(Pipeline!$F$16,1)))+Pipeline!$U$17*Pipeline!$D$17*MIN(1,MAX(0,(72-Pipeline!$E$17+1)/MAX(Pipeline!$F$17,1)))+Pipeline!$U$18*Pipeline!$D$18*MIN(1,MAX(0,(72-Pipeline!$E$18+1)/MAX(Pipeline!$F$18,1)))+Pipeline!$U$19*Pipeline!$D$19*MIN(1,MAX(0,(72-Pipeline!$E$19+1)/MAX(Pipeline!$F$19,1)))+Pipeline!$U$20*Pipeline!$D$20*MIN(1,MAX(0,(72-Pipeline!$E$20+1)/MAX(Pipeline!$F$20,1)))+Pipeline!$U$21*Pipeline!$D$21*MIN(1,MAX(0,(72-Pipeline!$E$21+1)/MAX(Pipeline!$F$21,1)))+Pipeline!$U$22*Pipeline!$D$22*MIN(1,MAX(0,(72-Pipeline!$E$22+1)/MAX(Pipeline!$F$22,1))))/Hipótesis!$E$17</f>
        <v>925.656608518142</v>
      </c>
      <c r="BW18" s="119" t="n">
        <f aca="false">(Pipeline!$U$16*Pipeline!$D$16*MIN(1,MAX(0,(73-Pipeline!$E$16+1)/MAX(Pipeline!$F$16,1)))+Pipeline!$U$17*Pipeline!$D$17*MIN(1,MAX(0,(73-Pipeline!$E$17+1)/MAX(Pipeline!$F$17,1)))+Pipeline!$U$18*Pipeline!$D$18*MIN(1,MAX(0,(73-Pipeline!$E$18+1)/MAX(Pipeline!$F$18,1)))+Pipeline!$U$19*Pipeline!$D$19*MIN(1,MAX(0,(73-Pipeline!$E$19+1)/MAX(Pipeline!$F$19,1)))+Pipeline!$U$20*Pipeline!$D$20*MIN(1,MAX(0,(73-Pipeline!$E$20+1)/MAX(Pipeline!$F$20,1)))+Pipeline!$U$21*Pipeline!$D$21*MIN(1,MAX(0,(73-Pipeline!$E$21+1)/MAX(Pipeline!$F$21,1)))+Pipeline!$U$22*Pipeline!$D$22*MIN(1,MAX(0,(73-Pipeline!$E$22+1)/MAX(Pipeline!$F$22,1))))/Hipótesis!$E$17</f>
        <v>925.656608518142</v>
      </c>
      <c r="BX18" s="119" t="n">
        <f aca="false">(Pipeline!$U$16*Pipeline!$D$16*MIN(1,MAX(0,(74-Pipeline!$E$16+1)/MAX(Pipeline!$F$16,1)))+Pipeline!$U$17*Pipeline!$D$17*MIN(1,MAX(0,(74-Pipeline!$E$17+1)/MAX(Pipeline!$F$17,1)))+Pipeline!$U$18*Pipeline!$D$18*MIN(1,MAX(0,(74-Pipeline!$E$18+1)/MAX(Pipeline!$F$18,1)))+Pipeline!$U$19*Pipeline!$D$19*MIN(1,MAX(0,(74-Pipeline!$E$19+1)/MAX(Pipeline!$F$19,1)))+Pipeline!$U$20*Pipeline!$D$20*MIN(1,MAX(0,(74-Pipeline!$E$20+1)/MAX(Pipeline!$F$20,1)))+Pipeline!$U$21*Pipeline!$D$21*MIN(1,MAX(0,(74-Pipeline!$E$21+1)/MAX(Pipeline!$F$21,1)))+Pipeline!$U$22*Pipeline!$D$22*MIN(1,MAX(0,(74-Pipeline!$E$22+1)/MAX(Pipeline!$F$22,1))))/Hipótesis!$E$17</f>
        <v>925.656608518142</v>
      </c>
      <c r="BY18" s="119" t="n">
        <f aca="false">(Pipeline!$U$16*Pipeline!$D$16*MIN(1,MAX(0,(75-Pipeline!$E$16+1)/MAX(Pipeline!$F$16,1)))+Pipeline!$U$17*Pipeline!$D$17*MIN(1,MAX(0,(75-Pipeline!$E$17+1)/MAX(Pipeline!$F$17,1)))+Pipeline!$U$18*Pipeline!$D$18*MIN(1,MAX(0,(75-Pipeline!$E$18+1)/MAX(Pipeline!$F$18,1)))+Pipeline!$U$19*Pipeline!$D$19*MIN(1,MAX(0,(75-Pipeline!$E$19+1)/MAX(Pipeline!$F$19,1)))+Pipeline!$U$20*Pipeline!$D$20*MIN(1,MAX(0,(75-Pipeline!$E$20+1)/MAX(Pipeline!$F$20,1)))+Pipeline!$U$21*Pipeline!$D$21*MIN(1,MAX(0,(75-Pipeline!$E$21+1)/MAX(Pipeline!$F$21,1)))+Pipeline!$U$22*Pipeline!$D$22*MIN(1,MAX(0,(75-Pipeline!$E$22+1)/MAX(Pipeline!$F$22,1))))/Hipótesis!$E$17</f>
        <v>925.656608518142</v>
      </c>
      <c r="BZ18" s="119" t="n">
        <f aca="false">(Pipeline!$U$16*Pipeline!$D$16*MIN(1,MAX(0,(76-Pipeline!$E$16+1)/MAX(Pipeline!$F$16,1)))+Pipeline!$U$17*Pipeline!$D$17*MIN(1,MAX(0,(76-Pipeline!$E$17+1)/MAX(Pipeline!$F$17,1)))+Pipeline!$U$18*Pipeline!$D$18*MIN(1,MAX(0,(76-Pipeline!$E$18+1)/MAX(Pipeline!$F$18,1)))+Pipeline!$U$19*Pipeline!$D$19*MIN(1,MAX(0,(76-Pipeline!$E$19+1)/MAX(Pipeline!$F$19,1)))+Pipeline!$U$20*Pipeline!$D$20*MIN(1,MAX(0,(76-Pipeline!$E$20+1)/MAX(Pipeline!$F$20,1)))+Pipeline!$U$21*Pipeline!$D$21*MIN(1,MAX(0,(76-Pipeline!$E$21+1)/MAX(Pipeline!$F$21,1)))+Pipeline!$U$22*Pipeline!$D$22*MIN(1,MAX(0,(76-Pipeline!$E$22+1)/MAX(Pipeline!$F$22,1))))/Hipótesis!$E$17</f>
        <v>925.656608518142</v>
      </c>
      <c r="CA18" s="119" t="n">
        <f aca="false">(Pipeline!$U$16*Pipeline!$D$16*MIN(1,MAX(0,(77-Pipeline!$E$16+1)/MAX(Pipeline!$F$16,1)))+Pipeline!$U$17*Pipeline!$D$17*MIN(1,MAX(0,(77-Pipeline!$E$17+1)/MAX(Pipeline!$F$17,1)))+Pipeline!$U$18*Pipeline!$D$18*MIN(1,MAX(0,(77-Pipeline!$E$18+1)/MAX(Pipeline!$F$18,1)))+Pipeline!$U$19*Pipeline!$D$19*MIN(1,MAX(0,(77-Pipeline!$E$19+1)/MAX(Pipeline!$F$19,1)))+Pipeline!$U$20*Pipeline!$D$20*MIN(1,MAX(0,(77-Pipeline!$E$20+1)/MAX(Pipeline!$F$20,1)))+Pipeline!$U$21*Pipeline!$D$21*MIN(1,MAX(0,(77-Pipeline!$E$21+1)/MAX(Pipeline!$F$21,1)))+Pipeline!$U$22*Pipeline!$D$22*MIN(1,MAX(0,(77-Pipeline!$E$22+1)/MAX(Pipeline!$F$22,1))))/Hipótesis!$E$17</f>
        <v>925.656608518142</v>
      </c>
      <c r="CB18" s="119" t="n">
        <f aca="false">(Pipeline!$U$16*Pipeline!$D$16*MIN(1,MAX(0,(78-Pipeline!$E$16+1)/MAX(Pipeline!$F$16,1)))+Pipeline!$U$17*Pipeline!$D$17*MIN(1,MAX(0,(78-Pipeline!$E$17+1)/MAX(Pipeline!$F$17,1)))+Pipeline!$U$18*Pipeline!$D$18*MIN(1,MAX(0,(78-Pipeline!$E$18+1)/MAX(Pipeline!$F$18,1)))+Pipeline!$U$19*Pipeline!$D$19*MIN(1,MAX(0,(78-Pipeline!$E$19+1)/MAX(Pipeline!$F$19,1)))+Pipeline!$U$20*Pipeline!$D$20*MIN(1,MAX(0,(78-Pipeline!$E$20+1)/MAX(Pipeline!$F$20,1)))+Pipeline!$U$21*Pipeline!$D$21*MIN(1,MAX(0,(78-Pipeline!$E$21+1)/MAX(Pipeline!$F$21,1)))+Pipeline!$U$22*Pipeline!$D$22*MIN(1,MAX(0,(78-Pipeline!$E$22+1)/MAX(Pipeline!$F$22,1))))/Hipótesis!$E$17</f>
        <v>925.656608518142</v>
      </c>
      <c r="CC18" s="119" t="n">
        <f aca="false">(Pipeline!$U$16*Pipeline!$D$16*MIN(1,MAX(0,(79-Pipeline!$E$16+1)/MAX(Pipeline!$F$16,1)))+Pipeline!$U$17*Pipeline!$D$17*MIN(1,MAX(0,(79-Pipeline!$E$17+1)/MAX(Pipeline!$F$17,1)))+Pipeline!$U$18*Pipeline!$D$18*MIN(1,MAX(0,(79-Pipeline!$E$18+1)/MAX(Pipeline!$F$18,1)))+Pipeline!$U$19*Pipeline!$D$19*MIN(1,MAX(0,(79-Pipeline!$E$19+1)/MAX(Pipeline!$F$19,1)))+Pipeline!$U$20*Pipeline!$D$20*MIN(1,MAX(0,(79-Pipeline!$E$20+1)/MAX(Pipeline!$F$20,1)))+Pipeline!$U$21*Pipeline!$D$21*MIN(1,MAX(0,(79-Pipeline!$E$21+1)/MAX(Pipeline!$F$21,1)))+Pipeline!$U$22*Pipeline!$D$22*MIN(1,MAX(0,(79-Pipeline!$E$22+1)/MAX(Pipeline!$F$22,1))))/Hipótesis!$E$17</f>
        <v>925.656608518142</v>
      </c>
      <c r="CD18" s="119" t="n">
        <f aca="false">(Pipeline!$U$16*Pipeline!$D$16*MIN(1,MAX(0,(80-Pipeline!$E$16+1)/MAX(Pipeline!$F$16,1)))+Pipeline!$U$17*Pipeline!$D$17*MIN(1,MAX(0,(80-Pipeline!$E$17+1)/MAX(Pipeline!$F$17,1)))+Pipeline!$U$18*Pipeline!$D$18*MIN(1,MAX(0,(80-Pipeline!$E$18+1)/MAX(Pipeline!$F$18,1)))+Pipeline!$U$19*Pipeline!$D$19*MIN(1,MAX(0,(80-Pipeline!$E$19+1)/MAX(Pipeline!$F$19,1)))+Pipeline!$U$20*Pipeline!$D$20*MIN(1,MAX(0,(80-Pipeline!$E$20+1)/MAX(Pipeline!$F$20,1)))+Pipeline!$U$21*Pipeline!$D$21*MIN(1,MAX(0,(80-Pipeline!$E$21+1)/MAX(Pipeline!$F$21,1)))+Pipeline!$U$22*Pipeline!$D$22*MIN(1,MAX(0,(80-Pipeline!$E$22+1)/MAX(Pipeline!$F$22,1))))/Hipótesis!$E$17</f>
        <v>925.656608518142</v>
      </c>
      <c r="CE18" s="119" t="n">
        <f aca="false">(Pipeline!$U$16*Pipeline!$D$16*MIN(1,MAX(0,(81-Pipeline!$E$16+1)/MAX(Pipeline!$F$16,1)))+Pipeline!$U$17*Pipeline!$D$17*MIN(1,MAX(0,(81-Pipeline!$E$17+1)/MAX(Pipeline!$F$17,1)))+Pipeline!$U$18*Pipeline!$D$18*MIN(1,MAX(0,(81-Pipeline!$E$18+1)/MAX(Pipeline!$F$18,1)))+Pipeline!$U$19*Pipeline!$D$19*MIN(1,MAX(0,(81-Pipeline!$E$19+1)/MAX(Pipeline!$F$19,1)))+Pipeline!$U$20*Pipeline!$D$20*MIN(1,MAX(0,(81-Pipeline!$E$20+1)/MAX(Pipeline!$F$20,1)))+Pipeline!$U$21*Pipeline!$D$21*MIN(1,MAX(0,(81-Pipeline!$E$21+1)/MAX(Pipeline!$F$21,1)))+Pipeline!$U$22*Pipeline!$D$22*MIN(1,MAX(0,(81-Pipeline!$E$22+1)/MAX(Pipeline!$F$22,1))))/Hipótesis!$E$17</f>
        <v>925.656608518142</v>
      </c>
      <c r="CF18" s="119" t="n">
        <f aca="false">(Pipeline!$U$16*Pipeline!$D$16*MIN(1,MAX(0,(82-Pipeline!$E$16+1)/MAX(Pipeline!$F$16,1)))+Pipeline!$U$17*Pipeline!$D$17*MIN(1,MAX(0,(82-Pipeline!$E$17+1)/MAX(Pipeline!$F$17,1)))+Pipeline!$U$18*Pipeline!$D$18*MIN(1,MAX(0,(82-Pipeline!$E$18+1)/MAX(Pipeline!$F$18,1)))+Pipeline!$U$19*Pipeline!$D$19*MIN(1,MAX(0,(82-Pipeline!$E$19+1)/MAX(Pipeline!$F$19,1)))+Pipeline!$U$20*Pipeline!$D$20*MIN(1,MAX(0,(82-Pipeline!$E$20+1)/MAX(Pipeline!$F$20,1)))+Pipeline!$U$21*Pipeline!$D$21*MIN(1,MAX(0,(82-Pipeline!$E$21+1)/MAX(Pipeline!$F$21,1)))+Pipeline!$U$22*Pipeline!$D$22*MIN(1,MAX(0,(82-Pipeline!$E$22+1)/MAX(Pipeline!$F$22,1))))/Hipótesis!$E$17</f>
        <v>925.656608518142</v>
      </c>
      <c r="CG18" s="119" t="n">
        <f aca="false">(Pipeline!$U$16*Pipeline!$D$16*MIN(1,MAX(0,(83-Pipeline!$E$16+1)/MAX(Pipeline!$F$16,1)))+Pipeline!$U$17*Pipeline!$D$17*MIN(1,MAX(0,(83-Pipeline!$E$17+1)/MAX(Pipeline!$F$17,1)))+Pipeline!$U$18*Pipeline!$D$18*MIN(1,MAX(0,(83-Pipeline!$E$18+1)/MAX(Pipeline!$F$18,1)))+Pipeline!$U$19*Pipeline!$D$19*MIN(1,MAX(0,(83-Pipeline!$E$19+1)/MAX(Pipeline!$F$19,1)))+Pipeline!$U$20*Pipeline!$D$20*MIN(1,MAX(0,(83-Pipeline!$E$20+1)/MAX(Pipeline!$F$20,1)))+Pipeline!$U$21*Pipeline!$D$21*MIN(1,MAX(0,(83-Pipeline!$E$21+1)/MAX(Pipeline!$F$21,1)))+Pipeline!$U$22*Pipeline!$D$22*MIN(1,MAX(0,(83-Pipeline!$E$22+1)/MAX(Pipeline!$F$22,1))))/Hipótesis!$E$17</f>
        <v>925.656608518142</v>
      </c>
      <c r="CH18" s="119" t="n">
        <f aca="false">(Pipeline!$U$16*Pipeline!$D$16*MIN(1,MAX(0,(84-Pipeline!$E$16+1)/MAX(Pipeline!$F$16,1)))+Pipeline!$U$17*Pipeline!$D$17*MIN(1,MAX(0,(84-Pipeline!$E$17+1)/MAX(Pipeline!$F$17,1)))+Pipeline!$U$18*Pipeline!$D$18*MIN(1,MAX(0,(84-Pipeline!$E$18+1)/MAX(Pipeline!$F$18,1)))+Pipeline!$U$19*Pipeline!$D$19*MIN(1,MAX(0,(84-Pipeline!$E$19+1)/MAX(Pipeline!$F$19,1)))+Pipeline!$U$20*Pipeline!$D$20*MIN(1,MAX(0,(84-Pipeline!$E$20+1)/MAX(Pipeline!$F$20,1)))+Pipeline!$U$21*Pipeline!$D$21*MIN(1,MAX(0,(84-Pipeline!$E$21+1)/MAX(Pipeline!$F$21,1)))+Pipeline!$U$22*Pipeline!$D$22*MIN(1,MAX(0,(84-Pipeline!$E$22+1)/MAX(Pipeline!$F$22,1))))/Hipótesis!$E$17</f>
        <v>925.656608518142</v>
      </c>
    </row>
    <row r="19" customFormat="false" ht="13.5" hidden="false" customHeight="true" outlineLevel="0" collapsed="false">
      <c r="A19" s="6" t="s">
        <v>527</v>
      </c>
      <c r="C19" s="109" t="n">
        <f aca="false">Pipeline!$W$16*Pipeline!$D$16*MIN(1,MAX(0,(1-Pipeline!$E$16+1)/MAX(Pipeline!$F$16,1)))+Pipeline!$W$17*Pipeline!$D$17*MIN(1,MAX(0,(1-Pipeline!$E$17+1)/MAX(Pipeline!$F$17,1)))+Pipeline!$W$18*Pipeline!$D$18*MIN(1,MAX(0,(1-Pipeline!$E$18+1)/MAX(Pipeline!$F$18,1)))+Pipeline!$W$19*Pipeline!$D$19*MIN(1,MAX(0,(1-Pipeline!$E$19+1)/MAX(Pipeline!$F$19,1)))+Pipeline!$W$20*Pipeline!$D$20*MIN(1,MAX(0,(1-Pipeline!$E$20+1)/MAX(Pipeline!$F$20,1)))+Pipeline!$W$21*Pipeline!$D$21*MIN(1,MAX(0,(1-Pipeline!$E$21+1)/MAX(Pipeline!$F$21,1)))+Pipeline!$W$22*Pipeline!$D$22*MIN(1,MAX(0,(1-Pipeline!$E$22+1)/MAX(Pipeline!$F$22,1)))</f>
        <v>106.083333333333</v>
      </c>
      <c r="D19" s="109" t="n">
        <f aca="false">Pipeline!$W$16*Pipeline!$D$16*MIN(1,MAX(0,(2-Pipeline!$E$16+1)/MAX(Pipeline!$F$16,1)))+Pipeline!$W$17*Pipeline!$D$17*MIN(1,MAX(0,(2-Pipeline!$E$17+1)/MAX(Pipeline!$F$17,1)))+Pipeline!$W$18*Pipeline!$D$18*MIN(1,MAX(0,(2-Pipeline!$E$18+1)/MAX(Pipeline!$F$18,1)))+Pipeline!$W$19*Pipeline!$D$19*MIN(1,MAX(0,(2-Pipeline!$E$19+1)/MAX(Pipeline!$F$19,1)))+Pipeline!$W$20*Pipeline!$D$20*MIN(1,MAX(0,(2-Pipeline!$E$20+1)/MAX(Pipeline!$F$20,1)))+Pipeline!$W$21*Pipeline!$D$21*MIN(1,MAX(0,(2-Pipeline!$E$21+1)/MAX(Pipeline!$F$21,1)))+Pipeline!$W$22*Pipeline!$D$22*MIN(1,MAX(0,(2-Pipeline!$E$22+1)/MAX(Pipeline!$F$22,1)))</f>
        <v>228.59431372549</v>
      </c>
      <c r="E19" s="109" t="n">
        <f aca="false">Pipeline!$W$16*Pipeline!$D$16*MIN(1,MAX(0,(3-Pipeline!$E$16+1)/MAX(Pipeline!$F$16,1)))+Pipeline!$W$17*Pipeline!$D$17*MIN(1,MAX(0,(3-Pipeline!$E$17+1)/MAX(Pipeline!$F$17,1)))+Pipeline!$W$18*Pipeline!$D$18*MIN(1,MAX(0,(3-Pipeline!$E$18+1)/MAX(Pipeline!$F$18,1)))+Pipeline!$W$19*Pipeline!$D$19*MIN(1,MAX(0,(3-Pipeline!$E$19+1)/MAX(Pipeline!$F$19,1)))+Pipeline!$W$20*Pipeline!$D$20*MIN(1,MAX(0,(3-Pipeline!$E$20+1)/MAX(Pipeline!$F$20,1)))+Pipeline!$W$21*Pipeline!$D$21*MIN(1,MAX(0,(3-Pipeline!$E$21+1)/MAX(Pipeline!$F$21,1)))+Pipeline!$W$22*Pipeline!$D$22*MIN(1,MAX(0,(3-Pipeline!$E$22+1)/MAX(Pipeline!$F$22,1)))</f>
        <v>567.492245648259</v>
      </c>
      <c r="F19" s="109" t="n">
        <f aca="false">Pipeline!$W$16*Pipeline!$D$16*MIN(1,MAX(0,(4-Pipeline!$E$16+1)/MAX(Pipeline!$F$16,1)))+Pipeline!$W$17*Pipeline!$D$17*MIN(1,MAX(0,(4-Pipeline!$E$17+1)/MAX(Pipeline!$F$17,1)))+Pipeline!$W$18*Pipeline!$D$18*MIN(1,MAX(0,(4-Pipeline!$E$18+1)/MAX(Pipeline!$F$18,1)))+Pipeline!$W$19*Pipeline!$D$19*MIN(1,MAX(0,(4-Pipeline!$E$19+1)/MAX(Pipeline!$F$19,1)))+Pipeline!$W$20*Pipeline!$D$20*MIN(1,MAX(0,(4-Pipeline!$E$20+1)/MAX(Pipeline!$F$20,1)))+Pipeline!$W$21*Pipeline!$D$21*MIN(1,MAX(0,(4-Pipeline!$E$21+1)/MAX(Pipeline!$F$21,1)))+Pipeline!$W$22*Pipeline!$D$22*MIN(1,MAX(0,(4-Pipeline!$E$22+1)/MAX(Pipeline!$F$22,1)))</f>
        <v>800.306844237695</v>
      </c>
      <c r="G19" s="109" t="n">
        <f aca="false">Pipeline!$W$16*Pipeline!$D$16*MIN(1,MAX(0,(5-Pipeline!$E$16+1)/MAX(Pipeline!$F$16,1)))+Pipeline!$W$17*Pipeline!$D$17*MIN(1,MAX(0,(5-Pipeline!$E$17+1)/MAX(Pipeline!$F$17,1)))+Pipeline!$W$18*Pipeline!$D$18*MIN(1,MAX(0,(5-Pipeline!$E$18+1)/MAX(Pipeline!$F$18,1)))+Pipeline!$W$19*Pipeline!$D$19*MIN(1,MAX(0,(5-Pipeline!$E$19+1)/MAX(Pipeline!$F$19,1)))+Pipeline!$W$20*Pipeline!$D$20*MIN(1,MAX(0,(5-Pipeline!$E$20+1)/MAX(Pipeline!$F$20,1)))+Pipeline!$W$21*Pipeline!$D$21*MIN(1,MAX(0,(5-Pipeline!$E$21+1)/MAX(Pipeline!$F$21,1)))+Pipeline!$W$22*Pipeline!$D$22*MIN(1,MAX(0,(5-Pipeline!$E$22+1)/MAX(Pipeline!$F$22,1)))</f>
        <v>1016.69379576831</v>
      </c>
      <c r="H19" s="109" t="n">
        <f aca="false">Pipeline!$W$16*Pipeline!$D$16*MIN(1,MAX(0,(6-Pipeline!$E$16+1)/MAX(Pipeline!$F$16,1)))+Pipeline!$W$17*Pipeline!$D$17*MIN(1,MAX(0,(6-Pipeline!$E$17+1)/MAX(Pipeline!$F$17,1)))+Pipeline!$W$18*Pipeline!$D$18*MIN(1,MAX(0,(6-Pipeline!$E$18+1)/MAX(Pipeline!$F$18,1)))+Pipeline!$W$19*Pipeline!$D$19*MIN(1,MAX(0,(6-Pipeline!$E$19+1)/MAX(Pipeline!$F$19,1)))+Pipeline!$W$20*Pipeline!$D$20*MIN(1,MAX(0,(6-Pipeline!$E$20+1)/MAX(Pipeline!$F$20,1)))+Pipeline!$W$21*Pipeline!$D$21*MIN(1,MAX(0,(6-Pipeline!$E$21+1)/MAX(Pipeline!$F$21,1)))+Pipeline!$W$22*Pipeline!$D$22*MIN(1,MAX(0,(6-Pipeline!$E$22+1)/MAX(Pipeline!$F$22,1)))</f>
        <v>1421.31420318127</v>
      </c>
      <c r="I19" s="109" t="n">
        <f aca="false">Pipeline!$W$16*Pipeline!$D$16*MIN(1,MAX(0,(7-Pipeline!$E$16+1)/MAX(Pipeline!$F$16,1)))+Pipeline!$W$17*Pipeline!$D$17*MIN(1,MAX(0,(7-Pipeline!$E$17+1)/MAX(Pipeline!$F$17,1)))+Pipeline!$W$18*Pipeline!$D$18*MIN(1,MAX(0,(7-Pipeline!$E$18+1)/MAX(Pipeline!$F$18,1)))+Pipeline!$W$19*Pipeline!$D$19*MIN(1,MAX(0,(7-Pipeline!$E$19+1)/MAX(Pipeline!$F$19,1)))+Pipeline!$W$20*Pipeline!$D$20*MIN(1,MAX(0,(7-Pipeline!$E$20+1)/MAX(Pipeline!$F$20,1)))+Pipeline!$W$21*Pipeline!$D$21*MIN(1,MAX(0,(7-Pipeline!$E$21+1)/MAX(Pipeline!$F$21,1)))+Pipeline!$W$22*Pipeline!$D$22*MIN(1,MAX(0,(7-Pipeline!$E$22+1)/MAX(Pipeline!$F$22,1)))</f>
        <v>1825.93461059424</v>
      </c>
      <c r="J19" s="109" t="n">
        <f aca="false">Pipeline!$W$16*Pipeline!$D$16*MIN(1,MAX(0,(8-Pipeline!$E$16+1)/MAX(Pipeline!$F$16,1)))+Pipeline!$W$17*Pipeline!$D$17*MIN(1,MAX(0,(8-Pipeline!$E$17+1)/MAX(Pipeline!$F$17,1)))+Pipeline!$W$18*Pipeline!$D$18*MIN(1,MAX(0,(8-Pipeline!$E$18+1)/MAX(Pipeline!$F$18,1)))+Pipeline!$W$19*Pipeline!$D$19*MIN(1,MAX(0,(8-Pipeline!$E$19+1)/MAX(Pipeline!$F$19,1)))+Pipeline!$W$20*Pipeline!$D$20*MIN(1,MAX(0,(8-Pipeline!$E$20+1)/MAX(Pipeline!$F$20,1)))+Pipeline!$W$21*Pipeline!$D$21*MIN(1,MAX(0,(8-Pipeline!$E$21+1)/MAX(Pipeline!$F$21,1)))+Pipeline!$W$22*Pipeline!$D$22*MIN(1,MAX(0,(8-Pipeline!$E$22+1)/MAX(Pipeline!$F$22,1)))</f>
        <v>2230.5550180072</v>
      </c>
      <c r="K19" s="109" t="n">
        <f aca="false">Pipeline!$W$16*Pipeline!$D$16*MIN(1,MAX(0,(9-Pipeline!$E$16+1)/MAX(Pipeline!$F$16,1)))+Pipeline!$W$17*Pipeline!$D$17*MIN(1,MAX(0,(9-Pipeline!$E$17+1)/MAX(Pipeline!$F$17,1)))+Pipeline!$W$18*Pipeline!$D$18*MIN(1,MAX(0,(9-Pipeline!$E$18+1)/MAX(Pipeline!$F$18,1)))+Pipeline!$W$19*Pipeline!$D$19*MIN(1,MAX(0,(9-Pipeline!$E$19+1)/MAX(Pipeline!$F$19,1)))+Pipeline!$W$20*Pipeline!$D$20*MIN(1,MAX(0,(9-Pipeline!$E$20+1)/MAX(Pipeline!$F$20,1)))+Pipeline!$W$21*Pipeline!$D$21*MIN(1,MAX(0,(9-Pipeline!$E$21+1)/MAX(Pipeline!$F$21,1)))+Pipeline!$W$22*Pipeline!$D$22*MIN(1,MAX(0,(9-Pipeline!$E$22+1)/MAX(Pipeline!$F$22,1)))</f>
        <v>2635.17542542017</v>
      </c>
      <c r="L19" s="109" t="n">
        <f aca="false">Pipeline!$W$16*Pipeline!$D$16*MIN(1,MAX(0,(10-Pipeline!$E$16+1)/MAX(Pipeline!$F$16,1)))+Pipeline!$W$17*Pipeline!$D$17*MIN(1,MAX(0,(10-Pipeline!$E$17+1)/MAX(Pipeline!$F$17,1)))+Pipeline!$W$18*Pipeline!$D$18*MIN(1,MAX(0,(10-Pipeline!$E$18+1)/MAX(Pipeline!$F$18,1)))+Pipeline!$W$19*Pipeline!$D$19*MIN(1,MAX(0,(10-Pipeline!$E$19+1)/MAX(Pipeline!$F$19,1)))+Pipeline!$W$20*Pipeline!$D$20*MIN(1,MAX(0,(10-Pipeline!$E$20+1)/MAX(Pipeline!$F$20,1)))+Pipeline!$W$21*Pipeline!$D$21*MIN(1,MAX(0,(10-Pipeline!$E$21+1)/MAX(Pipeline!$F$21,1)))+Pipeline!$W$22*Pipeline!$D$22*MIN(1,MAX(0,(10-Pipeline!$E$22+1)/MAX(Pipeline!$F$22,1)))</f>
        <v>3039.79583283313</v>
      </c>
      <c r="M19" s="109" t="n">
        <f aca="false">Pipeline!$W$16*Pipeline!$D$16*MIN(1,MAX(0,(11-Pipeline!$E$16+1)/MAX(Pipeline!$F$16,1)))+Pipeline!$W$17*Pipeline!$D$17*MIN(1,MAX(0,(11-Pipeline!$E$17+1)/MAX(Pipeline!$F$17,1)))+Pipeline!$W$18*Pipeline!$D$18*MIN(1,MAX(0,(11-Pipeline!$E$18+1)/MAX(Pipeline!$F$18,1)))+Pipeline!$W$19*Pipeline!$D$19*MIN(1,MAX(0,(11-Pipeline!$E$19+1)/MAX(Pipeline!$F$19,1)))+Pipeline!$W$20*Pipeline!$D$20*MIN(1,MAX(0,(11-Pipeline!$E$20+1)/MAX(Pipeline!$F$20,1)))+Pipeline!$W$21*Pipeline!$D$21*MIN(1,MAX(0,(11-Pipeline!$E$21+1)/MAX(Pipeline!$F$21,1)))+Pipeline!$W$22*Pipeline!$D$22*MIN(1,MAX(0,(11-Pipeline!$E$22+1)/MAX(Pipeline!$F$22,1)))</f>
        <v>3228.02928871549</v>
      </c>
      <c r="N19" s="109" t="n">
        <f aca="false">Pipeline!$W$16*Pipeline!$D$16*MIN(1,MAX(0,(12-Pipeline!$E$16+1)/MAX(Pipeline!$F$16,1)))+Pipeline!$W$17*Pipeline!$D$17*MIN(1,MAX(0,(12-Pipeline!$E$17+1)/MAX(Pipeline!$F$17,1)))+Pipeline!$W$18*Pipeline!$D$18*MIN(1,MAX(0,(12-Pipeline!$E$18+1)/MAX(Pipeline!$F$18,1)))+Pipeline!$W$19*Pipeline!$D$19*MIN(1,MAX(0,(12-Pipeline!$E$19+1)/MAX(Pipeline!$F$19,1)))+Pipeline!$W$20*Pipeline!$D$20*MIN(1,MAX(0,(12-Pipeline!$E$20+1)/MAX(Pipeline!$F$20,1)))+Pipeline!$W$21*Pipeline!$D$21*MIN(1,MAX(0,(12-Pipeline!$E$21+1)/MAX(Pipeline!$F$21,1)))+Pipeline!$W$22*Pipeline!$D$22*MIN(1,MAX(0,(12-Pipeline!$E$22+1)/MAX(Pipeline!$F$22,1)))</f>
        <v>3690.0568622449</v>
      </c>
      <c r="O19" s="109" t="n">
        <f aca="false">Pipeline!$W$16*Pipeline!$D$16*MIN(1,MAX(0,(13-Pipeline!$E$16+1)/MAX(Pipeline!$F$16,1)))+Pipeline!$W$17*Pipeline!$D$17*MIN(1,MAX(0,(13-Pipeline!$E$17+1)/MAX(Pipeline!$F$17,1)))+Pipeline!$W$18*Pipeline!$D$18*MIN(1,MAX(0,(13-Pipeline!$E$18+1)/MAX(Pipeline!$F$18,1)))+Pipeline!$W$19*Pipeline!$D$19*MIN(1,MAX(0,(13-Pipeline!$E$19+1)/MAX(Pipeline!$F$19,1)))+Pipeline!$W$20*Pipeline!$D$20*MIN(1,MAX(0,(13-Pipeline!$E$20+1)/MAX(Pipeline!$F$20,1)))+Pipeline!$W$21*Pipeline!$D$21*MIN(1,MAX(0,(13-Pipeline!$E$21+1)/MAX(Pipeline!$F$21,1)))+Pipeline!$W$22*Pipeline!$D$22*MIN(1,MAX(0,(13-Pipeline!$E$22+1)/MAX(Pipeline!$F$22,1)))</f>
        <v>4152.08443577431</v>
      </c>
      <c r="P19" s="109" t="n">
        <f aca="false">Pipeline!$W$16*Pipeline!$D$16*MIN(1,MAX(0,(14-Pipeline!$E$16+1)/MAX(Pipeline!$F$16,1)))+Pipeline!$W$17*Pipeline!$D$17*MIN(1,MAX(0,(14-Pipeline!$E$17+1)/MAX(Pipeline!$F$17,1)))+Pipeline!$W$18*Pipeline!$D$18*MIN(1,MAX(0,(14-Pipeline!$E$18+1)/MAX(Pipeline!$F$18,1)))+Pipeline!$W$19*Pipeline!$D$19*MIN(1,MAX(0,(14-Pipeline!$E$19+1)/MAX(Pipeline!$F$19,1)))+Pipeline!$W$20*Pipeline!$D$20*MIN(1,MAX(0,(14-Pipeline!$E$20+1)/MAX(Pipeline!$F$20,1)))+Pipeline!$W$21*Pipeline!$D$21*MIN(1,MAX(0,(14-Pipeline!$E$21+1)/MAX(Pipeline!$F$21,1)))+Pipeline!$W$22*Pipeline!$D$22*MIN(1,MAX(0,(14-Pipeline!$E$22+1)/MAX(Pipeline!$F$22,1)))</f>
        <v>4535.39620048019</v>
      </c>
      <c r="Q19" s="109" t="n">
        <f aca="false">Pipeline!$W$16*Pipeline!$D$16*MIN(1,MAX(0,(15-Pipeline!$E$16+1)/MAX(Pipeline!$F$16,1)))+Pipeline!$W$17*Pipeline!$D$17*MIN(1,MAX(0,(15-Pipeline!$E$17+1)/MAX(Pipeline!$F$17,1)))+Pipeline!$W$18*Pipeline!$D$18*MIN(1,MAX(0,(15-Pipeline!$E$18+1)/MAX(Pipeline!$F$18,1)))+Pipeline!$W$19*Pipeline!$D$19*MIN(1,MAX(0,(15-Pipeline!$E$19+1)/MAX(Pipeline!$F$19,1)))+Pipeline!$W$20*Pipeline!$D$20*MIN(1,MAX(0,(15-Pipeline!$E$20+1)/MAX(Pipeline!$F$20,1)))+Pipeline!$W$21*Pipeline!$D$21*MIN(1,MAX(0,(15-Pipeline!$E$21+1)/MAX(Pipeline!$F$21,1)))+Pipeline!$W$22*Pipeline!$D$22*MIN(1,MAX(0,(15-Pipeline!$E$22+1)/MAX(Pipeline!$F$22,1)))</f>
        <v>4918.70796518607</v>
      </c>
      <c r="R19" s="109" t="n">
        <f aca="false">Pipeline!$W$16*Pipeline!$D$16*MIN(1,MAX(0,(16-Pipeline!$E$16+1)/MAX(Pipeline!$F$16,1)))+Pipeline!$W$17*Pipeline!$D$17*MIN(1,MAX(0,(16-Pipeline!$E$17+1)/MAX(Pipeline!$F$17,1)))+Pipeline!$W$18*Pipeline!$D$18*MIN(1,MAX(0,(16-Pipeline!$E$18+1)/MAX(Pipeline!$F$18,1)))+Pipeline!$W$19*Pipeline!$D$19*MIN(1,MAX(0,(16-Pipeline!$E$19+1)/MAX(Pipeline!$F$19,1)))+Pipeline!$W$20*Pipeline!$D$20*MIN(1,MAX(0,(16-Pipeline!$E$20+1)/MAX(Pipeline!$F$20,1)))+Pipeline!$W$21*Pipeline!$D$21*MIN(1,MAX(0,(16-Pipeline!$E$21+1)/MAX(Pipeline!$F$21,1)))+Pipeline!$W$22*Pipeline!$D$22*MIN(1,MAX(0,(16-Pipeline!$E$22+1)/MAX(Pipeline!$F$22,1)))</f>
        <v>5302.01972989196</v>
      </c>
      <c r="S19" s="109" t="n">
        <f aca="false">Pipeline!$W$16*Pipeline!$D$16*MIN(1,MAX(0,(17-Pipeline!$E$16+1)/MAX(Pipeline!$F$16,1)))+Pipeline!$W$17*Pipeline!$D$17*MIN(1,MAX(0,(17-Pipeline!$E$17+1)/MAX(Pipeline!$F$17,1)))+Pipeline!$W$18*Pipeline!$D$18*MIN(1,MAX(0,(17-Pipeline!$E$18+1)/MAX(Pipeline!$F$18,1)))+Pipeline!$W$19*Pipeline!$D$19*MIN(1,MAX(0,(17-Pipeline!$E$19+1)/MAX(Pipeline!$F$19,1)))+Pipeline!$W$20*Pipeline!$D$20*MIN(1,MAX(0,(17-Pipeline!$E$20+1)/MAX(Pipeline!$F$20,1)))+Pipeline!$W$21*Pipeline!$D$21*MIN(1,MAX(0,(17-Pipeline!$E$21+1)/MAX(Pipeline!$F$21,1)))+Pipeline!$W$22*Pipeline!$D$22*MIN(1,MAX(0,(17-Pipeline!$E$22+1)/MAX(Pipeline!$F$22,1)))</f>
        <v>5685.33149459784</v>
      </c>
      <c r="T19" s="109" t="n">
        <f aca="false">Pipeline!$W$16*Pipeline!$D$16*MIN(1,MAX(0,(18-Pipeline!$E$16+1)/MAX(Pipeline!$F$16,1)))+Pipeline!$W$17*Pipeline!$D$17*MIN(1,MAX(0,(18-Pipeline!$E$17+1)/MAX(Pipeline!$F$17,1)))+Pipeline!$W$18*Pipeline!$D$18*MIN(1,MAX(0,(18-Pipeline!$E$18+1)/MAX(Pipeline!$F$18,1)))+Pipeline!$W$19*Pipeline!$D$19*MIN(1,MAX(0,(18-Pipeline!$E$19+1)/MAX(Pipeline!$F$19,1)))+Pipeline!$W$20*Pipeline!$D$20*MIN(1,MAX(0,(18-Pipeline!$E$20+1)/MAX(Pipeline!$F$20,1)))+Pipeline!$W$21*Pipeline!$D$21*MIN(1,MAX(0,(18-Pipeline!$E$21+1)/MAX(Pipeline!$F$21,1)))+Pipeline!$W$22*Pipeline!$D$22*MIN(1,MAX(0,(18-Pipeline!$E$22+1)/MAX(Pipeline!$F$22,1)))</f>
        <v>6068.64325930372</v>
      </c>
      <c r="U19" s="109" t="n">
        <f aca="false">Pipeline!$W$16*Pipeline!$D$16*MIN(1,MAX(0,(19-Pipeline!$E$16+1)/MAX(Pipeline!$F$16,1)))+Pipeline!$W$17*Pipeline!$D$17*MIN(1,MAX(0,(19-Pipeline!$E$17+1)/MAX(Pipeline!$F$17,1)))+Pipeline!$W$18*Pipeline!$D$18*MIN(1,MAX(0,(19-Pipeline!$E$18+1)/MAX(Pipeline!$F$18,1)))+Pipeline!$W$19*Pipeline!$D$19*MIN(1,MAX(0,(19-Pipeline!$E$19+1)/MAX(Pipeline!$F$19,1)))+Pipeline!$W$20*Pipeline!$D$20*MIN(1,MAX(0,(19-Pipeline!$E$20+1)/MAX(Pipeline!$F$20,1)))+Pipeline!$W$21*Pipeline!$D$21*MIN(1,MAX(0,(19-Pipeline!$E$21+1)/MAX(Pipeline!$F$21,1)))+Pipeline!$W$22*Pipeline!$D$22*MIN(1,MAX(0,(19-Pipeline!$E$22+1)/MAX(Pipeline!$F$22,1)))</f>
        <v>6451.9550240096</v>
      </c>
      <c r="V19" s="109" t="n">
        <f aca="false">Pipeline!$W$16*Pipeline!$D$16*MIN(1,MAX(0,(20-Pipeline!$E$16+1)/MAX(Pipeline!$F$16,1)))+Pipeline!$W$17*Pipeline!$D$17*MIN(1,MAX(0,(20-Pipeline!$E$17+1)/MAX(Pipeline!$F$17,1)))+Pipeline!$W$18*Pipeline!$D$18*MIN(1,MAX(0,(20-Pipeline!$E$18+1)/MAX(Pipeline!$F$18,1)))+Pipeline!$W$19*Pipeline!$D$19*MIN(1,MAX(0,(20-Pipeline!$E$19+1)/MAX(Pipeline!$F$19,1)))+Pipeline!$W$20*Pipeline!$D$20*MIN(1,MAX(0,(20-Pipeline!$E$20+1)/MAX(Pipeline!$F$20,1)))+Pipeline!$W$21*Pipeline!$D$21*MIN(1,MAX(0,(20-Pipeline!$E$21+1)/MAX(Pipeline!$F$21,1)))+Pipeline!$W$22*Pipeline!$D$22*MIN(1,MAX(0,(20-Pipeline!$E$22+1)/MAX(Pipeline!$F$22,1)))</f>
        <v>6835.26678871549</v>
      </c>
      <c r="W19" s="109" t="n">
        <f aca="false">Pipeline!$W$16*Pipeline!$D$16*MIN(1,MAX(0,(21-Pipeline!$E$16+1)/MAX(Pipeline!$F$16,1)))+Pipeline!$W$17*Pipeline!$D$17*MIN(1,MAX(0,(21-Pipeline!$E$17+1)/MAX(Pipeline!$F$17,1)))+Pipeline!$W$18*Pipeline!$D$18*MIN(1,MAX(0,(21-Pipeline!$E$18+1)/MAX(Pipeline!$F$18,1)))+Pipeline!$W$19*Pipeline!$D$19*MIN(1,MAX(0,(21-Pipeline!$E$19+1)/MAX(Pipeline!$F$19,1)))+Pipeline!$W$20*Pipeline!$D$20*MIN(1,MAX(0,(21-Pipeline!$E$20+1)/MAX(Pipeline!$F$20,1)))+Pipeline!$W$21*Pipeline!$D$21*MIN(1,MAX(0,(21-Pipeline!$E$21+1)/MAX(Pipeline!$F$21,1)))+Pipeline!$W$22*Pipeline!$D$22*MIN(1,MAX(0,(21-Pipeline!$E$22+1)/MAX(Pipeline!$F$22,1)))</f>
        <v>7218.57855342137</v>
      </c>
      <c r="X19" s="109" t="n">
        <f aca="false">Pipeline!$W$16*Pipeline!$D$16*MIN(1,MAX(0,(22-Pipeline!$E$16+1)/MAX(Pipeline!$F$16,1)))+Pipeline!$W$17*Pipeline!$D$17*MIN(1,MAX(0,(22-Pipeline!$E$17+1)/MAX(Pipeline!$F$17,1)))+Pipeline!$W$18*Pipeline!$D$18*MIN(1,MAX(0,(22-Pipeline!$E$18+1)/MAX(Pipeline!$F$18,1)))+Pipeline!$W$19*Pipeline!$D$19*MIN(1,MAX(0,(22-Pipeline!$E$19+1)/MAX(Pipeline!$F$19,1)))+Pipeline!$W$20*Pipeline!$D$20*MIN(1,MAX(0,(22-Pipeline!$E$20+1)/MAX(Pipeline!$F$20,1)))+Pipeline!$W$21*Pipeline!$D$21*MIN(1,MAX(0,(22-Pipeline!$E$21+1)/MAX(Pipeline!$F$21,1)))+Pipeline!$W$22*Pipeline!$D$22*MIN(1,MAX(0,(22-Pipeline!$E$22+1)/MAX(Pipeline!$F$22,1)))</f>
        <v>7328.09620048019</v>
      </c>
      <c r="Y19" s="109" t="n">
        <f aca="false">Pipeline!$W$16*Pipeline!$D$16*MIN(1,MAX(0,(23-Pipeline!$E$16+1)/MAX(Pipeline!$F$16,1)))+Pipeline!$W$17*Pipeline!$D$17*MIN(1,MAX(0,(23-Pipeline!$E$17+1)/MAX(Pipeline!$F$17,1)))+Pipeline!$W$18*Pipeline!$D$18*MIN(1,MAX(0,(23-Pipeline!$E$18+1)/MAX(Pipeline!$F$18,1)))+Pipeline!$W$19*Pipeline!$D$19*MIN(1,MAX(0,(23-Pipeline!$E$19+1)/MAX(Pipeline!$F$19,1)))+Pipeline!$W$20*Pipeline!$D$20*MIN(1,MAX(0,(23-Pipeline!$E$20+1)/MAX(Pipeline!$F$20,1)))+Pipeline!$W$21*Pipeline!$D$21*MIN(1,MAX(0,(23-Pipeline!$E$21+1)/MAX(Pipeline!$F$21,1)))+Pipeline!$W$22*Pipeline!$D$22*MIN(1,MAX(0,(23-Pipeline!$E$22+1)/MAX(Pipeline!$F$22,1)))</f>
        <v>7437.61384753902</v>
      </c>
      <c r="Z19" s="109" t="n">
        <f aca="false">Pipeline!$W$16*Pipeline!$D$16*MIN(1,MAX(0,(24-Pipeline!$E$16+1)/MAX(Pipeline!$F$16,1)))+Pipeline!$W$17*Pipeline!$D$17*MIN(1,MAX(0,(24-Pipeline!$E$17+1)/MAX(Pipeline!$F$17,1)))+Pipeline!$W$18*Pipeline!$D$18*MIN(1,MAX(0,(24-Pipeline!$E$18+1)/MAX(Pipeline!$F$18,1)))+Pipeline!$W$19*Pipeline!$D$19*MIN(1,MAX(0,(24-Pipeline!$E$19+1)/MAX(Pipeline!$F$19,1)))+Pipeline!$W$20*Pipeline!$D$20*MIN(1,MAX(0,(24-Pipeline!$E$20+1)/MAX(Pipeline!$F$20,1)))+Pipeline!$W$21*Pipeline!$D$21*MIN(1,MAX(0,(24-Pipeline!$E$21+1)/MAX(Pipeline!$F$21,1)))+Pipeline!$W$22*Pipeline!$D$22*MIN(1,MAX(0,(24-Pipeline!$E$22+1)/MAX(Pipeline!$F$22,1)))</f>
        <v>7437.61384753902</v>
      </c>
      <c r="AA19" s="109" t="n">
        <f aca="false">Pipeline!$W$16*Pipeline!$D$16*MIN(1,MAX(0,(25-Pipeline!$E$16+1)/MAX(Pipeline!$F$16,1)))+Pipeline!$W$17*Pipeline!$D$17*MIN(1,MAX(0,(25-Pipeline!$E$17+1)/MAX(Pipeline!$F$17,1)))+Pipeline!$W$18*Pipeline!$D$18*MIN(1,MAX(0,(25-Pipeline!$E$18+1)/MAX(Pipeline!$F$18,1)))+Pipeline!$W$19*Pipeline!$D$19*MIN(1,MAX(0,(25-Pipeline!$E$19+1)/MAX(Pipeline!$F$19,1)))+Pipeline!$W$20*Pipeline!$D$20*MIN(1,MAX(0,(25-Pipeline!$E$20+1)/MAX(Pipeline!$F$20,1)))+Pipeline!$W$21*Pipeline!$D$21*MIN(1,MAX(0,(25-Pipeline!$E$21+1)/MAX(Pipeline!$F$21,1)))+Pipeline!$W$22*Pipeline!$D$22*MIN(1,MAX(0,(25-Pipeline!$E$22+1)/MAX(Pipeline!$F$22,1)))</f>
        <v>7437.61384753902</v>
      </c>
      <c r="AB19" s="109" t="n">
        <f aca="false">Pipeline!$W$16*Pipeline!$D$16*MIN(1,MAX(0,(26-Pipeline!$E$16+1)/MAX(Pipeline!$F$16,1)))+Pipeline!$W$17*Pipeline!$D$17*MIN(1,MAX(0,(26-Pipeline!$E$17+1)/MAX(Pipeline!$F$17,1)))+Pipeline!$W$18*Pipeline!$D$18*MIN(1,MAX(0,(26-Pipeline!$E$18+1)/MAX(Pipeline!$F$18,1)))+Pipeline!$W$19*Pipeline!$D$19*MIN(1,MAX(0,(26-Pipeline!$E$19+1)/MAX(Pipeline!$F$19,1)))+Pipeline!$W$20*Pipeline!$D$20*MIN(1,MAX(0,(26-Pipeline!$E$20+1)/MAX(Pipeline!$F$20,1)))+Pipeline!$W$21*Pipeline!$D$21*MIN(1,MAX(0,(26-Pipeline!$E$21+1)/MAX(Pipeline!$F$21,1)))+Pipeline!$W$22*Pipeline!$D$22*MIN(1,MAX(0,(26-Pipeline!$E$22+1)/MAX(Pipeline!$F$22,1)))</f>
        <v>7437.61384753902</v>
      </c>
      <c r="AC19" s="109" t="n">
        <f aca="false">Pipeline!$W$16*Pipeline!$D$16*MIN(1,MAX(0,(27-Pipeline!$E$16+1)/MAX(Pipeline!$F$16,1)))+Pipeline!$W$17*Pipeline!$D$17*MIN(1,MAX(0,(27-Pipeline!$E$17+1)/MAX(Pipeline!$F$17,1)))+Pipeline!$W$18*Pipeline!$D$18*MIN(1,MAX(0,(27-Pipeline!$E$18+1)/MAX(Pipeline!$F$18,1)))+Pipeline!$W$19*Pipeline!$D$19*MIN(1,MAX(0,(27-Pipeline!$E$19+1)/MAX(Pipeline!$F$19,1)))+Pipeline!$W$20*Pipeline!$D$20*MIN(1,MAX(0,(27-Pipeline!$E$20+1)/MAX(Pipeline!$F$20,1)))+Pipeline!$W$21*Pipeline!$D$21*MIN(1,MAX(0,(27-Pipeline!$E$21+1)/MAX(Pipeline!$F$21,1)))+Pipeline!$W$22*Pipeline!$D$22*MIN(1,MAX(0,(27-Pipeline!$E$22+1)/MAX(Pipeline!$F$22,1)))</f>
        <v>7437.61384753902</v>
      </c>
      <c r="AD19" s="109" t="n">
        <f aca="false">Pipeline!$W$16*Pipeline!$D$16*MIN(1,MAX(0,(28-Pipeline!$E$16+1)/MAX(Pipeline!$F$16,1)))+Pipeline!$W$17*Pipeline!$D$17*MIN(1,MAX(0,(28-Pipeline!$E$17+1)/MAX(Pipeline!$F$17,1)))+Pipeline!$W$18*Pipeline!$D$18*MIN(1,MAX(0,(28-Pipeline!$E$18+1)/MAX(Pipeline!$F$18,1)))+Pipeline!$W$19*Pipeline!$D$19*MIN(1,MAX(0,(28-Pipeline!$E$19+1)/MAX(Pipeline!$F$19,1)))+Pipeline!$W$20*Pipeline!$D$20*MIN(1,MAX(0,(28-Pipeline!$E$20+1)/MAX(Pipeline!$F$20,1)))+Pipeline!$W$21*Pipeline!$D$21*MIN(1,MAX(0,(28-Pipeline!$E$21+1)/MAX(Pipeline!$F$21,1)))+Pipeline!$W$22*Pipeline!$D$22*MIN(1,MAX(0,(28-Pipeline!$E$22+1)/MAX(Pipeline!$F$22,1)))</f>
        <v>7437.61384753902</v>
      </c>
      <c r="AE19" s="109" t="n">
        <f aca="false">Pipeline!$W$16*Pipeline!$D$16*MIN(1,MAX(0,(29-Pipeline!$E$16+1)/MAX(Pipeline!$F$16,1)))+Pipeline!$W$17*Pipeline!$D$17*MIN(1,MAX(0,(29-Pipeline!$E$17+1)/MAX(Pipeline!$F$17,1)))+Pipeline!$W$18*Pipeline!$D$18*MIN(1,MAX(0,(29-Pipeline!$E$18+1)/MAX(Pipeline!$F$18,1)))+Pipeline!$W$19*Pipeline!$D$19*MIN(1,MAX(0,(29-Pipeline!$E$19+1)/MAX(Pipeline!$F$19,1)))+Pipeline!$W$20*Pipeline!$D$20*MIN(1,MAX(0,(29-Pipeline!$E$20+1)/MAX(Pipeline!$F$20,1)))+Pipeline!$W$21*Pipeline!$D$21*MIN(1,MAX(0,(29-Pipeline!$E$21+1)/MAX(Pipeline!$F$21,1)))+Pipeline!$W$22*Pipeline!$D$22*MIN(1,MAX(0,(29-Pipeline!$E$22+1)/MAX(Pipeline!$F$22,1)))</f>
        <v>7437.61384753902</v>
      </c>
      <c r="AF19" s="109" t="n">
        <f aca="false">Pipeline!$W$16*Pipeline!$D$16*MIN(1,MAX(0,(30-Pipeline!$E$16+1)/MAX(Pipeline!$F$16,1)))+Pipeline!$W$17*Pipeline!$D$17*MIN(1,MAX(0,(30-Pipeline!$E$17+1)/MAX(Pipeline!$F$17,1)))+Pipeline!$W$18*Pipeline!$D$18*MIN(1,MAX(0,(30-Pipeline!$E$18+1)/MAX(Pipeline!$F$18,1)))+Pipeline!$W$19*Pipeline!$D$19*MIN(1,MAX(0,(30-Pipeline!$E$19+1)/MAX(Pipeline!$F$19,1)))+Pipeline!$W$20*Pipeline!$D$20*MIN(1,MAX(0,(30-Pipeline!$E$20+1)/MAX(Pipeline!$F$20,1)))+Pipeline!$W$21*Pipeline!$D$21*MIN(1,MAX(0,(30-Pipeline!$E$21+1)/MAX(Pipeline!$F$21,1)))+Pipeline!$W$22*Pipeline!$D$22*MIN(1,MAX(0,(30-Pipeline!$E$22+1)/MAX(Pipeline!$F$22,1)))</f>
        <v>7437.61384753902</v>
      </c>
      <c r="AG19" s="109" t="n">
        <f aca="false">Pipeline!$W$16*Pipeline!$D$16*MIN(1,MAX(0,(31-Pipeline!$E$16+1)/MAX(Pipeline!$F$16,1)))+Pipeline!$W$17*Pipeline!$D$17*MIN(1,MAX(0,(31-Pipeline!$E$17+1)/MAX(Pipeline!$F$17,1)))+Pipeline!$W$18*Pipeline!$D$18*MIN(1,MAX(0,(31-Pipeline!$E$18+1)/MAX(Pipeline!$F$18,1)))+Pipeline!$W$19*Pipeline!$D$19*MIN(1,MAX(0,(31-Pipeline!$E$19+1)/MAX(Pipeline!$F$19,1)))+Pipeline!$W$20*Pipeline!$D$20*MIN(1,MAX(0,(31-Pipeline!$E$20+1)/MAX(Pipeline!$F$20,1)))+Pipeline!$W$21*Pipeline!$D$21*MIN(1,MAX(0,(31-Pipeline!$E$21+1)/MAX(Pipeline!$F$21,1)))+Pipeline!$W$22*Pipeline!$D$22*MIN(1,MAX(0,(31-Pipeline!$E$22+1)/MAX(Pipeline!$F$22,1)))</f>
        <v>7437.61384753902</v>
      </c>
      <c r="AH19" s="109" t="n">
        <f aca="false">Pipeline!$W$16*Pipeline!$D$16*MIN(1,MAX(0,(32-Pipeline!$E$16+1)/MAX(Pipeline!$F$16,1)))+Pipeline!$W$17*Pipeline!$D$17*MIN(1,MAX(0,(32-Pipeline!$E$17+1)/MAX(Pipeline!$F$17,1)))+Pipeline!$W$18*Pipeline!$D$18*MIN(1,MAX(0,(32-Pipeline!$E$18+1)/MAX(Pipeline!$F$18,1)))+Pipeline!$W$19*Pipeline!$D$19*MIN(1,MAX(0,(32-Pipeline!$E$19+1)/MAX(Pipeline!$F$19,1)))+Pipeline!$W$20*Pipeline!$D$20*MIN(1,MAX(0,(32-Pipeline!$E$20+1)/MAX(Pipeline!$F$20,1)))+Pipeline!$W$21*Pipeline!$D$21*MIN(1,MAX(0,(32-Pipeline!$E$21+1)/MAX(Pipeline!$F$21,1)))+Pipeline!$W$22*Pipeline!$D$22*MIN(1,MAX(0,(32-Pipeline!$E$22+1)/MAX(Pipeline!$F$22,1)))</f>
        <v>7437.61384753902</v>
      </c>
      <c r="AI19" s="109" t="n">
        <f aca="false">Pipeline!$W$16*Pipeline!$D$16*MIN(1,MAX(0,(33-Pipeline!$E$16+1)/MAX(Pipeline!$F$16,1)))+Pipeline!$W$17*Pipeline!$D$17*MIN(1,MAX(0,(33-Pipeline!$E$17+1)/MAX(Pipeline!$F$17,1)))+Pipeline!$W$18*Pipeline!$D$18*MIN(1,MAX(0,(33-Pipeline!$E$18+1)/MAX(Pipeline!$F$18,1)))+Pipeline!$W$19*Pipeline!$D$19*MIN(1,MAX(0,(33-Pipeline!$E$19+1)/MAX(Pipeline!$F$19,1)))+Pipeline!$W$20*Pipeline!$D$20*MIN(1,MAX(0,(33-Pipeline!$E$20+1)/MAX(Pipeline!$F$20,1)))+Pipeline!$W$21*Pipeline!$D$21*MIN(1,MAX(0,(33-Pipeline!$E$21+1)/MAX(Pipeline!$F$21,1)))+Pipeline!$W$22*Pipeline!$D$22*MIN(1,MAX(0,(33-Pipeline!$E$22+1)/MAX(Pipeline!$F$22,1)))</f>
        <v>7437.61384753902</v>
      </c>
      <c r="AJ19" s="109" t="n">
        <f aca="false">Pipeline!$W$16*Pipeline!$D$16*MIN(1,MAX(0,(34-Pipeline!$E$16+1)/MAX(Pipeline!$F$16,1)))+Pipeline!$W$17*Pipeline!$D$17*MIN(1,MAX(0,(34-Pipeline!$E$17+1)/MAX(Pipeline!$F$17,1)))+Pipeline!$W$18*Pipeline!$D$18*MIN(1,MAX(0,(34-Pipeline!$E$18+1)/MAX(Pipeline!$F$18,1)))+Pipeline!$W$19*Pipeline!$D$19*MIN(1,MAX(0,(34-Pipeline!$E$19+1)/MAX(Pipeline!$F$19,1)))+Pipeline!$W$20*Pipeline!$D$20*MIN(1,MAX(0,(34-Pipeline!$E$20+1)/MAX(Pipeline!$F$20,1)))+Pipeline!$W$21*Pipeline!$D$21*MIN(1,MAX(0,(34-Pipeline!$E$21+1)/MAX(Pipeline!$F$21,1)))+Pipeline!$W$22*Pipeline!$D$22*MIN(1,MAX(0,(34-Pipeline!$E$22+1)/MAX(Pipeline!$F$22,1)))</f>
        <v>7437.61384753902</v>
      </c>
      <c r="AK19" s="109" t="n">
        <f aca="false">Pipeline!$W$16*Pipeline!$D$16*MIN(1,MAX(0,(35-Pipeline!$E$16+1)/MAX(Pipeline!$F$16,1)))+Pipeline!$W$17*Pipeline!$D$17*MIN(1,MAX(0,(35-Pipeline!$E$17+1)/MAX(Pipeline!$F$17,1)))+Pipeline!$W$18*Pipeline!$D$18*MIN(1,MAX(0,(35-Pipeline!$E$18+1)/MAX(Pipeline!$F$18,1)))+Pipeline!$W$19*Pipeline!$D$19*MIN(1,MAX(0,(35-Pipeline!$E$19+1)/MAX(Pipeline!$F$19,1)))+Pipeline!$W$20*Pipeline!$D$20*MIN(1,MAX(0,(35-Pipeline!$E$20+1)/MAX(Pipeline!$F$20,1)))+Pipeline!$W$21*Pipeline!$D$21*MIN(1,MAX(0,(35-Pipeline!$E$21+1)/MAX(Pipeline!$F$21,1)))+Pipeline!$W$22*Pipeline!$D$22*MIN(1,MAX(0,(35-Pipeline!$E$22+1)/MAX(Pipeline!$F$22,1)))</f>
        <v>7437.61384753902</v>
      </c>
      <c r="AL19" s="109" t="n">
        <f aca="false">Pipeline!$W$16*Pipeline!$D$16*MIN(1,MAX(0,(36-Pipeline!$E$16+1)/MAX(Pipeline!$F$16,1)))+Pipeline!$W$17*Pipeline!$D$17*MIN(1,MAX(0,(36-Pipeline!$E$17+1)/MAX(Pipeline!$F$17,1)))+Pipeline!$W$18*Pipeline!$D$18*MIN(1,MAX(0,(36-Pipeline!$E$18+1)/MAX(Pipeline!$F$18,1)))+Pipeline!$W$19*Pipeline!$D$19*MIN(1,MAX(0,(36-Pipeline!$E$19+1)/MAX(Pipeline!$F$19,1)))+Pipeline!$W$20*Pipeline!$D$20*MIN(1,MAX(0,(36-Pipeline!$E$20+1)/MAX(Pipeline!$F$20,1)))+Pipeline!$W$21*Pipeline!$D$21*MIN(1,MAX(0,(36-Pipeline!$E$21+1)/MAX(Pipeline!$F$21,1)))+Pipeline!$W$22*Pipeline!$D$22*MIN(1,MAX(0,(36-Pipeline!$E$22+1)/MAX(Pipeline!$F$22,1)))</f>
        <v>7437.61384753902</v>
      </c>
      <c r="AM19" s="109" t="n">
        <f aca="false">Pipeline!$W$16*Pipeline!$D$16*MIN(1,MAX(0,(37-Pipeline!$E$16+1)/MAX(Pipeline!$F$16,1)))+Pipeline!$W$17*Pipeline!$D$17*MIN(1,MAX(0,(37-Pipeline!$E$17+1)/MAX(Pipeline!$F$17,1)))+Pipeline!$W$18*Pipeline!$D$18*MIN(1,MAX(0,(37-Pipeline!$E$18+1)/MAX(Pipeline!$F$18,1)))+Pipeline!$W$19*Pipeline!$D$19*MIN(1,MAX(0,(37-Pipeline!$E$19+1)/MAX(Pipeline!$F$19,1)))+Pipeline!$W$20*Pipeline!$D$20*MIN(1,MAX(0,(37-Pipeline!$E$20+1)/MAX(Pipeline!$F$20,1)))+Pipeline!$W$21*Pipeline!$D$21*MIN(1,MAX(0,(37-Pipeline!$E$21+1)/MAX(Pipeline!$F$21,1)))+Pipeline!$W$22*Pipeline!$D$22*MIN(1,MAX(0,(37-Pipeline!$E$22+1)/MAX(Pipeline!$F$22,1)))</f>
        <v>7437.61384753902</v>
      </c>
      <c r="AN19" s="109" t="n">
        <f aca="false">Pipeline!$W$16*Pipeline!$D$16*MIN(1,MAX(0,(38-Pipeline!$E$16+1)/MAX(Pipeline!$F$16,1)))+Pipeline!$W$17*Pipeline!$D$17*MIN(1,MAX(0,(38-Pipeline!$E$17+1)/MAX(Pipeline!$F$17,1)))+Pipeline!$W$18*Pipeline!$D$18*MIN(1,MAX(0,(38-Pipeline!$E$18+1)/MAX(Pipeline!$F$18,1)))+Pipeline!$W$19*Pipeline!$D$19*MIN(1,MAX(0,(38-Pipeline!$E$19+1)/MAX(Pipeline!$F$19,1)))+Pipeline!$W$20*Pipeline!$D$20*MIN(1,MAX(0,(38-Pipeline!$E$20+1)/MAX(Pipeline!$F$20,1)))+Pipeline!$W$21*Pipeline!$D$21*MIN(1,MAX(0,(38-Pipeline!$E$21+1)/MAX(Pipeline!$F$21,1)))+Pipeline!$W$22*Pipeline!$D$22*MIN(1,MAX(0,(38-Pipeline!$E$22+1)/MAX(Pipeline!$F$22,1)))</f>
        <v>7437.61384753902</v>
      </c>
      <c r="AO19" s="109" t="n">
        <f aca="false">Pipeline!$W$16*Pipeline!$D$16*MIN(1,MAX(0,(39-Pipeline!$E$16+1)/MAX(Pipeline!$F$16,1)))+Pipeline!$W$17*Pipeline!$D$17*MIN(1,MAX(0,(39-Pipeline!$E$17+1)/MAX(Pipeline!$F$17,1)))+Pipeline!$W$18*Pipeline!$D$18*MIN(1,MAX(0,(39-Pipeline!$E$18+1)/MAX(Pipeline!$F$18,1)))+Pipeline!$W$19*Pipeline!$D$19*MIN(1,MAX(0,(39-Pipeline!$E$19+1)/MAX(Pipeline!$F$19,1)))+Pipeline!$W$20*Pipeline!$D$20*MIN(1,MAX(0,(39-Pipeline!$E$20+1)/MAX(Pipeline!$F$20,1)))+Pipeline!$W$21*Pipeline!$D$21*MIN(1,MAX(0,(39-Pipeline!$E$21+1)/MAX(Pipeline!$F$21,1)))+Pipeline!$W$22*Pipeline!$D$22*MIN(1,MAX(0,(39-Pipeline!$E$22+1)/MAX(Pipeline!$F$22,1)))</f>
        <v>7437.61384753902</v>
      </c>
      <c r="AP19" s="109" t="n">
        <f aca="false">Pipeline!$W$16*Pipeline!$D$16*MIN(1,MAX(0,(40-Pipeline!$E$16+1)/MAX(Pipeline!$F$16,1)))+Pipeline!$W$17*Pipeline!$D$17*MIN(1,MAX(0,(40-Pipeline!$E$17+1)/MAX(Pipeline!$F$17,1)))+Pipeline!$W$18*Pipeline!$D$18*MIN(1,MAX(0,(40-Pipeline!$E$18+1)/MAX(Pipeline!$F$18,1)))+Pipeline!$W$19*Pipeline!$D$19*MIN(1,MAX(0,(40-Pipeline!$E$19+1)/MAX(Pipeline!$F$19,1)))+Pipeline!$W$20*Pipeline!$D$20*MIN(1,MAX(0,(40-Pipeline!$E$20+1)/MAX(Pipeline!$F$20,1)))+Pipeline!$W$21*Pipeline!$D$21*MIN(1,MAX(0,(40-Pipeline!$E$21+1)/MAX(Pipeline!$F$21,1)))+Pipeline!$W$22*Pipeline!$D$22*MIN(1,MAX(0,(40-Pipeline!$E$22+1)/MAX(Pipeline!$F$22,1)))</f>
        <v>7437.61384753902</v>
      </c>
      <c r="AQ19" s="109" t="n">
        <f aca="false">Pipeline!$W$16*Pipeline!$D$16*MIN(1,MAX(0,(41-Pipeline!$E$16+1)/MAX(Pipeline!$F$16,1)))+Pipeline!$W$17*Pipeline!$D$17*MIN(1,MAX(0,(41-Pipeline!$E$17+1)/MAX(Pipeline!$F$17,1)))+Pipeline!$W$18*Pipeline!$D$18*MIN(1,MAX(0,(41-Pipeline!$E$18+1)/MAX(Pipeline!$F$18,1)))+Pipeline!$W$19*Pipeline!$D$19*MIN(1,MAX(0,(41-Pipeline!$E$19+1)/MAX(Pipeline!$F$19,1)))+Pipeline!$W$20*Pipeline!$D$20*MIN(1,MAX(0,(41-Pipeline!$E$20+1)/MAX(Pipeline!$F$20,1)))+Pipeline!$W$21*Pipeline!$D$21*MIN(1,MAX(0,(41-Pipeline!$E$21+1)/MAX(Pipeline!$F$21,1)))+Pipeline!$W$22*Pipeline!$D$22*MIN(1,MAX(0,(41-Pipeline!$E$22+1)/MAX(Pipeline!$F$22,1)))</f>
        <v>7437.61384753902</v>
      </c>
      <c r="AR19" s="109" t="n">
        <f aca="false">Pipeline!$W$16*Pipeline!$D$16*MIN(1,MAX(0,(42-Pipeline!$E$16+1)/MAX(Pipeline!$F$16,1)))+Pipeline!$W$17*Pipeline!$D$17*MIN(1,MAX(0,(42-Pipeline!$E$17+1)/MAX(Pipeline!$F$17,1)))+Pipeline!$W$18*Pipeline!$D$18*MIN(1,MAX(0,(42-Pipeline!$E$18+1)/MAX(Pipeline!$F$18,1)))+Pipeline!$W$19*Pipeline!$D$19*MIN(1,MAX(0,(42-Pipeline!$E$19+1)/MAX(Pipeline!$F$19,1)))+Pipeline!$W$20*Pipeline!$D$20*MIN(1,MAX(0,(42-Pipeline!$E$20+1)/MAX(Pipeline!$F$20,1)))+Pipeline!$W$21*Pipeline!$D$21*MIN(1,MAX(0,(42-Pipeline!$E$21+1)/MAX(Pipeline!$F$21,1)))+Pipeline!$W$22*Pipeline!$D$22*MIN(1,MAX(0,(42-Pipeline!$E$22+1)/MAX(Pipeline!$F$22,1)))</f>
        <v>7437.61384753902</v>
      </c>
      <c r="AS19" s="109" t="n">
        <f aca="false">Pipeline!$W$16*Pipeline!$D$16*MIN(1,MAX(0,(43-Pipeline!$E$16+1)/MAX(Pipeline!$F$16,1)))+Pipeline!$W$17*Pipeline!$D$17*MIN(1,MAX(0,(43-Pipeline!$E$17+1)/MAX(Pipeline!$F$17,1)))+Pipeline!$W$18*Pipeline!$D$18*MIN(1,MAX(0,(43-Pipeline!$E$18+1)/MAX(Pipeline!$F$18,1)))+Pipeline!$W$19*Pipeline!$D$19*MIN(1,MAX(0,(43-Pipeline!$E$19+1)/MAX(Pipeline!$F$19,1)))+Pipeline!$W$20*Pipeline!$D$20*MIN(1,MAX(0,(43-Pipeline!$E$20+1)/MAX(Pipeline!$F$20,1)))+Pipeline!$W$21*Pipeline!$D$21*MIN(1,MAX(0,(43-Pipeline!$E$21+1)/MAX(Pipeline!$F$21,1)))+Pipeline!$W$22*Pipeline!$D$22*MIN(1,MAX(0,(43-Pipeline!$E$22+1)/MAX(Pipeline!$F$22,1)))</f>
        <v>7437.61384753902</v>
      </c>
      <c r="AT19" s="109" t="n">
        <f aca="false">Pipeline!$W$16*Pipeline!$D$16*MIN(1,MAX(0,(44-Pipeline!$E$16+1)/MAX(Pipeline!$F$16,1)))+Pipeline!$W$17*Pipeline!$D$17*MIN(1,MAX(0,(44-Pipeline!$E$17+1)/MAX(Pipeline!$F$17,1)))+Pipeline!$W$18*Pipeline!$D$18*MIN(1,MAX(0,(44-Pipeline!$E$18+1)/MAX(Pipeline!$F$18,1)))+Pipeline!$W$19*Pipeline!$D$19*MIN(1,MAX(0,(44-Pipeline!$E$19+1)/MAX(Pipeline!$F$19,1)))+Pipeline!$W$20*Pipeline!$D$20*MIN(1,MAX(0,(44-Pipeline!$E$20+1)/MAX(Pipeline!$F$20,1)))+Pipeline!$W$21*Pipeline!$D$21*MIN(1,MAX(0,(44-Pipeline!$E$21+1)/MAX(Pipeline!$F$21,1)))+Pipeline!$W$22*Pipeline!$D$22*MIN(1,MAX(0,(44-Pipeline!$E$22+1)/MAX(Pipeline!$F$22,1)))</f>
        <v>7437.61384753902</v>
      </c>
      <c r="AU19" s="109" t="n">
        <f aca="false">Pipeline!$W$16*Pipeline!$D$16*MIN(1,MAX(0,(45-Pipeline!$E$16+1)/MAX(Pipeline!$F$16,1)))+Pipeline!$W$17*Pipeline!$D$17*MIN(1,MAX(0,(45-Pipeline!$E$17+1)/MAX(Pipeline!$F$17,1)))+Pipeline!$W$18*Pipeline!$D$18*MIN(1,MAX(0,(45-Pipeline!$E$18+1)/MAX(Pipeline!$F$18,1)))+Pipeline!$W$19*Pipeline!$D$19*MIN(1,MAX(0,(45-Pipeline!$E$19+1)/MAX(Pipeline!$F$19,1)))+Pipeline!$W$20*Pipeline!$D$20*MIN(1,MAX(0,(45-Pipeline!$E$20+1)/MAX(Pipeline!$F$20,1)))+Pipeline!$W$21*Pipeline!$D$21*MIN(1,MAX(0,(45-Pipeline!$E$21+1)/MAX(Pipeline!$F$21,1)))+Pipeline!$W$22*Pipeline!$D$22*MIN(1,MAX(0,(45-Pipeline!$E$22+1)/MAX(Pipeline!$F$22,1)))</f>
        <v>7437.61384753902</v>
      </c>
      <c r="AV19" s="109" t="n">
        <f aca="false">Pipeline!$W$16*Pipeline!$D$16*MIN(1,MAX(0,(46-Pipeline!$E$16+1)/MAX(Pipeline!$F$16,1)))+Pipeline!$W$17*Pipeline!$D$17*MIN(1,MAX(0,(46-Pipeline!$E$17+1)/MAX(Pipeline!$F$17,1)))+Pipeline!$W$18*Pipeline!$D$18*MIN(1,MAX(0,(46-Pipeline!$E$18+1)/MAX(Pipeline!$F$18,1)))+Pipeline!$W$19*Pipeline!$D$19*MIN(1,MAX(0,(46-Pipeline!$E$19+1)/MAX(Pipeline!$F$19,1)))+Pipeline!$W$20*Pipeline!$D$20*MIN(1,MAX(0,(46-Pipeline!$E$20+1)/MAX(Pipeline!$F$20,1)))+Pipeline!$W$21*Pipeline!$D$21*MIN(1,MAX(0,(46-Pipeline!$E$21+1)/MAX(Pipeline!$F$21,1)))+Pipeline!$W$22*Pipeline!$D$22*MIN(1,MAX(0,(46-Pipeline!$E$22+1)/MAX(Pipeline!$F$22,1)))</f>
        <v>7437.61384753902</v>
      </c>
      <c r="AW19" s="109" t="n">
        <f aca="false">Pipeline!$W$16*Pipeline!$D$16*MIN(1,MAX(0,(47-Pipeline!$E$16+1)/MAX(Pipeline!$F$16,1)))+Pipeline!$W$17*Pipeline!$D$17*MIN(1,MAX(0,(47-Pipeline!$E$17+1)/MAX(Pipeline!$F$17,1)))+Pipeline!$W$18*Pipeline!$D$18*MIN(1,MAX(0,(47-Pipeline!$E$18+1)/MAX(Pipeline!$F$18,1)))+Pipeline!$W$19*Pipeline!$D$19*MIN(1,MAX(0,(47-Pipeline!$E$19+1)/MAX(Pipeline!$F$19,1)))+Pipeline!$W$20*Pipeline!$D$20*MIN(1,MAX(0,(47-Pipeline!$E$20+1)/MAX(Pipeline!$F$20,1)))+Pipeline!$W$21*Pipeline!$D$21*MIN(1,MAX(0,(47-Pipeline!$E$21+1)/MAX(Pipeline!$F$21,1)))+Pipeline!$W$22*Pipeline!$D$22*MIN(1,MAX(0,(47-Pipeline!$E$22+1)/MAX(Pipeline!$F$22,1)))</f>
        <v>7437.61384753902</v>
      </c>
      <c r="AX19" s="109" t="n">
        <f aca="false">Pipeline!$W$16*Pipeline!$D$16*MIN(1,MAX(0,(48-Pipeline!$E$16+1)/MAX(Pipeline!$F$16,1)))+Pipeline!$W$17*Pipeline!$D$17*MIN(1,MAX(0,(48-Pipeline!$E$17+1)/MAX(Pipeline!$F$17,1)))+Pipeline!$W$18*Pipeline!$D$18*MIN(1,MAX(0,(48-Pipeline!$E$18+1)/MAX(Pipeline!$F$18,1)))+Pipeline!$W$19*Pipeline!$D$19*MIN(1,MAX(0,(48-Pipeline!$E$19+1)/MAX(Pipeline!$F$19,1)))+Pipeline!$W$20*Pipeline!$D$20*MIN(1,MAX(0,(48-Pipeline!$E$20+1)/MAX(Pipeline!$F$20,1)))+Pipeline!$W$21*Pipeline!$D$21*MIN(1,MAX(0,(48-Pipeline!$E$21+1)/MAX(Pipeline!$F$21,1)))+Pipeline!$W$22*Pipeline!$D$22*MIN(1,MAX(0,(48-Pipeline!$E$22+1)/MAX(Pipeline!$F$22,1)))</f>
        <v>7437.61384753902</v>
      </c>
      <c r="AY19" s="109" t="n">
        <f aca="false">Pipeline!$W$16*Pipeline!$D$16*MIN(1,MAX(0,(49-Pipeline!$E$16+1)/MAX(Pipeline!$F$16,1)))+Pipeline!$W$17*Pipeline!$D$17*MIN(1,MAX(0,(49-Pipeline!$E$17+1)/MAX(Pipeline!$F$17,1)))+Pipeline!$W$18*Pipeline!$D$18*MIN(1,MAX(0,(49-Pipeline!$E$18+1)/MAX(Pipeline!$F$18,1)))+Pipeline!$W$19*Pipeline!$D$19*MIN(1,MAX(0,(49-Pipeline!$E$19+1)/MAX(Pipeline!$F$19,1)))+Pipeline!$W$20*Pipeline!$D$20*MIN(1,MAX(0,(49-Pipeline!$E$20+1)/MAX(Pipeline!$F$20,1)))+Pipeline!$W$21*Pipeline!$D$21*MIN(1,MAX(0,(49-Pipeline!$E$21+1)/MAX(Pipeline!$F$21,1)))+Pipeline!$W$22*Pipeline!$D$22*MIN(1,MAX(0,(49-Pipeline!$E$22+1)/MAX(Pipeline!$F$22,1)))</f>
        <v>7437.61384753902</v>
      </c>
      <c r="AZ19" s="109" t="n">
        <f aca="false">Pipeline!$W$16*Pipeline!$D$16*MIN(1,MAX(0,(50-Pipeline!$E$16+1)/MAX(Pipeline!$F$16,1)))+Pipeline!$W$17*Pipeline!$D$17*MIN(1,MAX(0,(50-Pipeline!$E$17+1)/MAX(Pipeline!$F$17,1)))+Pipeline!$W$18*Pipeline!$D$18*MIN(1,MAX(0,(50-Pipeline!$E$18+1)/MAX(Pipeline!$F$18,1)))+Pipeline!$W$19*Pipeline!$D$19*MIN(1,MAX(0,(50-Pipeline!$E$19+1)/MAX(Pipeline!$F$19,1)))+Pipeline!$W$20*Pipeline!$D$20*MIN(1,MAX(0,(50-Pipeline!$E$20+1)/MAX(Pipeline!$F$20,1)))+Pipeline!$W$21*Pipeline!$D$21*MIN(1,MAX(0,(50-Pipeline!$E$21+1)/MAX(Pipeline!$F$21,1)))+Pipeline!$W$22*Pipeline!$D$22*MIN(1,MAX(0,(50-Pipeline!$E$22+1)/MAX(Pipeline!$F$22,1)))</f>
        <v>7437.61384753902</v>
      </c>
      <c r="BA19" s="109" t="n">
        <f aca="false">Pipeline!$W$16*Pipeline!$D$16*MIN(1,MAX(0,(51-Pipeline!$E$16+1)/MAX(Pipeline!$F$16,1)))+Pipeline!$W$17*Pipeline!$D$17*MIN(1,MAX(0,(51-Pipeline!$E$17+1)/MAX(Pipeline!$F$17,1)))+Pipeline!$W$18*Pipeline!$D$18*MIN(1,MAX(0,(51-Pipeline!$E$18+1)/MAX(Pipeline!$F$18,1)))+Pipeline!$W$19*Pipeline!$D$19*MIN(1,MAX(0,(51-Pipeline!$E$19+1)/MAX(Pipeline!$F$19,1)))+Pipeline!$W$20*Pipeline!$D$20*MIN(1,MAX(0,(51-Pipeline!$E$20+1)/MAX(Pipeline!$F$20,1)))+Pipeline!$W$21*Pipeline!$D$21*MIN(1,MAX(0,(51-Pipeline!$E$21+1)/MAX(Pipeline!$F$21,1)))+Pipeline!$W$22*Pipeline!$D$22*MIN(1,MAX(0,(51-Pipeline!$E$22+1)/MAX(Pipeline!$F$22,1)))</f>
        <v>7437.61384753902</v>
      </c>
      <c r="BB19" s="109" t="n">
        <f aca="false">Pipeline!$W$16*Pipeline!$D$16*MIN(1,MAX(0,(52-Pipeline!$E$16+1)/MAX(Pipeline!$F$16,1)))+Pipeline!$W$17*Pipeline!$D$17*MIN(1,MAX(0,(52-Pipeline!$E$17+1)/MAX(Pipeline!$F$17,1)))+Pipeline!$W$18*Pipeline!$D$18*MIN(1,MAX(0,(52-Pipeline!$E$18+1)/MAX(Pipeline!$F$18,1)))+Pipeline!$W$19*Pipeline!$D$19*MIN(1,MAX(0,(52-Pipeline!$E$19+1)/MAX(Pipeline!$F$19,1)))+Pipeline!$W$20*Pipeline!$D$20*MIN(1,MAX(0,(52-Pipeline!$E$20+1)/MAX(Pipeline!$F$20,1)))+Pipeline!$W$21*Pipeline!$D$21*MIN(1,MAX(0,(52-Pipeline!$E$21+1)/MAX(Pipeline!$F$21,1)))+Pipeline!$W$22*Pipeline!$D$22*MIN(1,MAX(0,(52-Pipeline!$E$22+1)/MAX(Pipeline!$F$22,1)))</f>
        <v>7437.61384753902</v>
      </c>
      <c r="BC19" s="109" t="n">
        <f aca="false">Pipeline!$W$16*Pipeline!$D$16*MIN(1,MAX(0,(53-Pipeline!$E$16+1)/MAX(Pipeline!$F$16,1)))+Pipeline!$W$17*Pipeline!$D$17*MIN(1,MAX(0,(53-Pipeline!$E$17+1)/MAX(Pipeline!$F$17,1)))+Pipeline!$W$18*Pipeline!$D$18*MIN(1,MAX(0,(53-Pipeline!$E$18+1)/MAX(Pipeline!$F$18,1)))+Pipeline!$W$19*Pipeline!$D$19*MIN(1,MAX(0,(53-Pipeline!$E$19+1)/MAX(Pipeline!$F$19,1)))+Pipeline!$W$20*Pipeline!$D$20*MIN(1,MAX(0,(53-Pipeline!$E$20+1)/MAX(Pipeline!$F$20,1)))+Pipeline!$W$21*Pipeline!$D$21*MIN(1,MAX(0,(53-Pipeline!$E$21+1)/MAX(Pipeline!$F$21,1)))+Pipeline!$W$22*Pipeline!$D$22*MIN(1,MAX(0,(53-Pipeline!$E$22+1)/MAX(Pipeline!$F$22,1)))</f>
        <v>7437.61384753902</v>
      </c>
      <c r="BD19" s="109" t="n">
        <f aca="false">Pipeline!$W$16*Pipeline!$D$16*MIN(1,MAX(0,(54-Pipeline!$E$16+1)/MAX(Pipeline!$F$16,1)))+Pipeline!$W$17*Pipeline!$D$17*MIN(1,MAX(0,(54-Pipeline!$E$17+1)/MAX(Pipeline!$F$17,1)))+Pipeline!$W$18*Pipeline!$D$18*MIN(1,MAX(0,(54-Pipeline!$E$18+1)/MAX(Pipeline!$F$18,1)))+Pipeline!$W$19*Pipeline!$D$19*MIN(1,MAX(0,(54-Pipeline!$E$19+1)/MAX(Pipeline!$F$19,1)))+Pipeline!$W$20*Pipeline!$D$20*MIN(1,MAX(0,(54-Pipeline!$E$20+1)/MAX(Pipeline!$F$20,1)))+Pipeline!$W$21*Pipeline!$D$21*MIN(1,MAX(0,(54-Pipeline!$E$21+1)/MAX(Pipeline!$F$21,1)))+Pipeline!$W$22*Pipeline!$D$22*MIN(1,MAX(0,(54-Pipeline!$E$22+1)/MAX(Pipeline!$F$22,1)))</f>
        <v>7437.61384753902</v>
      </c>
      <c r="BE19" s="109" t="n">
        <f aca="false">Pipeline!$W$16*Pipeline!$D$16*MIN(1,MAX(0,(55-Pipeline!$E$16+1)/MAX(Pipeline!$F$16,1)))+Pipeline!$W$17*Pipeline!$D$17*MIN(1,MAX(0,(55-Pipeline!$E$17+1)/MAX(Pipeline!$F$17,1)))+Pipeline!$W$18*Pipeline!$D$18*MIN(1,MAX(0,(55-Pipeline!$E$18+1)/MAX(Pipeline!$F$18,1)))+Pipeline!$W$19*Pipeline!$D$19*MIN(1,MAX(0,(55-Pipeline!$E$19+1)/MAX(Pipeline!$F$19,1)))+Pipeline!$W$20*Pipeline!$D$20*MIN(1,MAX(0,(55-Pipeline!$E$20+1)/MAX(Pipeline!$F$20,1)))+Pipeline!$W$21*Pipeline!$D$21*MIN(1,MAX(0,(55-Pipeline!$E$21+1)/MAX(Pipeline!$F$21,1)))+Pipeline!$W$22*Pipeline!$D$22*MIN(1,MAX(0,(55-Pipeline!$E$22+1)/MAX(Pipeline!$F$22,1)))</f>
        <v>7437.61384753902</v>
      </c>
      <c r="BF19" s="109" t="n">
        <f aca="false">Pipeline!$W$16*Pipeline!$D$16*MIN(1,MAX(0,(56-Pipeline!$E$16+1)/MAX(Pipeline!$F$16,1)))+Pipeline!$W$17*Pipeline!$D$17*MIN(1,MAX(0,(56-Pipeline!$E$17+1)/MAX(Pipeline!$F$17,1)))+Pipeline!$W$18*Pipeline!$D$18*MIN(1,MAX(0,(56-Pipeline!$E$18+1)/MAX(Pipeline!$F$18,1)))+Pipeline!$W$19*Pipeline!$D$19*MIN(1,MAX(0,(56-Pipeline!$E$19+1)/MAX(Pipeline!$F$19,1)))+Pipeline!$W$20*Pipeline!$D$20*MIN(1,MAX(0,(56-Pipeline!$E$20+1)/MAX(Pipeline!$F$20,1)))+Pipeline!$W$21*Pipeline!$D$21*MIN(1,MAX(0,(56-Pipeline!$E$21+1)/MAX(Pipeline!$F$21,1)))+Pipeline!$W$22*Pipeline!$D$22*MIN(1,MAX(0,(56-Pipeline!$E$22+1)/MAX(Pipeline!$F$22,1)))</f>
        <v>7437.61384753902</v>
      </c>
      <c r="BG19" s="109" t="n">
        <f aca="false">Pipeline!$W$16*Pipeline!$D$16*MIN(1,MAX(0,(57-Pipeline!$E$16+1)/MAX(Pipeline!$F$16,1)))+Pipeline!$W$17*Pipeline!$D$17*MIN(1,MAX(0,(57-Pipeline!$E$17+1)/MAX(Pipeline!$F$17,1)))+Pipeline!$W$18*Pipeline!$D$18*MIN(1,MAX(0,(57-Pipeline!$E$18+1)/MAX(Pipeline!$F$18,1)))+Pipeline!$W$19*Pipeline!$D$19*MIN(1,MAX(0,(57-Pipeline!$E$19+1)/MAX(Pipeline!$F$19,1)))+Pipeline!$W$20*Pipeline!$D$20*MIN(1,MAX(0,(57-Pipeline!$E$20+1)/MAX(Pipeline!$F$20,1)))+Pipeline!$W$21*Pipeline!$D$21*MIN(1,MAX(0,(57-Pipeline!$E$21+1)/MAX(Pipeline!$F$21,1)))+Pipeline!$W$22*Pipeline!$D$22*MIN(1,MAX(0,(57-Pipeline!$E$22+1)/MAX(Pipeline!$F$22,1)))</f>
        <v>7437.61384753902</v>
      </c>
      <c r="BH19" s="109" t="n">
        <f aca="false">Pipeline!$W$16*Pipeline!$D$16*MIN(1,MAX(0,(58-Pipeline!$E$16+1)/MAX(Pipeline!$F$16,1)))+Pipeline!$W$17*Pipeline!$D$17*MIN(1,MAX(0,(58-Pipeline!$E$17+1)/MAX(Pipeline!$F$17,1)))+Pipeline!$W$18*Pipeline!$D$18*MIN(1,MAX(0,(58-Pipeline!$E$18+1)/MAX(Pipeline!$F$18,1)))+Pipeline!$W$19*Pipeline!$D$19*MIN(1,MAX(0,(58-Pipeline!$E$19+1)/MAX(Pipeline!$F$19,1)))+Pipeline!$W$20*Pipeline!$D$20*MIN(1,MAX(0,(58-Pipeline!$E$20+1)/MAX(Pipeline!$F$20,1)))+Pipeline!$W$21*Pipeline!$D$21*MIN(1,MAX(0,(58-Pipeline!$E$21+1)/MAX(Pipeline!$F$21,1)))+Pipeline!$W$22*Pipeline!$D$22*MIN(1,MAX(0,(58-Pipeline!$E$22+1)/MAX(Pipeline!$F$22,1)))</f>
        <v>7437.61384753902</v>
      </c>
      <c r="BI19" s="109" t="n">
        <f aca="false">Pipeline!$W$16*Pipeline!$D$16*MIN(1,MAX(0,(59-Pipeline!$E$16+1)/MAX(Pipeline!$F$16,1)))+Pipeline!$W$17*Pipeline!$D$17*MIN(1,MAX(0,(59-Pipeline!$E$17+1)/MAX(Pipeline!$F$17,1)))+Pipeline!$W$18*Pipeline!$D$18*MIN(1,MAX(0,(59-Pipeline!$E$18+1)/MAX(Pipeline!$F$18,1)))+Pipeline!$W$19*Pipeline!$D$19*MIN(1,MAX(0,(59-Pipeline!$E$19+1)/MAX(Pipeline!$F$19,1)))+Pipeline!$W$20*Pipeline!$D$20*MIN(1,MAX(0,(59-Pipeline!$E$20+1)/MAX(Pipeline!$F$20,1)))+Pipeline!$W$21*Pipeline!$D$21*MIN(1,MAX(0,(59-Pipeline!$E$21+1)/MAX(Pipeline!$F$21,1)))+Pipeline!$W$22*Pipeline!$D$22*MIN(1,MAX(0,(59-Pipeline!$E$22+1)/MAX(Pipeline!$F$22,1)))</f>
        <v>7437.61384753902</v>
      </c>
      <c r="BJ19" s="109" t="n">
        <f aca="false">Pipeline!$W$16*Pipeline!$D$16*MIN(1,MAX(0,(60-Pipeline!$E$16+1)/MAX(Pipeline!$F$16,1)))+Pipeline!$W$17*Pipeline!$D$17*MIN(1,MAX(0,(60-Pipeline!$E$17+1)/MAX(Pipeline!$F$17,1)))+Pipeline!$W$18*Pipeline!$D$18*MIN(1,MAX(0,(60-Pipeline!$E$18+1)/MAX(Pipeline!$F$18,1)))+Pipeline!$W$19*Pipeline!$D$19*MIN(1,MAX(0,(60-Pipeline!$E$19+1)/MAX(Pipeline!$F$19,1)))+Pipeline!$W$20*Pipeline!$D$20*MIN(1,MAX(0,(60-Pipeline!$E$20+1)/MAX(Pipeline!$F$20,1)))+Pipeline!$W$21*Pipeline!$D$21*MIN(1,MAX(0,(60-Pipeline!$E$21+1)/MAX(Pipeline!$F$21,1)))+Pipeline!$W$22*Pipeline!$D$22*MIN(1,MAX(0,(60-Pipeline!$E$22+1)/MAX(Pipeline!$F$22,1)))</f>
        <v>7437.61384753902</v>
      </c>
      <c r="BK19" s="109" t="n">
        <f aca="false">Pipeline!$W$16*Pipeline!$D$16*MIN(1,MAX(0,(61-Pipeline!$E$16+1)/MAX(Pipeline!$F$16,1)))+Pipeline!$W$17*Pipeline!$D$17*MIN(1,MAX(0,(61-Pipeline!$E$17+1)/MAX(Pipeline!$F$17,1)))+Pipeline!$W$18*Pipeline!$D$18*MIN(1,MAX(0,(61-Pipeline!$E$18+1)/MAX(Pipeline!$F$18,1)))+Pipeline!$W$19*Pipeline!$D$19*MIN(1,MAX(0,(61-Pipeline!$E$19+1)/MAX(Pipeline!$F$19,1)))+Pipeline!$W$20*Pipeline!$D$20*MIN(1,MAX(0,(61-Pipeline!$E$20+1)/MAX(Pipeline!$F$20,1)))+Pipeline!$W$21*Pipeline!$D$21*MIN(1,MAX(0,(61-Pipeline!$E$21+1)/MAX(Pipeline!$F$21,1)))+Pipeline!$W$22*Pipeline!$D$22*MIN(1,MAX(0,(61-Pipeline!$E$22+1)/MAX(Pipeline!$F$22,1)))</f>
        <v>7437.61384753902</v>
      </c>
      <c r="BL19" s="109" t="n">
        <f aca="false">Pipeline!$W$16*Pipeline!$D$16*MIN(1,MAX(0,(62-Pipeline!$E$16+1)/MAX(Pipeline!$F$16,1)))+Pipeline!$W$17*Pipeline!$D$17*MIN(1,MAX(0,(62-Pipeline!$E$17+1)/MAX(Pipeline!$F$17,1)))+Pipeline!$W$18*Pipeline!$D$18*MIN(1,MAX(0,(62-Pipeline!$E$18+1)/MAX(Pipeline!$F$18,1)))+Pipeline!$W$19*Pipeline!$D$19*MIN(1,MAX(0,(62-Pipeline!$E$19+1)/MAX(Pipeline!$F$19,1)))+Pipeline!$W$20*Pipeline!$D$20*MIN(1,MAX(0,(62-Pipeline!$E$20+1)/MAX(Pipeline!$F$20,1)))+Pipeline!$W$21*Pipeline!$D$21*MIN(1,MAX(0,(62-Pipeline!$E$21+1)/MAX(Pipeline!$F$21,1)))+Pipeline!$W$22*Pipeline!$D$22*MIN(1,MAX(0,(62-Pipeline!$E$22+1)/MAX(Pipeline!$F$22,1)))</f>
        <v>7437.61384753902</v>
      </c>
      <c r="BM19" s="109" t="n">
        <f aca="false">Pipeline!$W$16*Pipeline!$D$16*MIN(1,MAX(0,(63-Pipeline!$E$16+1)/MAX(Pipeline!$F$16,1)))+Pipeline!$W$17*Pipeline!$D$17*MIN(1,MAX(0,(63-Pipeline!$E$17+1)/MAX(Pipeline!$F$17,1)))+Pipeline!$W$18*Pipeline!$D$18*MIN(1,MAX(0,(63-Pipeline!$E$18+1)/MAX(Pipeline!$F$18,1)))+Pipeline!$W$19*Pipeline!$D$19*MIN(1,MAX(0,(63-Pipeline!$E$19+1)/MAX(Pipeline!$F$19,1)))+Pipeline!$W$20*Pipeline!$D$20*MIN(1,MAX(0,(63-Pipeline!$E$20+1)/MAX(Pipeline!$F$20,1)))+Pipeline!$W$21*Pipeline!$D$21*MIN(1,MAX(0,(63-Pipeline!$E$21+1)/MAX(Pipeline!$F$21,1)))+Pipeline!$W$22*Pipeline!$D$22*MIN(1,MAX(0,(63-Pipeline!$E$22+1)/MAX(Pipeline!$F$22,1)))</f>
        <v>7437.61384753902</v>
      </c>
      <c r="BN19" s="109" t="n">
        <f aca="false">Pipeline!$W$16*Pipeline!$D$16*MIN(1,MAX(0,(64-Pipeline!$E$16+1)/MAX(Pipeline!$F$16,1)))+Pipeline!$W$17*Pipeline!$D$17*MIN(1,MAX(0,(64-Pipeline!$E$17+1)/MAX(Pipeline!$F$17,1)))+Pipeline!$W$18*Pipeline!$D$18*MIN(1,MAX(0,(64-Pipeline!$E$18+1)/MAX(Pipeline!$F$18,1)))+Pipeline!$W$19*Pipeline!$D$19*MIN(1,MAX(0,(64-Pipeline!$E$19+1)/MAX(Pipeline!$F$19,1)))+Pipeline!$W$20*Pipeline!$D$20*MIN(1,MAX(0,(64-Pipeline!$E$20+1)/MAX(Pipeline!$F$20,1)))+Pipeline!$W$21*Pipeline!$D$21*MIN(1,MAX(0,(64-Pipeline!$E$21+1)/MAX(Pipeline!$F$21,1)))+Pipeline!$W$22*Pipeline!$D$22*MIN(1,MAX(0,(64-Pipeline!$E$22+1)/MAX(Pipeline!$F$22,1)))</f>
        <v>7437.61384753902</v>
      </c>
      <c r="BO19" s="109" t="n">
        <f aca="false">Pipeline!$W$16*Pipeline!$D$16*MIN(1,MAX(0,(65-Pipeline!$E$16+1)/MAX(Pipeline!$F$16,1)))+Pipeline!$W$17*Pipeline!$D$17*MIN(1,MAX(0,(65-Pipeline!$E$17+1)/MAX(Pipeline!$F$17,1)))+Pipeline!$W$18*Pipeline!$D$18*MIN(1,MAX(0,(65-Pipeline!$E$18+1)/MAX(Pipeline!$F$18,1)))+Pipeline!$W$19*Pipeline!$D$19*MIN(1,MAX(0,(65-Pipeline!$E$19+1)/MAX(Pipeline!$F$19,1)))+Pipeline!$W$20*Pipeline!$D$20*MIN(1,MAX(0,(65-Pipeline!$E$20+1)/MAX(Pipeline!$F$20,1)))+Pipeline!$W$21*Pipeline!$D$21*MIN(1,MAX(0,(65-Pipeline!$E$21+1)/MAX(Pipeline!$F$21,1)))+Pipeline!$W$22*Pipeline!$D$22*MIN(1,MAX(0,(65-Pipeline!$E$22+1)/MAX(Pipeline!$F$22,1)))</f>
        <v>7437.61384753902</v>
      </c>
      <c r="BP19" s="109" t="n">
        <f aca="false">Pipeline!$W$16*Pipeline!$D$16*MIN(1,MAX(0,(66-Pipeline!$E$16+1)/MAX(Pipeline!$F$16,1)))+Pipeline!$W$17*Pipeline!$D$17*MIN(1,MAX(0,(66-Pipeline!$E$17+1)/MAX(Pipeline!$F$17,1)))+Pipeline!$W$18*Pipeline!$D$18*MIN(1,MAX(0,(66-Pipeline!$E$18+1)/MAX(Pipeline!$F$18,1)))+Pipeline!$W$19*Pipeline!$D$19*MIN(1,MAX(0,(66-Pipeline!$E$19+1)/MAX(Pipeline!$F$19,1)))+Pipeline!$W$20*Pipeline!$D$20*MIN(1,MAX(0,(66-Pipeline!$E$20+1)/MAX(Pipeline!$F$20,1)))+Pipeline!$W$21*Pipeline!$D$21*MIN(1,MAX(0,(66-Pipeline!$E$21+1)/MAX(Pipeline!$F$21,1)))+Pipeline!$W$22*Pipeline!$D$22*MIN(1,MAX(0,(66-Pipeline!$E$22+1)/MAX(Pipeline!$F$22,1)))</f>
        <v>7437.61384753902</v>
      </c>
      <c r="BQ19" s="109" t="n">
        <f aca="false">Pipeline!$W$16*Pipeline!$D$16*MIN(1,MAX(0,(67-Pipeline!$E$16+1)/MAX(Pipeline!$F$16,1)))+Pipeline!$W$17*Pipeline!$D$17*MIN(1,MAX(0,(67-Pipeline!$E$17+1)/MAX(Pipeline!$F$17,1)))+Pipeline!$W$18*Pipeline!$D$18*MIN(1,MAX(0,(67-Pipeline!$E$18+1)/MAX(Pipeline!$F$18,1)))+Pipeline!$W$19*Pipeline!$D$19*MIN(1,MAX(0,(67-Pipeline!$E$19+1)/MAX(Pipeline!$F$19,1)))+Pipeline!$W$20*Pipeline!$D$20*MIN(1,MAX(0,(67-Pipeline!$E$20+1)/MAX(Pipeline!$F$20,1)))+Pipeline!$W$21*Pipeline!$D$21*MIN(1,MAX(0,(67-Pipeline!$E$21+1)/MAX(Pipeline!$F$21,1)))+Pipeline!$W$22*Pipeline!$D$22*MIN(1,MAX(0,(67-Pipeline!$E$22+1)/MAX(Pipeline!$F$22,1)))</f>
        <v>7437.61384753902</v>
      </c>
      <c r="BR19" s="109" t="n">
        <f aca="false">Pipeline!$W$16*Pipeline!$D$16*MIN(1,MAX(0,(68-Pipeline!$E$16+1)/MAX(Pipeline!$F$16,1)))+Pipeline!$W$17*Pipeline!$D$17*MIN(1,MAX(0,(68-Pipeline!$E$17+1)/MAX(Pipeline!$F$17,1)))+Pipeline!$W$18*Pipeline!$D$18*MIN(1,MAX(0,(68-Pipeline!$E$18+1)/MAX(Pipeline!$F$18,1)))+Pipeline!$W$19*Pipeline!$D$19*MIN(1,MAX(0,(68-Pipeline!$E$19+1)/MAX(Pipeline!$F$19,1)))+Pipeline!$W$20*Pipeline!$D$20*MIN(1,MAX(0,(68-Pipeline!$E$20+1)/MAX(Pipeline!$F$20,1)))+Pipeline!$W$21*Pipeline!$D$21*MIN(1,MAX(0,(68-Pipeline!$E$21+1)/MAX(Pipeline!$F$21,1)))+Pipeline!$W$22*Pipeline!$D$22*MIN(1,MAX(0,(68-Pipeline!$E$22+1)/MAX(Pipeline!$F$22,1)))</f>
        <v>7437.61384753902</v>
      </c>
      <c r="BS19" s="109" t="n">
        <f aca="false">Pipeline!$W$16*Pipeline!$D$16*MIN(1,MAX(0,(69-Pipeline!$E$16+1)/MAX(Pipeline!$F$16,1)))+Pipeline!$W$17*Pipeline!$D$17*MIN(1,MAX(0,(69-Pipeline!$E$17+1)/MAX(Pipeline!$F$17,1)))+Pipeline!$W$18*Pipeline!$D$18*MIN(1,MAX(0,(69-Pipeline!$E$18+1)/MAX(Pipeline!$F$18,1)))+Pipeline!$W$19*Pipeline!$D$19*MIN(1,MAX(0,(69-Pipeline!$E$19+1)/MAX(Pipeline!$F$19,1)))+Pipeline!$W$20*Pipeline!$D$20*MIN(1,MAX(0,(69-Pipeline!$E$20+1)/MAX(Pipeline!$F$20,1)))+Pipeline!$W$21*Pipeline!$D$21*MIN(1,MAX(0,(69-Pipeline!$E$21+1)/MAX(Pipeline!$F$21,1)))+Pipeline!$W$22*Pipeline!$D$22*MIN(1,MAX(0,(69-Pipeline!$E$22+1)/MAX(Pipeline!$F$22,1)))</f>
        <v>7437.61384753902</v>
      </c>
      <c r="BT19" s="109" t="n">
        <f aca="false">Pipeline!$W$16*Pipeline!$D$16*MIN(1,MAX(0,(70-Pipeline!$E$16+1)/MAX(Pipeline!$F$16,1)))+Pipeline!$W$17*Pipeline!$D$17*MIN(1,MAX(0,(70-Pipeline!$E$17+1)/MAX(Pipeline!$F$17,1)))+Pipeline!$W$18*Pipeline!$D$18*MIN(1,MAX(0,(70-Pipeline!$E$18+1)/MAX(Pipeline!$F$18,1)))+Pipeline!$W$19*Pipeline!$D$19*MIN(1,MAX(0,(70-Pipeline!$E$19+1)/MAX(Pipeline!$F$19,1)))+Pipeline!$W$20*Pipeline!$D$20*MIN(1,MAX(0,(70-Pipeline!$E$20+1)/MAX(Pipeline!$F$20,1)))+Pipeline!$W$21*Pipeline!$D$21*MIN(1,MAX(0,(70-Pipeline!$E$21+1)/MAX(Pipeline!$F$21,1)))+Pipeline!$W$22*Pipeline!$D$22*MIN(1,MAX(0,(70-Pipeline!$E$22+1)/MAX(Pipeline!$F$22,1)))</f>
        <v>7437.61384753902</v>
      </c>
      <c r="BU19" s="109" t="n">
        <f aca="false">Pipeline!$W$16*Pipeline!$D$16*MIN(1,MAX(0,(71-Pipeline!$E$16+1)/MAX(Pipeline!$F$16,1)))+Pipeline!$W$17*Pipeline!$D$17*MIN(1,MAX(0,(71-Pipeline!$E$17+1)/MAX(Pipeline!$F$17,1)))+Pipeline!$W$18*Pipeline!$D$18*MIN(1,MAX(0,(71-Pipeline!$E$18+1)/MAX(Pipeline!$F$18,1)))+Pipeline!$W$19*Pipeline!$D$19*MIN(1,MAX(0,(71-Pipeline!$E$19+1)/MAX(Pipeline!$F$19,1)))+Pipeline!$W$20*Pipeline!$D$20*MIN(1,MAX(0,(71-Pipeline!$E$20+1)/MAX(Pipeline!$F$20,1)))+Pipeline!$W$21*Pipeline!$D$21*MIN(1,MAX(0,(71-Pipeline!$E$21+1)/MAX(Pipeline!$F$21,1)))+Pipeline!$W$22*Pipeline!$D$22*MIN(1,MAX(0,(71-Pipeline!$E$22+1)/MAX(Pipeline!$F$22,1)))</f>
        <v>7437.61384753902</v>
      </c>
      <c r="BV19" s="109" t="n">
        <f aca="false">Pipeline!$W$16*Pipeline!$D$16*MIN(1,MAX(0,(72-Pipeline!$E$16+1)/MAX(Pipeline!$F$16,1)))+Pipeline!$W$17*Pipeline!$D$17*MIN(1,MAX(0,(72-Pipeline!$E$17+1)/MAX(Pipeline!$F$17,1)))+Pipeline!$W$18*Pipeline!$D$18*MIN(1,MAX(0,(72-Pipeline!$E$18+1)/MAX(Pipeline!$F$18,1)))+Pipeline!$W$19*Pipeline!$D$19*MIN(1,MAX(0,(72-Pipeline!$E$19+1)/MAX(Pipeline!$F$19,1)))+Pipeline!$W$20*Pipeline!$D$20*MIN(1,MAX(0,(72-Pipeline!$E$20+1)/MAX(Pipeline!$F$20,1)))+Pipeline!$W$21*Pipeline!$D$21*MIN(1,MAX(0,(72-Pipeline!$E$21+1)/MAX(Pipeline!$F$21,1)))+Pipeline!$W$22*Pipeline!$D$22*MIN(1,MAX(0,(72-Pipeline!$E$22+1)/MAX(Pipeline!$F$22,1)))</f>
        <v>7437.61384753902</v>
      </c>
      <c r="BW19" s="109" t="n">
        <f aca="false">Pipeline!$W$16*Pipeline!$D$16*MIN(1,MAX(0,(73-Pipeline!$E$16+1)/MAX(Pipeline!$F$16,1)))+Pipeline!$W$17*Pipeline!$D$17*MIN(1,MAX(0,(73-Pipeline!$E$17+1)/MAX(Pipeline!$F$17,1)))+Pipeline!$W$18*Pipeline!$D$18*MIN(1,MAX(0,(73-Pipeline!$E$18+1)/MAX(Pipeline!$F$18,1)))+Pipeline!$W$19*Pipeline!$D$19*MIN(1,MAX(0,(73-Pipeline!$E$19+1)/MAX(Pipeline!$F$19,1)))+Pipeline!$W$20*Pipeline!$D$20*MIN(1,MAX(0,(73-Pipeline!$E$20+1)/MAX(Pipeline!$F$20,1)))+Pipeline!$W$21*Pipeline!$D$21*MIN(1,MAX(0,(73-Pipeline!$E$21+1)/MAX(Pipeline!$F$21,1)))+Pipeline!$W$22*Pipeline!$D$22*MIN(1,MAX(0,(73-Pipeline!$E$22+1)/MAX(Pipeline!$F$22,1)))</f>
        <v>7437.61384753902</v>
      </c>
      <c r="BX19" s="109" t="n">
        <f aca="false">Pipeline!$W$16*Pipeline!$D$16*MIN(1,MAX(0,(74-Pipeline!$E$16+1)/MAX(Pipeline!$F$16,1)))+Pipeline!$W$17*Pipeline!$D$17*MIN(1,MAX(0,(74-Pipeline!$E$17+1)/MAX(Pipeline!$F$17,1)))+Pipeline!$W$18*Pipeline!$D$18*MIN(1,MAX(0,(74-Pipeline!$E$18+1)/MAX(Pipeline!$F$18,1)))+Pipeline!$W$19*Pipeline!$D$19*MIN(1,MAX(0,(74-Pipeline!$E$19+1)/MAX(Pipeline!$F$19,1)))+Pipeline!$W$20*Pipeline!$D$20*MIN(1,MAX(0,(74-Pipeline!$E$20+1)/MAX(Pipeline!$F$20,1)))+Pipeline!$W$21*Pipeline!$D$21*MIN(1,MAX(0,(74-Pipeline!$E$21+1)/MAX(Pipeline!$F$21,1)))+Pipeline!$W$22*Pipeline!$D$22*MIN(1,MAX(0,(74-Pipeline!$E$22+1)/MAX(Pipeline!$F$22,1)))</f>
        <v>7437.61384753902</v>
      </c>
      <c r="BY19" s="109" t="n">
        <f aca="false">Pipeline!$W$16*Pipeline!$D$16*MIN(1,MAX(0,(75-Pipeline!$E$16+1)/MAX(Pipeline!$F$16,1)))+Pipeline!$W$17*Pipeline!$D$17*MIN(1,MAX(0,(75-Pipeline!$E$17+1)/MAX(Pipeline!$F$17,1)))+Pipeline!$W$18*Pipeline!$D$18*MIN(1,MAX(0,(75-Pipeline!$E$18+1)/MAX(Pipeline!$F$18,1)))+Pipeline!$W$19*Pipeline!$D$19*MIN(1,MAX(0,(75-Pipeline!$E$19+1)/MAX(Pipeline!$F$19,1)))+Pipeline!$W$20*Pipeline!$D$20*MIN(1,MAX(0,(75-Pipeline!$E$20+1)/MAX(Pipeline!$F$20,1)))+Pipeline!$W$21*Pipeline!$D$21*MIN(1,MAX(0,(75-Pipeline!$E$21+1)/MAX(Pipeline!$F$21,1)))+Pipeline!$W$22*Pipeline!$D$22*MIN(1,MAX(0,(75-Pipeline!$E$22+1)/MAX(Pipeline!$F$22,1)))</f>
        <v>7437.61384753902</v>
      </c>
      <c r="BZ19" s="109" t="n">
        <f aca="false">Pipeline!$W$16*Pipeline!$D$16*MIN(1,MAX(0,(76-Pipeline!$E$16+1)/MAX(Pipeline!$F$16,1)))+Pipeline!$W$17*Pipeline!$D$17*MIN(1,MAX(0,(76-Pipeline!$E$17+1)/MAX(Pipeline!$F$17,1)))+Pipeline!$W$18*Pipeline!$D$18*MIN(1,MAX(0,(76-Pipeline!$E$18+1)/MAX(Pipeline!$F$18,1)))+Pipeline!$W$19*Pipeline!$D$19*MIN(1,MAX(0,(76-Pipeline!$E$19+1)/MAX(Pipeline!$F$19,1)))+Pipeline!$W$20*Pipeline!$D$20*MIN(1,MAX(0,(76-Pipeline!$E$20+1)/MAX(Pipeline!$F$20,1)))+Pipeline!$W$21*Pipeline!$D$21*MIN(1,MAX(0,(76-Pipeline!$E$21+1)/MAX(Pipeline!$F$21,1)))+Pipeline!$W$22*Pipeline!$D$22*MIN(1,MAX(0,(76-Pipeline!$E$22+1)/MAX(Pipeline!$F$22,1)))</f>
        <v>7437.61384753902</v>
      </c>
      <c r="CA19" s="109" t="n">
        <f aca="false">Pipeline!$W$16*Pipeline!$D$16*MIN(1,MAX(0,(77-Pipeline!$E$16+1)/MAX(Pipeline!$F$16,1)))+Pipeline!$W$17*Pipeline!$D$17*MIN(1,MAX(0,(77-Pipeline!$E$17+1)/MAX(Pipeline!$F$17,1)))+Pipeline!$W$18*Pipeline!$D$18*MIN(1,MAX(0,(77-Pipeline!$E$18+1)/MAX(Pipeline!$F$18,1)))+Pipeline!$W$19*Pipeline!$D$19*MIN(1,MAX(0,(77-Pipeline!$E$19+1)/MAX(Pipeline!$F$19,1)))+Pipeline!$W$20*Pipeline!$D$20*MIN(1,MAX(0,(77-Pipeline!$E$20+1)/MAX(Pipeline!$F$20,1)))+Pipeline!$W$21*Pipeline!$D$21*MIN(1,MAX(0,(77-Pipeline!$E$21+1)/MAX(Pipeline!$F$21,1)))+Pipeline!$W$22*Pipeline!$D$22*MIN(1,MAX(0,(77-Pipeline!$E$22+1)/MAX(Pipeline!$F$22,1)))</f>
        <v>7437.61384753902</v>
      </c>
      <c r="CB19" s="109" t="n">
        <f aca="false">Pipeline!$W$16*Pipeline!$D$16*MIN(1,MAX(0,(78-Pipeline!$E$16+1)/MAX(Pipeline!$F$16,1)))+Pipeline!$W$17*Pipeline!$D$17*MIN(1,MAX(0,(78-Pipeline!$E$17+1)/MAX(Pipeline!$F$17,1)))+Pipeline!$W$18*Pipeline!$D$18*MIN(1,MAX(0,(78-Pipeline!$E$18+1)/MAX(Pipeline!$F$18,1)))+Pipeline!$W$19*Pipeline!$D$19*MIN(1,MAX(0,(78-Pipeline!$E$19+1)/MAX(Pipeline!$F$19,1)))+Pipeline!$W$20*Pipeline!$D$20*MIN(1,MAX(0,(78-Pipeline!$E$20+1)/MAX(Pipeline!$F$20,1)))+Pipeline!$W$21*Pipeline!$D$21*MIN(1,MAX(0,(78-Pipeline!$E$21+1)/MAX(Pipeline!$F$21,1)))+Pipeline!$W$22*Pipeline!$D$22*MIN(1,MAX(0,(78-Pipeline!$E$22+1)/MAX(Pipeline!$F$22,1)))</f>
        <v>7437.61384753902</v>
      </c>
      <c r="CC19" s="109" t="n">
        <f aca="false">Pipeline!$W$16*Pipeline!$D$16*MIN(1,MAX(0,(79-Pipeline!$E$16+1)/MAX(Pipeline!$F$16,1)))+Pipeline!$W$17*Pipeline!$D$17*MIN(1,MAX(0,(79-Pipeline!$E$17+1)/MAX(Pipeline!$F$17,1)))+Pipeline!$W$18*Pipeline!$D$18*MIN(1,MAX(0,(79-Pipeline!$E$18+1)/MAX(Pipeline!$F$18,1)))+Pipeline!$W$19*Pipeline!$D$19*MIN(1,MAX(0,(79-Pipeline!$E$19+1)/MAX(Pipeline!$F$19,1)))+Pipeline!$W$20*Pipeline!$D$20*MIN(1,MAX(0,(79-Pipeline!$E$20+1)/MAX(Pipeline!$F$20,1)))+Pipeline!$W$21*Pipeline!$D$21*MIN(1,MAX(0,(79-Pipeline!$E$21+1)/MAX(Pipeline!$F$21,1)))+Pipeline!$W$22*Pipeline!$D$22*MIN(1,MAX(0,(79-Pipeline!$E$22+1)/MAX(Pipeline!$F$22,1)))</f>
        <v>7437.61384753902</v>
      </c>
      <c r="CD19" s="109" t="n">
        <f aca="false">Pipeline!$W$16*Pipeline!$D$16*MIN(1,MAX(0,(80-Pipeline!$E$16+1)/MAX(Pipeline!$F$16,1)))+Pipeline!$W$17*Pipeline!$D$17*MIN(1,MAX(0,(80-Pipeline!$E$17+1)/MAX(Pipeline!$F$17,1)))+Pipeline!$W$18*Pipeline!$D$18*MIN(1,MAX(0,(80-Pipeline!$E$18+1)/MAX(Pipeline!$F$18,1)))+Pipeline!$W$19*Pipeline!$D$19*MIN(1,MAX(0,(80-Pipeline!$E$19+1)/MAX(Pipeline!$F$19,1)))+Pipeline!$W$20*Pipeline!$D$20*MIN(1,MAX(0,(80-Pipeline!$E$20+1)/MAX(Pipeline!$F$20,1)))+Pipeline!$W$21*Pipeline!$D$21*MIN(1,MAX(0,(80-Pipeline!$E$21+1)/MAX(Pipeline!$F$21,1)))+Pipeline!$W$22*Pipeline!$D$22*MIN(1,MAX(0,(80-Pipeline!$E$22+1)/MAX(Pipeline!$F$22,1)))</f>
        <v>7437.61384753902</v>
      </c>
      <c r="CE19" s="109" t="n">
        <f aca="false">Pipeline!$W$16*Pipeline!$D$16*MIN(1,MAX(0,(81-Pipeline!$E$16+1)/MAX(Pipeline!$F$16,1)))+Pipeline!$W$17*Pipeline!$D$17*MIN(1,MAX(0,(81-Pipeline!$E$17+1)/MAX(Pipeline!$F$17,1)))+Pipeline!$W$18*Pipeline!$D$18*MIN(1,MAX(0,(81-Pipeline!$E$18+1)/MAX(Pipeline!$F$18,1)))+Pipeline!$W$19*Pipeline!$D$19*MIN(1,MAX(0,(81-Pipeline!$E$19+1)/MAX(Pipeline!$F$19,1)))+Pipeline!$W$20*Pipeline!$D$20*MIN(1,MAX(0,(81-Pipeline!$E$20+1)/MAX(Pipeline!$F$20,1)))+Pipeline!$W$21*Pipeline!$D$21*MIN(1,MAX(0,(81-Pipeline!$E$21+1)/MAX(Pipeline!$F$21,1)))+Pipeline!$W$22*Pipeline!$D$22*MIN(1,MAX(0,(81-Pipeline!$E$22+1)/MAX(Pipeline!$F$22,1)))</f>
        <v>7437.61384753902</v>
      </c>
      <c r="CF19" s="109" t="n">
        <f aca="false">Pipeline!$W$16*Pipeline!$D$16*MIN(1,MAX(0,(82-Pipeline!$E$16+1)/MAX(Pipeline!$F$16,1)))+Pipeline!$W$17*Pipeline!$D$17*MIN(1,MAX(0,(82-Pipeline!$E$17+1)/MAX(Pipeline!$F$17,1)))+Pipeline!$W$18*Pipeline!$D$18*MIN(1,MAX(0,(82-Pipeline!$E$18+1)/MAX(Pipeline!$F$18,1)))+Pipeline!$W$19*Pipeline!$D$19*MIN(1,MAX(0,(82-Pipeline!$E$19+1)/MAX(Pipeline!$F$19,1)))+Pipeline!$W$20*Pipeline!$D$20*MIN(1,MAX(0,(82-Pipeline!$E$20+1)/MAX(Pipeline!$F$20,1)))+Pipeline!$W$21*Pipeline!$D$21*MIN(1,MAX(0,(82-Pipeline!$E$21+1)/MAX(Pipeline!$F$21,1)))+Pipeline!$W$22*Pipeline!$D$22*MIN(1,MAX(0,(82-Pipeline!$E$22+1)/MAX(Pipeline!$F$22,1)))</f>
        <v>7437.61384753902</v>
      </c>
      <c r="CG19" s="109" t="n">
        <f aca="false">Pipeline!$W$16*Pipeline!$D$16*MIN(1,MAX(0,(83-Pipeline!$E$16+1)/MAX(Pipeline!$F$16,1)))+Pipeline!$W$17*Pipeline!$D$17*MIN(1,MAX(0,(83-Pipeline!$E$17+1)/MAX(Pipeline!$F$17,1)))+Pipeline!$W$18*Pipeline!$D$18*MIN(1,MAX(0,(83-Pipeline!$E$18+1)/MAX(Pipeline!$F$18,1)))+Pipeline!$W$19*Pipeline!$D$19*MIN(1,MAX(0,(83-Pipeline!$E$19+1)/MAX(Pipeline!$F$19,1)))+Pipeline!$W$20*Pipeline!$D$20*MIN(1,MAX(0,(83-Pipeline!$E$20+1)/MAX(Pipeline!$F$20,1)))+Pipeline!$W$21*Pipeline!$D$21*MIN(1,MAX(0,(83-Pipeline!$E$21+1)/MAX(Pipeline!$F$21,1)))+Pipeline!$W$22*Pipeline!$D$22*MIN(1,MAX(0,(83-Pipeline!$E$22+1)/MAX(Pipeline!$F$22,1)))</f>
        <v>7437.61384753902</v>
      </c>
      <c r="CH19" s="109" t="n">
        <f aca="false">Pipeline!$W$16*Pipeline!$D$16*MIN(1,MAX(0,(84-Pipeline!$E$16+1)/MAX(Pipeline!$F$16,1)))+Pipeline!$W$17*Pipeline!$D$17*MIN(1,MAX(0,(84-Pipeline!$E$17+1)/MAX(Pipeline!$F$17,1)))+Pipeline!$W$18*Pipeline!$D$18*MIN(1,MAX(0,(84-Pipeline!$E$18+1)/MAX(Pipeline!$F$18,1)))+Pipeline!$W$19*Pipeline!$D$19*MIN(1,MAX(0,(84-Pipeline!$E$19+1)/MAX(Pipeline!$F$19,1)))+Pipeline!$W$20*Pipeline!$D$20*MIN(1,MAX(0,(84-Pipeline!$E$20+1)/MAX(Pipeline!$F$20,1)))+Pipeline!$W$21*Pipeline!$D$21*MIN(1,MAX(0,(84-Pipeline!$E$21+1)/MAX(Pipeline!$F$21,1)))+Pipeline!$W$22*Pipeline!$D$22*MIN(1,MAX(0,(84-Pipeline!$E$22+1)/MAX(Pipeline!$F$22,1)))</f>
        <v>7437.61384753902</v>
      </c>
    </row>
    <row r="20" customFormat="false" ht="13.5" hidden="false" customHeight="true" outlineLevel="0" collapsed="false">
      <c r="A20" s="6" t="s">
        <v>528</v>
      </c>
      <c r="C20" s="119" t="n">
        <f aca="false">Pipeline!$S$16*Pipeline!$D$16*MIN(1,MAX(0,(1-Pipeline!$E$16+1)/MAX(Pipeline!$F$16,1)))+Pipeline!$S$17*Pipeline!$D$17*MIN(1,MAX(0,(1-Pipeline!$E$17+1)/MAX(Pipeline!$F$17,1)))+Pipeline!$S$18*Pipeline!$D$18*MIN(1,MAX(0,(1-Pipeline!$E$18+1)/MAX(Pipeline!$F$18,1)))+Pipeline!$S$19*Pipeline!$D$19*MIN(1,MAX(0,(1-Pipeline!$E$19+1)/MAX(Pipeline!$F$19,1)))+Pipeline!$S$20*Pipeline!$D$20*MIN(1,MAX(0,(1-Pipeline!$E$20+1)/MAX(Pipeline!$F$20,1)))+Pipeline!$S$21*Pipeline!$D$21*MIN(1,MAX(0,(1-Pipeline!$E$21+1)/MAX(Pipeline!$F$21,1)))+Pipeline!$S$22*Pipeline!$D$22*MIN(1,MAX(0,(1-Pipeline!$E$22+1)/MAX(Pipeline!$F$22,1)))</f>
        <v>12.3975</v>
      </c>
      <c r="D20" s="119" t="n">
        <f aca="false">Pipeline!$S$16*Pipeline!$D$16*MIN(1,MAX(0,(2-Pipeline!$E$16+1)/MAX(Pipeline!$F$16,1)))+Pipeline!$S$17*Pipeline!$D$17*MIN(1,MAX(0,(2-Pipeline!$E$17+1)/MAX(Pipeline!$F$17,1)))+Pipeline!$S$18*Pipeline!$D$18*MIN(1,MAX(0,(2-Pipeline!$E$18+1)/MAX(Pipeline!$F$18,1)))+Pipeline!$S$19*Pipeline!$D$19*MIN(1,MAX(0,(2-Pipeline!$E$19+1)/MAX(Pipeline!$F$19,1)))+Pipeline!$S$20*Pipeline!$D$20*MIN(1,MAX(0,(2-Pipeline!$E$20+1)/MAX(Pipeline!$F$20,1)))+Pipeline!$S$21*Pipeline!$D$21*MIN(1,MAX(0,(2-Pipeline!$E$21+1)/MAX(Pipeline!$F$21,1)))+Pipeline!$S$22*Pipeline!$D$22*MIN(1,MAX(0,(2-Pipeline!$E$22+1)/MAX(Pipeline!$F$22,1)))</f>
        <v>27.405</v>
      </c>
      <c r="E20" s="119" t="n">
        <f aca="false">Pipeline!$S$16*Pipeline!$D$16*MIN(1,MAX(0,(3-Pipeline!$E$16+1)/MAX(Pipeline!$F$16,1)))+Pipeline!$S$17*Pipeline!$D$17*MIN(1,MAX(0,(3-Pipeline!$E$17+1)/MAX(Pipeline!$F$17,1)))+Pipeline!$S$18*Pipeline!$D$18*MIN(1,MAX(0,(3-Pipeline!$E$18+1)/MAX(Pipeline!$F$18,1)))+Pipeline!$S$19*Pipeline!$D$19*MIN(1,MAX(0,(3-Pipeline!$E$19+1)/MAX(Pipeline!$F$19,1)))+Pipeline!$S$20*Pipeline!$D$20*MIN(1,MAX(0,(3-Pipeline!$E$20+1)/MAX(Pipeline!$F$20,1)))+Pipeline!$S$21*Pipeline!$D$21*MIN(1,MAX(0,(3-Pipeline!$E$21+1)/MAX(Pipeline!$F$21,1)))+Pipeline!$S$22*Pipeline!$D$22*MIN(1,MAX(0,(3-Pipeline!$E$22+1)/MAX(Pipeline!$F$22,1)))</f>
        <v>75.69</v>
      </c>
      <c r="F20" s="119" t="n">
        <f aca="false">Pipeline!$S$16*Pipeline!$D$16*MIN(1,MAX(0,(4-Pipeline!$E$16+1)/MAX(Pipeline!$F$16,1)))+Pipeline!$S$17*Pipeline!$D$17*MIN(1,MAX(0,(4-Pipeline!$E$17+1)/MAX(Pipeline!$F$17,1)))+Pipeline!$S$18*Pipeline!$D$18*MIN(1,MAX(0,(4-Pipeline!$E$18+1)/MAX(Pipeline!$F$18,1)))+Pipeline!$S$19*Pipeline!$D$19*MIN(1,MAX(0,(4-Pipeline!$E$19+1)/MAX(Pipeline!$F$19,1)))+Pipeline!$S$20*Pipeline!$D$20*MIN(1,MAX(0,(4-Pipeline!$E$20+1)/MAX(Pipeline!$F$20,1)))+Pipeline!$S$21*Pipeline!$D$21*MIN(1,MAX(0,(4-Pipeline!$E$21+1)/MAX(Pipeline!$F$21,1)))+Pipeline!$S$22*Pipeline!$D$22*MIN(1,MAX(0,(4-Pipeline!$E$22+1)/MAX(Pipeline!$F$22,1)))</f>
        <v>111.5775</v>
      </c>
      <c r="G20" s="119" t="n">
        <f aca="false">Pipeline!$S$16*Pipeline!$D$16*MIN(1,MAX(0,(5-Pipeline!$E$16+1)/MAX(Pipeline!$F$16,1)))+Pipeline!$S$17*Pipeline!$D$17*MIN(1,MAX(0,(5-Pipeline!$E$17+1)/MAX(Pipeline!$F$17,1)))+Pipeline!$S$18*Pipeline!$D$18*MIN(1,MAX(0,(5-Pipeline!$E$18+1)/MAX(Pipeline!$F$18,1)))+Pipeline!$S$19*Pipeline!$D$19*MIN(1,MAX(0,(5-Pipeline!$E$19+1)/MAX(Pipeline!$F$19,1)))+Pipeline!$S$20*Pipeline!$D$20*MIN(1,MAX(0,(5-Pipeline!$E$20+1)/MAX(Pipeline!$F$20,1)))+Pipeline!$S$21*Pipeline!$D$21*MIN(1,MAX(0,(5-Pipeline!$E$21+1)/MAX(Pipeline!$F$21,1)))+Pipeline!$S$22*Pipeline!$D$22*MIN(1,MAX(0,(5-Pipeline!$E$22+1)/MAX(Pipeline!$F$22,1)))</f>
        <v>144.855</v>
      </c>
      <c r="H20" s="119" t="n">
        <f aca="false">Pipeline!$S$16*Pipeline!$D$16*MIN(1,MAX(0,(6-Pipeline!$E$16+1)/MAX(Pipeline!$F$16,1)))+Pipeline!$S$17*Pipeline!$D$17*MIN(1,MAX(0,(6-Pipeline!$E$17+1)/MAX(Pipeline!$F$17,1)))+Pipeline!$S$18*Pipeline!$D$18*MIN(1,MAX(0,(6-Pipeline!$E$18+1)/MAX(Pipeline!$F$18,1)))+Pipeline!$S$19*Pipeline!$D$19*MIN(1,MAX(0,(6-Pipeline!$E$19+1)/MAX(Pipeline!$F$19,1)))+Pipeline!$S$20*Pipeline!$D$20*MIN(1,MAX(0,(6-Pipeline!$E$20+1)/MAX(Pipeline!$F$20,1)))+Pipeline!$S$21*Pipeline!$D$21*MIN(1,MAX(0,(6-Pipeline!$E$21+1)/MAX(Pipeline!$F$21,1)))+Pipeline!$S$22*Pipeline!$D$22*MIN(1,MAX(0,(6-Pipeline!$E$22+1)/MAX(Pipeline!$F$22,1)))</f>
        <v>208.03875</v>
      </c>
      <c r="I20" s="119" t="n">
        <f aca="false">Pipeline!$S$16*Pipeline!$D$16*MIN(1,MAX(0,(7-Pipeline!$E$16+1)/MAX(Pipeline!$F$16,1)))+Pipeline!$S$17*Pipeline!$D$17*MIN(1,MAX(0,(7-Pipeline!$E$17+1)/MAX(Pipeline!$F$17,1)))+Pipeline!$S$18*Pipeline!$D$18*MIN(1,MAX(0,(7-Pipeline!$E$18+1)/MAX(Pipeline!$F$18,1)))+Pipeline!$S$19*Pipeline!$D$19*MIN(1,MAX(0,(7-Pipeline!$E$19+1)/MAX(Pipeline!$F$19,1)))+Pipeline!$S$20*Pipeline!$D$20*MIN(1,MAX(0,(7-Pipeline!$E$20+1)/MAX(Pipeline!$F$20,1)))+Pipeline!$S$21*Pipeline!$D$21*MIN(1,MAX(0,(7-Pipeline!$E$21+1)/MAX(Pipeline!$F$21,1)))+Pipeline!$S$22*Pipeline!$D$22*MIN(1,MAX(0,(7-Pipeline!$E$22+1)/MAX(Pipeline!$F$22,1)))</f>
        <v>271.2225</v>
      </c>
      <c r="J20" s="119" t="n">
        <f aca="false">Pipeline!$S$16*Pipeline!$D$16*MIN(1,MAX(0,(8-Pipeline!$E$16+1)/MAX(Pipeline!$F$16,1)))+Pipeline!$S$17*Pipeline!$D$17*MIN(1,MAX(0,(8-Pipeline!$E$17+1)/MAX(Pipeline!$F$17,1)))+Pipeline!$S$18*Pipeline!$D$18*MIN(1,MAX(0,(8-Pipeline!$E$18+1)/MAX(Pipeline!$F$18,1)))+Pipeline!$S$19*Pipeline!$D$19*MIN(1,MAX(0,(8-Pipeline!$E$19+1)/MAX(Pipeline!$F$19,1)))+Pipeline!$S$20*Pipeline!$D$20*MIN(1,MAX(0,(8-Pipeline!$E$20+1)/MAX(Pipeline!$F$20,1)))+Pipeline!$S$21*Pipeline!$D$21*MIN(1,MAX(0,(8-Pipeline!$E$21+1)/MAX(Pipeline!$F$21,1)))+Pipeline!$S$22*Pipeline!$D$22*MIN(1,MAX(0,(8-Pipeline!$E$22+1)/MAX(Pipeline!$F$22,1)))</f>
        <v>334.40625</v>
      </c>
      <c r="K20" s="119" t="n">
        <f aca="false">Pipeline!$S$16*Pipeline!$D$16*MIN(1,MAX(0,(9-Pipeline!$E$16+1)/MAX(Pipeline!$F$16,1)))+Pipeline!$S$17*Pipeline!$D$17*MIN(1,MAX(0,(9-Pipeline!$E$17+1)/MAX(Pipeline!$F$17,1)))+Pipeline!$S$18*Pipeline!$D$18*MIN(1,MAX(0,(9-Pipeline!$E$18+1)/MAX(Pipeline!$F$18,1)))+Pipeline!$S$19*Pipeline!$D$19*MIN(1,MAX(0,(9-Pipeline!$E$19+1)/MAX(Pipeline!$F$19,1)))+Pipeline!$S$20*Pipeline!$D$20*MIN(1,MAX(0,(9-Pipeline!$E$20+1)/MAX(Pipeline!$F$20,1)))+Pipeline!$S$21*Pipeline!$D$21*MIN(1,MAX(0,(9-Pipeline!$E$21+1)/MAX(Pipeline!$F$21,1)))+Pipeline!$S$22*Pipeline!$D$22*MIN(1,MAX(0,(9-Pipeline!$E$22+1)/MAX(Pipeline!$F$22,1)))</f>
        <v>397.59</v>
      </c>
      <c r="L20" s="119" t="n">
        <f aca="false">Pipeline!$S$16*Pipeline!$D$16*MIN(1,MAX(0,(10-Pipeline!$E$16+1)/MAX(Pipeline!$F$16,1)))+Pipeline!$S$17*Pipeline!$D$17*MIN(1,MAX(0,(10-Pipeline!$E$17+1)/MAX(Pipeline!$F$17,1)))+Pipeline!$S$18*Pipeline!$D$18*MIN(1,MAX(0,(10-Pipeline!$E$18+1)/MAX(Pipeline!$F$18,1)))+Pipeline!$S$19*Pipeline!$D$19*MIN(1,MAX(0,(10-Pipeline!$E$19+1)/MAX(Pipeline!$F$19,1)))+Pipeline!$S$20*Pipeline!$D$20*MIN(1,MAX(0,(10-Pipeline!$E$20+1)/MAX(Pipeline!$F$20,1)))+Pipeline!$S$21*Pipeline!$D$21*MIN(1,MAX(0,(10-Pipeline!$E$21+1)/MAX(Pipeline!$F$21,1)))+Pipeline!$S$22*Pipeline!$D$22*MIN(1,MAX(0,(10-Pipeline!$E$22+1)/MAX(Pipeline!$F$22,1)))</f>
        <v>460.77375</v>
      </c>
      <c r="M20" s="119" t="n">
        <f aca="false">Pipeline!$S$16*Pipeline!$D$16*MIN(1,MAX(0,(11-Pipeline!$E$16+1)/MAX(Pipeline!$F$16,1)))+Pipeline!$S$17*Pipeline!$D$17*MIN(1,MAX(0,(11-Pipeline!$E$17+1)/MAX(Pipeline!$F$17,1)))+Pipeline!$S$18*Pipeline!$D$18*MIN(1,MAX(0,(11-Pipeline!$E$18+1)/MAX(Pipeline!$F$18,1)))+Pipeline!$S$19*Pipeline!$D$19*MIN(1,MAX(0,(11-Pipeline!$E$19+1)/MAX(Pipeline!$F$19,1)))+Pipeline!$S$20*Pipeline!$D$20*MIN(1,MAX(0,(11-Pipeline!$E$20+1)/MAX(Pipeline!$F$20,1)))+Pipeline!$S$21*Pipeline!$D$21*MIN(1,MAX(0,(11-Pipeline!$E$21+1)/MAX(Pipeline!$F$21,1)))+Pipeline!$S$22*Pipeline!$D$22*MIN(1,MAX(0,(11-Pipeline!$E$22+1)/MAX(Pipeline!$F$22,1)))</f>
        <v>490.68</v>
      </c>
      <c r="N20" s="119" t="n">
        <f aca="false">Pipeline!$S$16*Pipeline!$D$16*MIN(1,MAX(0,(12-Pipeline!$E$16+1)/MAX(Pipeline!$F$16,1)))+Pipeline!$S$17*Pipeline!$D$17*MIN(1,MAX(0,(12-Pipeline!$E$17+1)/MAX(Pipeline!$F$17,1)))+Pipeline!$S$18*Pipeline!$D$18*MIN(1,MAX(0,(12-Pipeline!$E$18+1)/MAX(Pipeline!$F$18,1)))+Pipeline!$S$19*Pipeline!$D$19*MIN(1,MAX(0,(12-Pipeline!$E$19+1)/MAX(Pipeline!$F$19,1)))+Pipeline!$S$20*Pipeline!$D$20*MIN(1,MAX(0,(12-Pipeline!$E$20+1)/MAX(Pipeline!$F$20,1)))+Pipeline!$S$21*Pipeline!$D$21*MIN(1,MAX(0,(12-Pipeline!$E$21+1)/MAX(Pipeline!$F$21,1)))+Pipeline!$S$22*Pipeline!$D$22*MIN(1,MAX(0,(12-Pipeline!$E$22+1)/MAX(Pipeline!$F$22,1)))</f>
        <v>564.08625</v>
      </c>
      <c r="O20" s="119" t="n">
        <f aca="false">Pipeline!$S$16*Pipeline!$D$16*MIN(1,MAX(0,(13-Pipeline!$E$16+1)/MAX(Pipeline!$F$16,1)))+Pipeline!$S$17*Pipeline!$D$17*MIN(1,MAX(0,(13-Pipeline!$E$17+1)/MAX(Pipeline!$F$17,1)))+Pipeline!$S$18*Pipeline!$D$18*MIN(1,MAX(0,(13-Pipeline!$E$18+1)/MAX(Pipeline!$F$18,1)))+Pipeline!$S$19*Pipeline!$D$19*MIN(1,MAX(0,(13-Pipeline!$E$19+1)/MAX(Pipeline!$F$19,1)))+Pipeline!$S$20*Pipeline!$D$20*MIN(1,MAX(0,(13-Pipeline!$E$20+1)/MAX(Pipeline!$F$20,1)))+Pipeline!$S$21*Pipeline!$D$21*MIN(1,MAX(0,(13-Pipeline!$E$21+1)/MAX(Pipeline!$F$21,1)))+Pipeline!$S$22*Pipeline!$D$22*MIN(1,MAX(0,(13-Pipeline!$E$22+1)/MAX(Pipeline!$F$22,1)))</f>
        <v>637.4925</v>
      </c>
      <c r="P20" s="119" t="n">
        <f aca="false">Pipeline!$S$16*Pipeline!$D$16*MIN(1,MAX(0,(14-Pipeline!$E$16+1)/MAX(Pipeline!$F$16,1)))+Pipeline!$S$17*Pipeline!$D$17*MIN(1,MAX(0,(14-Pipeline!$E$17+1)/MAX(Pipeline!$F$17,1)))+Pipeline!$S$18*Pipeline!$D$18*MIN(1,MAX(0,(14-Pipeline!$E$18+1)/MAX(Pipeline!$F$18,1)))+Pipeline!$S$19*Pipeline!$D$19*MIN(1,MAX(0,(14-Pipeline!$E$19+1)/MAX(Pipeline!$F$19,1)))+Pipeline!$S$20*Pipeline!$D$20*MIN(1,MAX(0,(14-Pipeline!$E$20+1)/MAX(Pipeline!$F$20,1)))+Pipeline!$S$21*Pipeline!$D$21*MIN(1,MAX(0,(14-Pipeline!$E$21+1)/MAX(Pipeline!$F$21,1)))+Pipeline!$S$22*Pipeline!$D$22*MIN(1,MAX(0,(14-Pipeline!$E$22+1)/MAX(Pipeline!$F$22,1)))</f>
        <v>698.3925</v>
      </c>
      <c r="Q20" s="119" t="n">
        <f aca="false">Pipeline!$S$16*Pipeline!$D$16*MIN(1,MAX(0,(15-Pipeline!$E$16+1)/MAX(Pipeline!$F$16,1)))+Pipeline!$S$17*Pipeline!$D$17*MIN(1,MAX(0,(15-Pipeline!$E$17+1)/MAX(Pipeline!$F$17,1)))+Pipeline!$S$18*Pipeline!$D$18*MIN(1,MAX(0,(15-Pipeline!$E$18+1)/MAX(Pipeline!$F$18,1)))+Pipeline!$S$19*Pipeline!$D$19*MIN(1,MAX(0,(15-Pipeline!$E$19+1)/MAX(Pipeline!$F$19,1)))+Pipeline!$S$20*Pipeline!$D$20*MIN(1,MAX(0,(15-Pipeline!$E$20+1)/MAX(Pipeline!$F$20,1)))+Pipeline!$S$21*Pipeline!$D$21*MIN(1,MAX(0,(15-Pipeline!$E$21+1)/MAX(Pipeline!$F$21,1)))+Pipeline!$S$22*Pipeline!$D$22*MIN(1,MAX(0,(15-Pipeline!$E$22+1)/MAX(Pipeline!$F$22,1)))</f>
        <v>759.2925</v>
      </c>
      <c r="R20" s="119" t="n">
        <f aca="false">Pipeline!$S$16*Pipeline!$D$16*MIN(1,MAX(0,(16-Pipeline!$E$16+1)/MAX(Pipeline!$F$16,1)))+Pipeline!$S$17*Pipeline!$D$17*MIN(1,MAX(0,(16-Pipeline!$E$17+1)/MAX(Pipeline!$F$17,1)))+Pipeline!$S$18*Pipeline!$D$18*MIN(1,MAX(0,(16-Pipeline!$E$18+1)/MAX(Pipeline!$F$18,1)))+Pipeline!$S$19*Pipeline!$D$19*MIN(1,MAX(0,(16-Pipeline!$E$19+1)/MAX(Pipeline!$F$19,1)))+Pipeline!$S$20*Pipeline!$D$20*MIN(1,MAX(0,(16-Pipeline!$E$20+1)/MAX(Pipeline!$F$20,1)))+Pipeline!$S$21*Pipeline!$D$21*MIN(1,MAX(0,(16-Pipeline!$E$21+1)/MAX(Pipeline!$F$21,1)))+Pipeline!$S$22*Pipeline!$D$22*MIN(1,MAX(0,(16-Pipeline!$E$22+1)/MAX(Pipeline!$F$22,1)))</f>
        <v>820.1925</v>
      </c>
      <c r="S20" s="119" t="n">
        <f aca="false">Pipeline!$S$16*Pipeline!$D$16*MIN(1,MAX(0,(17-Pipeline!$E$16+1)/MAX(Pipeline!$F$16,1)))+Pipeline!$S$17*Pipeline!$D$17*MIN(1,MAX(0,(17-Pipeline!$E$17+1)/MAX(Pipeline!$F$17,1)))+Pipeline!$S$18*Pipeline!$D$18*MIN(1,MAX(0,(17-Pipeline!$E$18+1)/MAX(Pipeline!$F$18,1)))+Pipeline!$S$19*Pipeline!$D$19*MIN(1,MAX(0,(17-Pipeline!$E$19+1)/MAX(Pipeline!$F$19,1)))+Pipeline!$S$20*Pipeline!$D$20*MIN(1,MAX(0,(17-Pipeline!$E$20+1)/MAX(Pipeline!$F$20,1)))+Pipeline!$S$21*Pipeline!$D$21*MIN(1,MAX(0,(17-Pipeline!$E$21+1)/MAX(Pipeline!$F$21,1)))+Pipeline!$S$22*Pipeline!$D$22*MIN(1,MAX(0,(17-Pipeline!$E$22+1)/MAX(Pipeline!$F$22,1)))</f>
        <v>881.0925</v>
      </c>
      <c r="T20" s="119" t="n">
        <f aca="false">Pipeline!$S$16*Pipeline!$D$16*MIN(1,MAX(0,(18-Pipeline!$E$16+1)/MAX(Pipeline!$F$16,1)))+Pipeline!$S$17*Pipeline!$D$17*MIN(1,MAX(0,(18-Pipeline!$E$17+1)/MAX(Pipeline!$F$17,1)))+Pipeline!$S$18*Pipeline!$D$18*MIN(1,MAX(0,(18-Pipeline!$E$18+1)/MAX(Pipeline!$F$18,1)))+Pipeline!$S$19*Pipeline!$D$19*MIN(1,MAX(0,(18-Pipeline!$E$19+1)/MAX(Pipeline!$F$19,1)))+Pipeline!$S$20*Pipeline!$D$20*MIN(1,MAX(0,(18-Pipeline!$E$20+1)/MAX(Pipeline!$F$20,1)))+Pipeline!$S$21*Pipeline!$D$21*MIN(1,MAX(0,(18-Pipeline!$E$21+1)/MAX(Pipeline!$F$21,1)))+Pipeline!$S$22*Pipeline!$D$22*MIN(1,MAX(0,(18-Pipeline!$E$22+1)/MAX(Pipeline!$F$22,1)))</f>
        <v>941.9925</v>
      </c>
      <c r="U20" s="119" t="n">
        <f aca="false">Pipeline!$S$16*Pipeline!$D$16*MIN(1,MAX(0,(19-Pipeline!$E$16+1)/MAX(Pipeline!$F$16,1)))+Pipeline!$S$17*Pipeline!$D$17*MIN(1,MAX(0,(19-Pipeline!$E$17+1)/MAX(Pipeline!$F$17,1)))+Pipeline!$S$18*Pipeline!$D$18*MIN(1,MAX(0,(19-Pipeline!$E$18+1)/MAX(Pipeline!$F$18,1)))+Pipeline!$S$19*Pipeline!$D$19*MIN(1,MAX(0,(19-Pipeline!$E$19+1)/MAX(Pipeline!$F$19,1)))+Pipeline!$S$20*Pipeline!$D$20*MIN(1,MAX(0,(19-Pipeline!$E$20+1)/MAX(Pipeline!$F$20,1)))+Pipeline!$S$21*Pipeline!$D$21*MIN(1,MAX(0,(19-Pipeline!$E$21+1)/MAX(Pipeline!$F$21,1)))+Pipeline!$S$22*Pipeline!$D$22*MIN(1,MAX(0,(19-Pipeline!$E$22+1)/MAX(Pipeline!$F$22,1)))</f>
        <v>1002.8925</v>
      </c>
      <c r="V20" s="119" t="n">
        <f aca="false">Pipeline!$S$16*Pipeline!$D$16*MIN(1,MAX(0,(20-Pipeline!$E$16+1)/MAX(Pipeline!$F$16,1)))+Pipeline!$S$17*Pipeline!$D$17*MIN(1,MAX(0,(20-Pipeline!$E$17+1)/MAX(Pipeline!$F$17,1)))+Pipeline!$S$18*Pipeline!$D$18*MIN(1,MAX(0,(20-Pipeline!$E$18+1)/MAX(Pipeline!$F$18,1)))+Pipeline!$S$19*Pipeline!$D$19*MIN(1,MAX(0,(20-Pipeline!$E$19+1)/MAX(Pipeline!$F$19,1)))+Pipeline!$S$20*Pipeline!$D$20*MIN(1,MAX(0,(20-Pipeline!$E$20+1)/MAX(Pipeline!$F$20,1)))+Pipeline!$S$21*Pipeline!$D$21*MIN(1,MAX(0,(20-Pipeline!$E$21+1)/MAX(Pipeline!$F$21,1)))+Pipeline!$S$22*Pipeline!$D$22*MIN(1,MAX(0,(20-Pipeline!$E$22+1)/MAX(Pipeline!$F$22,1)))</f>
        <v>1063.7925</v>
      </c>
      <c r="W20" s="119" t="n">
        <f aca="false">Pipeline!$S$16*Pipeline!$D$16*MIN(1,MAX(0,(21-Pipeline!$E$16+1)/MAX(Pipeline!$F$16,1)))+Pipeline!$S$17*Pipeline!$D$17*MIN(1,MAX(0,(21-Pipeline!$E$17+1)/MAX(Pipeline!$F$17,1)))+Pipeline!$S$18*Pipeline!$D$18*MIN(1,MAX(0,(21-Pipeline!$E$18+1)/MAX(Pipeline!$F$18,1)))+Pipeline!$S$19*Pipeline!$D$19*MIN(1,MAX(0,(21-Pipeline!$E$19+1)/MAX(Pipeline!$F$19,1)))+Pipeline!$S$20*Pipeline!$D$20*MIN(1,MAX(0,(21-Pipeline!$E$20+1)/MAX(Pipeline!$F$20,1)))+Pipeline!$S$21*Pipeline!$D$21*MIN(1,MAX(0,(21-Pipeline!$E$21+1)/MAX(Pipeline!$F$21,1)))+Pipeline!$S$22*Pipeline!$D$22*MIN(1,MAX(0,(21-Pipeline!$E$22+1)/MAX(Pipeline!$F$22,1)))</f>
        <v>1124.6925</v>
      </c>
      <c r="X20" s="119" t="n">
        <f aca="false">Pipeline!$S$16*Pipeline!$D$16*MIN(1,MAX(0,(22-Pipeline!$E$16+1)/MAX(Pipeline!$F$16,1)))+Pipeline!$S$17*Pipeline!$D$17*MIN(1,MAX(0,(22-Pipeline!$E$17+1)/MAX(Pipeline!$F$17,1)))+Pipeline!$S$18*Pipeline!$D$18*MIN(1,MAX(0,(22-Pipeline!$E$18+1)/MAX(Pipeline!$F$18,1)))+Pipeline!$S$19*Pipeline!$D$19*MIN(1,MAX(0,(22-Pipeline!$E$19+1)/MAX(Pipeline!$F$19,1)))+Pipeline!$S$20*Pipeline!$D$20*MIN(1,MAX(0,(22-Pipeline!$E$20+1)/MAX(Pipeline!$F$20,1)))+Pipeline!$S$21*Pipeline!$D$21*MIN(1,MAX(0,(22-Pipeline!$E$21+1)/MAX(Pipeline!$F$21,1)))+Pipeline!$S$22*Pipeline!$D$22*MIN(1,MAX(0,(22-Pipeline!$E$22+1)/MAX(Pipeline!$F$22,1)))</f>
        <v>1142.0925</v>
      </c>
      <c r="Y20" s="119" t="n">
        <f aca="false">Pipeline!$S$16*Pipeline!$D$16*MIN(1,MAX(0,(23-Pipeline!$E$16+1)/MAX(Pipeline!$F$16,1)))+Pipeline!$S$17*Pipeline!$D$17*MIN(1,MAX(0,(23-Pipeline!$E$17+1)/MAX(Pipeline!$F$17,1)))+Pipeline!$S$18*Pipeline!$D$18*MIN(1,MAX(0,(23-Pipeline!$E$18+1)/MAX(Pipeline!$F$18,1)))+Pipeline!$S$19*Pipeline!$D$19*MIN(1,MAX(0,(23-Pipeline!$E$19+1)/MAX(Pipeline!$F$19,1)))+Pipeline!$S$20*Pipeline!$D$20*MIN(1,MAX(0,(23-Pipeline!$E$20+1)/MAX(Pipeline!$F$20,1)))+Pipeline!$S$21*Pipeline!$D$21*MIN(1,MAX(0,(23-Pipeline!$E$21+1)/MAX(Pipeline!$F$21,1)))+Pipeline!$S$22*Pipeline!$D$22*MIN(1,MAX(0,(23-Pipeline!$E$22+1)/MAX(Pipeline!$F$22,1)))</f>
        <v>1159.4925</v>
      </c>
      <c r="Z20" s="119" t="n">
        <f aca="false">Pipeline!$S$16*Pipeline!$D$16*MIN(1,MAX(0,(24-Pipeline!$E$16+1)/MAX(Pipeline!$F$16,1)))+Pipeline!$S$17*Pipeline!$D$17*MIN(1,MAX(0,(24-Pipeline!$E$17+1)/MAX(Pipeline!$F$17,1)))+Pipeline!$S$18*Pipeline!$D$18*MIN(1,MAX(0,(24-Pipeline!$E$18+1)/MAX(Pipeline!$F$18,1)))+Pipeline!$S$19*Pipeline!$D$19*MIN(1,MAX(0,(24-Pipeline!$E$19+1)/MAX(Pipeline!$F$19,1)))+Pipeline!$S$20*Pipeline!$D$20*MIN(1,MAX(0,(24-Pipeline!$E$20+1)/MAX(Pipeline!$F$20,1)))+Pipeline!$S$21*Pipeline!$D$21*MIN(1,MAX(0,(24-Pipeline!$E$21+1)/MAX(Pipeline!$F$21,1)))+Pipeline!$S$22*Pipeline!$D$22*MIN(1,MAX(0,(24-Pipeline!$E$22+1)/MAX(Pipeline!$F$22,1)))</f>
        <v>1159.4925</v>
      </c>
      <c r="AA20" s="119" t="n">
        <f aca="false">Pipeline!$S$16*Pipeline!$D$16*MIN(1,MAX(0,(25-Pipeline!$E$16+1)/MAX(Pipeline!$F$16,1)))+Pipeline!$S$17*Pipeline!$D$17*MIN(1,MAX(0,(25-Pipeline!$E$17+1)/MAX(Pipeline!$F$17,1)))+Pipeline!$S$18*Pipeline!$D$18*MIN(1,MAX(0,(25-Pipeline!$E$18+1)/MAX(Pipeline!$F$18,1)))+Pipeline!$S$19*Pipeline!$D$19*MIN(1,MAX(0,(25-Pipeline!$E$19+1)/MAX(Pipeline!$F$19,1)))+Pipeline!$S$20*Pipeline!$D$20*MIN(1,MAX(0,(25-Pipeline!$E$20+1)/MAX(Pipeline!$F$20,1)))+Pipeline!$S$21*Pipeline!$D$21*MIN(1,MAX(0,(25-Pipeline!$E$21+1)/MAX(Pipeline!$F$21,1)))+Pipeline!$S$22*Pipeline!$D$22*MIN(1,MAX(0,(25-Pipeline!$E$22+1)/MAX(Pipeline!$F$22,1)))</f>
        <v>1159.4925</v>
      </c>
      <c r="AB20" s="119" t="n">
        <f aca="false">Pipeline!$S$16*Pipeline!$D$16*MIN(1,MAX(0,(26-Pipeline!$E$16+1)/MAX(Pipeline!$F$16,1)))+Pipeline!$S$17*Pipeline!$D$17*MIN(1,MAX(0,(26-Pipeline!$E$17+1)/MAX(Pipeline!$F$17,1)))+Pipeline!$S$18*Pipeline!$D$18*MIN(1,MAX(0,(26-Pipeline!$E$18+1)/MAX(Pipeline!$F$18,1)))+Pipeline!$S$19*Pipeline!$D$19*MIN(1,MAX(0,(26-Pipeline!$E$19+1)/MAX(Pipeline!$F$19,1)))+Pipeline!$S$20*Pipeline!$D$20*MIN(1,MAX(0,(26-Pipeline!$E$20+1)/MAX(Pipeline!$F$20,1)))+Pipeline!$S$21*Pipeline!$D$21*MIN(1,MAX(0,(26-Pipeline!$E$21+1)/MAX(Pipeline!$F$21,1)))+Pipeline!$S$22*Pipeline!$D$22*MIN(1,MAX(0,(26-Pipeline!$E$22+1)/MAX(Pipeline!$F$22,1)))</f>
        <v>1159.4925</v>
      </c>
      <c r="AC20" s="119" t="n">
        <f aca="false">Pipeline!$S$16*Pipeline!$D$16*MIN(1,MAX(0,(27-Pipeline!$E$16+1)/MAX(Pipeline!$F$16,1)))+Pipeline!$S$17*Pipeline!$D$17*MIN(1,MAX(0,(27-Pipeline!$E$17+1)/MAX(Pipeline!$F$17,1)))+Pipeline!$S$18*Pipeline!$D$18*MIN(1,MAX(0,(27-Pipeline!$E$18+1)/MAX(Pipeline!$F$18,1)))+Pipeline!$S$19*Pipeline!$D$19*MIN(1,MAX(0,(27-Pipeline!$E$19+1)/MAX(Pipeline!$F$19,1)))+Pipeline!$S$20*Pipeline!$D$20*MIN(1,MAX(0,(27-Pipeline!$E$20+1)/MAX(Pipeline!$F$20,1)))+Pipeline!$S$21*Pipeline!$D$21*MIN(1,MAX(0,(27-Pipeline!$E$21+1)/MAX(Pipeline!$F$21,1)))+Pipeline!$S$22*Pipeline!$D$22*MIN(1,MAX(0,(27-Pipeline!$E$22+1)/MAX(Pipeline!$F$22,1)))</f>
        <v>1159.4925</v>
      </c>
      <c r="AD20" s="119" t="n">
        <f aca="false">Pipeline!$S$16*Pipeline!$D$16*MIN(1,MAX(0,(28-Pipeline!$E$16+1)/MAX(Pipeline!$F$16,1)))+Pipeline!$S$17*Pipeline!$D$17*MIN(1,MAX(0,(28-Pipeline!$E$17+1)/MAX(Pipeline!$F$17,1)))+Pipeline!$S$18*Pipeline!$D$18*MIN(1,MAX(0,(28-Pipeline!$E$18+1)/MAX(Pipeline!$F$18,1)))+Pipeline!$S$19*Pipeline!$D$19*MIN(1,MAX(0,(28-Pipeline!$E$19+1)/MAX(Pipeline!$F$19,1)))+Pipeline!$S$20*Pipeline!$D$20*MIN(1,MAX(0,(28-Pipeline!$E$20+1)/MAX(Pipeline!$F$20,1)))+Pipeline!$S$21*Pipeline!$D$21*MIN(1,MAX(0,(28-Pipeline!$E$21+1)/MAX(Pipeline!$F$21,1)))+Pipeline!$S$22*Pipeline!$D$22*MIN(1,MAX(0,(28-Pipeline!$E$22+1)/MAX(Pipeline!$F$22,1)))</f>
        <v>1159.4925</v>
      </c>
      <c r="AE20" s="119" t="n">
        <f aca="false">Pipeline!$S$16*Pipeline!$D$16*MIN(1,MAX(0,(29-Pipeline!$E$16+1)/MAX(Pipeline!$F$16,1)))+Pipeline!$S$17*Pipeline!$D$17*MIN(1,MAX(0,(29-Pipeline!$E$17+1)/MAX(Pipeline!$F$17,1)))+Pipeline!$S$18*Pipeline!$D$18*MIN(1,MAX(0,(29-Pipeline!$E$18+1)/MAX(Pipeline!$F$18,1)))+Pipeline!$S$19*Pipeline!$D$19*MIN(1,MAX(0,(29-Pipeline!$E$19+1)/MAX(Pipeline!$F$19,1)))+Pipeline!$S$20*Pipeline!$D$20*MIN(1,MAX(0,(29-Pipeline!$E$20+1)/MAX(Pipeline!$F$20,1)))+Pipeline!$S$21*Pipeline!$D$21*MIN(1,MAX(0,(29-Pipeline!$E$21+1)/MAX(Pipeline!$F$21,1)))+Pipeline!$S$22*Pipeline!$D$22*MIN(1,MAX(0,(29-Pipeline!$E$22+1)/MAX(Pipeline!$F$22,1)))</f>
        <v>1159.4925</v>
      </c>
      <c r="AF20" s="119" t="n">
        <f aca="false">Pipeline!$S$16*Pipeline!$D$16*MIN(1,MAX(0,(30-Pipeline!$E$16+1)/MAX(Pipeline!$F$16,1)))+Pipeline!$S$17*Pipeline!$D$17*MIN(1,MAX(0,(30-Pipeline!$E$17+1)/MAX(Pipeline!$F$17,1)))+Pipeline!$S$18*Pipeline!$D$18*MIN(1,MAX(0,(30-Pipeline!$E$18+1)/MAX(Pipeline!$F$18,1)))+Pipeline!$S$19*Pipeline!$D$19*MIN(1,MAX(0,(30-Pipeline!$E$19+1)/MAX(Pipeline!$F$19,1)))+Pipeline!$S$20*Pipeline!$D$20*MIN(1,MAX(0,(30-Pipeline!$E$20+1)/MAX(Pipeline!$F$20,1)))+Pipeline!$S$21*Pipeline!$D$21*MIN(1,MAX(0,(30-Pipeline!$E$21+1)/MAX(Pipeline!$F$21,1)))+Pipeline!$S$22*Pipeline!$D$22*MIN(1,MAX(0,(30-Pipeline!$E$22+1)/MAX(Pipeline!$F$22,1)))</f>
        <v>1159.4925</v>
      </c>
      <c r="AG20" s="119" t="n">
        <f aca="false">Pipeline!$S$16*Pipeline!$D$16*MIN(1,MAX(0,(31-Pipeline!$E$16+1)/MAX(Pipeline!$F$16,1)))+Pipeline!$S$17*Pipeline!$D$17*MIN(1,MAX(0,(31-Pipeline!$E$17+1)/MAX(Pipeline!$F$17,1)))+Pipeline!$S$18*Pipeline!$D$18*MIN(1,MAX(0,(31-Pipeline!$E$18+1)/MAX(Pipeline!$F$18,1)))+Pipeline!$S$19*Pipeline!$D$19*MIN(1,MAX(0,(31-Pipeline!$E$19+1)/MAX(Pipeline!$F$19,1)))+Pipeline!$S$20*Pipeline!$D$20*MIN(1,MAX(0,(31-Pipeline!$E$20+1)/MAX(Pipeline!$F$20,1)))+Pipeline!$S$21*Pipeline!$D$21*MIN(1,MAX(0,(31-Pipeline!$E$21+1)/MAX(Pipeline!$F$21,1)))+Pipeline!$S$22*Pipeline!$D$22*MIN(1,MAX(0,(31-Pipeline!$E$22+1)/MAX(Pipeline!$F$22,1)))</f>
        <v>1159.4925</v>
      </c>
      <c r="AH20" s="119" t="n">
        <f aca="false">Pipeline!$S$16*Pipeline!$D$16*MIN(1,MAX(0,(32-Pipeline!$E$16+1)/MAX(Pipeline!$F$16,1)))+Pipeline!$S$17*Pipeline!$D$17*MIN(1,MAX(0,(32-Pipeline!$E$17+1)/MAX(Pipeline!$F$17,1)))+Pipeline!$S$18*Pipeline!$D$18*MIN(1,MAX(0,(32-Pipeline!$E$18+1)/MAX(Pipeline!$F$18,1)))+Pipeline!$S$19*Pipeline!$D$19*MIN(1,MAX(0,(32-Pipeline!$E$19+1)/MAX(Pipeline!$F$19,1)))+Pipeline!$S$20*Pipeline!$D$20*MIN(1,MAX(0,(32-Pipeline!$E$20+1)/MAX(Pipeline!$F$20,1)))+Pipeline!$S$21*Pipeline!$D$21*MIN(1,MAX(0,(32-Pipeline!$E$21+1)/MAX(Pipeline!$F$21,1)))+Pipeline!$S$22*Pipeline!$D$22*MIN(1,MAX(0,(32-Pipeline!$E$22+1)/MAX(Pipeline!$F$22,1)))</f>
        <v>1159.4925</v>
      </c>
      <c r="AI20" s="119" t="n">
        <f aca="false">Pipeline!$S$16*Pipeline!$D$16*MIN(1,MAX(0,(33-Pipeline!$E$16+1)/MAX(Pipeline!$F$16,1)))+Pipeline!$S$17*Pipeline!$D$17*MIN(1,MAX(0,(33-Pipeline!$E$17+1)/MAX(Pipeline!$F$17,1)))+Pipeline!$S$18*Pipeline!$D$18*MIN(1,MAX(0,(33-Pipeline!$E$18+1)/MAX(Pipeline!$F$18,1)))+Pipeline!$S$19*Pipeline!$D$19*MIN(1,MAX(0,(33-Pipeline!$E$19+1)/MAX(Pipeline!$F$19,1)))+Pipeline!$S$20*Pipeline!$D$20*MIN(1,MAX(0,(33-Pipeline!$E$20+1)/MAX(Pipeline!$F$20,1)))+Pipeline!$S$21*Pipeline!$D$21*MIN(1,MAX(0,(33-Pipeline!$E$21+1)/MAX(Pipeline!$F$21,1)))+Pipeline!$S$22*Pipeline!$D$22*MIN(1,MAX(0,(33-Pipeline!$E$22+1)/MAX(Pipeline!$F$22,1)))</f>
        <v>1159.4925</v>
      </c>
      <c r="AJ20" s="119" t="n">
        <f aca="false">Pipeline!$S$16*Pipeline!$D$16*MIN(1,MAX(0,(34-Pipeline!$E$16+1)/MAX(Pipeline!$F$16,1)))+Pipeline!$S$17*Pipeline!$D$17*MIN(1,MAX(0,(34-Pipeline!$E$17+1)/MAX(Pipeline!$F$17,1)))+Pipeline!$S$18*Pipeline!$D$18*MIN(1,MAX(0,(34-Pipeline!$E$18+1)/MAX(Pipeline!$F$18,1)))+Pipeline!$S$19*Pipeline!$D$19*MIN(1,MAX(0,(34-Pipeline!$E$19+1)/MAX(Pipeline!$F$19,1)))+Pipeline!$S$20*Pipeline!$D$20*MIN(1,MAX(0,(34-Pipeline!$E$20+1)/MAX(Pipeline!$F$20,1)))+Pipeline!$S$21*Pipeline!$D$21*MIN(1,MAX(0,(34-Pipeline!$E$21+1)/MAX(Pipeline!$F$21,1)))+Pipeline!$S$22*Pipeline!$D$22*MIN(1,MAX(0,(34-Pipeline!$E$22+1)/MAX(Pipeline!$F$22,1)))</f>
        <v>1159.4925</v>
      </c>
      <c r="AK20" s="119" t="n">
        <f aca="false">Pipeline!$S$16*Pipeline!$D$16*MIN(1,MAX(0,(35-Pipeline!$E$16+1)/MAX(Pipeline!$F$16,1)))+Pipeline!$S$17*Pipeline!$D$17*MIN(1,MAX(0,(35-Pipeline!$E$17+1)/MAX(Pipeline!$F$17,1)))+Pipeline!$S$18*Pipeline!$D$18*MIN(1,MAX(0,(35-Pipeline!$E$18+1)/MAX(Pipeline!$F$18,1)))+Pipeline!$S$19*Pipeline!$D$19*MIN(1,MAX(0,(35-Pipeline!$E$19+1)/MAX(Pipeline!$F$19,1)))+Pipeline!$S$20*Pipeline!$D$20*MIN(1,MAX(0,(35-Pipeline!$E$20+1)/MAX(Pipeline!$F$20,1)))+Pipeline!$S$21*Pipeline!$D$21*MIN(1,MAX(0,(35-Pipeline!$E$21+1)/MAX(Pipeline!$F$21,1)))+Pipeline!$S$22*Pipeline!$D$22*MIN(1,MAX(0,(35-Pipeline!$E$22+1)/MAX(Pipeline!$F$22,1)))</f>
        <v>1159.4925</v>
      </c>
      <c r="AL20" s="119" t="n">
        <f aca="false">Pipeline!$S$16*Pipeline!$D$16*MIN(1,MAX(0,(36-Pipeline!$E$16+1)/MAX(Pipeline!$F$16,1)))+Pipeline!$S$17*Pipeline!$D$17*MIN(1,MAX(0,(36-Pipeline!$E$17+1)/MAX(Pipeline!$F$17,1)))+Pipeline!$S$18*Pipeline!$D$18*MIN(1,MAX(0,(36-Pipeline!$E$18+1)/MAX(Pipeline!$F$18,1)))+Pipeline!$S$19*Pipeline!$D$19*MIN(1,MAX(0,(36-Pipeline!$E$19+1)/MAX(Pipeline!$F$19,1)))+Pipeline!$S$20*Pipeline!$D$20*MIN(1,MAX(0,(36-Pipeline!$E$20+1)/MAX(Pipeline!$F$20,1)))+Pipeline!$S$21*Pipeline!$D$21*MIN(1,MAX(0,(36-Pipeline!$E$21+1)/MAX(Pipeline!$F$21,1)))+Pipeline!$S$22*Pipeline!$D$22*MIN(1,MAX(0,(36-Pipeline!$E$22+1)/MAX(Pipeline!$F$22,1)))</f>
        <v>1159.4925</v>
      </c>
      <c r="AM20" s="119" t="n">
        <f aca="false">Pipeline!$S$16*Pipeline!$D$16*MIN(1,MAX(0,(37-Pipeline!$E$16+1)/MAX(Pipeline!$F$16,1)))+Pipeline!$S$17*Pipeline!$D$17*MIN(1,MAX(0,(37-Pipeline!$E$17+1)/MAX(Pipeline!$F$17,1)))+Pipeline!$S$18*Pipeline!$D$18*MIN(1,MAX(0,(37-Pipeline!$E$18+1)/MAX(Pipeline!$F$18,1)))+Pipeline!$S$19*Pipeline!$D$19*MIN(1,MAX(0,(37-Pipeline!$E$19+1)/MAX(Pipeline!$F$19,1)))+Pipeline!$S$20*Pipeline!$D$20*MIN(1,MAX(0,(37-Pipeline!$E$20+1)/MAX(Pipeline!$F$20,1)))+Pipeline!$S$21*Pipeline!$D$21*MIN(1,MAX(0,(37-Pipeline!$E$21+1)/MAX(Pipeline!$F$21,1)))+Pipeline!$S$22*Pipeline!$D$22*MIN(1,MAX(0,(37-Pipeline!$E$22+1)/MAX(Pipeline!$F$22,1)))</f>
        <v>1159.4925</v>
      </c>
      <c r="AN20" s="119" t="n">
        <f aca="false">Pipeline!$S$16*Pipeline!$D$16*MIN(1,MAX(0,(38-Pipeline!$E$16+1)/MAX(Pipeline!$F$16,1)))+Pipeline!$S$17*Pipeline!$D$17*MIN(1,MAX(0,(38-Pipeline!$E$17+1)/MAX(Pipeline!$F$17,1)))+Pipeline!$S$18*Pipeline!$D$18*MIN(1,MAX(0,(38-Pipeline!$E$18+1)/MAX(Pipeline!$F$18,1)))+Pipeline!$S$19*Pipeline!$D$19*MIN(1,MAX(0,(38-Pipeline!$E$19+1)/MAX(Pipeline!$F$19,1)))+Pipeline!$S$20*Pipeline!$D$20*MIN(1,MAX(0,(38-Pipeline!$E$20+1)/MAX(Pipeline!$F$20,1)))+Pipeline!$S$21*Pipeline!$D$21*MIN(1,MAX(0,(38-Pipeline!$E$21+1)/MAX(Pipeline!$F$21,1)))+Pipeline!$S$22*Pipeline!$D$22*MIN(1,MAX(0,(38-Pipeline!$E$22+1)/MAX(Pipeline!$F$22,1)))</f>
        <v>1159.4925</v>
      </c>
      <c r="AO20" s="119" t="n">
        <f aca="false">Pipeline!$S$16*Pipeline!$D$16*MIN(1,MAX(0,(39-Pipeline!$E$16+1)/MAX(Pipeline!$F$16,1)))+Pipeline!$S$17*Pipeline!$D$17*MIN(1,MAX(0,(39-Pipeline!$E$17+1)/MAX(Pipeline!$F$17,1)))+Pipeline!$S$18*Pipeline!$D$18*MIN(1,MAX(0,(39-Pipeline!$E$18+1)/MAX(Pipeline!$F$18,1)))+Pipeline!$S$19*Pipeline!$D$19*MIN(1,MAX(0,(39-Pipeline!$E$19+1)/MAX(Pipeline!$F$19,1)))+Pipeline!$S$20*Pipeline!$D$20*MIN(1,MAX(0,(39-Pipeline!$E$20+1)/MAX(Pipeline!$F$20,1)))+Pipeline!$S$21*Pipeline!$D$21*MIN(1,MAX(0,(39-Pipeline!$E$21+1)/MAX(Pipeline!$F$21,1)))+Pipeline!$S$22*Pipeline!$D$22*MIN(1,MAX(0,(39-Pipeline!$E$22+1)/MAX(Pipeline!$F$22,1)))</f>
        <v>1159.4925</v>
      </c>
      <c r="AP20" s="119" t="n">
        <f aca="false">Pipeline!$S$16*Pipeline!$D$16*MIN(1,MAX(0,(40-Pipeline!$E$16+1)/MAX(Pipeline!$F$16,1)))+Pipeline!$S$17*Pipeline!$D$17*MIN(1,MAX(0,(40-Pipeline!$E$17+1)/MAX(Pipeline!$F$17,1)))+Pipeline!$S$18*Pipeline!$D$18*MIN(1,MAX(0,(40-Pipeline!$E$18+1)/MAX(Pipeline!$F$18,1)))+Pipeline!$S$19*Pipeline!$D$19*MIN(1,MAX(0,(40-Pipeline!$E$19+1)/MAX(Pipeline!$F$19,1)))+Pipeline!$S$20*Pipeline!$D$20*MIN(1,MAX(0,(40-Pipeline!$E$20+1)/MAX(Pipeline!$F$20,1)))+Pipeline!$S$21*Pipeline!$D$21*MIN(1,MAX(0,(40-Pipeline!$E$21+1)/MAX(Pipeline!$F$21,1)))+Pipeline!$S$22*Pipeline!$D$22*MIN(1,MAX(0,(40-Pipeline!$E$22+1)/MAX(Pipeline!$F$22,1)))</f>
        <v>1159.4925</v>
      </c>
      <c r="AQ20" s="119" t="n">
        <f aca="false">Pipeline!$S$16*Pipeline!$D$16*MIN(1,MAX(0,(41-Pipeline!$E$16+1)/MAX(Pipeline!$F$16,1)))+Pipeline!$S$17*Pipeline!$D$17*MIN(1,MAX(0,(41-Pipeline!$E$17+1)/MAX(Pipeline!$F$17,1)))+Pipeline!$S$18*Pipeline!$D$18*MIN(1,MAX(0,(41-Pipeline!$E$18+1)/MAX(Pipeline!$F$18,1)))+Pipeline!$S$19*Pipeline!$D$19*MIN(1,MAX(0,(41-Pipeline!$E$19+1)/MAX(Pipeline!$F$19,1)))+Pipeline!$S$20*Pipeline!$D$20*MIN(1,MAX(0,(41-Pipeline!$E$20+1)/MAX(Pipeline!$F$20,1)))+Pipeline!$S$21*Pipeline!$D$21*MIN(1,MAX(0,(41-Pipeline!$E$21+1)/MAX(Pipeline!$F$21,1)))+Pipeline!$S$22*Pipeline!$D$22*MIN(1,MAX(0,(41-Pipeline!$E$22+1)/MAX(Pipeline!$F$22,1)))</f>
        <v>1159.4925</v>
      </c>
      <c r="AR20" s="119" t="n">
        <f aca="false">Pipeline!$S$16*Pipeline!$D$16*MIN(1,MAX(0,(42-Pipeline!$E$16+1)/MAX(Pipeline!$F$16,1)))+Pipeline!$S$17*Pipeline!$D$17*MIN(1,MAX(0,(42-Pipeline!$E$17+1)/MAX(Pipeline!$F$17,1)))+Pipeline!$S$18*Pipeline!$D$18*MIN(1,MAX(0,(42-Pipeline!$E$18+1)/MAX(Pipeline!$F$18,1)))+Pipeline!$S$19*Pipeline!$D$19*MIN(1,MAX(0,(42-Pipeline!$E$19+1)/MAX(Pipeline!$F$19,1)))+Pipeline!$S$20*Pipeline!$D$20*MIN(1,MAX(0,(42-Pipeline!$E$20+1)/MAX(Pipeline!$F$20,1)))+Pipeline!$S$21*Pipeline!$D$21*MIN(1,MAX(0,(42-Pipeline!$E$21+1)/MAX(Pipeline!$F$21,1)))+Pipeline!$S$22*Pipeline!$D$22*MIN(1,MAX(0,(42-Pipeline!$E$22+1)/MAX(Pipeline!$F$22,1)))</f>
        <v>1159.4925</v>
      </c>
      <c r="AS20" s="119" t="n">
        <f aca="false">Pipeline!$S$16*Pipeline!$D$16*MIN(1,MAX(0,(43-Pipeline!$E$16+1)/MAX(Pipeline!$F$16,1)))+Pipeline!$S$17*Pipeline!$D$17*MIN(1,MAX(0,(43-Pipeline!$E$17+1)/MAX(Pipeline!$F$17,1)))+Pipeline!$S$18*Pipeline!$D$18*MIN(1,MAX(0,(43-Pipeline!$E$18+1)/MAX(Pipeline!$F$18,1)))+Pipeline!$S$19*Pipeline!$D$19*MIN(1,MAX(0,(43-Pipeline!$E$19+1)/MAX(Pipeline!$F$19,1)))+Pipeline!$S$20*Pipeline!$D$20*MIN(1,MAX(0,(43-Pipeline!$E$20+1)/MAX(Pipeline!$F$20,1)))+Pipeline!$S$21*Pipeline!$D$21*MIN(1,MAX(0,(43-Pipeline!$E$21+1)/MAX(Pipeline!$F$21,1)))+Pipeline!$S$22*Pipeline!$D$22*MIN(1,MAX(0,(43-Pipeline!$E$22+1)/MAX(Pipeline!$F$22,1)))</f>
        <v>1159.4925</v>
      </c>
      <c r="AT20" s="119" t="n">
        <f aca="false">Pipeline!$S$16*Pipeline!$D$16*MIN(1,MAX(0,(44-Pipeline!$E$16+1)/MAX(Pipeline!$F$16,1)))+Pipeline!$S$17*Pipeline!$D$17*MIN(1,MAX(0,(44-Pipeline!$E$17+1)/MAX(Pipeline!$F$17,1)))+Pipeline!$S$18*Pipeline!$D$18*MIN(1,MAX(0,(44-Pipeline!$E$18+1)/MAX(Pipeline!$F$18,1)))+Pipeline!$S$19*Pipeline!$D$19*MIN(1,MAX(0,(44-Pipeline!$E$19+1)/MAX(Pipeline!$F$19,1)))+Pipeline!$S$20*Pipeline!$D$20*MIN(1,MAX(0,(44-Pipeline!$E$20+1)/MAX(Pipeline!$F$20,1)))+Pipeline!$S$21*Pipeline!$D$21*MIN(1,MAX(0,(44-Pipeline!$E$21+1)/MAX(Pipeline!$F$21,1)))+Pipeline!$S$22*Pipeline!$D$22*MIN(1,MAX(0,(44-Pipeline!$E$22+1)/MAX(Pipeline!$F$22,1)))</f>
        <v>1159.4925</v>
      </c>
      <c r="AU20" s="119" t="n">
        <f aca="false">Pipeline!$S$16*Pipeline!$D$16*MIN(1,MAX(0,(45-Pipeline!$E$16+1)/MAX(Pipeline!$F$16,1)))+Pipeline!$S$17*Pipeline!$D$17*MIN(1,MAX(0,(45-Pipeline!$E$17+1)/MAX(Pipeline!$F$17,1)))+Pipeline!$S$18*Pipeline!$D$18*MIN(1,MAX(0,(45-Pipeline!$E$18+1)/MAX(Pipeline!$F$18,1)))+Pipeline!$S$19*Pipeline!$D$19*MIN(1,MAX(0,(45-Pipeline!$E$19+1)/MAX(Pipeline!$F$19,1)))+Pipeline!$S$20*Pipeline!$D$20*MIN(1,MAX(0,(45-Pipeline!$E$20+1)/MAX(Pipeline!$F$20,1)))+Pipeline!$S$21*Pipeline!$D$21*MIN(1,MAX(0,(45-Pipeline!$E$21+1)/MAX(Pipeline!$F$21,1)))+Pipeline!$S$22*Pipeline!$D$22*MIN(1,MAX(0,(45-Pipeline!$E$22+1)/MAX(Pipeline!$F$22,1)))</f>
        <v>1159.4925</v>
      </c>
      <c r="AV20" s="119" t="n">
        <f aca="false">Pipeline!$S$16*Pipeline!$D$16*MIN(1,MAX(0,(46-Pipeline!$E$16+1)/MAX(Pipeline!$F$16,1)))+Pipeline!$S$17*Pipeline!$D$17*MIN(1,MAX(0,(46-Pipeline!$E$17+1)/MAX(Pipeline!$F$17,1)))+Pipeline!$S$18*Pipeline!$D$18*MIN(1,MAX(0,(46-Pipeline!$E$18+1)/MAX(Pipeline!$F$18,1)))+Pipeline!$S$19*Pipeline!$D$19*MIN(1,MAX(0,(46-Pipeline!$E$19+1)/MAX(Pipeline!$F$19,1)))+Pipeline!$S$20*Pipeline!$D$20*MIN(1,MAX(0,(46-Pipeline!$E$20+1)/MAX(Pipeline!$F$20,1)))+Pipeline!$S$21*Pipeline!$D$21*MIN(1,MAX(0,(46-Pipeline!$E$21+1)/MAX(Pipeline!$F$21,1)))+Pipeline!$S$22*Pipeline!$D$22*MIN(1,MAX(0,(46-Pipeline!$E$22+1)/MAX(Pipeline!$F$22,1)))</f>
        <v>1159.4925</v>
      </c>
      <c r="AW20" s="119" t="n">
        <f aca="false">Pipeline!$S$16*Pipeline!$D$16*MIN(1,MAX(0,(47-Pipeline!$E$16+1)/MAX(Pipeline!$F$16,1)))+Pipeline!$S$17*Pipeline!$D$17*MIN(1,MAX(0,(47-Pipeline!$E$17+1)/MAX(Pipeline!$F$17,1)))+Pipeline!$S$18*Pipeline!$D$18*MIN(1,MAX(0,(47-Pipeline!$E$18+1)/MAX(Pipeline!$F$18,1)))+Pipeline!$S$19*Pipeline!$D$19*MIN(1,MAX(0,(47-Pipeline!$E$19+1)/MAX(Pipeline!$F$19,1)))+Pipeline!$S$20*Pipeline!$D$20*MIN(1,MAX(0,(47-Pipeline!$E$20+1)/MAX(Pipeline!$F$20,1)))+Pipeline!$S$21*Pipeline!$D$21*MIN(1,MAX(0,(47-Pipeline!$E$21+1)/MAX(Pipeline!$F$21,1)))+Pipeline!$S$22*Pipeline!$D$22*MIN(1,MAX(0,(47-Pipeline!$E$22+1)/MAX(Pipeline!$F$22,1)))</f>
        <v>1159.4925</v>
      </c>
      <c r="AX20" s="119" t="n">
        <f aca="false">Pipeline!$S$16*Pipeline!$D$16*MIN(1,MAX(0,(48-Pipeline!$E$16+1)/MAX(Pipeline!$F$16,1)))+Pipeline!$S$17*Pipeline!$D$17*MIN(1,MAX(0,(48-Pipeline!$E$17+1)/MAX(Pipeline!$F$17,1)))+Pipeline!$S$18*Pipeline!$D$18*MIN(1,MAX(0,(48-Pipeline!$E$18+1)/MAX(Pipeline!$F$18,1)))+Pipeline!$S$19*Pipeline!$D$19*MIN(1,MAX(0,(48-Pipeline!$E$19+1)/MAX(Pipeline!$F$19,1)))+Pipeline!$S$20*Pipeline!$D$20*MIN(1,MAX(0,(48-Pipeline!$E$20+1)/MAX(Pipeline!$F$20,1)))+Pipeline!$S$21*Pipeline!$D$21*MIN(1,MAX(0,(48-Pipeline!$E$21+1)/MAX(Pipeline!$F$21,1)))+Pipeline!$S$22*Pipeline!$D$22*MIN(1,MAX(0,(48-Pipeline!$E$22+1)/MAX(Pipeline!$F$22,1)))</f>
        <v>1159.4925</v>
      </c>
      <c r="AY20" s="119" t="n">
        <f aca="false">Pipeline!$S$16*Pipeline!$D$16*MIN(1,MAX(0,(49-Pipeline!$E$16+1)/MAX(Pipeline!$F$16,1)))+Pipeline!$S$17*Pipeline!$D$17*MIN(1,MAX(0,(49-Pipeline!$E$17+1)/MAX(Pipeline!$F$17,1)))+Pipeline!$S$18*Pipeline!$D$18*MIN(1,MAX(0,(49-Pipeline!$E$18+1)/MAX(Pipeline!$F$18,1)))+Pipeline!$S$19*Pipeline!$D$19*MIN(1,MAX(0,(49-Pipeline!$E$19+1)/MAX(Pipeline!$F$19,1)))+Pipeline!$S$20*Pipeline!$D$20*MIN(1,MAX(0,(49-Pipeline!$E$20+1)/MAX(Pipeline!$F$20,1)))+Pipeline!$S$21*Pipeline!$D$21*MIN(1,MAX(0,(49-Pipeline!$E$21+1)/MAX(Pipeline!$F$21,1)))+Pipeline!$S$22*Pipeline!$D$22*MIN(1,MAX(0,(49-Pipeline!$E$22+1)/MAX(Pipeline!$F$22,1)))</f>
        <v>1159.4925</v>
      </c>
      <c r="AZ20" s="119" t="n">
        <f aca="false">Pipeline!$S$16*Pipeline!$D$16*MIN(1,MAX(0,(50-Pipeline!$E$16+1)/MAX(Pipeline!$F$16,1)))+Pipeline!$S$17*Pipeline!$D$17*MIN(1,MAX(0,(50-Pipeline!$E$17+1)/MAX(Pipeline!$F$17,1)))+Pipeline!$S$18*Pipeline!$D$18*MIN(1,MAX(0,(50-Pipeline!$E$18+1)/MAX(Pipeline!$F$18,1)))+Pipeline!$S$19*Pipeline!$D$19*MIN(1,MAX(0,(50-Pipeline!$E$19+1)/MAX(Pipeline!$F$19,1)))+Pipeline!$S$20*Pipeline!$D$20*MIN(1,MAX(0,(50-Pipeline!$E$20+1)/MAX(Pipeline!$F$20,1)))+Pipeline!$S$21*Pipeline!$D$21*MIN(1,MAX(0,(50-Pipeline!$E$21+1)/MAX(Pipeline!$F$21,1)))+Pipeline!$S$22*Pipeline!$D$22*MIN(1,MAX(0,(50-Pipeline!$E$22+1)/MAX(Pipeline!$F$22,1)))</f>
        <v>1159.4925</v>
      </c>
      <c r="BA20" s="119" t="n">
        <f aca="false">Pipeline!$S$16*Pipeline!$D$16*MIN(1,MAX(0,(51-Pipeline!$E$16+1)/MAX(Pipeline!$F$16,1)))+Pipeline!$S$17*Pipeline!$D$17*MIN(1,MAX(0,(51-Pipeline!$E$17+1)/MAX(Pipeline!$F$17,1)))+Pipeline!$S$18*Pipeline!$D$18*MIN(1,MAX(0,(51-Pipeline!$E$18+1)/MAX(Pipeline!$F$18,1)))+Pipeline!$S$19*Pipeline!$D$19*MIN(1,MAX(0,(51-Pipeline!$E$19+1)/MAX(Pipeline!$F$19,1)))+Pipeline!$S$20*Pipeline!$D$20*MIN(1,MAX(0,(51-Pipeline!$E$20+1)/MAX(Pipeline!$F$20,1)))+Pipeline!$S$21*Pipeline!$D$21*MIN(1,MAX(0,(51-Pipeline!$E$21+1)/MAX(Pipeline!$F$21,1)))+Pipeline!$S$22*Pipeline!$D$22*MIN(1,MAX(0,(51-Pipeline!$E$22+1)/MAX(Pipeline!$F$22,1)))</f>
        <v>1159.4925</v>
      </c>
      <c r="BB20" s="119" t="n">
        <f aca="false">Pipeline!$S$16*Pipeline!$D$16*MIN(1,MAX(0,(52-Pipeline!$E$16+1)/MAX(Pipeline!$F$16,1)))+Pipeline!$S$17*Pipeline!$D$17*MIN(1,MAX(0,(52-Pipeline!$E$17+1)/MAX(Pipeline!$F$17,1)))+Pipeline!$S$18*Pipeline!$D$18*MIN(1,MAX(0,(52-Pipeline!$E$18+1)/MAX(Pipeline!$F$18,1)))+Pipeline!$S$19*Pipeline!$D$19*MIN(1,MAX(0,(52-Pipeline!$E$19+1)/MAX(Pipeline!$F$19,1)))+Pipeline!$S$20*Pipeline!$D$20*MIN(1,MAX(0,(52-Pipeline!$E$20+1)/MAX(Pipeline!$F$20,1)))+Pipeline!$S$21*Pipeline!$D$21*MIN(1,MAX(0,(52-Pipeline!$E$21+1)/MAX(Pipeline!$F$21,1)))+Pipeline!$S$22*Pipeline!$D$22*MIN(1,MAX(0,(52-Pipeline!$E$22+1)/MAX(Pipeline!$F$22,1)))</f>
        <v>1159.4925</v>
      </c>
      <c r="BC20" s="119" t="n">
        <f aca="false">Pipeline!$S$16*Pipeline!$D$16*MIN(1,MAX(0,(53-Pipeline!$E$16+1)/MAX(Pipeline!$F$16,1)))+Pipeline!$S$17*Pipeline!$D$17*MIN(1,MAX(0,(53-Pipeline!$E$17+1)/MAX(Pipeline!$F$17,1)))+Pipeline!$S$18*Pipeline!$D$18*MIN(1,MAX(0,(53-Pipeline!$E$18+1)/MAX(Pipeline!$F$18,1)))+Pipeline!$S$19*Pipeline!$D$19*MIN(1,MAX(0,(53-Pipeline!$E$19+1)/MAX(Pipeline!$F$19,1)))+Pipeline!$S$20*Pipeline!$D$20*MIN(1,MAX(0,(53-Pipeline!$E$20+1)/MAX(Pipeline!$F$20,1)))+Pipeline!$S$21*Pipeline!$D$21*MIN(1,MAX(0,(53-Pipeline!$E$21+1)/MAX(Pipeline!$F$21,1)))+Pipeline!$S$22*Pipeline!$D$22*MIN(1,MAX(0,(53-Pipeline!$E$22+1)/MAX(Pipeline!$F$22,1)))</f>
        <v>1159.4925</v>
      </c>
      <c r="BD20" s="119" t="n">
        <f aca="false">Pipeline!$S$16*Pipeline!$D$16*MIN(1,MAX(0,(54-Pipeline!$E$16+1)/MAX(Pipeline!$F$16,1)))+Pipeline!$S$17*Pipeline!$D$17*MIN(1,MAX(0,(54-Pipeline!$E$17+1)/MAX(Pipeline!$F$17,1)))+Pipeline!$S$18*Pipeline!$D$18*MIN(1,MAX(0,(54-Pipeline!$E$18+1)/MAX(Pipeline!$F$18,1)))+Pipeline!$S$19*Pipeline!$D$19*MIN(1,MAX(0,(54-Pipeline!$E$19+1)/MAX(Pipeline!$F$19,1)))+Pipeline!$S$20*Pipeline!$D$20*MIN(1,MAX(0,(54-Pipeline!$E$20+1)/MAX(Pipeline!$F$20,1)))+Pipeline!$S$21*Pipeline!$D$21*MIN(1,MAX(0,(54-Pipeline!$E$21+1)/MAX(Pipeline!$F$21,1)))+Pipeline!$S$22*Pipeline!$D$22*MIN(1,MAX(0,(54-Pipeline!$E$22+1)/MAX(Pipeline!$F$22,1)))</f>
        <v>1159.4925</v>
      </c>
      <c r="BE20" s="119" t="n">
        <f aca="false">Pipeline!$S$16*Pipeline!$D$16*MIN(1,MAX(0,(55-Pipeline!$E$16+1)/MAX(Pipeline!$F$16,1)))+Pipeline!$S$17*Pipeline!$D$17*MIN(1,MAX(0,(55-Pipeline!$E$17+1)/MAX(Pipeline!$F$17,1)))+Pipeline!$S$18*Pipeline!$D$18*MIN(1,MAX(0,(55-Pipeline!$E$18+1)/MAX(Pipeline!$F$18,1)))+Pipeline!$S$19*Pipeline!$D$19*MIN(1,MAX(0,(55-Pipeline!$E$19+1)/MAX(Pipeline!$F$19,1)))+Pipeline!$S$20*Pipeline!$D$20*MIN(1,MAX(0,(55-Pipeline!$E$20+1)/MAX(Pipeline!$F$20,1)))+Pipeline!$S$21*Pipeline!$D$21*MIN(1,MAX(0,(55-Pipeline!$E$21+1)/MAX(Pipeline!$F$21,1)))+Pipeline!$S$22*Pipeline!$D$22*MIN(1,MAX(0,(55-Pipeline!$E$22+1)/MAX(Pipeline!$F$22,1)))</f>
        <v>1159.4925</v>
      </c>
      <c r="BF20" s="119" t="n">
        <f aca="false">Pipeline!$S$16*Pipeline!$D$16*MIN(1,MAX(0,(56-Pipeline!$E$16+1)/MAX(Pipeline!$F$16,1)))+Pipeline!$S$17*Pipeline!$D$17*MIN(1,MAX(0,(56-Pipeline!$E$17+1)/MAX(Pipeline!$F$17,1)))+Pipeline!$S$18*Pipeline!$D$18*MIN(1,MAX(0,(56-Pipeline!$E$18+1)/MAX(Pipeline!$F$18,1)))+Pipeline!$S$19*Pipeline!$D$19*MIN(1,MAX(0,(56-Pipeline!$E$19+1)/MAX(Pipeline!$F$19,1)))+Pipeline!$S$20*Pipeline!$D$20*MIN(1,MAX(0,(56-Pipeline!$E$20+1)/MAX(Pipeline!$F$20,1)))+Pipeline!$S$21*Pipeline!$D$21*MIN(1,MAX(0,(56-Pipeline!$E$21+1)/MAX(Pipeline!$F$21,1)))+Pipeline!$S$22*Pipeline!$D$22*MIN(1,MAX(0,(56-Pipeline!$E$22+1)/MAX(Pipeline!$F$22,1)))</f>
        <v>1159.4925</v>
      </c>
      <c r="BG20" s="119" t="n">
        <f aca="false">Pipeline!$S$16*Pipeline!$D$16*MIN(1,MAX(0,(57-Pipeline!$E$16+1)/MAX(Pipeline!$F$16,1)))+Pipeline!$S$17*Pipeline!$D$17*MIN(1,MAX(0,(57-Pipeline!$E$17+1)/MAX(Pipeline!$F$17,1)))+Pipeline!$S$18*Pipeline!$D$18*MIN(1,MAX(0,(57-Pipeline!$E$18+1)/MAX(Pipeline!$F$18,1)))+Pipeline!$S$19*Pipeline!$D$19*MIN(1,MAX(0,(57-Pipeline!$E$19+1)/MAX(Pipeline!$F$19,1)))+Pipeline!$S$20*Pipeline!$D$20*MIN(1,MAX(0,(57-Pipeline!$E$20+1)/MAX(Pipeline!$F$20,1)))+Pipeline!$S$21*Pipeline!$D$21*MIN(1,MAX(0,(57-Pipeline!$E$21+1)/MAX(Pipeline!$F$21,1)))+Pipeline!$S$22*Pipeline!$D$22*MIN(1,MAX(0,(57-Pipeline!$E$22+1)/MAX(Pipeline!$F$22,1)))</f>
        <v>1159.4925</v>
      </c>
      <c r="BH20" s="119" t="n">
        <f aca="false">Pipeline!$S$16*Pipeline!$D$16*MIN(1,MAX(0,(58-Pipeline!$E$16+1)/MAX(Pipeline!$F$16,1)))+Pipeline!$S$17*Pipeline!$D$17*MIN(1,MAX(0,(58-Pipeline!$E$17+1)/MAX(Pipeline!$F$17,1)))+Pipeline!$S$18*Pipeline!$D$18*MIN(1,MAX(0,(58-Pipeline!$E$18+1)/MAX(Pipeline!$F$18,1)))+Pipeline!$S$19*Pipeline!$D$19*MIN(1,MAX(0,(58-Pipeline!$E$19+1)/MAX(Pipeline!$F$19,1)))+Pipeline!$S$20*Pipeline!$D$20*MIN(1,MAX(0,(58-Pipeline!$E$20+1)/MAX(Pipeline!$F$20,1)))+Pipeline!$S$21*Pipeline!$D$21*MIN(1,MAX(0,(58-Pipeline!$E$21+1)/MAX(Pipeline!$F$21,1)))+Pipeline!$S$22*Pipeline!$D$22*MIN(1,MAX(0,(58-Pipeline!$E$22+1)/MAX(Pipeline!$F$22,1)))</f>
        <v>1159.4925</v>
      </c>
      <c r="BI20" s="119" t="n">
        <f aca="false">Pipeline!$S$16*Pipeline!$D$16*MIN(1,MAX(0,(59-Pipeline!$E$16+1)/MAX(Pipeline!$F$16,1)))+Pipeline!$S$17*Pipeline!$D$17*MIN(1,MAX(0,(59-Pipeline!$E$17+1)/MAX(Pipeline!$F$17,1)))+Pipeline!$S$18*Pipeline!$D$18*MIN(1,MAX(0,(59-Pipeline!$E$18+1)/MAX(Pipeline!$F$18,1)))+Pipeline!$S$19*Pipeline!$D$19*MIN(1,MAX(0,(59-Pipeline!$E$19+1)/MAX(Pipeline!$F$19,1)))+Pipeline!$S$20*Pipeline!$D$20*MIN(1,MAX(0,(59-Pipeline!$E$20+1)/MAX(Pipeline!$F$20,1)))+Pipeline!$S$21*Pipeline!$D$21*MIN(1,MAX(0,(59-Pipeline!$E$21+1)/MAX(Pipeline!$F$21,1)))+Pipeline!$S$22*Pipeline!$D$22*MIN(1,MAX(0,(59-Pipeline!$E$22+1)/MAX(Pipeline!$F$22,1)))</f>
        <v>1159.4925</v>
      </c>
      <c r="BJ20" s="119" t="n">
        <f aca="false">Pipeline!$S$16*Pipeline!$D$16*MIN(1,MAX(0,(60-Pipeline!$E$16+1)/MAX(Pipeline!$F$16,1)))+Pipeline!$S$17*Pipeline!$D$17*MIN(1,MAX(0,(60-Pipeline!$E$17+1)/MAX(Pipeline!$F$17,1)))+Pipeline!$S$18*Pipeline!$D$18*MIN(1,MAX(0,(60-Pipeline!$E$18+1)/MAX(Pipeline!$F$18,1)))+Pipeline!$S$19*Pipeline!$D$19*MIN(1,MAX(0,(60-Pipeline!$E$19+1)/MAX(Pipeline!$F$19,1)))+Pipeline!$S$20*Pipeline!$D$20*MIN(1,MAX(0,(60-Pipeline!$E$20+1)/MAX(Pipeline!$F$20,1)))+Pipeline!$S$21*Pipeline!$D$21*MIN(1,MAX(0,(60-Pipeline!$E$21+1)/MAX(Pipeline!$F$21,1)))+Pipeline!$S$22*Pipeline!$D$22*MIN(1,MAX(0,(60-Pipeline!$E$22+1)/MAX(Pipeline!$F$22,1)))</f>
        <v>1159.4925</v>
      </c>
      <c r="BK20" s="119" t="n">
        <f aca="false">Pipeline!$S$16*Pipeline!$D$16*MIN(1,MAX(0,(61-Pipeline!$E$16+1)/MAX(Pipeline!$F$16,1)))+Pipeline!$S$17*Pipeline!$D$17*MIN(1,MAX(0,(61-Pipeline!$E$17+1)/MAX(Pipeline!$F$17,1)))+Pipeline!$S$18*Pipeline!$D$18*MIN(1,MAX(0,(61-Pipeline!$E$18+1)/MAX(Pipeline!$F$18,1)))+Pipeline!$S$19*Pipeline!$D$19*MIN(1,MAX(0,(61-Pipeline!$E$19+1)/MAX(Pipeline!$F$19,1)))+Pipeline!$S$20*Pipeline!$D$20*MIN(1,MAX(0,(61-Pipeline!$E$20+1)/MAX(Pipeline!$F$20,1)))+Pipeline!$S$21*Pipeline!$D$21*MIN(1,MAX(0,(61-Pipeline!$E$21+1)/MAX(Pipeline!$F$21,1)))+Pipeline!$S$22*Pipeline!$D$22*MIN(1,MAX(0,(61-Pipeline!$E$22+1)/MAX(Pipeline!$F$22,1)))</f>
        <v>1159.4925</v>
      </c>
      <c r="BL20" s="119" t="n">
        <f aca="false">Pipeline!$S$16*Pipeline!$D$16*MIN(1,MAX(0,(62-Pipeline!$E$16+1)/MAX(Pipeline!$F$16,1)))+Pipeline!$S$17*Pipeline!$D$17*MIN(1,MAX(0,(62-Pipeline!$E$17+1)/MAX(Pipeline!$F$17,1)))+Pipeline!$S$18*Pipeline!$D$18*MIN(1,MAX(0,(62-Pipeline!$E$18+1)/MAX(Pipeline!$F$18,1)))+Pipeline!$S$19*Pipeline!$D$19*MIN(1,MAX(0,(62-Pipeline!$E$19+1)/MAX(Pipeline!$F$19,1)))+Pipeline!$S$20*Pipeline!$D$20*MIN(1,MAX(0,(62-Pipeline!$E$20+1)/MAX(Pipeline!$F$20,1)))+Pipeline!$S$21*Pipeline!$D$21*MIN(1,MAX(0,(62-Pipeline!$E$21+1)/MAX(Pipeline!$F$21,1)))+Pipeline!$S$22*Pipeline!$D$22*MIN(1,MAX(0,(62-Pipeline!$E$22+1)/MAX(Pipeline!$F$22,1)))</f>
        <v>1159.4925</v>
      </c>
      <c r="BM20" s="119" t="n">
        <f aca="false">Pipeline!$S$16*Pipeline!$D$16*MIN(1,MAX(0,(63-Pipeline!$E$16+1)/MAX(Pipeline!$F$16,1)))+Pipeline!$S$17*Pipeline!$D$17*MIN(1,MAX(0,(63-Pipeline!$E$17+1)/MAX(Pipeline!$F$17,1)))+Pipeline!$S$18*Pipeline!$D$18*MIN(1,MAX(0,(63-Pipeline!$E$18+1)/MAX(Pipeline!$F$18,1)))+Pipeline!$S$19*Pipeline!$D$19*MIN(1,MAX(0,(63-Pipeline!$E$19+1)/MAX(Pipeline!$F$19,1)))+Pipeline!$S$20*Pipeline!$D$20*MIN(1,MAX(0,(63-Pipeline!$E$20+1)/MAX(Pipeline!$F$20,1)))+Pipeline!$S$21*Pipeline!$D$21*MIN(1,MAX(0,(63-Pipeline!$E$21+1)/MAX(Pipeline!$F$21,1)))+Pipeline!$S$22*Pipeline!$D$22*MIN(1,MAX(0,(63-Pipeline!$E$22+1)/MAX(Pipeline!$F$22,1)))</f>
        <v>1159.4925</v>
      </c>
      <c r="BN20" s="119" t="n">
        <f aca="false">Pipeline!$S$16*Pipeline!$D$16*MIN(1,MAX(0,(64-Pipeline!$E$16+1)/MAX(Pipeline!$F$16,1)))+Pipeline!$S$17*Pipeline!$D$17*MIN(1,MAX(0,(64-Pipeline!$E$17+1)/MAX(Pipeline!$F$17,1)))+Pipeline!$S$18*Pipeline!$D$18*MIN(1,MAX(0,(64-Pipeline!$E$18+1)/MAX(Pipeline!$F$18,1)))+Pipeline!$S$19*Pipeline!$D$19*MIN(1,MAX(0,(64-Pipeline!$E$19+1)/MAX(Pipeline!$F$19,1)))+Pipeline!$S$20*Pipeline!$D$20*MIN(1,MAX(0,(64-Pipeline!$E$20+1)/MAX(Pipeline!$F$20,1)))+Pipeline!$S$21*Pipeline!$D$21*MIN(1,MAX(0,(64-Pipeline!$E$21+1)/MAX(Pipeline!$F$21,1)))+Pipeline!$S$22*Pipeline!$D$22*MIN(1,MAX(0,(64-Pipeline!$E$22+1)/MAX(Pipeline!$F$22,1)))</f>
        <v>1159.4925</v>
      </c>
      <c r="BO20" s="119" t="n">
        <f aca="false">Pipeline!$S$16*Pipeline!$D$16*MIN(1,MAX(0,(65-Pipeline!$E$16+1)/MAX(Pipeline!$F$16,1)))+Pipeline!$S$17*Pipeline!$D$17*MIN(1,MAX(0,(65-Pipeline!$E$17+1)/MAX(Pipeline!$F$17,1)))+Pipeline!$S$18*Pipeline!$D$18*MIN(1,MAX(0,(65-Pipeline!$E$18+1)/MAX(Pipeline!$F$18,1)))+Pipeline!$S$19*Pipeline!$D$19*MIN(1,MAX(0,(65-Pipeline!$E$19+1)/MAX(Pipeline!$F$19,1)))+Pipeline!$S$20*Pipeline!$D$20*MIN(1,MAX(0,(65-Pipeline!$E$20+1)/MAX(Pipeline!$F$20,1)))+Pipeline!$S$21*Pipeline!$D$21*MIN(1,MAX(0,(65-Pipeline!$E$21+1)/MAX(Pipeline!$F$21,1)))+Pipeline!$S$22*Pipeline!$D$22*MIN(1,MAX(0,(65-Pipeline!$E$22+1)/MAX(Pipeline!$F$22,1)))</f>
        <v>1159.4925</v>
      </c>
      <c r="BP20" s="119" t="n">
        <f aca="false">Pipeline!$S$16*Pipeline!$D$16*MIN(1,MAX(0,(66-Pipeline!$E$16+1)/MAX(Pipeline!$F$16,1)))+Pipeline!$S$17*Pipeline!$D$17*MIN(1,MAX(0,(66-Pipeline!$E$17+1)/MAX(Pipeline!$F$17,1)))+Pipeline!$S$18*Pipeline!$D$18*MIN(1,MAX(0,(66-Pipeline!$E$18+1)/MAX(Pipeline!$F$18,1)))+Pipeline!$S$19*Pipeline!$D$19*MIN(1,MAX(0,(66-Pipeline!$E$19+1)/MAX(Pipeline!$F$19,1)))+Pipeline!$S$20*Pipeline!$D$20*MIN(1,MAX(0,(66-Pipeline!$E$20+1)/MAX(Pipeline!$F$20,1)))+Pipeline!$S$21*Pipeline!$D$21*MIN(1,MAX(0,(66-Pipeline!$E$21+1)/MAX(Pipeline!$F$21,1)))+Pipeline!$S$22*Pipeline!$D$22*MIN(1,MAX(0,(66-Pipeline!$E$22+1)/MAX(Pipeline!$F$22,1)))</f>
        <v>1159.4925</v>
      </c>
      <c r="BQ20" s="119" t="n">
        <f aca="false">Pipeline!$S$16*Pipeline!$D$16*MIN(1,MAX(0,(67-Pipeline!$E$16+1)/MAX(Pipeline!$F$16,1)))+Pipeline!$S$17*Pipeline!$D$17*MIN(1,MAX(0,(67-Pipeline!$E$17+1)/MAX(Pipeline!$F$17,1)))+Pipeline!$S$18*Pipeline!$D$18*MIN(1,MAX(0,(67-Pipeline!$E$18+1)/MAX(Pipeline!$F$18,1)))+Pipeline!$S$19*Pipeline!$D$19*MIN(1,MAX(0,(67-Pipeline!$E$19+1)/MAX(Pipeline!$F$19,1)))+Pipeline!$S$20*Pipeline!$D$20*MIN(1,MAX(0,(67-Pipeline!$E$20+1)/MAX(Pipeline!$F$20,1)))+Pipeline!$S$21*Pipeline!$D$21*MIN(1,MAX(0,(67-Pipeline!$E$21+1)/MAX(Pipeline!$F$21,1)))+Pipeline!$S$22*Pipeline!$D$22*MIN(1,MAX(0,(67-Pipeline!$E$22+1)/MAX(Pipeline!$F$22,1)))</f>
        <v>1159.4925</v>
      </c>
      <c r="BR20" s="119" t="n">
        <f aca="false">Pipeline!$S$16*Pipeline!$D$16*MIN(1,MAX(0,(68-Pipeline!$E$16+1)/MAX(Pipeline!$F$16,1)))+Pipeline!$S$17*Pipeline!$D$17*MIN(1,MAX(0,(68-Pipeline!$E$17+1)/MAX(Pipeline!$F$17,1)))+Pipeline!$S$18*Pipeline!$D$18*MIN(1,MAX(0,(68-Pipeline!$E$18+1)/MAX(Pipeline!$F$18,1)))+Pipeline!$S$19*Pipeline!$D$19*MIN(1,MAX(0,(68-Pipeline!$E$19+1)/MAX(Pipeline!$F$19,1)))+Pipeline!$S$20*Pipeline!$D$20*MIN(1,MAX(0,(68-Pipeline!$E$20+1)/MAX(Pipeline!$F$20,1)))+Pipeline!$S$21*Pipeline!$D$21*MIN(1,MAX(0,(68-Pipeline!$E$21+1)/MAX(Pipeline!$F$21,1)))+Pipeline!$S$22*Pipeline!$D$22*MIN(1,MAX(0,(68-Pipeline!$E$22+1)/MAX(Pipeline!$F$22,1)))</f>
        <v>1159.4925</v>
      </c>
      <c r="BS20" s="119" t="n">
        <f aca="false">Pipeline!$S$16*Pipeline!$D$16*MIN(1,MAX(0,(69-Pipeline!$E$16+1)/MAX(Pipeline!$F$16,1)))+Pipeline!$S$17*Pipeline!$D$17*MIN(1,MAX(0,(69-Pipeline!$E$17+1)/MAX(Pipeline!$F$17,1)))+Pipeline!$S$18*Pipeline!$D$18*MIN(1,MAX(0,(69-Pipeline!$E$18+1)/MAX(Pipeline!$F$18,1)))+Pipeline!$S$19*Pipeline!$D$19*MIN(1,MAX(0,(69-Pipeline!$E$19+1)/MAX(Pipeline!$F$19,1)))+Pipeline!$S$20*Pipeline!$D$20*MIN(1,MAX(0,(69-Pipeline!$E$20+1)/MAX(Pipeline!$F$20,1)))+Pipeline!$S$21*Pipeline!$D$21*MIN(1,MAX(0,(69-Pipeline!$E$21+1)/MAX(Pipeline!$F$21,1)))+Pipeline!$S$22*Pipeline!$D$22*MIN(1,MAX(0,(69-Pipeline!$E$22+1)/MAX(Pipeline!$F$22,1)))</f>
        <v>1159.4925</v>
      </c>
      <c r="BT20" s="119" t="n">
        <f aca="false">Pipeline!$S$16*Pipeline!$D$16*MIN(1,MAX(0,(70-Pipeline!$E$16+1)/MAX(Pipeline!$F$16,1)))+Pipeline!$S$17*Pipeline!$D$17*MIN(1,MAX(0,(70-Pipeline!$E$17+1)/MAX(Pipeline!$F$17,1)))+Pipeline!$S$18*Pipeline!$D$18*MIN(1,MAX(0,(70-Pipeline!$E$18+1)/MAX(Pipeline!$F$18,1)))+Pipeline!$S$19*Pipeline!$D$19*MIN(1,MAX(0,(70-Pipeline!$E$19+1)/MAX(Pipeline!$F$19,1)))+Pipeline!$S$20*Pipeline!$D$20*MIN(1,MAX(0,(70-Pipeline!$E$20+1)/MAX(Pipeline!$F$20,1)))+Pipeline!$S$21*Pipeline!$D$21*MIN(1,MAX(0,(70-Pipeline!$E$21+1)/MAX(Pipeline!$F$21,1)))+Pipeline!$S$22*Pipeline!$D$22*MIN(1,MAX(0,(70-Pipeline!$E$22+1)/MAX(Pipeline!$F$22,1)))</f>
        <v>1159.4925</v>
      </c>
      <c r="BU20" s="119" t="n">
        <f aca="false">Pipeline!$S$16*Pipeline!$D$16*MIN(1,MAX(0,(71-Pipeline!$E$16+1)/MAX(Pipeline!$F$16,1)))+Pipeline!$S$17*Pipeline!$D$17*MIN(1,MAX(0,(71-Pipeline!$E$17+1)/MAX(Pipeline!$F$17,1)))+Pipeline!$S$18*Pipeline!$D$18*MIN(1,MAX(0,(71-Pipeline!$E$18+1)/MAX(Pipeline!$F$18,1)))+Pipeline!$S$19*Pipeline!$D$19*MIN(1,MAX(0,(71-Pipeline!$E$19+1)/MAX(Pipeline!$F$19,1)))+Pipeline!$S$20*Pipeline!$D$20*MIN(1,MAX(0,(71-Pipeline!$E$20+1)/MAX(Pipeline!$F$20,1)))+Pipeline!$S$21*Pipeline!$D$21*MIN(1,MAX(0,(71-Pipeline!$E$21+1)/MAX(Pipeline!$F$21,1)))+Pipeline!$S$22*Pipeline!$D$22*MIN(1,MAX(0,(71-Pipeline!$E$22+1)/MAX(Pipeline!$F$22,1)))</f>
        <v>1159.4925</v>
      </c>
      <c r="BV20" s="119" t="n">
        <f aca="false">Pipeline!$S$16*Pipeline!$D$16*MIN(1,MAX(0,(72-Pipeline!$E$16+1)/MAX(Pipeline!$F$16,1)))+Pipeline!$S$17*Pipeline!$D$17*MIN(1,MAX(0,(72-Pipeline!$E$17+1)/MAX(Pipeline!$F$17,1)))+Pipeline!$S$18*Pipeline!$D$18*MIN(1,MAX(0,(72-Pipeline!$E$18+1)/MAX(Pipeline!$F$18,1)))+Pipeline!$S$19*Pipeline!$D$19*MIN(1,MAX(0,(72-Pipeline!$E$19+1)/MAX(Pipeline!$F$19,1)))+Pipeline!$S$20*Pipeline!$D$20*MIN(1,MAX(0,(72-Pipeline!$E$20+1)/MAX(Pipeline!$F$20,1)))+Pipeline!$S$21*Pipeline!$D$21*MIN(1,MAX(0,(72-Pipeline!$E$21+1)/MAX(Pipeline!$F$21,1)))+Pipeline!$S$22*Pipeline!$D$22*MIN(1,MAX(0,(72-Pipeline!$E$22+1)/MAX(Pipeline!$F$22,1)))</f>
        <v>1159.4925</v>
      </c>
      <c r="BW20" s="119" t="n">
        <f aca="false">Pipeline!$S$16*Pipeline!$D$16*MIN(1,MAX(0,(73-Pipeline!$E$16+1)/MAX(Pipeline!$F$16,1)))+Pipeline!$S$17*Pipeline!$D$17*MIN(1,MAX(0,(73-Pipeline!$E$17+1)/MAX(Pipeline!$F$17,1)))+Pipeline!$S$18*Pipeline!$D$18*MIN(1,MAX(0,(73-Pipeline!$E$18+1)/MAX(Pipeline!$F$18,1)))+Pipeline!$S$19*Pipeline!$D$19*MIN(1,MAX(0,(73-Pipeline!$E$19+1)/MAX(Pipeline!$F$19,1)))+Pipeline!$S$20*Pipeline!$D$20*MIN(1,MAX(0,(73-Pipeline!$E$20+1)/MAX(Pipeline!$F$20,1)))+Pipeline!$S$21*Pipeline!$D$21*MIN(1,MAX(0,(73-Pipeline!$E$21+1)/MAX(Pipeline!$F$21,1)))+Pipeline!$S$22*Pipeline!$D$22*MIN(1,MAX(0,(73-Pipeline!$E$22+1)/MAX(Pipeline!$F$22,1)))</f>
        <v>1159.4925</v>
      </c>
      <c r="BX20" s="119" t="n">
        <f aca="false">Pipeline!$S$16*Pipeline!$D$16*MIN(1,MAX(0,(74-Pipeline!$E$16+1)/MAX(Pipeline!$F$16,1)))+Pipeline!$S$17*Pipeline!$D$17*MIN(1,MAX(0,(74-Pipeline!$E$17+1)/MAX(Pipeline!$F$17,1)))+Pipeline!$S$18*Pipeline!$D$18*MIN(1,MAX(0,(74-Pipeline!$E$18+1)/MAX(Pipeline!$F$18,1)))+Pipeline!$S$19*Pipeline!$D$19*MIN(1,MAX(0,(74-Pipeline!$E$19+1)/MAX(Pipeline!$F$19,1)))+Pipeline!$S$20*Pipeline!$D$20*MIN(1,MAX(0,(74-Pipeline!$E$20+1)/MAX(Pipeline!$F$20,1)))+Pipeline!$S$21*Pipeline!$D$21*MIN(1,MAX(0,(74-Pipeline!$E$21+1)/MAX(Pipeline!$F$21,1)))+Pipeline!$S$22*Pipeline!$D$22*MIN(1,MAX(0,(74-Pipeline!$E$22+1)/MAX(Pipeline!$F$22,1)))</f>
        <v>1159.4925</v>
      </c>
      <c r="BY20" s="119" t="n">
        <f aca="false">Pipeline!$S$16*Pipeline!$D$16*MIN(1,MAX(0,(75-Pipeline!$E$16+1)/MAX(Pipeline!$F$16,1)))+Pipeline!$S$17*Pipeline!$D$17*MIN(1,MAX(0,(75-Pipeline!$E$17+1)/MAX(Pipeline!$F$17,1)))+Pipeline!$S$18*Pipeline!$D$18*MIN(1,MAX(0,(75-Pipeline!$E$18+1)/MAX(Pipeline!$F$18,1)))+Pipeline!$S$19*Pipeline!$D$19*MIN(1,MAX(0,(75-Pipeline!$E$19+1)/MAX(Pipeline!$F$19,1)))+Pipeline!$S$20*Pipeline!$D$20*MIN(1,MAX(0,(75-Pipeline!$E$20+1)/MAX(Pipeline!$F$20,1)))+Pipeline!$S$21*Pipeline!$D$21*MIN(1,MAX(0,(75-Pipeline!$E$21+1)/MAX(Pipeline!$F$21,1)))+Pipeline!$S$22*Pipeline!$D$22*MIN(1,MAX(0,(75-Pipeline!$E$22+1)/MAX(Pipeline!$F$22,1)))</f>
        <v>1159.4925</v>
      </c>
      <c r="BZ20" s="119" t="n">
        <f aca="false">Pipeline!$S$16*Pipeline!$D$16*MIN(1,MAX(0,(76-Pipeline!$E$16+1)/MAX(Pipeline!$F$16,1)))+Pipeline!$S$17*Pipeline!$D$17*MIN(1,MAX(0,(76-Pipeline!$E$17+1)/MAX(Pipeline!$F$17,1)))+Pipeline!$S$18*Pipeline!$D$18*MIN(1,MAX(0,(76-Pipeline!$E$18+1)/MAX(Pipeline!$F$18,1)))+Pipeline!$S$19*Pipeline!$D$19*MIN(1,MAX(0,(76-Pipeline!$E$19+1)/MAX(Pipeline!$F$19,1)))+Pipeline!$S$20*Pipeline!$D$20*MIN(1,MAX(0,(76-Pipeline!$E$20+1)/MAX(Pipeline!$F$20,1)))+Pipeline!$S$21*Pipeline!$D$21*MIN(1,MAX(0,(76-Pipeline!$E$21+1)/MAX(Pipeline!$F$21,1)))+Pipeline!$S$22*Pipeline!$D$22*MIN(1,MAX(0,(76-Pipeline!$E$22+1)/MAX(Pipeline!$F$22,1)))</f>
        <v>1159.4925</v>
      </c>
      <c r="CA20" s="119" t="n">
        <f aca="false">Pipeline!$S$16*Pipeline!$D$16*MIN(1,MAX(0,(77-Pipeline!$E$16+1)/MAX(Pipeline!$F$16,1)))+Pipeline!$S$17*Pipeline!$D$17*MIN(1,MAX(0,(77-Pipeline!$E$17+1)/MAX(Pipeline!$F$17,1)))+Pipeline!$S$18*Pipeline!$D$18*MIN(1,MAX(0,(77-Pipeline!$E$18+1)/MAX(Pipeline!$F$18,1)))+Pipeline!$S$19*Pipeline!$D$19*MIN(1,MAX(0,(77-Pipeline!$E$19+1)/MAX(Pipeline!$F$19,1)))+Pipeline!$S$20*Pipeline!$D$20*MIN(1,MAX(0,(77-Pipeline!$E$20+1)/MAX(Pipeline!$F$20,1)))+Pipeline!$S$21*Pipeline!$D$21*MIN(1,MAX(0,(77-Pipeline!$E$21+1)/MAX(Pipeline!$F$21,1)))+Pipeline!$S$22*Pipeline!$D$22*MIN(1,MAX(0,(77-Pipeline!$E$22+1)/MAX(Pipeline!$F$22,1)))</f>
        <v>1159.4925</v>
      </c>
      <c r="CB20" s="119" t="n">
        <f aca="false">Pipeline!$S$16*Pipeline!$D$16*MIN(1,MAX(0,(78-Pipeline!$E$16+1)/MAX(Pipeline!$F$16,1)))+Pipeline!$S$17*Pipeline!$D$17*MIN(1,MAX(0,(78-Pipeline!$E$17+1)/MAX(Pipeline!$F$17,1)))+Pipeline!$S$18*Pipeline!$D$18*MIN(1,MAX(0,(78-Pipeline!$E$18+1)/MAX(Pipeline!$F$18,1)))+Pipeline!$S$19*Pipeline!$D$19*MIN(1,MAX(0,(78-Pipeline!$E$19+1)/MAX(Pipeline!$F$19,1)))+Pipeline!$S$20*Pipeline!$D$20*MIN(1,MAX(0,(78-Pipeline!$E$20+1)/MAX(Pipeline!$F$20,1)))+Pipeline!$S$21*Pipeline!$D$21*MIN(1,MAX(0,(78-Pipeline!$E$21+1)/MAX(Pipeline!$F$21,1)))+Pipeline!$S$22*Pipeline!$D$22*MIN(1,MAX(0,(78-Pipeline!$E$22+1)/MAX(Pipeline!$F$22,1)))</f>
        <v>1159.4925</v>
      </c>
      <c r="CC20" s="119" t="n">
        <f aca="false">Pipeline!$S$16*Pipeline!$D$16*MIN(1,MAX(0,(79-Pipeline!$E$16+1)/MAX(Pipeline!$F$16,1)))+Pipeline!$S$17*Pipeline!$D$17*MIN(1,MAX(0,(79-Pipeline!$E$17+1)/MAX(Pipeline!$F$17,1)))+Pipeline!$S$18*Pipeline!$D$18*MIN(1,MAX(0,(79-Pipeline!$E$18+1)/MAX(Pipeline!$F$18,1)))+Pipeline!$S$19*Pipeline!$D$19*MIN(1,MAX(0,(79-Pipeline!$E$19+1)/MAX(Pipeline!$F$19,1)))+Pipeline!$S$20*Pipeline!$D$20*MIN(1,MAX(0,(79-Pipeline!$E$20+1)/MAX(Pipeline!$F$20,1)))+Pipeline!$S$21*Pipeline!$D$21*MIN(1,MAX(0,(79-Pipeline!$E$21+1)/MAX(Pipeline!$F$21,1)))+Pipeline!$S$22*Pipeline!$D$22*MIN(1,MAX(0,(79-Pipeline!$E$22+1)/MAX(Pipeline!$F$22,1)))</f>
        <v>1159.4925</v>
      </c>
      <c r="CD20" s="119" t="n">
        <f aca="false">Pipeline!$S$16*Pipeline!$D$16*MIN(1,MAX(0,(80-Pipeline!$E$16+1)/MAX(Pipeline!$F$16,1)))+Pipeline!$S$17*Pipeline!$D$17*MIN(1,MAX(0,(80-Pipeline!$E$17+1)/MAX(Pipeline!$F$17,1)))+Pipeline!$S$18*Pipeline!$D$18*MIN(1,MAX(0,(80-Pipeline!$E$18+1)/MAX(Pipeline!$F$18,1)))+Pipeline!$S$19*Pipeline!$D$19*MIN(1,MAX(0,(80-Pipeline!$E$19+1)/MAX(Pipeline!$F$19,1)))+Pipeline!$S$20*Pipeline!$D$20*MIN(1,MAX(0,(80-Pipeline!$E$20+1)/MAX(Pipeline!$F$20,1)))+Pipeline!$S$21*Pipeline!$D$21*MIN(1,MAX(0,(80-Pipeline!$E$21+1)/MAX(Pipeline!$F$21,1)))+Pipeline!$S$22*Pipeline!$D$22*MIN(1,MAX(0,(80-Pipeline!$E$22+1)/MAX(Pipeline!$F$22,1)))</f>
        <v>1159.4925</v>
      </c>
      <c r="CE20" s="119" t="n">
        <f aca="false">Pipeline!$S$16*Pipeline!$D$16*MIN(1,MAX(0,(81-Pipeline!$E$16+1)/MAX(Pipeline!$F$16,1)))+Pipeline!$S$17*Pipeline!$D$17*MIN(1,MAX(0,(81-Pipeline!$E$17+1)/MAX(Pipeline!$F$17,1)))+Pipeline!$S$18*Pipeline!$D$18*MIN(1,MAX(0,(81-Pipeline!$E$18+1)/MAX(Pipeline!$F$18,1)))+Pipeline!$S$19*Pipeline!$D$19*MIN(1,MAX(0,(81-Pipeline!$E$19+1)/MAX(Pipeline!$F$19,1)))+Pipeline!$S$20*Pipeline!$D$20*MIN(1,MAX(0,(81-Pipeline!$E$20+1)/MAX(Pipeline!$F$20,1)))+Pipeline!$S$21*Pipeline!$D$21*MIN(1,MAX(0,(81-Pipeline!$E$21+1)/MAX(Pipeline!$F$21,1)))+Pipeline!$S$22*Pipeline!$D$22*MIN(1,MAX(0,(81-Pipeline!$E$22+1)/MAX(Pipeline!$F$22,1)))</f>
        <v>1159.4925</v>
      </c>
      <c r="CF20" s="119" t="n">
        <f aca="false">Pipeline!$S$16*Pipeline!$D$16*MIN(1,MAX(0,(82-Pipeline!$E$16+1)/MAX(Pipeline!$F$16,1)))+Pipeline!$S$17*Pipeline!$D$17*MIN(1,MAX(0,(82-Pipeline!$E$17+1)/MAX(Pipeline!$F$17,1)))+Pipeline!$S$18*Pipeline!$D$18*MIN(1,MAX(0,(82-Pipeline!$E$18+1)/MAX(Pipeline!$F$18,1)))+Pipeline!$S$19*Pipeline!$D$19*MIN(1,MAX(0,(82-Pipeline!$E$19+1)/MAX(Pipeline!$F$19,1)))+Pipeline!$S$20*Pipeline!$D$20*MIN(1,MAX(0,(82-Pipeline!$E$20+1)/MAX(Pipeline!$F$20,1)))+Pipeline!$S$21*Pipeline!$D$21*MIN(1,MAX(0,(82-Pipeline!$E$21+1)/MAX(Pipeline!$F$21,1)))+Pipeline!$S$22*Pipeline!$D$22*MIN(1,MAX(0,(82-Pipeline!$E$22+1)/MAX(Pipeline!$F$22,1)))</f>
        <v>1159.4925</v>
      </c>
      <c r="CG20" s="119" t="n">
        <f aca="false">Pipeline!$S$16*Pipeline!$D$16*MIN(1,MAX(0,(83-Pipeline!$E$16+1)/MAX(Pipeline!$F$16,1)))+Pipeline!$S$17*Pipeline!$D$17*MIN(1,MAX(0,(83-Pipeline!$E$17+1)/MAX(Pipeline!$F$17,1)))+Pipeline!$S$18*Pipeline!$D$18*MIN(1,MAX(0,(83-Pipeline!$E$18+1)/MAX(Pipeline!$F$18,1)))+Pipeline!$S$19*Pipeline!$D$19*MIN(1,MAX(0,(83-Pipeline!$E$19+1)/MAX(Pipeline!$F$19,1)))+Pipeline!$S$20*Pipeline!$D$20*MIN(1,MAX(0,(83-Pipeline!$E$20+1)/MAX(Pipeline!$F$20,1)))+Pipeline!$S$21*Pipeline!$D$21*MIN(1,MAX(0,(83-Pipeline!$E$21+1)/MAX(Pipeline!$F$21,1)))+Pipeline!$S$22*Pipeline!$D$22*MIN(1,MAX(0,(83-Pipeline!$E$22+1)/MAX(Pipeline!$F$22,1)))</f>
        <v>1159.4925</v>
      </c>
      <c r="CH20" s="119" t="n">
        <f aca="false">Pipeline!$S$16*Pipeline!$D$16*MIN(1,MAX(0,(84-Pipeline!$E$16+1)/MAX(Pipeline!$F$16,1)))+Pipeline!$S$17*Pipeline!$D$17*MIN(1,MAX(0,(84-Pipeline!$E$17+1)/MAX(Pipeline!$F$17,1)))+Pipeline!$S$18*Pipeline!$D$18*MIN(1,MAX(0,(84-Pipeline!$E$18+1)/MAX(Pipeline!$F$18,1)))+Pipeline!$S$19*Pipeline!$D$19*MIN(1,MAX(0,(84-Pipeline!$E$19+1)/MAX(Pipeline!$F$19,1)))+Pipeline!$S$20*Pipeline!$D$20*MIN(1,MAX(0,(84-Pipeline!$E$20+1)/MAX(Pipeline!$F$20,1)))+Pipeline!$S$21*Pipeline!$D$21*MIN(1,MAX(0,(84-Pipeline!$E$21+1)/MAX(Pipeline!$F$21,1)))+Pipeline!$S$22*Pipeline!$D$22*MIN(1,MAX(0,(84-Pipeline!$E$22+1)/MAX(Pipeline!$F$22,1)))</f>
        <v>1159.4925</v>
      </c>
    </row>
    <row r="21" customFormat="false" ht="13.5" hidden="false" customHeight="true" outlineLevel="0" collapsed="false">
      <c r="A21" s="6" t="s">
        <v>529</v>
      </c>
      <c r="C21" s="120" t="n">
        <f aca="false">IF(C18=0,1,MIN(1,C8/C18))</f>
        <v>1</v>
      </c>
      <c r="D21" s="120" t="n">
        <f aca="false">IF(D18=0,1,MIN(1,D8/D18))</f>
        <v>1</v>
      </c>
      <c r="E21" s="120" t="n">
        <f aca="false">IF(E18=0,1,MIN(1,E8/E18))</f>
        <v>1</v>
      </c>
      <c r="F21" s="120" t="n">
        <f aca="false">IF(F18=0,1,MIN(1,F8/F18))</f>
        <v>1</v>
      </c>
      <c r="G21" s="120" t="n">
        <f aca="false">IF(G18=0,1,MIN(1,G8/G18))</f>
        <v>1</v>
      </c>
      <c r="H21" s="120" t="n">
        <f aca="false">IF(H18=0,1,MIN(1,H8/H18))</f>
        <v>1</v>
      </c>
      <c r="I21" s="120" t="n">
        <f aca="false">IF(I18=0,1,MIN(1,I8/I18))</f>
        <v>1</v>
      </c>
      <c r="J21" s="120" t="n">
        <f aca="false">IF(J18=0,1,MIN(1,J8/J18))</f>
        <v>1</v>
      </c>
      <c r="K21" s="120" t="n">
        <f aca="false">IF(K18=0,1,MIN(1,K8/K18))</f>
        <v>1</v>
      </c>
      <c r="L21" s="120" t="n">
        <f aca="false">IF(L18=0,1,MIN(1,L8/L18))</f>
        <v>1</v>
      </c>
      <c r="M21" s="120" t="n">
        <f aca="false">IF(M18=0,1,MIN(1,M8/M18))</f>
        <v>1</v>
      </c>
      <c r="N21" s="120" t="n">
        <f aca="false">IF(N18=0,1,MIN(1,N8/N18))</f>
        <v>1</v>
      </c>
      <c r="O21" s="120" t="n">
        <f aca="false">IF(O18=0,1,MIN(1,O8/O18))</f>
        <v>1</v>
      </c>
      <c r="P21" s="120" t="n">
        <f aca="false">IF(P18=0,1,MIN(1,P8/P18))</f>
        <v>1</v>
      </c>
      <c r="Q21" s="120" t="n">
        <f aca="false">IF(Q18=0,1,MIN(1,Q8/Q18))</f>
        <v>1</v>
      </c>
      <c r="R21" s="120" t="n">
        <f aca="false">IF(R18=0,1,MIN(1,R8/R18))</f>
        <v>1</v>
      </c>
      <c r="S21" s="120" t="n">
        <f aca="false">IF(S18=0,1,MIN(1,S8/S18))</f>
        <v>1</v>
      </c>
      <c r="T21" s="120" t="n">
        <f aca="false">IF(T18=0,1,MIN(1,T8/T18))</f>
        <v>1</v>
      </c>
      <c r="U21" s="120" t="n">
        <f aca="false">IF(U18=0,1,MIN(1,U8/U18))</f>
        <v>1</v>
      </c>
      <c r="V21" s="120" t="n">
        <f aca="false">IF(V18=0,1,MIN(1,V8/V18))</f>
        <v>1</v>
      </c>
      <c r="W21" s="120" t="n">
        <f aca="false">IF(W18=0,1,MIN(1,W8/W18))</f>
        <v>1</v>
      </c>
      <c r="X21" s="120" t="n">
        <f aca="false">IF(X18=0,1,MIN(1,X8/X18))</f>
        <v>1</v>
      </c>
      <c r="Y21" s="120" t="n">
        <f aca="false">IF(Y18=0,1,MIN(1,Y8/Y18))</f>
        <v>1</v>
      </c>
      <c r="Z21" s="120" t="n">
        <f aca="false">IF(Z18=0,1,MIN(1,Z8/Z18))</f>
        <v>1</v>
      </c>
      <c r="AA21" s="120" t="n">
        <f aca="false">IF(AA18=0,1,MIN(1,AA8/AA18))</f>
        <v>1</v>
      </c>
      <c r="AB21" s="120" t="n">
        <f aca="false">IF(AB18=0,1,MIN(1,AB8/AB18))</f>
        <v>1</v>
      </c>
      <c r="AC21" s="120" t="n">
        <f aca="false">IF(AC18=0,1,MIN(1,AC8/AC18))</f>
        <v>1</v>
      </c>
      <c r="AD21" s="120" t="n">
        <f aca="false">IF(AD18=0,1,MIN(1,AD8/AD18))</f>
        <v>1</v>
      </c>
      <c r="AE21" s="120" t="n">
        <f aca="false">IF(AE18=0,1,MIN(1,AE8/AE18))</f>
        <v>1</v>
      </c>
      <c r="AF21" s="120" t="n">
        <f aca="false">IF(AF18=0,1,MIN(1,AF8/AF18))</f>
        <v>1</v>
      </c>
      <c r="AG21" s="120" t="n">
        <f aca="false">IF(AG18=0,1,MIN(1,AG8/AG18))</f>
        <v>1</v>
      </c>
      <c r="AH21" s="120" t="n">
        <f aca="false">IF(AH18=0,1,MIN(1,AH8/AH18))</f>
        <v>1</v>
      </c>
      <c r="AI21" s="120" t="n">
        <f aca="false">IF(AI18=0,1,MIN(1,AI8/AI18))</f>
        <v>1</v>
      </c>
      <c r="AJ21" s="120" t="n">
        <f aca="false">IF(AJ18=0,1,MIN(1,AJ8/AJ18))</f>
        <v>1</v>
      </c>
      <c r="AK21" s="120" t="n">
        <f aca="false">IF(AK18=0,1,MIN(1,AK8/AK18))</f>
        <v>1</v>
      </c>
      <c r="AL21" s="120" t="n">
        <f aca="false">IF(AL18=0,1,MIN(1,AL8/AL18))</f>
        <v>1</v>
      </c>
      <c r="AM21" s="120" t="n">
        <f aca="false">IF(AM18=0,1,MIN(1,AM8/AM18))</f>
        <v>1</v>
      </c>
      <c r="AN21" s="120" t="n">
        <f aca="false">IF(AN18=0,1,MIN(1,AN8/AN18))</f>
        <v>1</v>
      </c>
      <c r="AO21" s="120" t="n">
        <f aca="false">IF(AO18=0,1,MIN(1,AO8/AO18))</f>
        <v>1</v>
      </c>
      <c r="AP21" s="120" t="n">
        <f aca="false">IF(AP18=0,1,MIN(1,AP8/AP18))</f>
        <v>1</v>
      </c>
      <c r="AQ21" s="120" t="n">
        <f aca="false">IF(AQ18=0,1,MIN(1,AQ8/AQ18))</f>
        <v>1</v>
      </c>
      <c r="AR21" s="120" t="n">
        <f aca="false">IF(AR18=0,1,MIN(1,AR8/AR18))</f>
        <v>1</v>
      </c>
      <c r="AS21" s="120" t="n">
        <f aca="false">IF(AS18=0,1,MIN(1,AS8/AS18))</f>
        <v>1</v>
      </c>
      <c r="AT21" s="120" t="n">
        <f aca="false">IF(AT18=0,1,MIN(1,AT8/AT18))</f>
        <v>1</v>
      </c>
      <c r="AU21" s="120" t="n">
        <f aca="false">IF(AU18=0,1,MIN(1,AU8/AU18))</f>
        <v>1</v>
      </c>
      <c r="AV21" s="120" t="n">
        <f aca="false">IF(AV18=0,1,MIN(1,AV8/AV18))</f>
        <v>1</v>
      </c>
      <c r="AW21" s="120" t="n">
        <f aca="false">IF(AW18=0,1,MIN(1,AW8/AW18))</f>
        <v>1</v>
      </c>
      <c r="AX21" s="120" t="n">
        <f aca="false">IF(AX18=0,1,MIN(1,AX8/AX18))</f>
        <v>1</v>
      </c>
      <c r="AY21" s="120" t="n">
        <f aca="false">IF(AY18=0,1,MIN(1,AY8/AY18))</f>
        <v>1</v>
      </c>
      <c r="AZ21" s="120" t="n">
        <f aca="false">IF(AZ18=0,1,MIN(1,AZ8/AZ18))</f>
        <v>1</v>
      </c>
      <c r="BA21" s="120" t="n">
        <f aca="false">IF(BA18=0,1,MIN(1,BA8/BA18))</f>
        <v>1</v>
      </c>
      <c r="BB21" s="120" t="n">
        <f aca="false">IF(BB18=0,1,MIN(1,BB8/BB18))</f>
        <v>1</v>
      </c>
      <c r="BC21" s="120" t="n">
        <f aca="false">IF(BC18=0,1,MIN(1,BC8/BC18))</f>
        <v>1</v>
      </c>
      <c r="BD21" s="120" t="n">
        <f aca="false">IF(BD18=0,1,MIN(1,BD8/BD18))</f>
        <v>1</v>
      </c>
      <c r="BE21" s="120" t="n">
        <f aca="false">IF(BE18=0,1,MIN(1,BE8/BE18))</f>
        <v>1</v>
      </c>
      <c r="BF21" s="120" t="n">
        <f aca="false">IF(BF18=0,1,MIN(1,BF8/BF18))</f>
        <v>1</v>
      </c>
      <c r="BG21" s="120" t="n">
        <f aca="false">IF(BG18=0,1,MIN(1,BG8/BG18))</f>
        <v>1</v>
      </c>
      <c r="BH21" s="120" t="n">
        <f aca="false">IF(BH18=0,1,MIN(1,BH8/BH18))</f>
        <v>1</v>
      </c>
      <c r="BI21" s="120" t="n">
        <f aca="false">IF(BI18=0,1,MIN(1,BI8/BI18))</f>
        <v>1</v>
      </c>
      <c r="BJ21" s="120" t="n">
        <f aca="false">IF(BJ18=0,1,MIN(1,BJ8/BJ18))</f>
        <v>1</v>
      </c>
      <c r="BK21" s="120" t="n">
        <f aca="false">IF(BK18=0,1,MIN(1,BK8/BK18))</f>
        <v>1</v>
      </c>
      <c r="BL21" s="120" t="n">
        <f aca="false">IF(BL18=0,1,MIN(1,BL8/BL18))</f>
        <v>1</v>
      </c>
      <c r="BM21" s="120" t="n">
        <f aca="false">IF(BM18=0,1,MIN(1,BM8/BM18))</f>
        <v>1</v>
      </c>
      <c r="BN21" s="120" t="n">
        <f aca="false">IF(BN18=0,1,MIN(1,BN8/BN18))</f>
        <v>1</v>
      </c>
      <c r="BO21" s="120" t="n">
        <f aca="false">IF(BO18=0,1,MIN(1,BO8/BO18))</f>
        <v>1</v>
      </c>
      <c r="BP21" s="120" t="n">
        <f aca="false">IF(BP18=0,1,MIN(1,BP8/BP18))</f>
        <v>1</v>
      </c>
      <c r="BQ21" s="120" t="n">
        <f aca="false">IF(BQ18=0,1,MIN(1,BQ8/BQ18))</f>
        <v>1</v>
      </c>
      <c r="BR21" s="120" t="n">
        <f aca="false">IF(BR18=0,1,MIN(1,BR8/BR18))</f>
        <v>1</v>
      </c>
      <c r="BS21" s="120" t="n">
        <f aca="false">IF(BS18=0,1,MIN(1,BS8/BS18))</f>
        <v>1</v>
      </c>
      <c r="BT21" s="120" t="n">
        <f aca="false">IF(BT18=0,1,MIN(1,BT8/BT18))</f>
        <v>1</v>
      </c>
      <c r="BU21" s="120" t="n">
        <f aca="false">IF(BU18=0,1,MIN(1,BU8/BU18))</f>
        <v>1</v>
      </c>
      <c r="BV21" s="120" t="n">
        <f aca="false">IF(BV18=0,1,MIN(1,BV8/BV18))</f>
        <v>1</v>
      </c>
      <c r="BW21" s="120" t="n">
        <f aca="false">IF(BW18=0,1,MIN(1,BW8/BW18))</f>
        <v>1</v>
      </c>
      <c r="BX21" s="120" t="n">
        <f aca="false">IF(BX18=0,1,MIN(1,BX8/BX18))</f>
        <v>1</v>
      </c>
      <c r="BY21" s="120" t="n">
        <f aca="false">IF(BY18=0,1,MIN(1,BY8/BY18))</f>
        <v>1</v>
      </c>
      <c r="BZ21" s="120" t="n">
        <f aca="false">IF(BZ18=0,1,MIN(1,BZ8/BZ18))</f>
        <v>1</v>
      </c>
      <c r="CA21" s="120" t="n">
        <f aca="false">IF(CA18=0,1,MIN(1,CA8/CA18))</f>
        <v>1</v>
      </c>
      <c r="CB21" s="120" t="n">
        <f aca="false">IF(CB18=0,1,MIN(1,CB8/CB18))</f>
        <v>1</v>
      </c>
      <c r="CC21" s="120" t="n">
        <f aca="false">IF(CC18=0,1,MIN(1,CC8/CC18))</f>
        <v>1</v>
      </c>
      <c r="CD21" s="120" t="n">
        <f aca="false">IF(CD18=0,1,MIN(1,CD8/CD18))</f>
        <v>1</v>
      </c>
      <c r="CE21" s="120" t="n">
        <f aca="false">IF(CE18=0,1,MIN(1,CE8/CE18))</f>
        <v>1</v>
      </c>
      <c r="CF21" s="120" t="n">
        <f aca="false">IF(CF18=0,1,MIN(1,CF8/CF18))</f>
        <v>1</v>
      </c>
      <c r="CG21" s="120" t="n">
        <f aca="false">IF(CG18=0,1,MIN(1,CG8/CG18))</f>
        <v>1</v>
      </c>
      <c r="CH21" s="120" t="n">
        <f aca="false">IF(CH18=0,1,MIN(1,CH8/CH18))</f>
        <v>1</v>
      </c>
    </row>
    <row r="22" customFormat="false" ht="13.5" hidden="false" customHeight="true" outlineLevel="0" collapsed="false">
      <c r="A22" s="6" t="s">
        <v>530</v>
      </c>
      <c r="C22" s="120" t="n">
        <f aca="false">MIN(Hipótesis!$E$32,Hipótesis!$E$31+(Hipótesis!$E$32-Hipótesis!$E$31)*MAX(0,1-Hipótesis!$E$29)/Hipótesis!$E$33)</f>
        <v>0</v>
      </c>
      <c r="D22" s="120" t="n">
        <f aca="false">MIN(Hipótesis!$E$32,Hipótesis!$E$31+(Hipótesis!$E$32-Hipótesis!$E$31)*MAX(0,2-Hipótesis!$E$29)/Hipótesis!$E$33)</f>
        <v>0</v>
      </c>
      <c r="E22" s="120" t="n">
        <f aca="false">MIN(Hipótesis!$E$32,Hipótesis!$E$31+(Hipótesis!$E$32-Hipótesis!$E$31)*MAX(0,3-Hipótesis!$E$29)/Hipótesis!$E$33)</f>
        <v>0</v>
      </c>
      <c r="F22" s="120" t="n">
        <f aca="false">MIN(Hipótesis!$E$32,Hipótesis!$E$31+(Hipótesis!$E$32-Hipótesis!$E$31)*MAX(0,4-Hipótesis!$E$29)/Hipótesis!$E$33)</f>
        <v>0</v>
      </c>
      <c r="G22" s="120" t="n">
        <f aca="false">MIN(Hipótesis!$E$32,Hipótesis!$E$31+(Hipótesis!$E$32-Hipótesis!$E$31)*MAX(0,5-Hipótesis!$E$29)/Hipótesis!$E$33)</f>
        <v>0</v>
      </c>
      <c r="H22" s="120" t="n">
        <f aca="false">MIN(Hipótesis!$E$32,Hipótesis!$E$31+(Hipótesis!$E$32-Hipótesis!$E$31)*MAX(0,6-Hipótesis!$E$29)/Hipótesis!$E$33)</f>
        <v>0</v>
      </c>
      <c r="I22" s="120" t="n">
        <f aca="false">MIN(Hipótesis!$E$32,Hipótesis!$E$31+(Hipótesis!$E$32-Hipótesis!$E$31)*MAX(0,7-Hipótesis!$E$29)/Hipótesis!$E$33)</f>
        <v>0.0152777777777778</v>
      </c>
      <c r="J22" s="120" t="n">
        <f aca="false">MIN(Hipótesis!$E$32,Hipótesis!$E$31+(Hipótesis!$E$32-Hipótesis!$E$31)*MAX(0,8-Hipótesis!$E$29)/Hipótesis!$E$33)</f>
        <v>0.0305555555555556</v>
      </c>
      <c r="K22" s="120" t="n">
        <f aca="false">MIN(Hipótesis!$E$32,Hipótesis!$E$31+(Hipótesis!$E$32-Hipótesis!$E$31)*MAX(0,9-Hipótesis!$E$29)/Hipótesis!$E$33)</f>
        <v>0.0458333333333333</v>
      </c>
      <c r="L22" s="120" t="n">
        <f aca="false">MIN(Hipótesis!$E$32,Hipótesis!$E$31+(Hipótesis!$E$32-Hipótesis!$E$31)*MAX(0,10-Hipótesis!$E$29)/Hipótesis!$E$33)</f>
        <v>0.0611111111111111</v>
      </c>
      <c r="M22" s="120" t="n">
        <f aca="false">MIN(Hipótesis!$E$32,Hipótesis!$E$31+(Hipótesis!$E$32-Hipótesis!$E$31)*MAX(0,11-Hipótesis!$E$29)/Hipótesis!$E$33)</f>
        <v>0.0763888888888889</v>
      </c>
      <c r="N22" s="120" t="n">
        <f aca="false">MIN(Hipótesis!$E$32,Hipótesis!$E$31+(Hipótesis!$E$32-Hipótesis!$E$31)*MAX(0,12-Hipótesis!$E$29)/Hipótesis!$E$33)</f>
        <v>0.0916666666666667</v>
      </c>
      <c r="O22" s="120" t="n">
        <f aca="false">MIN(Hipótesis!$E$32,Hipótesis!$E$31+(Hipótesis!$E$32-Hipótesis!$E$31)*MAX(0,13-Hipótesis!$E$29)/Hipótesis!$E$33)</f>
        <v>0.106944444444444</v>
      </c>
      <c r="P22" s="120" t="n">
        <f aca="false">MIN(Hipótesis!$E$32,Hipótesis!$E$31+(Hipótesis!$E$32-Hipótesis!$E$31)*MAX(0,14-Hipótesis!$E$29)/Hipótesis!$E$33)</f>
        <v>0.122222222222222</v>
      </c>
      <c r="Q22" s="120" t="n">
        <f aca="false">MIN(Hipótesis!$E$32,Hipótesis!$E$31+(Hipótesis!$E$32-Hipótesis!$E$31)*MAX(0,15-Hipótesis!$E$29)/Hipótesis!$E$33)</f>
        <v>0.1375</v>
      </c>
      <c r="R22" s="120" t="n">
        <f aca="false">MIN(Hipótesis!$E$32,Hipótesis!$E$31+(Hipótesis!$E$32-Hipótesis!$E$31)*MAX(0,16-Hipótesis!$E$29)/Hipótesis!$E$33)</f>
        <v>0.152777777777778</v>
      </c>
      <c r="S22" s="120" t="n">
        <f aca="false">MIN(Hipótesis!$E$32,Hipótesis!$E$31+(Hipótesis!$E$32-Hipótesis!$E$31)*MAX(0,17-Hipótesis!$E$29)/Hipótesis!$E$33)</f>
        <v>0.168055555555556</v>
      </c>
      <c r="T22" s="120" t="n">
        <f aca="false">MIN(Hipótesis!$E$32,Hipótesis!$E$31+(Hipótesis!$E$32-Hipótesis!$E$31)*MAX(0,18-Hipótesis!$E$29)/Hipótesis!$E$33)</f>
        <v>0.183333333333333</v>
      </c>
      <c r="U22" s="120" t="n">
        <f aca="false">MIN(Hipótesis!$E$32,Hipótesis!$E$31+(Hipótesis!$E$32-Hipótesis!$E$31)*MAX(0,19-Hipótesis!$E$29)/Hipótesis!$E$33)</f>
        <v>0.198611111111111</v>
      </c>
      <c r="V22" s="120" t="n">
        <f aca="false">MIN(Hipótesis!$E$32,Hipótesis!$E$31+(Hipótesis!$E$32-Hipótesis!$E$31)*MAX(0,20-Hipótesis!$E$29)/Hipótesis!$E$33)</f>
        <v>0.213888888888889</v>
      </c>
      <c r="W22" s="120" t="n">
        <f aca="false">MIN(Hipótesis!$E$32,Hipótesis!$E$31+(Hipótesis!$E$32-Hipótesis!$E$31)*MAX(0,21-Hipótesis!$E$29)/Hipótesis!$E$33)</f>
        <v>0.229166666666667</v>
      </c>
      <c r="X22" s="120" t="n">
        <f aca="false">MIN(Hipótesis!$E$32,Hipótesis!$E$31+(Hipótesis!$E$32-Hipótesis!$E$31)*MAX(0,22-Hipótesis!$E$29)/Hipótesis!$E$33)</f>
        <v>0.244444444444444</v>
      </c>
      <c r="Y22" s="120" t="n">
        <f aca="false">MIN(Hipótesis!$E$32,Hipótesis!$E$31+(Hipótesis!$E$32-Hipótesis!$E$31)*MAX(0,23-Hipótesis!$E$29)/Hipótesis!$E$33)</f>
        <v>0.259722222222222</v>
      </c>
      <c r="Z22" s="120" t="n">
        <f aca="false">MIN(Hipótesis!$E$32,Hipótesis!$E$31+(Hipótesis!$E$32-Hipótesis!$E$31)*MAX(0,24-Hipótesis!$E$29)/Hipótesis!$E$33)</f>
        <v>0.275</v>
      </c>
      <c r="AA22" s="120" t="n">
        <f aca="false">MIN(Hipótesis!$E$32,Hipótesis!$E$31+(Hipótesis!$E$32-Hipótesis!$E$31)*MAX(0,25-Hipótesis!$E$29)/Hipótesis!$E$33)</f>
        <v>0.290277777777778</v>
      </c>
      <c r="AB22" s="120" t="n">
        <f aca="false">MIN(Hipótesis!$E$32,Hipótesis!$E$31+(Hipótesis!$E$32-Hipótesis!$E$31)*MAX(0,26-Hipótesis!$E$29)/Hipótesis!$E$33)</f>
        <v>0.305555555555556</v>
      </c>
      <c r="AC22" s="120" t="n">
        <f aca="false">MIN(Hipótesis!$E$32,Hipótesis!$E$31+(Hipótesis!$E$32-Hipótesis!$E$31)*MAX(0,27-Hipótesis!$E$29)/Hipótesis!$E$33)</f>
        <v>0.320833333333333</v>
      </c>
      <c r="AD22" s="120" t="n">
        <f aca="false">MIN(Hipótesis!$E$32,Hipótesis!$E$31+(Hipótesis!$E$32-Hipótesis!$E$31)*MAX(0,28-Hipótesis!$E$29)/Hipótesis!$E$33)</f>
        <v>0.336111111111111</v>
      </c>
      <c r="AE22" s="120" t="n">
        <f aca="false">MIN(Hipótesis!$E$32,Hipótesis!$E$31+(Hipótesis!$E$32-Hipótesis!$E$31)*MAX(0,29-Hipótesis!$E$29)/Hipótesis!$E$33)</f>
        <v>0.351388888888889</v>
      </c>
      <c r="AF22" s="120" t="n">
        <f aca="false">MIN(Hipótesis!$E$32,Hipótesis!$E$31+(Hipótesis!$E$32-Hipótesis!$E$31)*MAX(0,30-Hipótesis!$E$29)/Hipótesis!$E$33)</f>
        <v>0.366666666666667</v>
      </c>
      <c r="AG22" s="120" t="n">
        <f aca="false">MIN(Hipótesis!$E$32,Hipótesis!$E$31+(Hipótesis!$E$32-Hipótesis!$E$31)*MAX(0,31-Hipótesis!$E$29)/Hipótesis!$E$33)</f>
        <v>0.381944444444445</v>
      </c>
      <c r="AH22" s="120" t="n">
        <f aca="false">MIN(Hipótesis!$E$32,Hipótesis!$E$31+(Hipótesis!$E$32-Hipótesis!$E$31)*MAX(0,32-Hipótesis!$E$29)/Hipótesis!$E$33)</f>
        <v>0.397222222222222</v>
      </c>
      <c r="AI22" s="120" t="n">
        <f aca="false">MIN(Hipótesis!$E$32,Hipótesis!$E$31+(Hipótesis!$E$32-Hipótesis!$E$31)*MAX(0,33-Hipótesis!$E$29)/Hipótesis!$E$33)</f>
        <v>0.4125</v>
      </c>
      <c r="AJ22" s="120" t="n">
        <f aca="false">MIN(Hipótesis!$E$32,Hipótesis!$E$31+(Hipótesis!$E$32-Hipótesis!$E$31)*MAX(0,34-Hipótesis!$E$29)/Hipótesis!$E$33)</f>
        <v>0.427777777777778</v>
      </c>
      <c r="AK22" s="120" t="n">
        <f aca="false">MIN(Hipótesis!$E$32,Hipótesis!$E$31+(Hipótesis!$E$32-Hipótesis!$E$31)*MAX(0,35-Hipótesis!$E$29)/Hipótesis!$E$33)</f>
        <v>0.443055555555556</v>
      </c>
      <c r="AL22" s="120" t="n">
        <f aca="false">MIN(Hipótesis!$E$32,Hipótesis!$E$31+(Hipótesis!$E$32-Hipótesis!$E$31)*MAX(0,36-Hipótesis!$E$29)/Hipótesis!$E$33)</f>
        <v>0.458333333333333</v>
      </c>
      <c r="AM22" s="120" t="n">
        <f aca="false">MIN(Hipótesis!$E$32,Hipótesis!$E$31+(Hipótesis!$E$32-Hipótesis!$E$31)*MAX(0,37-Hipótesis!$E$29)/Hipótesis!$E$33)</f>
        <v>0.473611111111111</v>
      </c>
      <c r="AN22" s="120" t="n">
        <f aca="false">MIN(Hipótesis!$E$32,Hipótesis!$E$31+(Hipótesis!$E$32-Hipótesis!$E$31)*MAX(0,38-Hipótesis!$E$29)/Hipótesis!$E$33)</f>
        <v>0.488888888888889</v>
      </c>
      <c r="AO22" s="120" t="n">
        <f aca="false">MIN(Hipótesis!$E$32,Hipótesis!$E$31+(Hipótesis!$E$32-Hipótesis!$E$31)*MAX(0,39-Hipótesis!$E$29)/Hipótesis!$E$33)</f>
        <v>0.504166666666667</v>
      </c>
      <c r="AP22" s="120" t="n">
        <f aca="false">MIN(Hipótesis!$E$32,Hipótesis!$E$31+(Hipótesis!$E$32-Hipótesis!$E$31)*MAX(0,40-Hipótesis!$E$29)/Hipótesis!$E$33)</f>
        <v>0.519444444444445</v>
      </c>
      <c r="AQ22" s="120" t="n">
        <f aca="false">MIN(Hipótesis!$E$32,Hipótesis!$E$31+(Hipótesis!$E$32-Hipótesis!$E$31)*MAX(0,41-Hipótesis!$E$29)/Hipótesis!$E$33)</f>
        <v>0.534722222222222</v>
      </c>
      <c r="AR22" s="120" t="n">
        <f aca="false">MIN(Hipótesis!$E$32,Hipótesis!$E$31+(Hipótesis!$E$32-Hipótesis!$E$31)*MAX(0,42-Hipótesis!$E$29)/Hipótesis!$E$33)</f>
        <v>0.55</v>
      </c>
      <c r="AS22" s="120" t="n">
        <f aca="false">MIN(Hipótesis!$E$32,Hipótesis!$E$31+(Hipótesis!$E$32-Hipótesis!$E$31)*MAX(0,43-Hipótesis!$E$29)/Hipótesis!$E$33)</f>
        <v>0.55</v>
      </c>
      <c r="AT22" s="120" t="n">
        <f aca="false">MIN(Hipótesis!$E$32,Hipótesis!$E$31+(Hipótesis!$E$32-Hipótesis!$E$31)*MAX(0,44-Hipótesis!$E$29)/Hipótesis!$E$33)</f>
        <v>0.55</v>
      </c>
      <c r="AU22" s="120" t="n">
        <f aca="false">MIN(Hipótesis!$E$32,Hipótesis!$E$31+(Hipótesis!$E$32-Hipótesis!$E$31)*MAX(0,45-Hipótesis!$E$29)/Hipótesis!$E$33)</f>
        <v>0.55</v>
      </c>
      <c r="AV22" s="120" t="n">
        <f aca="false">MIN(Hipótesis!$E$32,Hipótesis!$E$31+(Hipótesis!$E$32-Hipótesis!$E$31)*MAX(0,46-Hipótesis!$E$29)/Hipótesis!$E$33)</f>
        <v>0.55</v>
      </c>
      <c r="AW22" s="120" t="n">
        <f aca="false">MIN(Hipótesis!$E$32,Hipótesis!$E$31+(Hipótesis!$E$32-Hipótesis!$E$31)*MAX(0,47-Hipótesis!$E$29)/Hipótesis!$E$33)</f>
        <v>0.55</v>
      </c>
      <c r="AX22" s="120" t="n">
        <f aca="false">MIN(Hipótesis!$E$32,Hipótesis!$E$31+(Hipótesis!$E$32-Hipótesis!$E$31)*MAX(0,48-Hipótesis!$E$29)/Hipótesis!$E$33)</f>
        <v>0.55</v>
      </c>
      <c r="AY22" s="120" t="n">
        <f aca="false">MIN(Hipótesis!$E$32,Hipótesis!$E$31+(Hipótesis!$E$32-Hipótesis!$E$31)*MAX(0,49-Hipótesis!$E$29)/Hipótesis!$E$33)</f>
        <v>0.55</v>
      </c>
      <c r="AZ22" s="120" t="n">
        <f aca="false">MIN(Hipótesis!$E$32,Hipótesis!$E$31+(Hipótesis!$E$32-Hipótesis!$E$31)*MAX(0,50-Hipótesis!$E$29)/Hipótesis!$E$33)</f>
        <v>0.55</v>
      </c>
      <c r="BA22" s="120" t="n">
        <f aca="false">MIN(Hipótesis!$E$32,Hipótesis!$E$31+(Hipótesis!$E$32-Hipótesis!$E$31)*MAX(0,51-Hipótesis!$E$29)/Hipótesis!$E$33)</f>
        <v>0.55</v>
      </c>
      <c r="BB22" s="120" t="n">
        <f aca="false">MIN(Hipótesis!$E$32,Hipótesis!$E$31+(Hipótesis!$E$32-Hipótesis!$E$31)*MAX(0,52-Hipótesis!$E$29)/Hipótesis!$E$33)</f>
        <v>0.55</v>
      </c>
      <c r="BC22" s="120" t="n">
        <f aca="false">MIN(Hipótesis!$E$32,Hipótesis!$E$31+(Hipótesis!$E$32-Hipótesis!$E$31)*MAX(0,53-Hipótesis!$E$29)/Hipótesis!$E$33)</f>
        <v>0.55</v>
      </c>
      <c r="BD22" s="120" t="n">
        <f aca="false">MIN(Hipótesis!$E$32,Hipótesis!$E$31+(Hipótesis!$E$32-Hipótesis!$E$31)*MAX(0,54-Hipótesis!$E$29)/Hipótesis!$E$33)</f>
        <v>0.55</v>
      </c>
      <c r="BE22" s="120" t="n">
        <f aca="false">MIN(Hipótesis!$E$32,Hipótesis!$E$31+(Hipótesis!$E$32-Hipótesis!$E$31)*MAX(0,55-Hipótesis!$E$29)/Hipótesis!$E$33)</f>
        <v>0.55</v>
      </c>
      <c r="BF22" s="120" t="n">
        <f aca="false">MIN(Hipótesis!$E$32,Hipótesis!$E$31+(Hipótesis!$E$32-Hipótesis!$E$31)*MAX(0,56-Hipótesis!$E$29)/Hipótesis!$E$33)</f>
        <v>0.55</v>
      </c>
      <c r="BG22" s="120" t="n">
        <f aca="false">MIN(Hipótesis!$E$32,Hipótesis!$E$31+(Hipótesis!$E$32-Hipótesis!$E$31)*MAX(0,57-Hipótesis!$E$29)/Hipótesis!$E$33)</f>
        <v>0.55</v>
      </c>
      <c r="BH22" s="120" t="n">
        <f aca="false">MIN(Hipótesis!$E$32,Hipótesis!$E$31+(Hipótesis!$E$32-Hipótesis!$E$31)*MAX(0,58-Hipótesis!$E$29)/Hipótesis!$E$33)</f>
        <v>0.55</v>
      </c>
      <c r="BI22" s="120" t="n">
        <f aca="false">MIN(Hipótesis!$E$32,Hipótesis!$E$31+(Hipótesis!$E$32-Hipótesis!$E$31)*MAX(0,59-Hipótesis!$E$29)/Hipótesis!$E$33)</f>
        <v>0.55</v>
      </c>
      <c r="BJ22" s="120" t="n">
        <f aca="false">MIN(Hipótesis!$E$32,Hipótesis!$E$31+(Hipótesis!$E$32-Hipótesis!$E$31)*MAX(0,60-Hipótesis!$E$29)/Hipótesis!$E$33)</f>
        <v>0.55</v>
      </c>
      <c r="BK22" s="120" t="n">
        <f aca="false">MIN(Hipótesis!$E$32,Hipótesis!$E$31+(Hipótesis!$E$32-Hipótesis!$E$31)*MAX(0,61-Hipótesis!$E$29)/Hipótesis!$E$33)</f>
        <v>0.55</v>
      </c>
      <c r="BL22" s="120" t="n">
        <f aca="false">MIN(Hipótesis!$E$32,Hipótesis!$E$31+(Hipótesis!$E$32-Hipótesis!$E$31)*MAX(0,62-Hipótesis!$E$29)/Hipótesis!$E$33)</f>
        <v>0.55</v>
      </c>
      <c r="BM22" s="120" t="n">
        <f aca="false">MIN(Hipótesis!$E$32,Hipótesis!$E$31+(Hipótesis!$E$32-Hipótesis!$E$31)*MAX(0,63-Hipótesis!$E$29)/Hipótesis!$E$33)</f>
        <v>0.55</v>
      </c>
      <c r="BN22" s="120" t="n">
        <f aca="false">MIN(Hipótesis!$E$32,Hipótesis!$E$31+(Hipótesis!$E$32-Hipótesis!$E$31)*MAX(0,64-Hipótesis!$E$29)/Hipótesis!$E$33)</f>
        <v>0.55</v>
      </c>
      <c r="BO22" s="120" t="n">
        <f aca="false">MIN(Hipótesis!$E$32,Hipótesis!$E$31+(Hipótesis!$E$32-Hipótesis!$E$31)*MAX(0,65-Hipótesis!$E$29)/Hipótesis!$E$33)</f>
        <v>0.55</v>
      </c>
      <c r="BP22" s="120" t="n">
        <f aca="false">MIN(Hipótesis!$E$32,Hipótesis!$E$31+(Hipótesis!$E$32-Hipótesis!$E$31)*MAX(0,66-Hipótesis!$E$29)/Hipótesis!$E$33)</f>
        <v>0.55</v>
      </c>
      <c r="BQ22" s="120" t="n">
        <f aca="false">MIN(Hipótesis!$E$32,Hipótesis!$E$31+(Hipótesis!$E$32-Hipótesis!$E$31)*MAX(0,67-Hipótesis!$E$29)/Hipótesis!$E$33)</f>
        <v>0.55</v>
      </c>
      <c r="BR22" s="120" t="n">
        <f aca="false">MIN(Hipótesis!$E$32,Hipótesis!$E$31+(Hipótesis!$E$32-Hipótesis!$E$31)*MAX(0,68-Hipótesis!$E$29)/Hipótesis!$E$33)</f>
        <v>0.55</v>
      </c>
      <c r="BS22" s="120" t="n">
        <f aca="false">MIN(Hipótesis!$E$32,Hipótesis!$E$31+(Hipótesis!$E$32-Hipótesis!$E$31)*MAX(0,69-Hipótesis!$E$29)/Hipótesis!$E$33)</f>
        <v>0.55</v>
      </c>
      <c r="BT22" s="120" t="n">
        <f aca="false">MIN(Hipótesis!$E$32,Hipótesis!$E$31+(Hipótesis!$E$32-Hipótesis!$E$31)*MAX(0,70-Hipótesis!$E$29)/Hipótesis!$E$33)</f>
        <v>0.55</v>
      </c>
      <c r="BU22" s="120" t="n">
        <f aca="false">MIN(Hipótesis!$E$32,Hipótesis!$E$31+(Hipótesis!$E$32-Hipótesis!$E$31)*MAX(0,71-Hipótesis!$E$29)/Hipótesis!$E$33)</f>
        <v>0.55</v>
      </c>
      <c r="BV22" s="120" t="n">
        <f aca="false">MIN(Hipótesis!$E$32,Hipótesis!$E$31+(Hipótesis!$E$32-Hipótesis!$E$31)*MAX(0,72-Hipótesis!$E$29)/Hipótesis!$E$33)</f>
        <v>0.55</v>
      </c>
      <c r="BW22" s="120" t="n">
        <f aca="false">MIN(Hipótesis!$E$32,Hipótesis!$E$31+(Hipótesis!$E$32-Hipótesis!$E$31)*MAX(0,73-Hipótesis!$E$29)/Hipótesis!$E$33)</f>
        <v>0.55</v>
      </c>
      <c r="BX22" s="120" t="n">
        <f aca="false">MIN(Hipótesis!$E$32,Hipótesis!$E$31+(Hipótesis!$E$32-Hipótesis!$E$31)*MAX(0,74-Hipótesis!$E$29)/Hipótesis!$E$33)</f>
        <v>0.55</v>
      </c>
      <c r="BY22" s="120" t="n">
        <f aca="false">MIN(Hipótesis!$E$32,Hipótesis!$E$31+(Hipótesis!$E$32-Hipótesis!$E$31)*MAX(0,75-Hipótesis!$E$29)/Hipótesis!$E$33)</f>
        <v>0.55</v>
      </c>
      <c r="BZ22" s="120" t="n">
        <f aca="false">MIN(Hipótesis!$E$32,Hipótesis!$E$31+(Hipótesis!$E$32-Hipótesis!$E$31)*MAX(0,76-Hipótesis!$E$29)/Hipótesis!$E$33)</f>
        <v>0.55</v>
      </c>
      <c r="CA22" s="120" t="n">
        <f aca="false">MIN(Hipótesis!$E$32,Hipótesis!$E$31+(Hipótesis!$E$32-Hipótesis!$E$31)*MAX(0,77-Hipótesis!$E$29)/Hipótesis!$E$33)</f>
        <v>0.55</v>
      </c>
      <c r="CB22" s="120" t="n">
        <f aca="false">MIN(Hipótesis!$E$32,Hipótesis!$E$31+(Hipótesis!$E$32-Hipótesis!$E$31)*MAX(0,78-Hipótesis!$E$29)/Hipótesis!$E$33)</f>
        <v>0.55</v>
      </c>
      <c r="CC22" s="120" t="n">
        <f aca="false">MIN(Hipótesis!$E$32,Hipótesis!$E$31+(Hipótesis!$E$32-Hipótesis!$E$31)*MAX(0,79-Hipótesis!$E$29)/Hipótesis!$E$33)</f>
        <v>0.55</v>
      </c>
      <c r="CD22" s="120" t="n">
        <f aca="false">MIN(Hipótesis!$E$32,Hipótesis!$E$31+(Hipótesis!$E$32-Hipótesis!$E$31)*MAX(0,80-Hipótesis!$E$29)/Hipótesis!$E$33)</f>
        <v>0.55</v>
      </c>
      <c r="CE22" s="120" t="n">
        <f aca="false">MIN(Hipótesis!$E$32,Hipótesis!$E$31+(Hipótesis!$E$32-Hipótesis!$E$31)*MAX(0,81-Hipótesis!$E$29)/Hipótesis!$E$33)</f>
        <v>0.55</v>
      </c>
      <c r="CF22" s="120" t="n">
        <f aca="false">MIN(Hipótesis!$E$32,Hipótesis!$E$31+(Hipótesis!$E$32-Hipótesis!$E$31)*MAX(0,82-Hipótesis!$E$29)/Hipótesis!$E$33)</f>
        <v>0.55</v>
      </c>
      <c r="CG22" s="120" t="n">
        <f aca="false">MIN(Hipótesis!$E$32,Hipótesis!$E$31+(Hipótesis!$E$32-Hipótesis!$E$31)*MAX(0,83-Hipótesis!$E$29)/Hipótesis!$E$33)</f>
        <v>0.55</v>
      </c>
      <c r="CH22" s="120" t="n">
        <f aca="false">MIN(Hipótesis!$E$32,Hipótesis!$E$31+(Hipótesis!$E$32-Hipótesis!$E$31)*MAX(0,84-Hipótesis!$E$29)/Hipótesis!$E$33)</f>
        <v>0.55</v>
      </c>
    </row>
    <row r="23" customFormat="false" ht="13.5" hidden="false" customHeight="true" outlineLevel="0" collapsed="false">
      <c r="A23" s="6" t="s">
        <v>531</v>
      </c>
      <c r="C23" s="110" t="n">
        <f aca="false">MAX(0,MIN(C8*C22,C8-C18*C21))</f>
        <v>0</v>
      </c>
      <c r="D23" s="110" t="n">
        <f aca="false">MAX(0,MIN(D8*D22,D8-D18*D21))</f>
        <v>0</v>
      </c>
      <c r="E23" s="110" t="n">
        <f aca="false">MAX(0,MIN(E8*E22,E8-E18*E21))</f>
        <v>0</v>
      </c>
      <c r="F23" s="110" t="n">
        <f aca="false">MAX(0,MIN(F8*F22,F8-F18*F21))</f>
        <v>0</v>
      </c>
      <c r="G23" s="110" t="n">
        <f aca="false">MAX(0,MIN(G8*G22,G8-G18*G21))</f>
        <v>0</v>
      </c>
      <c r="H23" s="110" t="n">
        <f aca="false">MAX(0,MIN(H8*H22,H8-H18*H21))</f>
        <v>0</v>
      </c>
      <c r="I23" s="110" t="n">
        <f aca="false">MAX(0,MIN(I8*I22,I8-I18*I21))</f>
        <v>44</v>
      </c>
      <c r="J23" s="110" t="n">
        <f aca="false">MAX(0,MIN(J8*J22,J8-J18*J21))</f>
        <v>88</v>
      </c>
      <c r="K23" s="110" t="n">
        <f aca="false">MAX(0,MIN(K8*K22,K8-K18*K21))</f>
        <v>132</v>
      </c>
      <c r="L23" s="110" t="n">
        <f aca="false">MAX(0,MIN(L8*L22,L8-L18*L21))</f>
        <v>176</v>
      </c>
      <c r="M23" s="110" t="n">
        <f aca="false">MAX(0,MIN(M8*M22,M8-M18*M21))</f>
        <v>220</v>
      </c>
      <c r="N23" s="110" t="n">
        <f aca="false">MAX(0,MIN(N8*N22,N8-N18*N21))</f>
        <v>264</v>
      </c>
      <c r="O23" s="110" t="n">
        <f aca="false">MAX(0,MIN(O8*O22,O8-O18*O21))</f>
        <v>308</v>
      </c>
      <c r="P23" s="110" t="n">
        <f aca="false">MAX(0,MIN(P8*P22,P8-P18*P21))</f>
        <v>352</v>
      </c>
      <c r="Q23" s="110" t="n">
        <f aca="false">MAX(0,MIN(Q8*Q22,Q8-Q18*Q21))</f>
        <v>396</v>
      </c>
      <c r="R23" s="110" t="n">
        <f aca="false">MAX(0,MIN(R8*R22,R8-R18*R21))</f>
        <v>440</v>
      </c>
      <c r="S23" s="110" t="n">
        <f aca="false">MAX(0,MIN(S8*S22,S8-S18*S21))</f>
        <v>484</v>
      </c>
      <c r="T23" s="110" t="n">
        <f aca="false">MAX(0,MIN(T8*T22,T8-T18*T21))</f>
        <v>528</v>
      </c>
      <c r="U23" s="110" t="n">
        <f aca="false">MAX(0,MIN(U8*U22,U8-U18*U21))</f>
        <v>572</v>
      </c>
      <c r="V23" s="110" t="n">
        <f aca="false">MAX(0,MIN(V8*V22,V8-V18*V21))</f>
        <v>616</v>
      </c>
      <c r="W23" s="110" t="n">
        <f aca="false">MAX(0,MIN(W8*W22,W8-W18*W21))</f>
        <v>660</v>
      </c>
      <c r="X23" s="110" t="n">
        <f aca="false">MAX(0,MIN(X8*X22,X8-X18*X21))</f>
        <v>704</v>
      </c>
      <c r="Y23" s="110" t="n">
        <f aca="false">MAX(0,MIN(Y8*Y22,Y8-Y18*Y21))</f>
        <v>748</v>
      </c>
      <c r="Z23" s="110" t="n">
        <f aca="false">MAX(0,MIN(Z8*Z22,Z8-Z18*Z21))</f>
        <v>792</v>
      </c>
      <c r="AA23" s="110" t="n">
        <f aca="false">MAX(0,MIN(AA8*AA22,AA8-AA18*AA21))</f>
        <v>836</v>
      </c>
      <c r="AB23" s="110" t="n">
        <f aca="false">MAX(0,MIN(AB8*AB22,AB8-AB18*AB21))</f>
        <v>880</v>
      </c>
      <c r="AC23" s="110" t="n">
        <f aca="false">MAX(0,MIN(AC8*AC22,AC8-AC18*AC21))</f>
        <v>924</v>
      </c>
      <c r="AD23" s="110" t="n">
        <f aca="false">MAX(0,MIN(AD8*AD22,AD8-AD18*AD21))</f>
        <v>968</v>
      </c>
      <c r="AE23" s="110" t="n">
        <f aca="false">MAX(0,MIN(AE8*AE22,AE8-AE18*AE21))</f>
        <v>1012</v>
      </c>
      <c r="AF23" s="110" t="n">
        <f aca="false">MAX(0,MIN(AF8*AF22,AF8-AF18*AF21))</f>
        <v>1056</v>
      </c>
      <c r="AG23" s="110" t="n">
        <f aca="false">MAX(0,MIN(AG8*AG22,AG8-AG18*AG21))</f>
        <v>1100</v>
      </c>
      <c r="AH23" s="110" t="n">
        <f aca="false">MAX(0,MIN(AH8*AH22,AH8-AH18*AH21))</f>
        <v>1144</v>
      </c>
      <c r="AI23" s="110" t="n">
        <f aca="false">MAX(0,MIN(AI8*AI22,AI8-AI18*AI21))</f>
        <v>1188</v>
      </c>
      <c r="AJ23" s="110" t="n">
        <f aca="false">MAX(0,MIN(AJ8*AJ22,AJ8-AJ18*AJ21))</f>
        <v>1232</v>
      </c>
      <c r="AK23" s="110" t="n">
        <f aca="false">MAX(0,MIN(AK8*AK22,AK8-AK18*AK21))</f>
        <v>1276</v>
      </c>
      <c r="AL23" s="110" t="n">
        <f aca="false">MAX(0,MIN(AL8*AL22,AL8-AL18*AL21))</f>
        <v>1320</v>
      </c>
      <c r="AM23" s="110" t="n">
        <f aca="false">MAX(0,MIN(AM8*AM22,AM8-AM18*AM21))</f>
        <v>1364</v>
      </c>
      <c r="AN23" s="110" t="n">
        <f aca="false">MAX(0,MIN(AN8*AN22,AN8-AN18*AN21))</f>
        <v>1408</v>
      </c>
      <c r="AO23" s="110" t="n">
        <f aca="false">MAX(0,MIN(AO8*AO22,AO8-AO18*AO21))</f>
        <v>1452</v>
      </c>
      <c r="AP23" s="110" t="n">
        <f aca="false">MAX(0,MIN(AP8*AP22,AP8-AP18*AP21))</f>
        <v>1496</v>
      </c>
      <c r="AQ23" s="110" t="n">
        <f aca="false">MAX(0,MIN(AQ8*AQ22,AQ8-AQ18*AQ21))</f>
        <v>1540</v>
      </c>
      <c r="AR23" s="110" t="n">
        <f aca="false">MAX(0,MIN(AR8*AR22,AR8-AR18*AR21))</f>
        <v>1584</v>
      </c>
      <c r="AS23" s="110" t="n">
        <f aca="false">MAX(0,MIN(AS8*AS22,AS8-AS18*AS21))</f>
        <v>1584</v>
      </c>
      <c r="AT23" s="110" t="n">
        <f aca="false">MAX(0,MIN(AT8*AT22,AT8-AT18*AT21))</f>
        <v>1584</v>
      </c>
      <c r="AU23" s="110" t="n">
        <f aca="false">MAX(0,MIN(AU8*AU22,AU8-AU18*AU21))</f>
        <v>1584</v>
      </c>
      <c r="AV23" s="110" t="n">
        <f aca="false">MAX(0,MIN(AV8*AV22,AV8-AV18*AV21))</f>
        <v>1584</v>
      </c>
      <c r="AW23" s="110" t="n">
        <f aca="false">MAX(0,MIN(AW8*AW22,AW8-AW18*AW21))</f>
        <v>1584</v>
      </c>
      <c r="AX23" s="110" t="n">
        <f aca="false">MAX(0,MIN(AX8*AX22,AX8-AX18*AX21))</f>
        <v>1584</v>
      </c>
      <c r="AY23" s="110" t="n">
        <f aca="false">MAX(0,MIN(AY8*AY22,AY8-AY18*AY21))</f>
        <v>1584</v>
      </c>
      <c r="AZ23" s="110" t="n">
        <f aca="false">MAX(0,MIN(AZ8*AZ22,AZ8-AZ18*AZ21))</f>
        <v>1584</v>
      </c>
      <c r="BA23" s="110" t="n">
        <f aca="false">MAX(0,MIN(BA8*BA22,BA8-BA18*BA21))</f>
        <v>1584</v>
      </c>
      <c r="BB23" s="110" t="n">
        <f aca="false">MAX(0,MIN(BB8*BB22,BB8-BB18*BB21))</f>
        <v>1584</v>
      </c>
      <c r="BC23" s="110" t="n">
        <f aca="false">MAX(0,MIN(BC8*BC22,BC8-BC18*BC21))</f>
        <v>1584</v>
      </c>
      <c r="BD23" s="110" t="n">
        <f aca="false">MAX(0,MIN(BD8*BD22,BD8-BD18*BD21))</f>
        <v>1584</v>
      </c>
      <c r="BE23" s="110" t="n">
        <f aca="false">MAX(0,MIN(BE8*BE22,BE8-BE18*BE21))</f>
        <v>1584</v>
      </c>
      <c r="BF23" s="110" t="n">
        <f aca="false">MAX(0,MIN(BF8*BF22,BF8-BF18*BF21))</f>
        <v>1584</v>
      </c>
      <c r="BG23" s="110" t="n">
        <f aca="false">MAX(0,MIN(BG8*BG22,BG8-BG18*BG21))</f>
        <v>1584</v>
      </c>
      <c r="BH23" s="110" t="n">
        <f aca="false">MAX(0,MIN(BH8*BH22,BH8-BH18*BH21))</f>
        <v>1584</v>
      </c>
      <c r="BI23" s="110" t="n">
        <f aca="false">MAX(0,MIN(BI8*BI22,BI8-BI18*BI21))</f>
        <v>1584</v>
      </c>
      <c r="BJ23" s="110" t="n">
        <f aca="false">MAX(0,MIN(BJ8*BJ22,BJ8-BJ18*BJ21))</f>
        <v>1584</v>
      </c>
      <c r="BK23" s="110" t="n">
        <f aca="false">MAX(0,MIN(BK8*BK22,BK8-BK18*BK21))</f>
        <v>1584</v>
      </c>
      <c r="BL23" s="110" t="n">
        <f aca="false">MAX(0,MIN(BL8*BL22,BL8-BL18*BL21))</f>
        <v>1584</v>
      </c>
      <c r="BM23" s="110" t="n">
        <f aca="false">MAX(0,MIN(BM8*BM22,BM8-BM18*BM21))</f>
        <v>1584</v>
      </c>
      <c r="BN23" s="110" t="n">
        <f aca="false">MAX(0,MIN(BN8*BN22,BN8-BN18*BN21))</f>
        <v>1584</v>
      </c>
      <c r="BO23" s="110" t="n">
        <f aca="false">MAX(0,MIN(BO8*BO22,BO8-BO18*BO21))</f>
        <v>1584</v>
      </c>
      <c r="BP23" s="110" t="n">
        <f aca="false">MAX(0,MIN(BP8*BP22,BP8-BP18*BP21))</f>
        <v>1584</v>
      </c>
      <c r="BQ23" s="110" t="n">
        <f aca="false">MAX(0,MIN(BQ8*BQ22,BQ8-BQ18*BQ21))</f>
        <v>1584</v>
      </c>
      <c r="BR23" s="110" t="n">
        <f aca="false">MAX(0,MIN(BR8*BR22,BR8-BR18*BR21))</f>
        <v>1584</v>
      </c>
      <c r="BS23" s="110" t="n">
        <f aca="false">MAX(0,MIN(BS8*BS22,BS8-BS18*BS21))</f>
        <v>1584</v>
      </c>
      <c r="BT23" s="110" t="n">
        <f aca="false">MAX(0,MIN(BT8*BT22,BT8-BT18*BT21))</f>
        <v>1584</v>
      </c>
      <c r="BU23" s="110" t="n">
        <f aca="false">MAX(0,MIN(BU8*BU22,BU8-BU18*BU21))</f>
        <v>1584</v>
      </c>
      <c r="BV23" s="110" t="n">
        <f aca="false">MAX(0,MIN(BV8*BV22,BV8-BV18*BV21))</f>
        <v>1584</v>
      </c>
      <c r="BW23" s="110" t="n">
        <f aca="false">MAX(0,MIN(BW8*BW22,BW8-BW18*BW21))</f>
        <v>1584</v>
      </c>
      <c r="BX23" s="110" t="n">
        <f aca="false">MAX(0,MIN(BX8*BX22,BX8-BX18*BX21))</f>
        <v>1584</v>
      </c>
      <c r="BY23" s="110" t="n">
        <f aca="false">MAX(0,MIN(BY8*BY22,BY8-BY18*BY21))</f>
        <v>1584</v>
      </c>
      <c r="BZ23" s="110" t="n">
        <f aca="false">MAX(0,MIN(BZ8*BZ22,BZ8-BZ18*BZ21))</f>
        <v>1584</v>
      </c>
      <c r="CA23" s="110" t="n">
        <f aca="false">MAX(0,MIN(CA8*CA22,CA8-CA18*CA21))</f>
        <v>1584</v>
      </c>
      <c r="CB23" s="110" t="n">
        <f aca="false">MAX(0,MIN(CB8*CB22,CB8-CB18*CB21))</f>
        <v>1584</v>
      </c>
      <c r="CC23" s="110" t="n">
        <f aca="false">MAX(0,MIN(CC8*CC22,CC8-CC18*CC21))</f>
        <v>1584</v>
      </c>
      <c r="CD23" s="110" t="n">
        <f aca="false">MAX(0,MIN(CD8*CD22,CD8-CD18*CD21))</f>
        <v>1584</v>
      </c>
      <c r="CE23" s="110" t="n">
        <f aca="false">MAX(0,MIN(CE8*CE22,CE8-CE18*CE21))</f>
        <v>1584</v>
      </c>
      <c r="CF23" s="110" t="n">
        <f aca="false">MAX(0,MIN(CF8*CF22,CF8-CF18*CF21))</f>
        <v>1584</v>
      </c>
      <c r="CG23" s="110" t="n">
        <f aca="false">MAX(0,MIN(CG8*CG22,CG8-CG18*CG21))</f>
        <v>1584</v>
      </c>
      <c r="CH23" s="110" t="n">
        <f aca="false">MAX(0,MIN(CH8*CH22,CH8-CH18*CH21))</f>
        <v>1584</v>
      </c>
    </row>
    <row r="24" customFormat="false" ht="13.5" hidden="false" customHeight="true" outlineLevel="0" collapsed="false">
      <c r="A24" s="22" t="s">
        <v>532</v>
      </c>
      <c r="C24" s="110" t="n">
        <f aca="false">C18*C21+C23</f>
        <v>37.9565537402983</v>
      </c>
      <c r="D24" s="110" t="n">
        <f aca="false">D18*D21+D23</f>
        <v>77.674792393481</v>
      </c>
      <c r="E24" s="110" t="n">
        <f aca="false">E18*E21+E23</f>
        <v>146.637318030558</v>
      </c>
      <c r="F24" s="110" t="n">
        <f aca="false">F18*F21+F23</f>
        <v>177.643289927336</v>
      </c>
      <c r="G24" s="110" t="n">
        <f aca="false">G18*G21+G23</f>
        <v>206.88757691123</v>
      </c>
      <c r="H24" s="110" t="n">
        <f aca="false">H18*H21+H23</f>
        <v>256.317836855259</v>
      </c>
      <c r="I24" s="110" t="n">
        <f aca="false">I18*I21+I23</f>
        <v>349.748096799287</v>
      </c>
      <c r="J24" s="110" t="n">
        <f aca="false">J18*J21+J23</f>
        <v>443.178356743315</v>
      </c>
      <c r="K24" s="110" t="n">
        <f aca="false">K18*K21+K23</f>
        <v>536.608616687343</v>
      </c>
      <c r="L24" s="110" t="n">
        <f aca="false">L18*L21+L23</f>
        <v>630.038876631371</v>
      </c>
      <c r="M24" s="110" t="n">
        <f aca="false">M18*M21+M23</f>
        <v>694.224849591506</v>
      </c>
      <c r="N24" s="110" t="n">
        <f aca="false">N18*N21+N23</f>
        <v>787.77223776638</v>
      </c>
      <c r="O24" s="110" t="n">
        <f aca="false">O18*O21+O23</f>
        <v>881.319625941255</v>
      </c>
      <c r="P24" s="110" t="n">
        <f aca="false">P18*P21+P23</f>
        <v>966.425607241892</v>
      </c>
      <c r="Q24" s="110" t="n">
        <f aca="false">Q18*Q21+Q23</f>
        <v>1051.53158854253</v>
      </c>
      <c r="R24" s="110" t="n">
        <f aca="false">R18*R21+R23</f>
        <v>1136.63756984317</v>
      </c>
      <c r="S24" s="110" t="n">
        <f aca="false">S18*S21+S23</f>
        <v>1221.7435511438</v>
      </c>
      <c r="T24" s="110" t="n">
        <f aca="false">T18*T21+T23</f>
        <v>1306.84953244444</v>
      </c>
      <c r="U24" s="110" t="n">
        <f aca="false">U18*U21+U23</f>
        <v>1391.95551374508</v>
      </c>
      <c r="V24" s="110" t="n">
        <f aca="false">V18*V21+V23</f>
        <v>1477.06149504571</v>
      </c>
      <c r="W24" s="110" t="n">
        <f aca="false">W18*W21+W23</f>
        <v>1562.16747634635</v>
      </c>
      <c r="X24" s="110" t="n">
        <f aca="false">X18*X21+X23</f>
        <v>1617.91204243225</v>
      </c>
      <c r="Y24" s="110" t="n">
        <f aca="false">Y18*Y21+Y23</f>
        <v>1673.65660851814</v>
      </c>
      <c r="Z24" s="110" t="n">
        <f aca="false">Z18*Z21+Z23</f>
        <v>1717.65660851814</v>
      </c>
      <c r="AA24" s="110" t="n">
        <f aca="false">AA18*AA21+AA23</f>
        <v>1761.65660851814</v>
      </c>
      <c r="AB24" s="110" t="n">
        <f aca="false">AB18*AB21+AB23</f>
        <v>1805.65660851814</v>
      </c>
      <c r="AC24" s="110" t="n">
        <f aca="false">AC18*AC21+AC23</f>
        <v>1849.65660851814</v>
      </c>
      <c r="AD24" s="110" t="n">
        <f aca="false">AD18*AD21+AD23</f>
        <v>1893.65660851814</v>
      </c>
      <c r="AE24" s="110" t="n">
        <f aca="false">AE18*AE21+AE23</f>
        <v>1937.65660851814</v>
      </c>
      <c r="AF24" s="110" t="n">
        <f aca="false">AF18*AF21+AF23</f>
        <v>1981.65660851814</v>
      </c>
      <c r="AG24" s="110" t="n">
        <f aca="false">AG18*AG21+AG23</f>
        <v>2025.65660851814</v>
      </c>
      <c r="AH24" s="110" t="n">
        <f aca="false">AH18*AH21+AH23</f>
        <v>2069.65660851814</v>
      </c>
      <c r="AI24" s="110" t="n">
        <f aca="false">AI18*AI21+AI23</f>
        <v>2113.65660851814</v>
      </c>
      <c r="AJ24" s="110" t="n">
        <f aca="false">AJ18*AJ21+AJ23</f>
        <v>2157.65660851814</v>
      </c>
      <c r="AK24" s="110" t="n">
        <f aca="false">AK18*AK21+AK23</f>
        <v>2201.65660851814</v>
      </c>
      <c r="AL24" s="110" t="n">
        <f aca="false">AL18*AL21+AL23</f>
        <v>2245.65660851814</v>
      </c>
      <c r="AM24" s="110" t="n">
        <f aca="false">AM18*AM21+AM23</f>
        <v>2289.65660851814</v>
      </c>
      <c r="AN24" s="110" t="n">
        <f aca="false">AN18*AN21+AN23</f>
        <v>2333.65660851814</v>
      </c>
      <c r="AO24" s="110" t="n">
        <f aca="false">AO18*AO21+AO23</f>
        <v>2377.65660851814</v>
      </c>
      <c r="AP24" s="110" t="n">
        <f aca="false">AP18*AP21+AP23</f>
        <v>2421.65660851814</v>
      </c>
      <c r="AQ24" s="110" t="n">
        <f aca="false">AQ18*AQ21+AQ23</f>
        <v>2465.65660851814</v>
      </c>
      <c r="AR24" s="110" t="n">
        <f aca="false">AR18*AR21+AR23</f>
        <v>2509.65660851814</v>
      </c>
      <c r="AS24" s="110" t="n">
        <f aca="false">AS18*AS21+AS23</f>
        <v>2509.65660851814</v>
      </c>
      <c r="AT24" s="110" t="n">
        <f aca="false">AT18*AT21+AT23</f>
        <v>2509.65660851814</v>
      </c>
      <c r="AU24" s="110" t="n">
        <f aca="false">AU18*AU21+AU23</f>
        <v>2509.65660851814</v>
      </c>
      <c r="AV24" s="110" t="n">
        <f aca="false">AV18*AV21+AV23</f>
        <v>2509.65660851814</v>
      </c>
      <c r="AW24" s="110" t="n">
        <f aca="false">AW18*AW21+AW23</f>
        <v>2509.65660851814</v>
      </c>
      <c r="AX24" s="110" t="n">
        <f aca="false">AX18*AX21+AX23</f>
        <v>2509.65660851814</v>
      </c>
      <c r="AY24" s="110" t="n">
        <f aca="false">AY18*AY21+AY23</f>
        <v>2509.65660851814</v>
      </c>
      <c r="AZ24" s="110" t="n">
        <f aca="false">AZ18*AZ21+AZ23</f>
        <v>2509.65660851814</v>
      </c>
      <c r="BA24" s="110" t="n">
        <f aca="false">BA18*BA21+BA23</f>
        <v>2509.65660851814</v>
      </c>
      <c r="BB24" s="110" t="n">
        <f aca="false">BB18*BB21+BB23</f>
        <v>2509.65660851814</v>
      </c>
      <c r="BC24" s="110" t="n">
        <f aca="false">BC18*BC21+BC23</f>
        <v>2509.65660851814</v>
      </c>
      <c r="BD24" s="110" t="n">
        <f aca="false">BD18*BD21+BD23</f>
        <v>2509.65660851814</v>
      </c>
      <c r="BE24" s="110" t="n">
        <f aca="false">BE18*BE21+BE23</f>
        <v>2509.65660851814</v>
      </c>
      <c r="BF24" s="110" t="n">
        <f aca="false">BF18*BF21+BF23</f>
        <v>2509.65660851814</v>
      </c>
      <c r="BG24" s="110" t="n">
        <f aca="false">BG18*BG21+BG23</f>
        <v>2509.65660851814</v>
      </c>
      <c r="BH24" s="110" t="n">
        <f aca="false">BH18*BH21+BH23</f>
        <v>2509.65660851814</v>
      </c>
      <c r="BI24" s="110" t="n">
        <f aca="false">BI18*BI21+BI23</f>
        <v>2509.65660851814</v>
      </c>
      <c r="BJ24" s="110" t="n">
        <f aca="false">BJ18*BJ21+BJ23</f>
        <v>2509.65660851814</v>
      </c>
      <c r="BK24" s="110" t="n">
        <f aca="false">BK18*BK21+BK23</f>
        <v>2509.65660851814</v>
      </c>
      <c r="BL24" s="110" t="n">
        <f aca="false">BL18*BL21+BL23</f>
        <v>2509.65660851814</v>
      </c>
      <c r="BM24" s="110" t="n">
        <f aca="false">BM18*BM21+BM23</f>
        <v>2509.65660851814</v>
      </c>
      <c r="BN24" s="110" t="n">
        <f aca="false">BN18*BN21+BN23</f>
        <v>2509.65660851814</v>
      </c>
      <c r="BO24" s="110" t="n">
        <f aca="false">BO18*BO21+BO23</f>
        <v>2509.65660851814</v>
      </c>
      <c r="BP24" s="110" t="n">
        <f aca="false">BP18*BP21+BP23</f>
        <v>2509.65660851814</v>
      </c>
      <c r="BQ24" s="110" t="n">
        <f aca="false">BQ18*BQ21+BQ23</f>
        <v>2509.65660851814</v>
      </c>
      <c r="BR24" s="110" t="n">
        <f aca="false">BR18*BR21+BR23</f>
        <v>2509.65660851814</v>
      </c>
      <c r="BS24" s="110" t="n">
        <f aca="false">BS18*BS21+BS23</f>
        <v>2509.65660851814</v>
      </c>
      <c r="BT24" s="110" t="n">
        <f aca="false">BT18*BT21+BT23</f>
        <v>2509.65660851814</v>
      </c>
      <c r="BU24" s="110" t="n">
        <f aca="false">BU18*BU21+BU23</f>
        <v>2509.65660851814</v>
      </c>
      <c r="BV24" s="110" t="n">
        <f aca="false">BV18*BV21+BV23</f>
        <v>2509.65660851814</v>
      </c>
      <c r="BW24" s="110" t="n">
        <f aca="false">BW18*BW21+BW23</f>
        <v>2509.65660851814</v>
      </c>
      <c r="BX24" s="110" t="n">
        <f aca="false">BX18*BX21+BX23</f>
        <v>2509.65660851814</v>
      </c>
      <c r="BY24" s="110" t="n">
        <f aca="false">BY18*BY21+BY23</f>
        <v>2509.65660851814</v>
      </c>
      <c r="BZ24" s="110" t="n">
        <f aca="false">BZ18*BZ21+BZ23</f>
        <v>2509.65660851814</v>
      </c>
      <c r="CA24" s="110" t="n">
        <f aca="false">CA18*CA21+CA23</f>
        <v>2509.65660851814</v>
      </c>
      <c r="CB24" s="110" t="n">
        <f aca="false">CB18*CB21+CB23</f>
        <v>2509.65660851814</v>
      </c>
      <c r="CC24" s="110" t="n">
        <f aca="false">CC18*CC21+CC23</f>
        <v>2509.65660851814</v>
      </c>
      <c r="CD24" s="110" t="n">
        <f aca="false">CD18*CD21+CD23</f>
        <v>2509.65660851814</v>
      </c>
      <c r="CE24" s="110" t="n">
        <f aca="false">CE18*CE21+CE23</f>
        <v>2509.65660851814</v>
      </c>
      <c r="CF24" s="110" t="n">
        <f aca="false">CF18*CF21+CF23</f>
        <v>2509.65660851814</v>
      </c>
      <c r="CG24" s="110" t="n">
        <f aca="false">CG18*CG21+CG23</f>
        <v>2509.65660851814</v>
      </c>
      <c r="CH24" s="110" t="n">
        <f aca="false">CH18*CH21+CH23</f>
        <v>2509.65660851814</v>
      </c>
    </row>
    <row r="25" customFormat="false" ht="13.5" hidden="false" customHeight="true" outlineLevel="0" collapsed="false">
      <c r="A25" s="6" t="s">
        <v>533</v>
      </c>
      <c r="C25" s="120" t="n">
        <f aca="false">IFERROR(C24/C8,0)</f>
        <v>0.0395380768128107</v>
      </c>
      <c r="D25" s="120" t="n">
        <f aca="false">IFERROR(D24/D8,0)</f>
        <v>0.0539408280510285</v>
      </c>
      <c r="E25" s="120" t="n">
        <f aca="false">IFERROR(E24/E8,0)</f>
        <v>0.0763736031409155</v>
      </c>
      <c r="F25" s="120" t="n">
        <f aca="false">IFERROR(F24/F8,0)</f>
        <v>0.0740180374697235</v>
      </c>
      <c r="G25" s="120" t="n">
        <f aca="false">IFERROR(G24/G8,0)</f>
        <v>0.0718359642052883</v>
      </c>
      <c r="H25" s="120" t="n">
        <f aca="false">IFERROR(H24/H8,0)</f>
        <v>0.0889992489080759</v>
      </c>
      <c r="I25" s="120" t="n">
        <f aca="false">IFERROR(I24/I8,0)</f>
        <v>0.121440311388641</v>
      </c>
      <c r="J25" s="120" t="n">
        <f aca="false">IFERROR(J24/J8,0)</f>
        <v>0.153881373869207</v>
      </c>
      <c r="K25" s="120" t="n">
        <f aca="false">IFERROR(K24/K8,0)</f>
        <v>0.186322436349772</v>
      </c>
      <c r="L25" s="120" t="n">
        <f aca="false">IFERROR(L24/L8,0)</f>
        <v>0.218763498830337</v>
      </c>
      <c r="M25" s="120" t="n">
        <f aca="false">IFERROR(M24/M8,0)</f>
        <v>0.241050294997051</v>
      </c>
      <c r="N25" s="120" t="n">
        <f aca="false">IFERROR(N24/N8,0)</f>
        <v>0.273532027002215</v>
      </c>
      <c r="O25" s="120" t="n">
        <f aca="false">IFERROR(O24/O8,0)</f>
        <v>0.30601375900738</v>
      </c>
      <c r="P25" s="120" t="n">
        <f aca="false">IFERROR(P24/P8,0)</f>
        <v>0.33556444695899</v>
      </c>
      <c r="Q25" s="120" t="n">
        <f aca="false">IFERROR(Q24/Q8,0)</f>
        <v>0.3651151349106</v>
      </c>
      <c r="R25" s="120" t="n">
        <f aca="false">IFERROR(R24/R8,0)</f>
        <v>0.39466582286221</v>
      </c>
      <c r="S25" s="120" t="n">
        <f aca="false">IFERROR(S24/S8,0)</f>
        <v>0.42421651081382</v>
      </c>
      <c r="T25" s="120" t="n">
        <f aca="false">IFERROR(T24/T8,0)</f>
        <v>0.45376719876543</v>
      </c>
      <c r="U25" s="120" t="n">
        <f aca="false">IFERROR(U24/U8,0)</f>
        <v>0.48331788671704</v>
      </c>
      <c r="V25" s="120" t="n">
        <f aca="false">IFERROR(V24/V8,0)</f>
        <v>0.51286857466865</v>
      </c>
      <c r="W25" s="120" t="n">
        <f aca="false">IFERROR(W24/W8,0)</f>
        <v>0.54241926262026</v>
      </c>
      <c r="X25" s="120" t="n">
        <f aca="false">IFERROR(X24/X8,0)</f>
        <v>0.561775014733419</v>
      </c>
      <c r="Y25" s="120" t="n">
        <f aca="false">IFERROR(Y24/Y8,0)</f>
        <v>0.581130766846577</v>
      </c>
      <c r="Z25" s="120" t="n">
        <f aca="false">IFERROR(Z24/Z8,0)</f>
        <v>0.596408544624355</v>
      </c>
      <c r="AA25" s="120" t="n">
        <f aca="false">IFERROR(AA24/AA8,0)</f>
        <v>0.611686322402133</v>
      </c>
      <c r="AB25" s="120" t="n">
        <f aca="false">IFERROR(AB24/AB8,0)</f>
        <v>0.62696410017991</v>
      </c>
      <c r="AC25" s="120" t="n">
        <f aca="false">IFERROR(AC24/AC8,0)</f>
        <v>0.642241877957688</v>
      </c>
      <c r="AD25" s="120" t="n">
        <f aca="false">IFERROR(AD24/AD8,0)</f>
        <v>0.657519655735466</v>
      </c>
      <c r="AE25" s="120" t="n">
        <f aca="false">IFERROR(AE24/AE8,0)</f>
        <v>0.672797433513244</v>
      </c>
      <c r="AF25" s="120" t="n">
        <f aca="false">IFERROR(AF24/AF8,0)</f>
        <v>0.688075211291021</v>
      </c>
      <c r="AG25" s="120" t="n">
        <f aca="false">IFERROR(AG24/AG8,0)</f>
        <v>0.703352989068799</v>
      </c>
      <c r="AH25" s="120" t="n">
        <f aca="false">IFERROR(AH24/AH8,0)</f>
        <v>0.718630766846577</v>
      </c>
      <c r="AI25" s="120" t="n">
        <f aca="false">IFERROR(AI24/AI8,0)</f>
        <v>0.733908544624355</v>
      </c>
      <c r="AJ25" s="120" t="n">
        <f aca="false">IFERROR(AJ24/AJ8,0)</f>
        <v>0.749186322402133</v>
      </c>
      <c r="AK25" s="120" t="n">
        <f aca="false">IFERROR(AK24/AK8,0)</f>
        <v>0.76446410017991</v>
      </c>
      <c r="AL25" s="120" t="n">
        <f aca="false">IFERROR(AL24/AL8,0)</f>
        <v>0.779741877957688</v>
      </c>
      <c r="AM25" s="120" t="n">
        <f aca="false">IFERROR(AM24/AM8,0)</f>
        <v>0.795019655735466</v>
      </c>
      <c r="AN25" s="120" t="n">
        <f aca="false">IFERROR(AN24/AN8,0)</f>
        <v>0.810297433513244</v>
      </c>
      <c r="AO25" s="120" t="n">
        <f aca="false">IFERROR(AO24/AO8,0)</f>
        <v>0.825575211291022</v>
      </c>
      <c r="AP25" s="120" t="n">
        <f aca="false">IFERROR(AP24/AP8,0)</f>
        <v>0.840852989068799</v>
      </c>
      <c r="AQ25" s="120" t="n">
        <f aca="false">IFERROR(AQ24/AQ8,0)</f>
        <v>0.856130766846577</v>
      </c>
      <c r="AR25" s="120" t="n">
        <f aca="false">IFERROR(AR24/AR8,0)</f>
        <v>0.871408544624355</v>
      </c>
      <c r="AS25" s="120" t="n">
        <f aca="false">IFERROR(AS24/AS8,0)</f>
        <v>0.871408544624355</v>
      </c>
      <c r="AT25" s="120" t="n">
        <f aca="false">IFERROR(AT24/AT8,0)</f>
        <v>0.871408544624355</v>
      </c>
      <c r="AU25" s="120" t="n">
        <f aca="false">IFERROR(AU24/AU8,0)</f>
        <v>0.871408544624355</v>
      </c>
      <c r="AV25" s="120" t="n">
        <f aca="false">IFERROR(AV24/AV8,0)</f>
        <v>0.871408544624355</v>
      </c>
      <c r="AW25" s="120" t="n">
        <f aca="false">IFERROR(AW24/AW8,0)</f>
        <v>0.871408544624355</v>
      </c>
      <c r="AX25" s="120" t="n">
        <f aca="false">IFERROR(AX24/AX8,0)</f>
        <v>0.871408544624355</v>
      </c>
      <c r="AY25" s="120" t="n">
        <f aca="false">IFERROR(AY24/AY8,0)</f>
        <v>0.871408544624355</v>
      </c>
      <c r="AZ25" s="120" t="n">
        <f aca="false">IFERROR(AZ24/AZ8,0)</f>
        <v>0.871408544624355</v>
      </c>
      <c r="BA25" s="120" t="n">
        <f aca="false">IFERROR(BA24/BA8,0)</f>
        <v>0.871408544624355</v>
      </c>
      <c r="BB25" s="120" t="n">
        <f aca="false">IFERROR(BB24/BB8,0)</f>
        <v>0.871408544624355</v>
      </c>
      <c r="BC25" s="120" t="n">
        <f aca="false">IFERROR(BC24/BC8,0)</f>
        <v>0.871408544624355</v>
      </c>
      <c r="BD25" s="120" t="n">
        <f aca="false">IFERROR(BD24/BD8,0)</f>
        <v>0.871408544624355</v>
      </c>
      <c r="BE25" s="120" t="n">
        <f aca="false">IFERROR(BE24/BE8,0)</f>
        <v>0.871408544624355</v>
      </c>
      <c r="BF25" s="120" t="n">
        <f aca="false">IFERROR(BF24/BF8,0)</f>
        <v>0.871408544624355</v>
      </c>
      <c r="BG25" s="120" t="n">
        <f aca="false">IFERROR(BG24/BG8,0)</f>
        <v>0.871408544624355</v>
      </c>
      <c r="BH25" s="120" t="n">
        <f aca="false">IFERROR(BH24/BH8,0)</f>
        <v>0.871408544624355</v>
      </c>
      <c r="BI25" s="120" t="n">
        <f aca="false">IFERROR(BI24/BI8,0)</f>
        <v>0.871408544624355</v>
      </c>
      <c r="BJ25" s="120" t="n">
        <f aca="false">IFERROR(BJ24/BJ8,0)</f>
        <v>0.871408544624355</v>
      </c>
      <c r="BK25" s="120" t="n">
        <f aca="false">IFERROR(BK24/BK8,0)</f>
        <v>0.871408544624355</v>
      </c>
      <c r="BL25" s="120" t="n">
        <f aca="false">IFERROR(BL24/BL8,0)</f>
        <v>0.871408544624355</v>
      </c>
      <c r="BM25" s="120" t="n">
        <f aca="false">IFERROR(BM24/BM8,0)</f>
        <v>0.871408544624355</v>
      </c>
      <c r="BN25" s="120" t="n">
        <f aca="false">IFERROR(BN24/BN8,0)</f>
        <v>0.871408544624355</v>
      </c>
      <c r="BO25" s="120" t="n">
        <f aca="false">IFERROR(BO24/BO8,0)</f>
        <v>0.871408544624355</v>
      </c>
      <c r="BP25" s="120" t="n">
        <f aca="false">IFERROR(BP24/BP8,0)</f>
        <v>0.871408544624355</v>
      </c>
      <c r="BQ25" s="120" t="n">
        <f aca="false">IFERROR(BQ24/BQ8,0)</f>
        <v>0.871408544624355</v>
      </c>
      <c r="BR25" s="120" t="n">
        <f aca="false">IFERROR(BR24/BR8,0)</f>
        <v>0.871408544624355</v>
      </c>
      <c r="BS25" s="120" t="n">
        <f aca="false">IFERROR(BS24/BS8,0)</f>
        <v>0.871408544624355</v>
      </c>
      <c r="BT25" s="120" t="n">
        <f aca="false">IFERROR(BT24/BT8,0)</f>
        <v>0.871408544624355</v>
      </c>
      <c r="BU25" s="120" t="n">
        <f aca="false">IFERROR(BU24/BU8,0)</f>
        <v>0.871408544624355</v>
      </c>
      <c r="BV25" s="120" t="n">
        <f aca="false">IFERROR(BV24/BV8,0)</f>
        <v>0.871408544624355</v>
      </c>
      <c r="BW25" s="120" t="n">
        <f aca="false">IFERROR(BW24/BW8,0)</f>
        <v>0.871408544624355</v>
      </c>
      <c r="BX25" s="120" t="n">
        <f aca="false">IFERROR(BX24/BX8,0)</f>
        <v>0.871408544624355</v>
      </c>
      <c r="BY25" s="120" t="n">
        <f aca="false">IFERROR(BY24/BY8,0)</f>
        <v>0.871408544624355</v>
      </c>
      <c r="BZ25" s="120" t="n">
        <f aca="false">IFERROR(BZ24/BZ8,0)</f>
        <v>0.871408544624355</v>
      </c>
      <c r="CA25" s="120" t="n">
        <f aca="false">IFERROR(CA24/CA8,0)</f>
        <v>0.871408544624355</v>
      </c>
      <c r="CB25" s="120" t="n">
        <f aca="false">IFERROR(CB24/CB8,0)</f>
        <v>0.871408544624355</v>
      </c>
      <c r="CC25" s="120" t="n">
        <f aca="false">IFERROR(CC24/CC8,0)</f>
        <v>0.871408544624355</v>
      </c>
      <c r="CD25" s="120" t="n">
        <f aca="false">IFERROR(CD24/CD8,0)</f>
        <v>0.871408544624355</v>
      </c>
      <c r="CE25" s="120" t="n">
        <f aca="false">IFERROR(CE24/CE8,0)</f>
        <v>0.871408544624355</v>
      </c>
      <c r="CF25" s="120" t="n">
        <f aca="false">IFERROR(CF24/CF8,0)</f>
        <v>0.871408544624355</v>
      </c>
      <c r="CG25" s="120" t="n">
        <f aca="false">IFERROR(CG24/CG8,0)</f>
        <v>0.871408544624355</v>
      </c>
      <c r="CH25" s="120" t="n">
        <f aca="false">IFERROR(CH24/CH8,0)</f>
        <v>0.871408544624355</v>
      </c>
    </row>
    <row r="26" customFormat="false" ht="13.5" hidden="false" customHeight="true" outlineLevel="0" collapsed="false">
      <c r="A26" s="6" t="s">
        <v>262</v>
      </c>
      <c r="C26" s="110" t="n">
        <f aca="false">C20*C21+C23*Hipótesis!$E$23</f>
        <v>12.3975</v>
      </c>
      <c r="D26" s="110" t="n">
        <f aca="false">D20*D21+D23*Hipótesis!$E$23</f>
        <v>27.405</v>
      </c>
      <c r="E26" s="110" t="n">
        <f aca="false">E20*E21+E23*Hipótesis!$E$23</f>
        <v>75.69</v>
      </c>
      <c r="F26" s="110" t="n">
        <f aca="false">F20*F21+F23*Hipótesis!$E$23</f>
        <v>111.5775</v>
      </c>
      <c r="G26" s="110" t="n">
        <f aca="false">G20*G21+G23*Hipótesis!$E$23</f>
        <v>144.855</v>
      </c>
      <c r="H26" s="110" t="n">
        <f aca="false">H20*H21+H23*Hipótesis!$E$23</f>
        <v>208.03875</v>
      </c>
      <c r="I26" s="110" t="n">
        <f aca="false">I20*I21+I23*Hipótesis!$E$23</f>
        <v>328.917015165405</v>
      </c>
      <c r="J26" s="110" t="n">
        <f aca="false">J20*J21+J23*Hipótesis!$E$23</f>
        <v>449.795280330811</v>
      </c>
      <c r="K26" s="110" t="n">
        <f aca="false">K20*K21+K23*Hipótesis!$E$23</f>
        <v>570.673545496216</v>
      </c>
      <c r="L26" s="110" t="n">
        <f aca="false">L20*L21+L23*Hipótesis!$E$23</f>
        <v>691.551810661622</v>
      </c>
      <c r="M26" s="110" t="n">
        <f aca="false">M20*M21+M23*Hipótesis!$E$23</f>
        <v>779.152575827027</v>
      </c>
      <c r="N26" s="110" t="n">
        <f aca="false">N20*N21+N23*Hipótesis!$E$23</f>
        <v>910.253340992432</v>
      </c>
      <c r="O26" s="110" t="n">
        <f aca="false">O20*O21+O23*Hipótesis!$E$23</f>
        <v>1041.35410615784</v>
      </c>
      <c r="P26" s="110" t="n">
        <f aca="false">P20*P21+P23*Hipótesis!$E$23</f>
        <v>1159.94862132324</v>
      </c>
      <c r="Q26" s="110" t="n">
        <f aca="false">Q20*Q21+Q23*Hipótesis!$E$23</f>
        <v>1278.54313648865</v>
      </c>
      <c r="R26" s="110" t="n">
        <f aca="false">R20*R21+R23*Hipótesis!$E$23</f>
        <v>1397.13765165405</v>
      </c>
      <c r="S26" s="110" t="n">
        <f aca="false">S20*S21+S23*Hipótesis!$E$23</f>
        <v>1515.73216681946</v>
      </c>
      <c r="T26" s="110" t="n">
        <f aca="false">T20*T21+T23*Hipótesis!$E$23</f>
        <v>1634.32668198487</v>
      </c>
      <c r="U26" s="110" t="n">
        <f aca="false">U20*U21+U23*Hipótesis!$E$23</f>
        <v>1752.92119715027</v>
      </c>
      <c r="V26" s="110" t="n">
        <f aca="false">V20*V21+V23*Hipótesis!$E$23</f>
        <v>1871.51571231568</v>
      </c>
      <c r="W26" s="110" t="n">
        <f aca="false">W20*W21+W23*Hipótesis!$E$23</f>
        <v>1990.11022748108</v>
      </c>
      <c r="X26" s="110" t="n">
        <f aca="false">X20*X21+X23*Hipótesis!$E$23</f>
        <v>2065.20474264649</v>
      </c>
      <c r="Y26" s="110" t="n">
        <f aca="false">Y20*Y21+Y23*Hipótesis!$E$23</f>
        <v>2140.29925781189</v>
      </c>
      <c r="Z26" s="110" t="n">
        <f aca="false">Z20*Z21+Z23*Hipótesis!$E$23</f>
        <v>2197.9937729773</v>
      </c>
      <c r="AA26" s="110" t="n">
        <f aca="false">AA20*AA21+AA23*Hipótesis!$E$23</f>
        <v>2255.6882881427</v>
      </c>
      <c r="AB26" s="110" t="n">
        <f aca="false">AB20*AB21+AB23*Hipótesis!$E$23</f>
        <v>2313.38280330811</v>
      </c>
      <c r="AC26" s="110" t="n">
        <f aca="false">AC20*AC21+AC23*Hipótesis!$E$23</f>
        <v>2371.07731847351</v>
      </c>
      <c r="AD26" s="110" t="n">
        <f aca="false">AD20*AD21+AD23*Hipótesis!$E$23</f>
        <v>2428.77183363892</v>
      </c>
      <c r="AE26" s="110" t="n">
        <f aca="false">AE20*AE21+AE23*Hipótesis!$E$23</f>
        <v>2486.46634880432</v>
      </c>
      <c r="AF26" s="110" t="n">
        <f aca="false">AF20*AF21+AF23*Hipótesis!$E$23</f>
        <v>2544.16086396973</v>
      </c>
      <c r="AG26" s="110" t="n">
        <f aca="false">AG20*AG21+AG23*Hipótesis!$E$23</f>
        <v>2601.85537913514</v>
      </c>
      <c r="AH26" s="110" t="n">
        <f aca="false">AH20*AH21+AH23*Hipótesis!$E$23</f>
        <v>2659.54989430054</v>
      </c>
      <c r="AI26" s="110" t="n">
        <f aca="false">AI20*AI21+AI23*Hipótesis!$E$23</f>
        <v>2717.24440946595</v>
      </c>
      <c r="AJ26" s="110" t="n">
        <f aca="false">AJ20*AJ21+AJ23*Hipótesis!$E$23</f>
        <v>2774.93892463135</v>
      </c>
      <c r="AK26" s="110" t="n">
        <f aca="false">AK20*AK21+AK23*Hipótesis!$E$23</f>
        <v>2832.63343979676</v>
      </c>
      <c r="AL26" s="110" t="n">
        <f aca="false">AL20*AL21+AL23*Hipótesis!$E$23</f>
        <v>2890.32795496216</v>
      </c>
      <c r="AM26" s="110" t="n">
        <f aca="false">AM20*AM21+AM23*Hipótesis!$E$23</f>
        <v>2948.02247012757</v>
      </c>
      <c r="AN26" s="110" t="n">
        <f aca="false">AN20*AN21+AN23*Hipótesis!$E$23</f>
        <v>3005.71698529297</v>
      </c>
      <c r="AO26" s="110" t="n">
        <f aca="false">AO20*AO21+AO23*Hipótesis!$E$23</f>
        <v>3063.41150045838</v>
      </c>
      <c r="AP26" s="110" t="n">
        <f aca="false">AP20*AP21+AP23*Hipótesis!$E$23</f>
        <v>3121.10601562378</v>
      </c>
      <c r="AQ26" s="110" t="n">
        <f aca="false">AQ20*AQ21+AQ23*Hipótesis!$E$23</f>
        <v>3178.80053078919</v>
      </c>
      <c r="AR26" s="110" t="n">
        <f aca="false">AR20*AR21+AR23*Hipótesis!$E$23</f>
        <v>3236.4950459546</v>
      </c>
      <c r="AS26" s="110" t="n">
        <f aca="false">AS20*AS21+AS23*Hipótesis!$E$23</f>
        <v>3236.4950459546</v>
      </c>
      <c r="AT26" s="110" t="n">
        <f aca="false">AT20*AT21+AT23*Hipótesis!$E$23</f>
        <v>3236.4950459546</v>
      </c>
      <c r="AU26" s="110" t="n">
        <f aca="false">AU20*AU21+AU23*Hipótesis!$E$23</f>
        <v>3236.4950459546</v>
      </c>
      <c r="AV26" s="110" t="n">
        <f aca="false">AV20*AV21+AV23*Hipótesis!$E$23</f>
        <v>3236.4950459546</v>
      </c>
      <c r="AW26" s="110" t="n">
        <f aca="false">AW20*AW21+AW23*Hipótesis!$E$23</f>
        <v>3236.4950459546</v>
      </c>
      <c r="AX26" s="110" t="n">
        <f aca="false">AX20*AX21+AX23*Hipótesis!$E$23</f>
        <v>3236.4950459546</v>
      </c>
      <c r="AY26" s="110" t="n">
        <f aca="false">AY20*AY21+AY23*Hipótesis!$E$23</f>
        <v>3236.4950459546</v>
      </c>
      <c r="AZ26" s="110" t="n">
        <f aca="false">AZ20*AZ21+AZ23*Hipótesis!$E$23</f>
        <v>3236.4950459546</v>
      </c>
      <c r="BA26" s="110" t="n">
        <f aca="false">BA20*BA21+BA23*Hipótesis!$E$23</f>
        <v>3236.4950459546</v>
      </c>
      <c r="BB26" s="110" t="n">
        <f aca="false">BB20*BB21+BB23*Hipótesis!$E$23</f>
        <v>3236.4950459546</v>
      </c>
      <c r="BC26" s="110" t="n">
        <f aca="false">BC20*BC21+BC23*Hipótesis!$E$23</f>
        <v>3236.4950459546</v>
      </c>
      <c r="BD26" s="110" t="n">
        <f aca="false">BD20*BD21+BD23*Hipótesis!$E$23</f>
        <v>3236.4950459546</v>
      </c>
      <c r="BE26" s="110" t="n">
        <f aca="false">BE20*BE21+BE23*Hipótesis!$E$23</f>
        <v>3236.4950459546</v>
      </c>
      <c r="BF26" s="110" t="n">
        <f aca="false">BF20*BF21+BF23*Hipótesis!$E$23</f>
        <v>3236.4950459546</v>
      </c>
      <c r="BG26" s="110" t="n">
        <f aca="false">BG20*BG21+BG23*Hipótesis!$E$23</f>
        <v>3236.4950459546</v>
      </c>
      <c r="BH26" s="110" t="n">
        <f aca="false">BH20*BH21+BH23*Hipótesis!$E$23</f>
        <v>3236.4950459546</v>
      </c>
      <c r="BI26" s="110" t="n">
        <f aca="false">BI20*BI21+BI23*Hipótesis!$E$23</f>
        <v>3236.4950459546</v>
      </c>
      <c r="BJ26" s="110" t="n">
        <f aca="false">BJ20*BJ21+BJ23*Hipótesis!$E$23</f>
        <v>3236.4950459546</v>
      </c>
      <c r="BK26" s="110" t="n">
        <f aca="false">BK20*BK21+BK23*Hipótesis!$E$23</f>
        <v>3236.4950459546</v>
      </c>
      <c r="BL26" s="110" t="n">
        <f aca="false">BL20*BL21+BL23*Hipótesis!$E$23</f>
        <v>3236.4950459546</v>
      </c>
      <c r="BM26" s="110" t="n">
        <f aca="false">BM20*BM21+BM23*Hipótesis!$E$23</f>
        <v>3236.4950459546</v>
      </c>
      <c r="BN26" s="110" t="n">
        <f aca="false">BN20*BN21+BN23*Hipótesis!$E$23</f>
        <v>3236.4950459546</v>
      </c>
      <c r="BO26" s="110" t="n">
        <f aca="false">BO20*BO21+BO23*Hipótesis!$E$23</f>
        <v>3236.4950459546</v>
      </c>
      <c r="BP26" s="110" t="n">
        <f aca="false">BP20*BP21+BP23*Hipótesis!$E$23</f>
        <v>3236.4950459546</v>
      </c>
      <c r="BQ26" s="110" t="n">
        <f aca="false">BQ20*BQ21+BQ23*Hipótesis!$E$23</f>
        <v>3236.4950459546</v>
      </c>
      <c r="BR26" s="110" t="n">
        <f aca="false">BR20*BR21+BR23*Hipótesis!$E$23</f>
        <v>3236.4950459546</v>
      </c>
      <c r="BS26" s="110" t="n">
        <f aca="false">BS20*BS21+BS23*Hipótesis!$E$23</f>
        <v>3236.4950459546</v>
      </c>
      <c r="BT26" s="110" t="n">
        <f aca="false">BT20*BT21+BT23*Hipótesis!$E$23</f>
        <v>3236.4950459546</v>
      </c>
      <c r="BU26" s="110" t="n">
        <f aca="false">BU20*BU21+BU23*Hipótesis!$E$23</f>
        <v>3236.4950459546</v>
      </c>
      <c r="BV26" s="110" t="n">
        <f aca="false">BV20*BV21+BV23*Hipótesis!$E$23</f>
        <v>3236.4950459546</v>
      </c>
      <c r="BW26" s="110" t="n">
        <f aca="false">BW20*BW21+BW23*Hipótesis!$E$23</f>
        <v>3236.4950459546</v>
      </c>
      <c r="BX26" s="110" t="n">
        <f aca="false">BX20*BX21+BX23*Hipótesis!$E$23</f>
        <v>3236.4950459546</v>
      </c>
      <c r="BY26" s="110" t="n">
        <f aca="false">BY20*BY21+BY23*Hipótesis!$E$23</f>
        <v>3236.4950459546</v>
      </c>
      <c r="BZ26" s="110" t="n">
        <f aca="false">BZ20*BZ21+BZ23*Hipótesis!$E$23</f>
        <v>3236.4950459546</v>
      </c>
      <c r="CA26" s="110" t="n">
        <f aca="false">CA20*CA21+CA23*Hipótesis!$E$23</f>
        <v>3236.4950459546</v>
      </c>
      <c r="CB26" s="110" t="n">
        <f aca="false">CB20*CB21+CB23*Hipótesis!$E$23</f>
        <v>3236.4950459546</v>
      </c>
      <c r="CC26" s="110" t="n">
        <f aca="false">CC20*CC21+CC23*Hipótesis!$E$23</f>
        <v>3236.4950459546</v>
      </c>
      <c r="CD26" s="110" t="n">
        <f aca="false">CD20*CD21+CD23*Hipótesis!$E$23</f>
        <v>3236.4950459546</v>
      </c>
      <c r="CE26" s="110" t="n">
        <f aca="false">CE20*CE21+CE23*Hipótesis!$E$23</f>
        <v>3236.4950459546</v>
      </c>
      <c r="CF26" s="110" t="n">
        <f aca="false">CF20*CF21+CF23*Hipótesis!$E$23</f>
        <v>3236.4950459546</v>
      </c>
      <c r="CG26" s="110" t="n">
        <f aca="false">CG20*CG21+CG23*Hipótesis!$E$23</f>
        <v>3236.4950459546</v>
      </c>
      <c r="CH26" s="110" t="n">
        <f aca="false">CH20*CH21+CH23*Hipótesis!$E$23</f>
        <v>3236.4950459546</v>
      </c>
    </row>
    <row r="27" customFormat="false" ht="13.5" hidden="false" customHeight="true" outlineLevel="0" collapsed="false">
      <c r="A27" s="6" t="s">
        <v>447</v>
      </c>
      <c r="C27" s="110" t="n">
        <f aca="false">C17*C21+C23*Hipótesis!$E$24</f>
        <v>97.0911949685535</v>
      </c>
      <c r="D27" s="110" t="n">
        <f aca="false">D17*D21+D23*Hipótesis!$E$24</f>
        <v>208.666296707362</v>
      </c>
      <c r="E27" s="110" t="n">
        <f aca="false">E17*E21+E23*Hipótesis!$E$24</f>
        <v>508.366518777322</v>
      </c>
      <c r="F27" s="110" t="n">
        <f aca="false">F17*F21+F23*Hipótesis!$E$24</f>
        <v>710.975545878729</v>
      </c>
      <c r="G27" s="110" t="n">
        <f aca="false">G17*G21+G23*Hipótesis!$E$24</f>
        <v>899.10066620988</v>
      </c>
      <c r="H27" s="110" t="n">
        <f aca="false">H17*H21+H23*Hipótesis!$E$24</f>
        <v>1253.18721828354</v>
      </c>
      <c r="I27" s="110" t="n">
        <f aca="false">I17*I21+I23*Hipótesis!$E$24</f>
        <v>1908.79331089774</v>
      </c>
      <c r="J27" s="110" t="n">
        <f aca="false">J17*J21+J23*Hipótesis!$E$24</f>
        <v>2564.39940351194</v>
      </c>
      <c r="K27" s="110" t="n">
        <f aca="false">K17*K21+K23*Hipótesis!$E$24</f>
        <v>3220.00549612614</v>
      </c>
      <c r="L27" s="110" t="n">
        <f aca="false">L17*L21+L23*Hipótesis!$E$24</f>
        <v>3875.61158874034</v>
      </c>
      <c r="M27" s="110" t="n">
        <f aca="false">M17*M21+M23*Hipótesis!$E$24</f>
        <v>4343.09256102339</v>
      </c>
      <c r="N27" s="110" t="n">
        <f aca="false">N17*N21+N23*Hipótesis!$E$24</f>
        <v>5051.97197947736</v>
      </c>
      <c r="O27" s="110" t="n">
        <f aca="false">O17*O21+O23*Hipótesis!$E$24</f>
        <v>5760.85139793133</v>
      </c>
      <c r="P27" s="110" t="n">
        <f aca="false">P17*P21+P23*Hipótesis!$E$24</f>
        <v>6400.32876311116</v>
      </c>
      <c r="Q27" s="110" t="n">
        <f aca="false">Q17*Q21+Q23*Hipótesis!$E$24</f>
        <v>7039.80612829099</v>
      </c>
      <c r="R27" s="110" t="n">
        <f aca="false">R17*R21+R23*Hipótesis!$E$24</f>
        <v>7679.28349347082</v>
      </c>
      <c r="S27" s="110" t="n">
        <f aca="false">S17*S21+S23*Hipótesis!$E$24</f>
        <v>8318.76085865065</v>
      </c>
      <c r="T27" s="110" t="n">
        <f aca="false">T17*T21+T23*Hipótesis!$E$24</f>
        <v>8958.23822383048</v>
      </c>
      <c r="U27" s="110" t="n">
        <f aca="false">U17*U21+U23*Hipótesis!$E$24</f>
        <v>9597.71558901031</v>
      </c>
      <c r="V27" s="110" t="n">
        <f aca="false">V17*V21+V23*Hipótesis!$E$24</f>
        <v>10237.1929541901</v>
      </c>
      <c r="W27" s="110" t="n">
        <f aca="false">W17*W21+W23*Hipótesis!$E$24</f>
        <v>10876.67031937</v>
      </c>
      <c r="X27" s="110" t="n">
        <f aca="false">X17*X21+X23*Hipótesis!$E$24</f>
        <v>11274.7492383789</v>
      </c>
      <c r="Y27" s="110" t="n">
        <f aca="false">Y17*Y21+Y23*Hipótesis!$E$24</f>
        <v>11672.8281573878</v>
      </c>
      <c r="Z27" s="110" t="n">
        <f aca="false">Z17*Z21+Z23*Hipótesis!$E$24</f>
        <v>11974.3476979283</v>
      </c>
      <c r="AA27" s="110" t="n">
        <f aca="false">AA17*AA21+AA23*Hipótesis!$E$24</f>
        <v>12275.8672384689</v>
      </c>
      <c r="AB27" s="110" t="n">
        <f aca="false">AB17*AB21+AB23*Hipótesis!$E$24</f>
        <v>12577.3867790094</v>
      </c>
      <c r="AC27" s="110" t="n">
        <f aca="false">AC17*AC21+AC23*Hipótesis!$E$24</f>
        <v>12878.90631955</v>
      </c>
      <c r="AD27" s="110" t="n">
        <f aca="false">AD17*AD21+AD23*Hipótesis!$E$24</f>
        <v>13180.4258600905</v>
      </c>
      <c r="AE27" s="110" t="n">
        <f aca="false">AE17*AE21+AE23*Hipótesis!$E$24</f>
        <v>13481.945400631</v>
      </c>
      <c r="AF27" s="110" t="n">
        <f aca="false">AF17*AF21+AF23*Hipótesis!$E$24</f>
        <v>13783.4649411716</v>
      </c>
      <c r="AG27" s="110" t="n">
        <f aca="false">AG17*AG21+AG23*Hipótesis!$E$24</f>
        <v>14084.9844817121</v>
      </c>
      <c r="AH27" s="110" t="n">
        <f aca="false">AH17*AH21+AH23*Hipótesis!$E$24</f>
        <v>14386.5040222527</v>
      </c>
      <c r="AI27" s="110" t="n">
        <f aca="false">AI17*AI21+AI23*Hipótesis!$E$24</f>
        <v>14688.0235627932</v>
      </c>
      <c r="AJ27" s="110" t="n">
        <f aca="false">AJ17*AJ21+AJ23*Hipótesis!$E$24</f>
        <v>14989.5431033337</v>
      </c>
      <c r="AK27" s="110" t="n">
        <f aca="false">AK17*AK21+AK23*Hipótesis!$E$24</f>
        <v>15291.0626438743</v>
      </c>
      <c r="AL27" s="110" t="n">
        <f aca="false">AL17*AL21+AL23*Hipótesis!$E$24</f>
        <v>15592.5821844148</v>
      </c>
      <c r="AM27" s="110" t="n">
        <f aca="false">AM17*AM21+AM23*Hipótesis!$E$24</f>
        <v>15894.1017249554</v>
      </c>
      <c r="AN27" s="110" t="n">
        <f aca="false">AN17*AN21+AN23*Hipótesis!$E$24</f>
        <v>16195.6212654959</v>
      </c>
      <c r="AO27" s="110" t="n">
        <f aca="false">AO17*AO21+AO23*Hipótesis!$E$24</f>
        <v>16497.1408060364</v>
      </c>
      <c r="AP27" s="110" t="n">
        <f aca="false">AP17*AP21+AP23*Hipótesis!$E$24</f>
        <v>16798.660346577</v>
      </c>
      <c r="AQ27" s="110" t="n">
        <f aca="false">AQ17*AQ21+AQ23*Hipótesis!$E$24</f>
        <v>17100.1798871175</v>
      </c>
      <c r="AR27" s="110" t="n">
        <f aca="false">AR17*AR21+AR23*Hipótesis!$E$24</f>
        <v>17401.6994276581</v>
      </c>
      <c r="AS27" s="110" t="n">
        <f aca="false">AS17*AS21+AS23*Hipótesis!$E$24</f>
        <v>17401.6994276581</v>
      </c>
      <c r="AT27" s="110" t="n">
        <f aca="false">AT17*AT21+AT23*Hipótesis!$E$24</f>
        <v>17401.6994276581</v>
      </c>
      <c r="AU27" s="110" t="n">
        <f aca="false">AU17*AU21+AU23*Hipótesis!$E$24</f>
        <v>17401.6994276581</v>
      </c>
      <c r="AV27" s="110" t="n">
        <f aca="false">AV17*AV21+AV23*Hipótesis!$E$24</f>
        <v>17401.6994276581</v>
      </c>
      <c r="AW27" s="110" t="n">
        <f aca="false">AW17*AW21+AW23*Hipótesis!$E$24</f>
        <v>17401.6994276581</v>
      </c>
      <c r="AX27" s="110" t="n">
        <f aca="false">AX17*AX21+AX23*Hipótesis!$E$24</f>
        <v>17401.6994276581</v>
      </c>
      <c r="AY27" s="110" t="n">
        <f aca="false">AY17*AY21+AY23*Hipótesis!$E$24</f>
        <v>17401.6994276581</v>
      </c>
      <c r="AZ27" s="110" t="n">
        <f aca="false">AZ17*AZ21+AZ23*Hipótesis!$E$24</f>
        <v>17401.6994276581</v>
      </c>
      <c r="BA27" s="110" t="n">
        <f aca="false">BA17*BA21+BA23*Hipótesis!$E$24</f>
        <v>17401.6994276581</v>
      </c>
      <c r="BB27" s="110" t="n">
        <f aca="false">BB17*BB21+BB23*Hipótesis!$E$24</f>
        <v>17401.6994276581</v>
      </c>
      <c r="BC27" s="110" t="n">
        <f aca="false">BC17*BC21+BC23*Hipótesis!$E$24</f>
        <v>17401.6994276581</v>
      </c>
      <c r="BD27" s="110" t="n">
        <f aca="false">BD17*BD21+BD23*Hipótesis!$E$24</f>
        <v>17401.6994276581</v>
      </c>
      <c r="BE27" s="110" t="n">
        <f aca="false">BE17*BE21+BE23*Hipótesis!$E$24</f>
        <v>17401.6994276581</v>
      </c>
      <c r="BF27" s="110" t="n">
        <f aca="false">BF17*BF21+BF23*Hipótesis!$E$24</f>
        <v>17401.6994276581</v>
      </c>
      <c r="BG27" s="110" t="n">
        <f aca="false">BG17*BG21+BG23*Hipótesis!$E$24</f>
        <v>17401.6994276581</v>
      </c>
      <c r="BH27" s="110" t="n">
        <f aca="false">BH17*BH21+BH23*Hipótesis!$E$24</f>
        <v>17401.6994276581</v>
      </c>
      <c r="BI27" s="110" t="n">
        <f aca="false">BI17*BI21+BI23*Hipótesis!$E$24</f>
        <v>17401.6994276581</v>
      </c>
      <c r="BJ27" s="110" t="n">
        <f aca="false">BJ17*BJ21+BJ23*Hipótesis!$E$24</f>
        <v>17401.6994276581</v>
      </c>
      <c r="BK27" s="110" t="n">
        <f aca="false">BK17*BK21+BK23*Hipótesis!$E$24</f>
        <v>17401.6994276581</v>
      </c>
      <c r="BL27" s="110" t="n">
        <f aca="false">BL17*BL21+BL23*Hipótesis!$E$24</f>
        <v>17401.6994276581</v>
      </c>
      <c r="BM27" s="110" t="n">
        <f aca="false">BM17*BM21+BM23*Hipótesis!$E$24</f>
        <v>17401.6994276581</v>
      </c>
      <c r="BN27" s="110" t="n">
        <f aca="false">BN17*BN21+BN23*Hipótesis!$E$24</f>
        <v>17401.6994276581</v>
      </c>
      <c r="BO27" s="110" t="n">
        <f aca="false">BO17*BO21+BO23*Hipótesis!$E$24</f>
        <v>17401.6994276581</v>
      </c>
      <c r="BP27" s="110" t="n">
        <f aca="false">BP17*BP21+BP23*Hipótesis!$E$24</f>
        <v>17401.6994276581</v>
      </c>
      <c r="BQ27" s="110" t="n">
        <f aca="false">BQ17*BQ21+BQ23*Hipótesis!$E$24</f>
        <v>17401.6994276581</v>
      </c>
      <c r="BR27" s="110" t="n">
        <f aca="false">BR17*BR21+BR23*Hipótesis!$E$24</f>
        <v>17401.6994276581</v>
      </c>
      <c r="BS27" s="110" t="n">
        <f aca="false">BS17*BS21+BS23*Hipótesis!$E$24</f>
        <v>17401.6994276581</v>
      </c>
      <c r="BT27" s="110" t="n">
        <f aca="false">BT17*BT21+BT23*Hipótesis!$E$24</f>
        <v>17401.6994276581</v>
      </c>
      <c r="BU27" s="110" t="n">
        <f aca="false">BU17*BU21+BU23*Hipótesis!$E$24</f>
        <v>17401.6994276581</v>
      </c>
      <c r="BV27" s="110" t="n">
        <f aca="false">BV17*BV21+BV23*Hipótesis!$E$24</f>
        <v>17401.6994276581</v>
      </c>
      <c r="BW27" s="110" t="n">
        <f aca="false">BW17*BW21+BW23*Hipótesis!$E$24</f>
        <v>17401.6994276581</v>
      </c>
      <c r="BX27" s="110" t="n">
        <f aca="false">BX17*BX21+BX23*Hipótesis!$E$24</f>
        <v>17401.6994276581</v>
      </c>
      <c r="BY27" s="110" t="n">
        <f aca="false">BY17*BY21+BY23*Hipótesis!$E$24</f>
        <v>17401.6994276581</v>
      </c>
      <c r="BZ27" s="110" t="n">
        <f aca="false">BZ17*BZ21+BZ23*Hipótesis!$E$24</f>
        <v>17401.6994276581</v>
      </c>
      <c r="CA27" s="110" t="n">
        <f aca="false">CA17*CA21+CA23*Hipótesis!$E$24</f>
        <v>17401.6994276581</v>
      </c>
      <c r="CB27" s="110" t="n">
        <f aca="false">CB17*CB21+CB23*Hipótesis!$E$24</f>
        <v>17401.6994276581</v>
      </c>
      <c r="CC27" s="110" t="n">
        <f aca="false">CC17*CC21+CC23*Hipótesis!$E$24</f>
        <v>17401.6994276581</v>
      </c>
      <c r="CD27" s="110" t="n">
        <f aca="false">CD17*CD21+CD23*Hipótesis!$E$24</f>
        <v>17401.6994276581</v>
      </c>
      <c r="CE27" s="110" t="n">
        <f aca="false">CE17*CE21+CE23*Hipótesis!$E$24</f>
        <v>17401.6994276581</v>
      </c>
      <c r="CF27" s="110" t="n">
        <f aca="false">CF17*CF21+CF23*Hipótesis!$E$24</f>
        <v>17401.6994276581</v>
      </c>
      <c r="CG27" s="110" t="n">
        <f aca="false">CG17*CG21+CG23*Hipótesis!$E$24</f>
        <v>17401.6994276581</v>
      </c>
      <c r="CH27" s="110" t="n">
        <f aca="false">CH17*CH21+CH23*Hipótesis!$E$24</f>
        <v>17401.6994276581</v>
      </c>
    </row>
    <row r="28" customFormat="false" ht="13.5" hidden="false" customHeight="true" outlineLevel="0" collapsed="false">
      <c r="A28" s="6" t="s">
        <v>534</v>
      </c>
      <c r="C28" s="110" t="n">
        <f aca="false">C27*Producto!$D$10/60</f>
        <v>3.23637316561845</v>
      </c>
      <c r="D28" s="110" t="n">
        <f aca="false">D27*Producto!$D$10/60</f>
        <v>6.95554322357874</v>
      </c>
      <c r="E28" s="110" t="n">
        <f aca="false">E27*Producto!$D$10/60</f>
        <v>16.9455506259107</v>
      </c>
      <c r="F28" s="110" t="n">
        <f aca="false">F27*Producto!$D$10/60</f>
        <v>23.6991848626243</v>
      </c>
      <c r="G28" s="110" t="n">
        <f aca="false">G27*Producto!$D$10/60</f>
        <v>29.970022206996</v>
      </c>
      <c r="H28" s="110" t="n">
        <f aca="false">H27*Producto!$D$10/60</f>
        <v>41.772907276118</v>
      </c>
      <c r="I28" s="110" t="n">
        <f aca="false">I27*Producto!$D$10/60</f>
        <v>63.6264436965913</v>
      </c>
      <c r="J28" s="110" t="n">
        <f aca="false">J27*Producto!$D$10/60</f>
        <v>85.4799801170647</v>
      </c>
      <c r="K28" s="110" t="n">
        <f aca="false">K27*Producto!$D$10/60</f>
        <v>107.333516537538</v>
      </c>
      <c r="L28" s="110" t="n">
        <f aca="false">L27*Producto!$D$10/60</f>
        <v>129.187052958011</v>
      </c>
      <c r="M28" s="110" t="n">
        <f aca="false">M27*Producto!$D$10/60</f>
        <v>144.769752034113</v>
      </c>
      <c r="N28" s="110" t="n">
        <f aca="false">N27*Producto!$D$10/60</f>
        <v>168.399065982579</v>
      </c>
      <c r="O28" s="110" t="n">
        <f aca="false">O27*Producto!$D$10/60</f>
        <v>192.028379931044</v>
      </c>
      <c r="P28" s="110" t="n">
        <f aca="false">P27*Producto!$D$10/60</f>
        <v>213.344292103705</v>
      </c>
      <c r="Q28" s="110" t="n">
        <f aca="false">Q27*Producto!$D$10/60</f>
        <v>234.660204276366</v>
      </c>
      <c r="R28" s="110" t="n">
        <f aca="false">R27*Producto!$D$10/60</f>
        <v>255.976116449027</v>
      </c>
      <c r="S28" s="110" t="n">
        <f aca="false">S27*Producto!$D$10/60</f>
        <v>277.292028621688</v>
      </c>
      <c r="T28" s="110" t="n">
        <f aca="false">T27*Producto!$D$10/60</f>
        <v>298.607940794349</v>
      </c>
      <c r="U28" s="110" t="n">
        <f aca="false">U27*Producto!$D$10/60</f>
        <v>319.92385296701</v>
      </c>
      <c r="V28" s="110" t="n">
        <f aca="false">V27*Producto!$D$10/60</f>
        <v>341.239765139671</v>
      </c>
      <c r="W28" s="110" t="n">
        <f aca="false">W27*Producto!$D$10/60</f>
        <v>362.555677312332</v>
      </c>
      <c r="X28" s="110" t="n">
        <f aca="false">X27*Producto!$D$10/60</f>
        <v>375.824974612629</v>
      </c>
      <c r="Y28" s="110" t="n">
        <f aca="false">Y27*Producto!$D$10/60</f>
        <v>389.094271912926</v>
      </c>
      <c r="Z28" s="110" t="n">
        <f aca="false">Z27*Producto!$D$10/60</f>
        <v>399.144923264278</v>
      </c>
      <c r="AA28" s="110" t="n">
        <f aca="false">AA27*Producto!$D$10/60</f>
        <v>409.195574615629</v>
      </c>
      <c r="AB28" s="110" t="n">
        <f aca="false">AB27*Producto!$D$10/60</f>
        <v>419.24622596698</v>
      </c>
      <c r="AC28" s="110" t="n">
        <f aca="false">AC27*Producto!$D$10/60</f>
        <v>429.296877318332</v>
      </c>
      <c r="AD28" s="110" t="n">
        <f aca="false">AD27*Producto!$D$10/60</f>
        <v>439.347528669683</v>
      </c>
      <c r="AE28" s="110" t="n">
        <f aca="false">AE27*Producto!$D$10/60</f>
        <v>449.398180021034</v>
      </c>
      <c r="AF28" s="110" t="n">
        <f aca="false">AF27*Producto!$D$10/60</f>
        <v>459.448831372386</v>
      </c>
      <c r="AG28" s="110" t="n">
        <f aca="false">AG27*Producto!$D$10/60</f>
        <v>469.499482723737</v>
      </c>
      <c r="AH28" s="110" t="n">
        <f aca="false">AH27*Producto!$D$10/60</f>
        <v>479.550134075089</v>
      </c>
      <c r="AI28" s="110" t="n">
        <f aca="false">AI27*Producto!$D$10/60</f>
        <v>489.60078542644</v>
      </c>
      <c r="AJ28" s="110" t="n">
        <f aca="false">AJ27*Producto!$D$10/60</f>
        <v>499.651436777791</v>
      </c>
      <c r="AK28" s="110" t="n">
        <f aca="false">AK27*Producto!$D$10/60</f>
        <v>509.702088129143</v>
      </c>
      <c r="AL28" s="110" t="n">
        <f aca="false">AL27*Producto!$D$10/60</f>
        <v>519.752739480494</v>
      </c>
      <c r="AM28" s="110" t="n">
        <f aca="false">AM27*Producto!$D$10/60</f>
        <v>529.803390831845</v>
      </c>
      <c r="AN28" s="110" t="n">
        <f aca="false">AN27*Producto!$D$10/60</f>
        <v>539.854042183197</v>
      </c>
      <c r="AO28" s="110" t="n">
        <f aca="false">AO27*Producto!$D$10/60</f>
        <v>549.904693534548</v>
      </c>
      <c r="AP28" s="110" t="n">
        <f aca="false">AP27*Producto!$D$10/60</f>
        <v>559.955344885899</v>
      </c>
      <c r="AQ28" s="110" t="n">
        <f aca="false">AQ27*Producto!$D$10/60</f>
        <v>570.005996237251</v>
      </c>
      <c r="AR28" s="110" t="n">
        <f aca="false">AR27*Producto!$D$10/60</f>
        <v>580.056647588602</v>
      </c>
      <c r="AS28" s="110" t="n">
        <f aca="false">AS27*Producto!$D$10/60</f>
        <v>580.056647588602</v>
      </c>
      <c r="AT28" s="110" t="n">
        <f aca="false">AT27*Producto!$D$10/60</f>
        <v>580.056647588602</v>
      </c>
      <c r="AU28" s="110" t="n">
        <f aca="false">AU27*Producto!$D$10/60</f>
        <v>580.056647588602</v>
      </c>
      <c r="AV28" s="110" t="n">
        <f aca="false">AV27*Producto!$D$10/60</f>
        <v>580.056647588602</v>
      </c>
      <c r="AW28" s="110" t="n">
        <f aca="false">AW27*Producto!$D$10/60</f>
        <v>580.056647588602</v>
      </c>
      <c r="AX28" s="110" t="n">
        <f aca="false">AX27*Producto!$D$10/60</f>
        <v>580.056647588602</v>
      </c>
      <c r="AY28" s="110" t="n">
        <f aca="false">AY27*Producto!$D$10/60</f>
        <v>580.056647588602</v>
      </c>
      <c r="AZ28" s="110" t="n">
        <f aca="false">AZ27*Producto!$D$10/60</f>
        <v>580.056647588602</v>
      </c>
      <c r="BA28" s="110" t="n">
        <f aca="false">BA27*Producto!$D$10/60</f>
        <v>580.056647588602</v>
      </c>
      <c r="BB28" s="110" t="n">
        <f aca="false">BB27*Producto!$D$10/60</f>
        <v>580.056647588602</v>
      </c>
      <c r="BC28" s="110" t="n">
        <f aca="false">BC27*Producto!$D$10/60</f>
        <v>580.056647588602</v>
      </c>
      <c r="BD28" s="110" t="n">
        <f aca="false">BD27*Producto!$D$10/60</f>
        <v>580.056647588602</v>
      </c>
      <c r="BE28" s="110" t="n">
        <f aca="false">BE27*Producto!$D$10/60</f>
        <v>580.056647588602</v>
      </c>
      <c r="BF28" s="110" t="n">
        <f aca="false">BF27*Producto!$D$10/60</f>
        <v>580.056647588602</v>
      </c>
      <c r="BG28" s="110" t="n">
        <f aca="false">BG27*Producto!$D$10/60</f>
        <v>580.056647588602</v>
      </c>
      <c r="BH28" s="110" t="n">
        <f aca="false">BH27*Producto!$D$10/60</f>
        <v>580.056647588602</v>
      </c>
      <c r="BI28" s="110" t="n">
        <f aca="false">BI27*Producto!$D$10/60</f>
        <v>580.056647588602</v>
      </c>
      <c r="BJ28" s="110" t="n">
        <f aca="false">BJ27*Producto!$D$10/60</f>
        <v>580.056647588602</v>
      </c>
      <c r="BK28" s="110" t="n">
        <f aca="false">BK27*Producto!$D$10/60</f>
        <v>580.056647588602</v>
      </c>
      <c r="BL28" s="110" t="n">
        <f aca="false">BL27*Producto!$D$10/60</f>
        <v>580.056647588602</v>
      </c>
      <c r="BM28" s="110" t="n">
        <f aca="false">BM27*Producto!$D$10/60</f>
        <v>580.056647588602</v>
      </c>
      <c r="BN28" s="110" t="n">
        <f aca="false">BN27*Producto!$D$10/60</f>
        <v>580.056647588602</v>
      </c>
      <c r="BO28" s="110" t="n">
        <f aca="false">BO27*Producto!$D$10/60</f>
        <v>580.056647588602</v>
      </c>
      <c r="BP28" s="110" t="n">
        <f aca="false">BP27*Producto!$D$10/60</f>
        <v>580.056647588602</v>
      </c>
      <c r="BQ28" s="110" t="n">
        <f aca="false">BQ27*Producto!$D$10/60</f>
        <v>580.056647588602</v>
      </c>
      <c r="BR28" s="110" t="n">
        <f aca="false">BR27*Producto!$D$10/60</f>
        <v>580.056647588602</v>
      </c>
      <c r="BS28" s="110" t="n">
        <f aca="false">BS27*Producto!$D$10/60</f>
        <v>580.056647588602</v>
      </c>
      <c r="BT28" s="110" t="n">
        <f aca="false">BT27*Producto!$D$10/60</f>
        <v>580.056647588602</v>
      </c>
      <c r="BU28" s="110" t="n">
        <f aca="false">BU27*Producto!$D$10/60</f>
        <v>580.056647588602</v>
      </c>
      <c r="BV28" s="110" t="n">
        <f aca="false">BV27*Producto!$D$10/60</f>
        <v>580.056647588602</v>
      </c>
      <c r="BW28" s="110" t="n">
        <f aca="false">BW27*Producto!$D$10/60</f>
        <v>580.056647588602</v>
      </c>
      <c r="BX28" s="110" t="n">
        <f aca="false">BX27*Producto!$D$10/60</f>
        <v>580.056647588602</v>
      </c>
      <c r="BY28" s="110" t="n">
        <f aca="false">BY27*Producto!$D$10/60</f>
        <v>580.056647588602</v>
      </c>
      <c r="BZ28" s="110" t="n">
        <f aca="false">BZ27*Producto!$D$10/60</f>
        <v>580.056647588602</v>
      </c>
      <c r="CA28" s="110" t="n">
        <f aca="false">CA27*Producto!$D$10/60</f>
        <v>580.056647588602</v>
      </c>
      <c r="CB28" s="110" t="n">
        <f aca="false">CB27*Producto!$D$10/60</f>
        <v>580.056647588602</v>
      </c>
      <c r="CC28" s="110" t="n">
        <f aca="false">CC27*Producto!$D$10/60</f>
        <v>580.056647588602</v>
      </c>
      <c r="CD28" s="110" t="n">
        <f aca="false">CD27*Producto!$D$10/60</f>
        <v>580.056647588602</v>
      </c>
      <c r="CE28" s="110" t="n">
        <f aca="false">CE27*Producto!$D$10/60</f>
        <v>580.056647588602</v>
      </c>
      <c r="CF28" s="110" t="n">
        <f aca="false">CF27*Producto!$D$10/60</f>
        <v>580.056647588602</v>
      </c>
      <c r="CG28" s="110" t="n">
        <f aca="false">CG27*Producto!$D$10/60</f>
        <v>580.056647588602</v>
      </c>
      <c r="CH28" s="110" t="n">
        <f aca="false">CH27*Producto!$D$10/60</f>
        <v>580.056647588602</v>
      </c>
    </row>
    <row r="29" customFormat="false" ht="13.5" hidden="false" customHeight="true" outlineLevel="0" collapsed="false">
      <c r="A29" s="6" t="s">
        <v>535</v>
      </c>
      <c r="C29" s="110" t="n">
        <f aca="false">SUMPRODUCT((Hipótesis!$D$48:$D$53&lt;=1)*(Hipótesis!$B$48:$B$53)*(Hipótesis!$F$48:$F$53))</f>
        <v>320</v>
      </c>
      <c r="D29" s="110" t="n">
        <f aca="false">SUMPRODUCT((Hipótesis!$D$48:$D$53&lt;=2)*(Hipótesis!$B$48:$B$53)*(Hipótesis!$F$48:$F$53))</f>
        <v>320</v>
      </c>
      <c r="E29" s="110" t="n">
        <f aca="false">SUMPRODUCT((Hipótesis!$D$48:$D$53&lt;=3)*(Hipótesis!$B$48:$B$53)*(Hipótesis!$F$48:$F$53))</f>
        <v>320</v>
      </c>
      <c r="F29" s="110" t="n">
        <f aca="false">SUMPRODUCT((Hipótesis!$D$48:$D$53&lt;=4)*(Hipótesis!$B$48:$B$53)*(Hipótesis!$F$48:$F$53))</f>
        <v>320</v>
      </c>
      <c r="G29" s="110" t="n">
        <f aca="false">SUMPRODUCT((Hipótesis!$D$48:$D$53&lt;=5)*(Hipótesis!$B$48:$B$53)*(Hipótesis!$F$48:$F$53))</f>
        <v>320</v>
      </c>
      <c r="H29" s="110" t="n">
        <f aca="false">SUMPRODUCT((Hipótesis!$D$48:$D$53&lt;=6)*(Hipótesis!$B$48:$B$53)*(Hipótesis!$F$48:$F$53))</f>
        <v>320</v>
      </c>
      <c r="I29" s="110" t="n">
        <f aca="false">SUMPRODUCT((Hipótesis!$D$48:$D$53&lt;=7)*(Hipótesis!$B$48:$B$53)*(Hipótesis!$F$48:$F$53))</f>
        <v>320</v>
      </c>
      <c r="J29" s="110" t="n">
        <f aca="false">SUMPRODUCT((Hipótesis!$D$48:$D$53&lt;=8)*(Hipótesis!$B$48:$B$53)*(Hipótesis!$F$48:$F$53))</f>
        <v>320</v>
      </c>
      <c r="K29" s="110" t="n">
        <f aca="false">SUMPRODUCT((Hipótesis!$D$48:$D$53&lt;=9)*(Hipótesis!$B$48:$B$53)*(Hipótesis!$F$48:$F$53))</f>
        <v>320</v>
      </c>
      <c r="L29" s="110" t="n">
        <f aca="false">SUMPRODUCT((Hipótesis!$D$48:$D$53&lt;=10)*(Hipótesis!$B$48:$B$53)*(Hipótesis!$F$48:$F$53))</f>
        <v>320</v>
      </c>
      <c r="M29" s="110" t="n">
        <f aca="false">SUMPRODUCT((Hipótesis!$D$48:$D$53&lt;=11)*(Hipótesis!$B$48:$B$53)*(Hipótesis!$F$48:$F$53))</f>
        <v>320</v>
      </c>
      <c r="N29" s="110" t="n">
        <f aca="false">SUMPRODUCT((Hipótesis!$D$48:$D$53&lt;=12)*(Hipótesis!$B$48:$B$53)*(Hipótesis!$F$48:$F$53))</f>
        <v>320</v>
      </c>
      <c r="O29" s="110" t="n">
        <f aca="false">SUMPRODUCT((Hipótesis!$D$48:$D$53&lt;=13)*(Hipótesis!$B$48:$B$53)*(Hipótesis!$F$48:$F$53))</f>
        <v>320</v>
      </c>
      <c r="P29" s="110" t="n">
        <f aca="false">SUMPRODUCT((Hipótesis!$D$48:$D$53&lt;=14)*(Hipótesis!$B$48:$B$53)*(Hipótesis!$F$48:$F$53))</f>
        <v>320</v>
      </c>
      <c r="Q29" s="110" t="n">
        <f aca="false">SUMPRODUCT((Hipótesis!$D$48:$D$53&lt;=15)*(Hipótesis!$B$48:$B$53)*(Hipótesis!$F$48:$F$53))</f>
        <v>320</v>
      </c>
      <c r="R29" s="110" t="n">
        <f aca="false">SUMPRODUCT((Hipótesis!$D$48:$D$53&lt;=16)*(Hipótesis!$B$48:$B$53)*(Hipótesis!$F$48:$F$53))</f>
        <v>320</v>
      </c>
      <c r="S29" s="110" t="n">
        <f aca="false">SUMPRODUCT((Hipótesis!$D$48:$D$53&lt;=17)*(Hipótesis!$B$48:$B$53)*(Hipótesis!$F$48:$F$53))</f>
        <v>320</v>
      </c>
      <c r="T29" s="110" t="n">
        <f aca="false">SUMPRODUCT((Hipótesis!$D$48:$D$53&lt;=18)*(Hipótesis!$B$48:$B$53)*(Hipótesis!$F$48:$F$53))</f>
        <v>320</v>
      </c>
      <c r="U29" s="110" t="n">
        <f aca="false">SUMPRODUCT((Hipótesis!$D$48:$D$53&lt;=19)*(Hipótesis!$B$48:$B$53)*(Hipótesis!$F$48:$F$53))</f>
        <v>320</v>
      </c>
      <c r="V29" s="110" t="n">
        <f aca="false">SUMPRODUCT((Hipótesis!$D$48:$D$53&lt;=20)*(Hipótesis!$B$48:$B$53)*(Hipótesis!$F$48:$F$53))</f>
        <v>320</v>
      </c>
      <c r="W29" s="110" t="n">
        <f aca="false">SUMPRODUCT((Hipótesis!$D$48:$D$53&lt;=21)*(Hipótesis!$B$48:$B$53)*(Hipótesis!$F$48:$F$53))</f>
        <v>320</v>
      </c>
      <c r="X29" s="110" t="n">
        <f aca="false">SUMPRODUCT((Hipótesis!$D$48:$D$53&lt;=22)*(Hipótesis!$B$48:$B$53)*(Hipótesis!$F$48:$F$53))</f>
        <v>320</v>
      </c>
      <c r="Y29" s="110" t="n">
        <f aca="false">SUMPRODUCT((Hipótesis!$D$48:$D$53&lt;=23)*(Hipótesis!$B$48:$B$53)*(Hipótesis!$F$48:$F$53))</f>
        <v>320</v>
      </c>
      <c r="Z29" s="110" t="n">
        <f aca="false">SUMPRODUCT((Hipótesis!$D$48:$D$53&lt;=24)*(Hipótesis!$B$48:$B$53)*(Hipótesis!$F$48:$F$53))</f>
        <v>320</v>
      </c>
      <c r="AA29" s="110" t="n">
        <f aca="false">SUMPRODUCT((Hipótesis!$D$48:$D$53&lt;=25)*(Hipótesis!$B$48:$B$53)*(Hipótesis!$F$48:$F$53))</f>
        <v>320</v>
      </c>
      <c r="AB29" s="110" t="n">
        <f aca="false">SUMPRODUCT((Hipótesis!$D$48:$D$53&lt;=26)*(Hipótesis!$B$48:$B$53)*(Hipótesis!$F$48:$F$53))</f>
        <v>320</v>
      </c>
      <c r="AC29" s="110" t="n">
        <f aca="false">SUMPRODUCT((Hipótesis!$D$48:$D$53&lt;=27)*(Hipótesis!$B$48:$B$53)*(Hipótesis!$F$48:$F$53))</f>
        <v>320</v>
      </c>
      <c r="AD29" s="110" t="n">
        <f aca="false">SUMPRODUCT((Hipótesis!$D$48:$D$53&lt;=28)*(Hipótesis!$B$48:$B$53)*(Hipótesis!$F$48:$F$53))</f>
        <v>320</v>
      </c>
      <c r="AE29" s="110" t="n">
        <f aca="false">SUMPRODUCT((Hipótesis!$D$48:$D$53&lt;=29)*(Hipótesis!$B$48:$B$53)*(Hipótesis!$F$48:$F$53))</f>
        <v>320</v>
      </c>
      <c r="AF29" s="110" t="n">
        <f aca="false">SUMPRODUCT((Hipótesis!$D$48:$D$53&lt;=30)*(Hipótesis!$B$48:$B$53)*(Hipótesis!$F$48:$F$53))</f>
        <v>320</v>
      </c>
      <c r="AG29" s="110" t="n">
        <f aca="false">SUMPRODUCT((Hipótesis!$D$48:$D$53&lt;=31)*(Hipótesis!$B$48:$B$53)*(Hipótesis!$F$48:$F$53))</f>
        <v>320</v>
      </c>
      <c r="AH29" s="110" t="n">
        <f aca="false">SUMPRODUCT((Hipótesis!$D$48:$D$53&lt;=32)*(Hipótesis!$B$48:$B$53)*(Hipótesis!$F$48:$F$53))</f>
        <v>320</v>
      </c>
      <c r="AI29" s="110" t="n">
        <f aca="false">SUMPRODUCT((Hipótesis!$D$48:$D$53&lt;=33)*(Hipótesis!$B$48:$B$53)*(Hipótesis!$F$48:$F$53))</f>
        <v>320</v>
      </c>
      <c r="AJ29" s="110" t="n">
        <f aca="false">SUMPRODUCT((Hipótesis!$D$48:$D$53&lt;=34)*(Hipótesis!$B$48:$B$53)*(Hipótesis!$F$48:$F$53))</f>
        <v>320</v>
      </c>
      <c r="AK29" s="110" t="n">
        <f aca="false">SUMPRODUCT((Hipótesis!$D$48:$D$53&lt;=35)*(Hipótesis!$B$48:$B$53)*(Hipótesis!$F$48:$F$53))</f>
        <v>320</v>
      </c>
      <c r="AL29" s="110" t="n">
        <f aca="false">SUMPRODUCT((Hipótesis!$D$48:$D$53&lt;=36)*(Hipótesis!$B$48:$B$53)*(Hipótesis!$F$48:$F$53))</f>
        <v>320</v>
      </c>
      <c r="AM29" s="110" t="n">
        <f aca="false">SUMPRODUCT((Hipótesis!$D$48:$D$53&lt;=37)*(Hipótesis!$B$48:$B$53)*(Hipótesis!$F$48:$F$53))</f>
        <v>320</v>
      </c>
      <c r="AN29" s="110" t="n">
        <f aca="false">SUMPRODUCT((Hipótesis!$D$48:$D$53&lt;=38)*(Hipótesis!$B$48:$B$53)*(Hipótesis!$F$48:$F$53))</f>
        <v>320</v>
      </c>
      <c r="AO29" s="110" t="n">
        <f aca="false">SUMPRODUCT((Hipótesis!$D$48:$D$53&lt;=39)*(Hipótesis!$B$48:$B$53)*(Hipótesis!$F$48:$F$53))</f>
        <v>320</v>
      </c>
      <c r="AP29" s="110" t="n">
        <f aca="false">SUMPRODUCT((Hipótesis!$D$48:$D$53&lt;=40)*(Hipótesis!$B$48:$B$53)*(Hipótesis!$F$48:$F$53))</f>
        <v>320</v>
      </c>
      <c r="AQ29" s="110" t="n">
        <f aca="false">SUMPRODUCT((Hipótesis!$D$48:$D$53&lt;=41)*(Hipótesis!$B$48:$B$53)*(Hipótesis!$F$48:$F$53))</f>
        <v>320</v>
      </c>
      <c r="AR29" s="110" t="n">
        <f aca="false">SUMPRODUCT((Hipótesis!$D$48:$D$53&lt;=42)*(Hipótesis!$B$48:$B$53)*(Hipótesis!$F$48:$F$53))</f>
        <v>320</v>
      </c>
      <c r="AS29" s="110" t="n">
        <f aca="false">SUMPRODUCT((Hipótesis!$D$48:$D$53&lt;=43)*(Hipótesis!$B$48:$B$53)*(Hipótesis!$F$48:$F$53))</f>
        <v>320</v>
      </c>
      <c r="AT29" s="110" t="n">
        <f aca="false">SUMPRODUCT((Hipótesis!$D$48:$D$53&lt;=44)*(Hipótesis!$B$48:$B$53)*(Hipótesis!$F$48:$F$53))</f>
        <v>320</v>
      </c>
      <c r="AU29" s="110" t="n">
        <f aca="false">SUMPRODUCT((Hipótesis!$D$48:$D$53&lt;=45)*(Hipótesis!$B$48:$B$53)*(Hipótesis!$F$48:$F$53))</f>
        <v>320</v>
      </c>
      <c r="AV29" s="110" t="n">
        <f aca="false">SUMPRODUCT((Hipótesis!$D$48:$D$53&lt;=46)*(Hipótesis!$B$48:$B$53)*(Hipótesis!$F$48:$F$53))</f>
        <v>320</v>
      </c>
      <c r="AW29" s="110" t="n">
        <f aca="false">SUMPRODUCT((Hipótesis!$D$48:$D$53&lt;=47)*(Hipótesis!$B$48:$B$53)*(Hipótesis!$F$48:$F$53))</f>
        <v>320</v>
      </c>
      <c r="AX29" s="110" t="n">
        <f aca="false">SUMPRODUCT((Hipótesis!$D$48:$D$53&lt;=48)*(Hipótesis!$B$48:$B$53)*(Hipótesis!$F$48:$F$53))</f>
        <v>320</v>
      </c>
      <c r="AY29" s="110" t="n">
        <f aca="false">SUMPRODUCT((Hipótesis!$D$48:$D$53&lt;=49)*(Hipótesis!$B$48:$B$53)*(Hipótesis!$F$48:$F$53))</f>
        <v>320</v>
      </c>
      <c r="AZ29" s="110" t="n">
        <f aca="false">SUMPRODUCT((Hipótesis!$D$48:$D$53&lt;=50)*(Hipótesis!$B$48:$B$53)*(Hipótesis!$F$48:$F$53))</f>
        <v>320</v>
      </c>
      <c r="BA29" s="110" t="n">
        <f aca="false">SUMPRODUCT((Hipótesis!$D$48:$D$53&lt;=51)*(Hipótesis!$B$48:$B$53)*(Hipótesis!$F$48:$F$53))</f>
        <v>320</v>
      </c>
      <c r="BB29" s="110" t="n">
        <f aca="false">SUMPRODUCT((Hipótesis!$D$48:$D$53&lt;=52)*(Hipótesis!$B$48:$B$53)*(Hipótesis!$F$48:$F$53))</f>
        <v>320</v>
      </c>
      <c r="BC29" s="110" t="n">
        <f aca="false">SUMPRODUCT((Hipótesis!$D$48:$D$53&lt;=53)*(Hipótesis!$B$48:$B$53)*(Hipótesis!$F$48:$F$53))</f>
        <v>320</v>
      </c>
      <c r="BD29" s="110" t="n">
        <f aca="false">SUMPRODUCT((Hipótesis!$D$48:$D$53&lt;=54)*(Hipótesis!$B$48:$B$53)*(Hipótesis!$F$48:$F$53))</f>
        <v>320</v>
      </c>
      <c r="BE29" s="110" t="n">
        <f aca="false">SUMPRODUCT((Hipótesis!$D$48:$D$53&lt;=55)*(Hipótesis!$B$48:$B$53)*(Hipótesis!$F$48:$F$53))</f>
        <v>320</v>
      </c>
      <c r="BF29" s="110" t="n">
        <f aca="false">SUMPRODUCT((Hipótesis!$D$48:$D$53&lt;=56)*(Hipótesis!$B$48:$B$53)*(Hipótesis!$F$48:$F$53))</f>
        <v>320</v>
      </c>
      <c r="BG29" s="110" t="n">
        <f aca="false">SUMPRODUCT((Hipótesis!$D$48:$D$53&lt;=57)*(Hipótesis!$B$48:$B$53)*(Hipótesis!$F$48:$F$53))</f>
        <v>320</v>
      </c>
      <c r="BH29" s="110" t="n">
        <f aca="false">SUMPRODUCT((Hipótesis!$D$48:$D$53&lt;=58)*(Hipótesis!$B$48:$B$53)*(Hipótesis!$F$48:$F$53))</f>
        <v>320</v>
      </c>
      <c r="BI29" s="110" t="n">
        <f aca="false">SUMPRODUCT((Hipótesis!$D$48:$D$53&lt;=59)*(Hipótesis!$B$48:$B$53)*(Hipótesis!$F$48:$F$53))</f>
        <v>320</v>
      </c>
      <c r="BJ29" s="110" t="n">
        <f aca="false">SUMPRODUCT((Hipótesis!$D$48:$D$53&lt;=60)*(Hipótesis!$B$48:$B$53)*(Hipótesis!$F$48:$F$53))</f>
        <v>320</v>
      </c>
      <c r="BK29" s="110" t="n">
        <f aca="false">SUMPRODUCT((Hipótesis!$D$48:$D$53&lt;=61)*(Hipótesis!$B$48:$B$53)*(Hipótesis!$F$48:$F$53))</f>
        <v>320</v>
      </c>
      <c r="BL29" s="110" t="n">
        <f aca="false">SUMPRODUCT((Hipótesis!$D$48:$D$53&lt;=62)*(Hipótesis!$B$48:$B$53)*(Hipótesis!$F$48:$F$53))</f>
        <v>320</v>
      </c>
      <c r="BM29" s="110" t="n">
        <f aca="false">SUMPRODUCT((Hipótesis!$D$48:$D$53&lt;=63)*(Hipótesis!$B$48:$B$53)*(Hipótesis!$F$48:$F$53))</f>
        <v>320</v>
      </c>
      <c r="BN29" s="110" t="n">
        <f aca="false">SUMPRODUCT((Hipótesis!$D$48:$D$53&lt;=64)*(Hipótesis!$B$48:$B$53)*(Hipótesis!$F$48:$F$53))</f>
        <v>320</v>
      </c>
      <c r="BO29" s="110" t="n">
        <f aca="false">SUMPRODUCT((Hipótesis!$D$48:$D$53&lt;=65)*(Hipótesis!$B$48:$B$53)*(Hipótesis!$F$48:$F$53))</f>
        <v>320</v>
      </c>
      <c r="BP29" s="110" t="n">
        <f aca="false">SUMPRODUCT((Hipótesis!$D$48:$D$53&lt;=66)*(Hipótesis!$B$48:$B$53)*(Hipótesis!$F$48:$F$53))</f>
        <v>320</v>
      </c>
      <c r="BQ29" s="110" t="n">
        <f aca="false">SUMPRODUCT((Hipótesis!$D$48:$D$53&lt;=67)*(Hipótesis!$B$48:$B$53)*(Hipótesis!$F$48:$F$53))</f>
        <v>320</v>
      </c>
      <c r="BR29" s="110" t="n">
        <f aca="false">SUMPRODUCT((Hipótesis!$D$48:$D$53&lt;=68)*(Hipótesis!$B$48:$B$53)*(Hipótesis!$F$48:$F$53))</f>
        <v>320</v>
      </c>
      <c r="BS29" s="110" t="n">
        <f aca="false">SUMPRODUCT((Hipótesis!$D$48:$D$53&lt;=69)*(Hipótesis!$B$48:$B$53)*(Hipótesis!$F$48:$F$53))</f>
        <v>320</v>
      </c>
      <c r="BT29" s="110" t="n">
        <f aca="false">SUMPRODUCT((Hipótesis!$D$48:$D$53&lt;=70)*(Hipótesis!$B$48:$B$53)*(Hipótesis!$F$48:$F$53))</f>
        <v>320</v>
      </c>
      <c r="BU29" s="110" t="n">
        <f aca="false">SUMPRODUCT((Hipótesis!$D$48:$D$53&lt;=71)*(Hipótesis!$B$48:$B$53)*(Hipótesis!$F$48:$F$53))</f>
        <v>320</v>
      </c>
      <c r="BV29" s="110" t="n">
        <f aca="false">SUMPRODUCT((Hipótesis!$D$48:$D$53&lt;=72)*(Hipótesis!$B$48:$B$53)*(Hipótesis!$F$48:$F$53))</f>
        <v>320</v>
      </c>
      <c r="BW29" s="110" t="n">
        <f aca="false">SUMPRODUCT((Hipótesis!$D$48:$D$53&lt;=73)*(Hipótesis!$B$48:$B$53)*(Hipótesis!$F$48:$F$53))</f>
        <v>320</v>
      </c>
      <c r="BX29" s="110" t="n">
        <f aca="false">SUMPRODUCT((Hipótesis!$D$48:$D$53&lt;=74)*(Hipótesis!$B$48:$B$53)*(Hipótesis!$F$48:$F$53))</f>
        <v>320</v>
      </c>
      <c r="BY29" s="110" t="n">
        <f aca="false">SUMPRODUCT((Hipótesis!$D$48:$D$53&lt;=75)*(Hipótesis!$B$48:$B$53)*(Hipótesis!$F$48:$F$53))</f>
        <v>320</v>
      </c>
      <c r="BZ29" s="110" t="n">
        <f aca="false">SUMPRODUCT((Hipótesis!$D$48:$D$53&lt;=76)*(Hipótesis!$B$48:$B$53)*(Hipótesis!$F$48:$F$53))</f>
        <v>320</v>
      </c>
      <c r="CA29" s="110" t="n">
        <f aca="false">SUMPRODUCT((Hipótesis!$D$48:$D$53&lt;=77)*(Hipótesis!$B$48:$B$53)*(Hipótesis!$F$48:$F$53))</f>
        <v>320</v>
      </c>
      <c r="CB29" s="110" t="n">
        <f aca="false">SUMPRODUCT((Hipótesis!$D$48:$D$53&lt;=78)*(Hipótesis!$B$48:$B$53)*(Hipótesis!$F$48:$F$53))</f>
        <v>320</v>
      </c>
      <c r="CC29" s="110" t="n">
        <f aca="false">SUMPRODUCT((Hipótesis!$D$48:$D$53&lt;=79)*(Hipótesis!$B$48:$B$53)*(Hipótesis!$F$48:$F$53))</f>
        <v>320</v>
      </c>
      <c r="CD29" s="110" t="n">
        <f aca="false">SUMPRODUCT((Hipótesis!$D$48:$D$53&lt;=80)*(Hipótesis!$B$48:$B$53)*(Hipótesis!$F$48:$F$53))</f>
        <v>320</v>
      </c>
      <c r="CE29" s="110" t="n">
        <f aca="false">SUMPRODUCT((Hipótesis!$D$48:$D$53&lt;=81)*(Hipótesis!$B$48:$B$53)*(Hipótesis!$F$48:$F$53))</f>
        <v>320</v>
      </c>
      <c r="CF29" s="110" t="n">
        <f aca="false">SUMPRODUCT((Hipótesis!$D$48:$D$53&lt;=82)*(Hipótesis!$B$48:$B$53)*(Hipótesis!$F$48:$F$53))</f>
        <v>320</v>
      </c>
      <c r="CG29" s="110" t="n">
        <f aca="false">SUMPRODUCT((Hipótesis!$D$48:$D$53&lt;=83)*(Hipótesis!$B$48:$B$53)*(Hipótesis!$F$48:$F$53))</f>
        <v>320</v>
      </c>
      <c r="CH29" s="110" t="n">
        <f aca="false">SUMPRODUCT((Hipótesis!$D$48:$D$53&lt;=84)*(Hipótesis!$B$48:$B$53)*(Hipótesis!$F$48:$F$53))</f>
        <v>320</v>
      </c>
    </row>
    <row r="30" customFormat="false" ht="13.5" hidden="false" customHeight="true" outlineLevel="0" collapsed="false">
      <c r="A30" s="22" t="s">
        <v>536</v>
      </c>
      <c r="C30" s="110" t="n">
        <f aca="false">ROUNDUP(MAX(0,C28-C29)/Hipótesis!$D$63,0)</f>
        <v>0</v>
      </c>
      <c r="D30" s="110" t="n">
        <f aca="false">ROUNDUP(MAX(0,D28-D29)/Hipótesis!$D$63,0)</f>
        <v>0</v>
      </c>
      <c r="E30" s="110" t="n">
        <f aca="false">ROUNDUP(MAX(0,E28-E29)/Hipótesis!$D$63,0)</f>
        <v>0</v>
      </c>
      <c r="F30" s="110" t="n">
        <f aca="false">ROUNDUP(MAX(0,F28-F29)/Hipótesis!$D$63,0)</f>
        <v>0</v>
      </c>
      <c r="G30" s="110" t="n">
        <f aca="false">ROUNDUP(MAX(0,G28-G29)/Hipótesis!$D$63,0)</f>
        <v>0</v>
      </c>
      <c r="H30" s="110" t="n">
        <f aca="false">ROUNDUP(MAX(0,H28-H29)/Hipótesis!$D$63,0)</f>
        <v>0</v>
      </c>
      <c r="I30" s="110" t="n">
        <f aca="false">ROUNDUP(MAX(0,I28-I29)/Hipótesis!$D$63,0)</f>
        <v>0</v>
      </c>
      <c r="J30" s="110" t="n">
        <f aca="false">ROUNDUP(MAX(0,J28-J29)/Hipótesis!$D$63,0)</f>
        <v>0</v>
      </c>
      <c r="K30" s="110" t="n">
        <f aca="false">ROUNDUP(MAX(0,K28-K29)/Hipótesis!$D$63,0)</f>
        <v>0</v>
      </c>
      <c r="L30" s="110" t="n">
        <f aca="false">ROUNDUP(MAX(0,L28-L29)/Hipótesis!$D$63,0)</f>
        <v>0</v>
      </c>
      <c r="M30" s="110" t="n">
        <f aca="false">ROUNDUP(MAX(0,M28-M29)/Hipótesis!$D$63,0)</f>
        <v>0</v>
      </c>
      <c r="N30" s="110" t="n">
        <f aca="false">ROUNDUP(MAX(0,N28-N29)/Hipótesis!$D$63,0)</f>
        <v>0</v>
      </c>
      <c r="O30" s="110" t="n">
        <f aca="false">ROUNDUP(MAX(0,O28-O29)/Hipótesis!$D$63,0)</f>
        <v>0</v>
      </c>
      <c r="P30" s="110" t="n">
        <f aca="false">ROUNDUP(MAX(0,P28-P29)/Hipótesis!$D$63,0)</f>
        <v>0</v>
      </c>
      <c r="Q30" s="110" t="n">
        <f aca="false">ROUNDUP(MAX(0,Q28-Q29)/Hipótesis!$D$63,0)</f>
        <v>0</v>
      </c>
      <c r="R30" s="110" t="n">
        <f aca="false">ROUNDUP(MAX(0,R28-R29)/Hipótesis!$D$63,0)</f>
        <v>0</v>
      </c>
      <c r="S30" s="110" t="n">
        <f aca="false">ROUNDUP(MAX(0,S28-S29)/Hipótesis!$D$63,0)</f>
        <v>0</v>
      </c>
      <c r="T30" s="110" t="n">
        <f aca="false">ROUNDUP(MAX(0,T28-T29)/Hipótesis!$D$63,0)</f>
        <v>0</v>
      </c>
      <c r="U30" s="110" t="n">
        <f aca="false">ROUNDUP(MAX(0,U28-U29)/Hipótesis!$D$63,0)</f>
        <v>0</v>
      </c>
      <c r="V30" s="110" t="n">
        <f aca="false">ROUNDUP(MAX(0,V28-V29)/Hipótesis!$D$63,0)</f>
        <v>1</v>
      </c>
      <c r="W30" s="110" t="n">
        <f aca="false">ROUNDUP(MAX(0,W28-W29)/Hipótesis!$D$63,0)</f>
        <v>1</v>
      </c>
      <c r="X30" s="110" t="n">
        <f aca="false">ROUNDUP(MAX(0,X28-X29)/Hipótesis!$D$63,0)</f>
        <v>1</v>
      </c>
      <c r="Y30" s="110" t="n">
        <f aca="false">ROUNDUP(MAX(0,Y28-Y29)/Hipótesis!$D$63,0)</f>
        <v>1</v>
      </c>
      <c r="Z30" s="110" t="n">
        <f aca="false">ROUNDUP(MAX(0,Z28-Z29)/Hipótesis!$D$63,0)</f>
        <v>1</v>
      </c>
      <c r="AA30" s="110" t="n">
        <f aca="false">ROUNDUP(MAX(0,AA28-AA29)/Hipótesis!$D$63,0)</f>
        <v>1</v>
      </c>
      <c r="AB30" s="110" t="n">
        <f aca="false">ROUNDUP(MAX(0,AB28-AB29)/Hipótesis!$D$63,0)</f>
        <v>1</v>
      </c>
      <c r="AC30" s="110" t="n">
        <f aca="false">ROUNDUP(MAX(0,AC28-AC29)/Hipótesis!$D$63,0)</f>
        <v>1</v>
      </c>
      <c r="AD30" s="110" t="n">
        <f aca="false">ROUNDUP(MAX(0,AD28-AD29)/Hipótesis!$D$63,0)</f>
        <v>1</v>
      </c>
      <c r="AE30" s="110" t="n">
        <f aca="false">ROUNDUP(MAX(0,AE28-AE29)/Hipótesis!$D$63,0)</f>
        <v>1</v>
      </c>
      <c r="AF30" s="110" t="n">
        <f aca="false">ROUNDUP(MAX(0,AF28-AF29)/Hipótesis!$D$63,0)</f>
        <v>1</v>
      </c>
      <c r="AG30" s="110" t="n">
        <f aca="false">ROUNDUP(MAX(0,AG28-AG29)/Hipótesis!$D$63,0)</f>
        <v>1</v>
      </c>
      <c r="AH30" s="110" t="n">
        <f aca="false">ROUNDUP(MAX(0,AH28-AH29)/Hipótesis!$D$63,0)</f>
        <v>1</v>
      </c>
      <c r="AI30" s="110" t="n">
        <f aca="false">ROUNDUP(MAX(0,AI28-AI29)/Hipótesis!$D$63,0)</f>
        <v>2</v>
      </c>
      <c r="AJ30" s="110" t="n">
        <f aca="false">ROUNDUP(MAX(0,AJ28-AJ29)/Hipótesis!$D$63,0)</f>
        <v>2</v>
      </c>
      <c r="AK30" s="110" t="n">
        <f aca="false">ROUNDUP(MAX(0,AK28-AK29)/Hipótesis!$D$63,0)</f>
        <v>2</v>
      </c>
      <c r="AL30" s="110" t="n">
        <f aca="false">ROUNDUP(MAX(0,AL28-AL29)/Hipótesis!$D$63,0)</f>
        <v>2</v>
      </c>
      <c r="AM30" s="110" t="n">
        <f aca="false">ROUNDUP(MAX(0,AM28-AM29)/Hipótesis!$D$63,0)</f>
        <v>2</v>
      </c>
      <c r="AN30" s="110" t="n">
        <f aca="false">ROUNDUP(MAX(0,AN28-AN29)/Hipótesis!$D$63,0)</f>
        <v>2</v>
      </c>
      <c r="AO30" s="110" t="n">
        <f aca="false">ROUNDUP(MAX(0,AO28-AO29)/Hipótesis!$D$63,0)</f>
        <v>2</v>
      </c>
      <c r="AP30" s="110" t="n">
        <f aca="false">ROUNDUP(MAX(0,AP28-AP29)/Hipótesis!$D$63,0)</f>
        <v>2</v>
      </c>
      <c r="AQ30" s="110" t="n">
        <f aca="false">ROUNDUP(MAX(0,AQ28-AQ29)/Hipótesis!$D$63,0)</f>
        <v>2</v>
      </c>
      <c r="AR30" s="110" t="n">
        <f aca="false">ROUNDUP(MAX(0,AR28-AR29)/Hipótesis!$D$63,0)</f>
        <v>2</v>
      </c>
      <c r="AS30" s="110" t="n">
        <f aca="false">ROUNDUP(MAX(0,AS28-AS29)/Hipótesis!$D$63,0)</f>
        <v>2</v>
      </c>
      <c r="AT30" s="110" t="n">
        <f aca="false">ROUNDUP(MAX(0,AT28-AT29)/Hipótesis!$D$63,0)</f>
        <v>2</v>
      </c>
      <c r="AU30" s="110" t="n">
        <f aca="false">ROUNDUP(MAX(0,AU28-AU29)/Hipótesis!$D$63,0)</f>
        <v>2</v>
      </c>
      <c r="AV30" s="110" t="n">
        <f aca="false">ROUNDUP(MAX(0,AV28-AV29)/Hipótesis!$D$63,0)</f>
        <v>2</v>
      </c>
      <c r="AW30" s="110" t="n">
        <f aca="false">ROUNDUP(MAX(0,AW28-AW29)/Hipótesis!$D$63,0)</f>
        <v>2</v>
      </c>
      <c r="AX30" s="110" t="n">
        <f aca="false">ROUNDUP(MAX(0,AX28-AX29)/Hipótesis!$D$63,0)</f>
        <v>2</v>
      </c>
      <c r="AY30" s="110" t="n">
        <f aca="false">ROUNDUP(MAX(0,AY28-AY29)/Hipótesis!$D$63,0)</f>
        <v>2</v>
      </c>
      <c r="AZ30" s="110" t="n">
        <f aca="false">ROUNDUP(MAX(0,AZ28-AZ29)/Hipótesis!$D$63,0)</f>
        <v>2</v>
      </c>
      <c r="BA30" s="110" t="n">
        <f aca="false">ROUNDUP(MAX(0,BA28-BA29)/Hipótesis!$D$63,0)</f>
        <v>2</v>
      </c>
      <c r="BB30" s="110" t="n">
        <f aca="false">ROUNDUP(MAX(0,BB28-BB29)/Hipótesis!$D$63,0)</f>
        <v>2</v>
      </c>
      <c r="BC30" s="110" t="n">
        <f aca="false">ROUNDUP(MAX(0,BC28-BC29)/Hipótesis!$D$63,0)</f>
        <v>2</v>
      </c>
      <c r="BD30" s="110" t="n">
        <f aca="false">ROUNDUP(MAX(0,BD28-BD29)/Hipótesis!$D$63,0)</f>
        <v>2</v>
      </c>
      <c r="BE30" s="110" t="n">
        <f aca="false">ROUNDUP(MAX(0,BE28-BE29)/Hipótesis!$D$63,0)</f>
        <v>2</v>
      </c>
      <c r="BF30" s="110" t="n">
        <f aca="false">ROUNDUP(MAX(0,BF28-BF29)/Hipótesis!$D$63,0)</f>
        <v>2</v>
      </c>
      <c r="BG30" s="110" t="n">
        <f aca="false">ROUNDUP(MAX(0,BG28-BG29)/Hipótesis!$D$63,0)</f>
        <v>2</v>
      </c>
      <c r="BH30" s="110" t="n">
        <f aca="false">ROUNDUP(MAX(0,BH28-BH29)/Hipótesis!$D$63,0)</f>
        <v>2</v>
      </c>
      <c r="BI30" s="110" t="n">
        <f aca="false">ROUNDUP(MAX(0,BI28-BI29)/Hipótesis!$D$63,0)</f>
        <v>2</v>
      </c>
      <c r="BJ30" s="110" t="n">
        <f aca="false">ROUNDUP(MAX(0,BJ28-BJ29)/Hipótesis!$D$63,0)</f>
        <v>2</v>
      </c>
      <c r="BK30" s="110" t="n">
        <f aca="false">ROUNDUP(MAX(0,BK28-BK29)/Hipótesis!$D$63,0)</f>
        <v>2</v>
      </c>
      <c r="BL30" s="110" t="n">
        <f aca="false">ROUNDUP(MAX(0,BL28-BL29)/Hipótesis!$D$63,0)</f>
        <v>2</v>
      </c>
      <c r="BM30" s="110" t="n">
        <f aca="false">ROUNDUP(MAX(0,BM28-BM29)/Hipótesis!$D$63,0)</f>
        <v>2</v>
      </c>
      <c r="BN30" s="110" t="n">
        <f aca="false">ROUNDUP(MAX(0,BN28-BN29)/Hipótesis!$D$63,0)</f>
        <v>2</v>
      </c>
      <c r="BO30" s="110" t="n">
        <f aca="false">ROUNDUP(MAX(0,BO28-BO29)/Hipótesis!$D$63,0)</f>
        <v>2</v>
      </c>
      <c r="BP30" s="110" t="n">
        <f aca="false">ROUNDUP(MAX(0,BP28-BP29)/Hipótesis!$D$63,0)</f>
        <v>2</v>
      </c>
      <c r="BQ30" s="110" t="n">
        <f aca="false">ROUNDUP(MAX(0,BQ28-BQ29)/Hipótesis!$D$63,0)</f>
        <v>2</v>
      </c>
      <c r="BR30" s="110" t="n">
        <f aca="false">ROUNDUP(MAX(0,BR28-BR29)/Hipótesis!$D$63,0)</f>
        <v>2</v>
      </c>
      <c r="BS30" s="110" t="n">
        <f aca="false">ROUNDUP(MAX(0,BS28-BS29)/Hipótesis!$D$63,0)</f>
        <v>2</v>
      </c>
      <c r="BT30" s="110" t="n">
        <f aca="false">ROUNDUP(MAX(0,BT28-BT29)/Hipótesis!$D$63,0)</f>
        <v>2</v>
      </c>
      <c r="BU30" s="110" t="n">
        <f aca="false">ROUNDUP(MAX(0,BU28-BU29)/Hipótesis!$D$63,0)</f>
        <v>2</v>
      </c>
      <c r="BV30" s="110" t="n">
        <f aca="false">ROUNDUP(MAX(0,BV28-BV29)/Hipótesis!$D$63,0)</f>
        <v>2</v>
      </c>
      <c r="BW30" s="110" t="n">
        <f aca="false">ROUNDUP(MAX(0,BW28-BW29)/Hipótesis!$D$63,0)</f>
        <v>2</v>
      </c>
      <c r="BX30" s="110" t="n">
        <f aca="false">ROUNDUP(MAX(0,BX28-BX29)/Hipótesis!$D$63,0)</f>
        <v>2</v>
      </c>
      <c r="BY30" s="110" t="n">
        <f aca="false">ROUNDUP(MAX(0,BY28-BY29)/Hipótesis!$D$63,0)</f>
        <v>2</v>
      </c>
      <c r="BZ30" s="110" t="n">
        <f aca="false">ROUNDUP(MAX(0,BZ28-BZ29)/Hipótesis!$D$63,0)</f>
        <v>2</v>
      </c>
      <c r="CA30" s="110" t="n">
        <f aca="false">ROUNDUP(MAX(0,CA28-CA29)/Hipótesis!$D$63,0)</f>
        <v>2</v>
      </c>
      <c r="CB30" s="110" t="n">
        <f aca="false">ROUNDUP(MAX(0,CB28-CB29)/Hipótesis!$D$63,0)</f>
        <v>2</v>
      </c>
      <c r="CC30" s="110" t="n">
        <f aca="false">ROUNDUP(MAX(0,CC28-CC29)/Hipótesis!$D$63,0)</f>
        <v>2</v>
      </c>
      <c r="CD30" s="110" t="n">
        <f aca="false">ROUNDUP(MAX(0,CD28-CD29)/Hipótesis!$D$63,0)</f>
        <v>2</v>
      </c>
      <c r="CE30" s="110" t="n">
        <f aca="false">ROUNDUP(MAX(0,CE28-CE29)/Hipótesis!$D$63,0)</f>
        <v>2</v>
      </c>
      <c r="CF30" s="110" t="n">
        <f aca="false">ROUNDUP(MAX(0,CF28-CF29)/Hipótesis!$D$63,0)</f>
        <v>2</v>
      </c>
      <c r="CG30" s="110" t="n">
        <f aca="false">ROUNDUP(MAX(0,CG28-CG29)/Hipótesis!$D$63,0)</f>
        <v>2</v>
      </c>
      <c r="CH30" s="110" t="n">
        <f aca="false">ROUNDUP(MAX(0,CH28-CH29)/Hipótesis!$D$63,0)</f>
        <v>2</v>
      </c>
    </row>
    <row r="31" customFormat="false" ht="13.5" hidden="false" customHeight="true" outlineLevel="0" collapsed="false">
      <c r="A31" s="22" t="s">
        <v>537</v>
      </c>
      <c r="C31" s="110" t="n">
        <f aca="false">SUMPRODUCT((Hipótesis!$D$48:$D$53&lt;=1)*(Hipótesis!$B$48:$B$53))+C30</f>
        <v>4</v>
      </c>
      <c r="D31" s="110" t="n">
        <f aca="false">SUMPRODUCT((Hipótesis!$D$48:$D$53&lt;=2)*(Hipótesis!$B$48:$B$53))+D30</f>
        <v>4</v>
      </c>
      <c r="E31" s="110" t="n">
        <f aca="false">SUMPRODUCT((Hipótesis!$D$48:$D$53&lt;=3)*(Hipótesis!$B$48:$B$53))+E30</f>
        <v>4</v>
      </c>
      <c r="F31" s="110" t="n">
        <f aca="false">SUMPRODUCT((Hipótesis!$D$48:$D$53&lt;=4)*(Hipótesis!$B$48:$B$53))+F30</f>
        <v>4</v>
      </c>
      <c r="G31" s="110" t="n">
        <f aca="false">SUMPRODUCT((Hipótesis!$D$48:$D$53&lt;=5)*(Hipótesis!$B$48:$B$53))+G30</f>
        <v>4</v>
      </c>
      <c r="H31" s="110" t="n">
        <f aca="false">SUMPRODUCT((Hipótesis!$D$48:$D$53&lt;=6)*(Hipótesis!$B$48:$B$53))+H30</f>
        <v>4</v>
      </c>
      <c r="I31" s="110" t="n">
        <f aca="false">SUMPRODUCT((Hipótesis!$D$48:$D$53&lt;=7)*(Hipótesis!$B$48:$B$53))+I30</f>
        <v>4</v>
      </c>
      <c r="J31" s="110" t="n">
        <f aca="false">SUMPRODUCT((Hipótesis!$D$48:$D$53&lt;=8)*(Hipótesis!$B$48:$B$53))+J30</f>
        <v>4</v>
      </c>
      <c r="K31" s="110" t="n">
        <f aca="false">SUMPRODUCT((Hipótesis!$D$48:$D$53&lt;=9)*(Hipótesis!$B$48:$B$53))+K30</f>
        <v>4</v>
      </c>
      <c r="L31" s="110" t="n">
        <f aca="false">SUMPRODUCT((Hipótesis!$D$48:$D$53&lt;=10)*(Hipótesis!$B$48:$B$53))+L30</f>
        <v>4</v>
      </c>
      <c r="M31" s="110" t="n">
        <f aca="false">SUMPRODUCT((Hipótesis!$D$48:$D$53&lt;=11)*(Hipótesis!$B$48:$B$53))+M30</f>
        <v>4</v>
      </c>
      <c r="N31" s="110" t="n">
        <f aca="false">SUMPRODUCT((Hipótesis!$D$48:$D$53&lt;=12)*(Hipótesis!$B$48:$B$53))+N30</f>
        <v>4</v>
      </c>
      <c r="O31" s="110" t="n">
        <f aca="false">SUMPRODUCT((Hipótesis!$D$48:$D$53&lt;=13)*(Hipótesis!$B$48:$B$53))+O30</f>
        <v>4</v>
      </c>
      <c r="P31" s="110" t="n">
        <f aca="false">SUMPRODUCT((Hipótesis!$D$48:$D$53&lt;=14)*(Hipótesis!$B$48:$B$53))+P30</f>
        <v>4</v>
      </c>
      <c r="Q31" s="110" t="n">
        <f aca="false">SUMPRODUCT((Hipótesis!$D$48:$D$53&lt;=15)*(Hipótesis!$B$48:$B$53))+Q30</f>
        <v>4</v>
      </c>
      <c r="R31" s="110" t="n">
        <f aca="false">SUMPRODUCT((Hipótesis!$D$48:$D$53&lt;=16)*(Hipótesis!$B$48:$B$53))+R30</f>
        <v>4</v>
      </c>
      <c r="S31" s="110" t="n">
        <f aca="false">SUMPRODUCT((Hipótesis!$D$48:$D$53&lt;=17)*(Hipótesis!$B$48:$B$53))+S30</f>
        <v>4</v>
      </c>
      <c r="T31" s="110" t="n">
        <f aca="false">SUMPRODUCT((Hipótesis!$D$48:$D$53&lt;=18)*(Hipótesis!$B$48:$B$53))+T30</f>
        <v>4</v>
      </c>
      <c r="U31" s="110" t="n">
        <f aca="false">SUMPRODUCT((Hipótesis!$D$48:$D$53&lt;=19)*(Hipótesis!$B$48:$B$53))+U30</f>
        <v>4</v>
      </c>
      <c r="V31" s="110" t="n">
        <f aca="false">SUMPRODUCT((Hipótesis!$D$48:$D$53&lt;=20)*(Hipótesis!$B$48:$B$53))+V30</f>
        <v>6</v>
      </c>
      <c r="W31" s="110" t="n">
        <f aca="false">SUMPRODUCT((Hipótesis!$D$48:$D$53&lt;=21)*(Hipótesis!$B$48:$B$53))+W30</f>
        <v>6</v>
      </c>
      <c r="X31" s="110" t="n">
        <f aca="false">SUMPRODUCT((Hipótesis!$D$48:$D$53&lt;=22)*(Hipótesis!$B$48:$B$53))+X30</f>
        <v>6</v>
      </c>
      <c r="Y31" s="110" t="n">
        <f aca="false">SUMPRODUCT((Hipótesis!$D$48:$D$53&lt;=23)*(Hipótesis!$B$48:$B$53))+Y30</f>
        <v>6</v>
      </c>
      <c r="Z31" s="110" t="n">
        <f aca="false">SUMPRODUCT((Hipótesis!$D$48:$D$53&lt;=24)*(Hipótesis!$B$48:$B$53))+Z30</f>
        <v>6</v>
      </c>
      <c r="AA31" s="110" t="n">
        <f aca="false">SUMPRODUCT((Hipótesis!$D$48:$D$53&lt;=25)*(Hipótesis!$B$48:$B$53))+AA30</f>
        <v>6</v>
      </c>
      <c r="AB31" s="110" t="n">
        <f aca="false">SUMPRODUCT((Hipótesis!$D$48:$D$53&lt;=26)*(Hipótesis!$B$48:$B$53))+AB30</f>
        <v>6</v>
      </c>
      <c r="AC31" s="110" t="n">
        <f aca="false">SUMPRODUCT((Hipótesis!$D$48:$D$53&lt;=27)*(Hipótesis!$B$48:$B$53))+AC30</f>
        <v>6</v>
      </c>
      <c r="AD31" s="110" t="n">
        <f aca="false">SUMPRODUCT((Hipótesis!$D$48:$D$53&lt;=28)*(Hipótesis!$B$48:$B$53))+AD30</f>
        <v>6</v>
      </c>
      <c r="AE31" s="110" t="n">
        <f aca="false">SUMPRODUCT((Hipótesis!$D$48:$D$53&lt;=29)*(Hipótesis!$B$48:$B$53))+AE30</f>
        <v>6</v>
      </c>
      <c r="AF31" s="110" t="n">
        <f aca="false">SUMPRODUCT((Hipótesis!$D$48:$D$53&lt;=30)*(Hipótesis!$B$48:$B$53))+AF30</f>
        <v>6</v>
      </c>
      <c r="AG31" s="110" t="n">
        <f aca="false">SUMPRODUCT((Hipótesis!$D$48:$D$53&lt;=31)*(Hipótesis!$B$48:$B$53))+AG30</f>
        <v>6</v>
      </c>
      <c r="AH31" s="110" t="n">
        <f aca="false">SUMPRODUCT((Hipótesis!$D$48:$D$53&lt;=32)*(Hipótesis!$B$48:$B$53))+AH30</f>
        <v>6</v>
      </c>
      <c r="AI31" s="110" t="n">
        <f aca="false">SUMPRODUCT((Hipótesis!$D$48:$D$53&lt;=33)*(Hipótesis!$B$48:$B$53))+AI30</f>
        <v>7</v>
      </c>
      <c r="AJ31" s="110" t="n">
        <f aca="false">SUMPRODUCT((Hipótesis!$D$48:$D$53&lt;=34)*(Hipótesis!$B$48:$B$53))+AJ30</f>
        <v>7</v>
      </c>
      <c r="AK31" s="110" t="n">
        <f aca="false">SUMPRODUCT((Hipótesis!$D$48:$D$53&lt;=35)*(Hipótesis!$B$48:$B$53))+AK30</f>
        <v>7</v>
      </c>
      <c r="AL31" s="110" t="n">
        <f aca="false">SUMPRODUCT((Hipótesis!$D$48:$D$53&lt;=36)*(Hipótesis!$B$48:$B$53))+AL30</f>
        <v>7</v>
      </c>
      <c r="AM31" s="110" t="n">
        <f aca="false">SUMPRODUCT((Hipótesis!$D$48:$D$53&lt;=37)*(Hipótesis!$B$48:$B$53))+AM30</f>
        <v>7</v>
      </c>
      <c r="AN31" s="110" t="n">
        <f aca="false">SUMPRODUCT((Hipótesis!$D$48:$D$53&lt;=38)*(Hipótesis!$B$48:$B$53))+AN30</f>
        <v>7</v>
      </c>
      <c r="AO31" s="110" t="n">
        <f aca="false">SUMPRODUCT((Hipótesis!$D$48:$D$53&lt;=39)*(Hipótesis!$B$48:$B$53))+AO30</f>
        <v>7</v>
      </c>
      <c r="AP31" s="110" t="n">
        <f aca="false">SUMPRODUCT((Hipótesis!$D$48:$D$53&lt;=40)*(Hipótesis!$B$48:$B$53))+AP30</f>
        <v>7</v>
      </c>
      <c r="AQ31" s="110" t="n">
        <f aca="false">SUMPRODUCT((Hipótesis!$D$48:$D$53&lt;=41)*(Hipótesis!$B$48:$B$53))+AQ30</f>
        <v>7</v>
      </c>
      <c r="AR31" s="110" t="n">
        <f aca="false">SUMPRODUCT((Hipótesis!$D$48:$D$53&lt;=42)*(Hipótesis!$B$48:$B$53))+AR30</f>
        <v>7</v>
      </c>
      <c r="AS31" s="110" t="n">
        <f aca="false">SUMPRODUCT((Hipótesis!$D$48:$D$53&lt;=43)*(Hipótesis!$B$48:$B$53))+AS30</f>
        <v>7</v>
      </c>
      <c r="AT31" s="110" t="n">
        <f aca="false">SUMPRODUCT((Hipótesis!$D$48:$D$53&lt;=44)*(Hipótesis!$B$48:$B$53))+AT30</f>
        <v>7</v>
      </c>
      <c r="AU31" s="110" t="n">
        <f aca="false">SUMPRODUCT((Hipótesis!$D$48:$D$53&lt;=45)*(Hipótesis!$B$48:$B$53))+AU30</f>
        <v>7</v>
      </c>
      <c r="AV31" s="110" t="n">
        <f aca="false">SUMPRODUCT((Hipótesis!$D$48:$D$53&lt;=46)*(Hipótesis!$B$48:$B$53))+AV30</f>
        <v>7</v>
      </c>
      <c r="AW31" s="110" t="n">
        <f aca="false">SUMPRODUCT((Hipótesis!$D$48:$D$53&lt;=47)*(Hipótesis!$B$48:$B$53))+AW30</f>
        <v>7</v>
      </c>
      <c r="AX31" s="110" t="n">
        <f aca="false">SUMPRODUCT((Hipótesis!$D$48:$D$53&lt;=48)*(Hipótesis!$B$48:$B$53))+AX30</f>
        <v>7</v>
      </c>
      <c r="AY31" s="110" t="n">
        <f aca="false">SUMPRODUCT((Hipótesis!$D$48:$D$53&lt;=49)*(Hipótesis!$B$48:$B$53))+AY30</f>
        <v>7</v>
      </c>
      <c r="AZ31" s="110" t="n">
        <f aca="false">SUMPRODUCT((Hipótesis!$D$48:$D$53&lt;=50)*(Hipótesis!$B$48:$B$53))+AZ30</f>
        <v>7</v>
      </c>
      <c r="BA31" s="110" t="n">
        <f aca="false">SUMPRODUCT((Hipótesis!$D$48:$D$53&lt;=51)*(Hipótesis!$B$48:$B$53))+BA30</f>
        <v>7</v>
      </c>
      <c r="BB31" s="110" t="n">
        <f aca="false">SUMPRODUCT((Hipótesis!$D$48:$D$53&lt;=52)*(Hipótesis!$B$48:$B$53))+BB30</f>
        <v>7</v>
      </c>
      <c r="BC31" s="110" t="n">
        <f aca="false">SUMPRODUCT((Hipótesis!$D$48:$D$53&lt;=53)*(Hipótesis!$B$48:$B$53))+BC30</f>
        <v>7</v>
      </c>
      <c r="BD31" s="110" t="n">
        <f aca="false">SUMPRODUCT((Hipótesis!$D$48:$D$53&lt;=54)*(Hipótesis!$B$48:$B$53))+BD30</f>
        <v>7</v>
      </c>
      <c r="BE31" s="110" t="n">
        <f aca="false">SUMPRODUCT((Hipótesis!$D$48:$D$53&lt;=55)*(Hipótesis!$B$48:$B$53))+BE30</f>
        <v>7</v>
      </c>
      <c r="BF31" s="110" t="n">
        <f aca="false">SUMPRODUCT((Hipótesis!$D$48:$D$53&lt;=56)*(Hipótesis!$B$48:$B$53))+BF30</f>
        <v>7</v>
      </c>
      <c r="BG31" s="110" t="n">
        <f aca="false">SUMPRODUCT((Hipótesis!$D$48:$D$53&lt;=57)*(Hipótesis!$B$48:$B$53))+BG30</f>
        <v>7</v>
      </c>
      <c r="BH31" s="110" t="n">
        <f aca="false">SUMPRODUCT((Hipótesis!$D$48:$D$53&lt;=58)*(Hipótesis!$B$48:$B$53))+BH30</f>
        <v>7</v>
      </c>
      <c r="BI31" s="110" t="n">
        <f aca="false">SUMPRODUCT((Hipótesis!$D$48:$D$53&lt;=59)*(Hipótesis!$B$48:$B$53))+BI30</f>
        <v>7</v>
      </c>
      <c r="BJ31" s="110" t="n">
        <f aca="false">SUMPRODUCT((Hipótesis!$D$48:$D$53&lt;=60)*(Hipótesis!$B$48:$B$53))+BJ30</f>
        <v>7</v>
      </c>
      <c r="BK31" s="110" t="n">
        <f aca="false">SUMPRODUCT((Hipótesis!$D$48:$D$53&lt;=61)*(Hipótesis!$B$48:$B$53))+BK30</f>
        <v>7</v>
      </c>
      <c r="BL31" s="110" t="n">
        <f aca="false">SUMPRODUCT((Hipótesis!$D$48:$D$53&lt;=62)*(Hipótesis!$B$48:$B$53))+BL30</f>
        <v>7</v>
      </c>
      <c r="BM31" s="110" t="n">
        <f aca="false">SUMPRODUCT((Hipótesis!$D$48:$D$53&lt;=63)*(Hipótesis!$B$48:$B$53))+BM30</f>
        <v>7</v>
      </c>
      <c r="BN31" s="110" t="n">
        <f aca="false">SUMPRODUCT((Hipótesis!$D$48:$D$53&lt;=64)*(Hipótesis!$B$48:$B$53))+BN30</f>
        <v>7</v>
      </c>
      <c r="BO31" s="110" t="n">
        <f aca="false">SUMPRODUCT((Hipótesis!$D$48:$D$53&lt;=65)*(Hipótesis!$B$48:$B$53))+BO30</f>
        <v>7</v>
      </c>
      <c r="BP31" s="110" t="n">
        <f aca="false">SUMPRODUCT((Hipótesis!$D$48:$D$53&lt;=66)*(Hipótesis!$B$48:$B$53))+BP30</f>
        <v>7</v>
      </c>
      <c r="BQ31" s="110" t="n">
        <f aca="false">SUMPRODUCT((Hipótesis!$D$48:$D$53&lt;=67)*(Hipótesis!$B$48:$B$53))+BQ30</f>
        <v>7</v>
      </c>
      <c r="BR31" s="110" t="n">
        <f aca="false">SUMPRODUCT((Hipótesis!$D$48:$D$53&lt;=68)*(Hipótesis!$B$48:$B$53))+BR30</f>
        <v>7</v>
      </c>
      <c r="BS31" s="110" t="n">
        <f aca="false">SUMPRODUCT((Hipótesis!$D$48:$D$53&lt;=69)*(Hipótesis!$B$48:$B$53))+BS30</f>
        <v>7</v>
      </c>
      <c r="BT31" s="110" t="n">
        <f aca="false">SUMPRODUCT((Hipótesis!$D$48:$D$53&lt;=70)*(Hipótesis!$B$48:$B$53))+BT30</f>
        <v>7</v>
      </c>
      <c r="BU31" s="110" t="n">
        <f aca="false">SUMPRODUCT((Hipótesis!$D$48:$D$53&lt;=71)*(Hipótesis!$B$48:$B$53))+BU30</f>
        <v>7</v>
      </c>
      <c r="BV31" s="110" t="n">
        <f aca="false">SUMPRODUCT((Hipótesis!$D$48:$D$53&lt;=72)*(Hipótesis!$B$48:$B$53))+BV30</f>
        <v>7</v>
      </c>
      <c r="BW31" s="110" t="n">
        <f aca="false">SUMPRODUCT((Hipótesis!$D$48:$D$53&lt;=73)*(Hipótesis!$B$48:$B$53))+BW30</f>
        <v>7</v>
      </c>
      <c r="BX31" s="110" t="n">
        <f aca="false">SUMPRODUCT((Hipótesis!$D$48:$D$53&lt;=74)*(Hipótesis!$B$48:$B$53))+BX30</f>
        <v>7</v>
      </c>
      <c r="BY31" s="110" t="n">
        <f aca="false">SUMPRODUCT((Hipótesis!$D$48:$D$53&lt;=75)*(Hipótesis!$B$48:$B$53))+BY30</f>
        <v>7</v>
      </c>
      <c r="BZ31" s="110" t="n">
        <f aca="false">SUMPRODUCT((Hipótesis!$D$48:$D$53&lt;=76)*(Hipótesis!$B$48:$B$53))+BZ30</f>
        <v>7</v>
      </c>
      <c r="CA31" s="110" t="n">
        <f aca="false">SUMPRODUCT((Hipótesis!$D$48:$D$53&lt;=77)*(Hipótesis!$B$48:$B$53))+CA30</f>
        <v>7</v>
      </c>
      <c r="CB31" s="110" t="n">
        <f aca="false">SUMPRODUCT((Hipótesis!$D$48:$D$53&lt;=78)*(Hipótesis!$B$48:$B$53))+CB30</f>
        <v>7</v>
      </c>
      <c r="CC31" s="110" t="n">
        <f aca="false">SUMPRODUCT((Hipótesis!$D$48:$D$53&lt;=79)*(Hipótesis!$B$48:$B$53))+CC30</f>
        <v>7</v>
      </c>
      <c r="CD31" s="110" t="n">
        <f aca="false">SUMPRODUCT((Hipótesis!$D$48:$D$53&lt;=80)*(Hipótesis!$B$48:$B$53))+CD30</f>
        <v>7</v>
      </c>
      <c r="CE31" s="110" t="n">
        <f aca="false">SUMPRODUCT((Hipótesis!$D$48:$D$53&lt;=81)*(Hipótesis!$B$48:$B$53))+CE30</f>
        <v>7</v>
      </c>
      <c r="CF31" s="110" t="n">
        <f aca="false">SUMPRODUCT((Hipótesis!$D$48:$D$53&lt;=82)*(Hipótesis!$B$48:$B$53))+CF30</f>
        <v>7</v>
      </c>
      <c r="CG31" s="110" t="n">
        <f aca="false">SUMPRODUCT((Hipótesis!$D$48:$D$53&lt;=83)*(Hipótesis!$B$48:$B$53))+CG30</f>
        <v>7</v>
      </c>
      <c r="CH31" s="110" t="n">
        <f aca="false">SUMPRODUCT((Hipótesis!$D$48:$D$53&lt;=84)*(Hipótesis!$B$48:$B$53))+CH30</f>
        <v>7</v>
      </c>
    </row>
    <row r="32" customFormat="false" ht="13.5" hidden="false" customHeight="true" outlineLevel="0" collapsed="false"/>
    <row r="33" customFormat="false" ht="12.75" hidden="false" customHeight="true" outlineLevel="0" collapsed="false">
      <c r="A33" s="9" t="s">
        <v>538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</row>
    <row r="34" customFormat="false" ht="13.5" hidden="false" customHeight="true" outlineLevel="0" collapsed="false">
      <c r="A34" s="6" t="s">
        <v>539</v>
      </c>
      <c r="C34" s="109" t="n">
        <f aca="false">C16*C21*Hipótesis!$E$16</f>
        <v>1357.52625</v>
      </c>
      <c r="D34" s="109" t="n">
        <f aca="false">D16*D21*Hipótesis!$E$16</f>
        <v>2820.7575</v>
      </c>
      <c r="E34" s="109" t="n">
        <f aca="false">E16*E21*Hipótesis!$E$16</f>
        <v>5875.06921875</v>
      </c>
      <c r="F34" s="109" t="n">
        <f aca="false">F16*F21*Hipótesis!$E$16</f>
        <v>7571.8546875</v>
      </c>
      <c r="G34" s="109" t="n">
        <f aca="false">G16*G21*Hipótesis!$E$16</f>
        <v>9162.93515625</v>
      </c>
      <c r="H34" s="109" t="n">
        <f aca="false">H16*H21*Hipótesis!$E$16</f>
        <v>11722.978125</v>
      </c>
      <c r="I34" s="109" t="n">
        <f aca="false">I16*I21*Hipótesis!$E$16</f>
        <v>14283.02109375</v>
      </c>
      <c r="J34" s="109" t="n">
        <f aca="false">J16*J21*Hipótesis!$E$16</f>
        <v>16843.0640625</v>
      </c>
      <c r="K34" s="109" t="n">
        <f aca="false">K16*K21*Hipótesis!$E$16</f>
        <v>19403.10703125</v>
      </c>
      <c r="L34" s="109" t="n">
        <f aca="false">L16*L21*Hipótesis!$E$16</f>
        <v>21963.15</v>
      </c>
      <c r="M34" s="109" t="n">
        <f aca="false">M16*M21*Hipótesis!$E$16</f>
        <v>22932.1125</v>
      </c>
      <c r="N34" s="109" t="n">
        <f aca="false">N16*N21*Hipótesis!$E$16</f>
        <v>25222.3875</v>
      </c>
      <c r="O34" s="109" t="n">
        <f aca="false">O16*O21*Hipótesis!$E$16</f>
        <v>27512.6625</v>
      </c>
      <c r="P34" s="109" t="n">
        <f aca="false">P16*P21*Hipótesis!$E$16</f>
        <v>29327.265</v>
      </c>
      <c r="Q34" s="109" t="n">
        <f aca="false">Q16*Q21*Hipótesis!$E$16</f>
        <v>31141.8675</v>
      </c>
      <c r="R34" s="109" t="n">
        <f aca="false">R16*R21*Hipótesis!$E$16</f>
        <v>32956.47</v>
      </c>
      <c r="S34" s="109" t="n">
        <f aca="false">S16*S21*Hipótesis!$E$16</f>
        <v>34771.0725</v>
      </c>
      <c r="T34" s="109" t="n">
        <f aca="false">T16*T21*Hipótesis!$E$16</f>
        <v>36585.675</v>
      </c>
      <c r="U34" s="109" t="n">
        <f aca="false">U16*U21*Hipótesis!$E$16</f>
        <v>38400.2775</v>
      </c>
      <c r="V34" s="109" t="n">
        <f aca="false">V16*V21*Hipótesis!$E$16</f>
        <v>40214.88</v>
      </c>
      <c r="W34" s="109" t="n">
        <f aca="false">W16*W21*Hipótesis!$E$16</f>
        <v>42029.4825</v>
      </c>
      <c r="X34" s="109" t="n">
        <f aca="false">X16*X21*Hipótesis!$E$16</f>
        <v>42522.7725</v>
      </c>
      <c r="Y34" s="109" t="n">
        <f aca="false">Y16*Y21*Hipótesis!$E$16</f>
        <v>43016.0625</v>
      </c>
      <c r="Z34" s="109" t="n">
        <f aca="false">Z16*Z21*Hipótesis!$E$16</f>
        <v>43016.0625</v>
      </c>
      <c r="AA34" s="109" t="n">
        <f aca="false">AA16*AA21*Hipótesis!$E$16</f>
        <v>43016.0625</v>
      </c>
      <c r="AB34" s="109" t="n">
        <f aca="false">AB16*AB21*Hipótesis!$E$16</f>
        <v>43016.0625</v>
      </c>
      <c r="AC34" s="109" t="n">
        <f aca="false">AC16*AC21*Hipótesis!$E$16</f>
        <v>43016.0625</v>
      </c>
      <c r="AD34" s="109" t="n">
        <f aca="false">AD16*AD21*Hipótesis!$E$16</f>
        <v>43016.0625</v>
      </c>
      <c r="AE34" s="109" t="n">
        <f aca="false">AE16*AE21*Hipótesis!$E$16</f>
        <v>43016.0625</v>
      </c>
      <c r="AF34" s="109" t="n">
        <f aca="false">AF16*AF21*Hipótesis!$E$16</f>
        <v>43016.0625</v>
      </c>
      <c r="AG34" s="109" t="n">
        <f aca="false">AG16*AG21*Hipótesis!$E$16</f>
        <v>43016.0625</v>
      </c>
      <c r="AH34" s="109" t="n">
        <f aca="false">AH16*AH21*Hipótesis!$E$16</f>
        <v>43016.0625</v>
      </c>
      <c r="AI34" s="109" t="n">
        <f aca="false">AI16*AI21*Hipótesis!$E$16</f>
        <v>43016.0625</v>
      </c>
      <c r="AJ34" s="109" t="n">
        <f aca="false">AJ16*AJ21*Hipótesis!$E$16</f>
        <v>43016.0625</v>
      </c>
      <c r="AK34" s="109" t="n">
        <f aca="false">AK16*AK21*Hipótesis!$E$16</f>
        <v>43016.0625</v>
      </c>
      <c r="AL34" s="109" t="n">
        <f aca="false">AL16*AL21*Hipótesis!$E$16</f>
        <v>43016.0625</v>
      </c>
      <c r="AM34" s="109" t="n">
        <f aca="false">AM16*AM21*Hipótesis!$E$16</f>
        <v>43016.0625</v>
      </c>
      <c r="AN34" s="109" t="n">
        <f aca="false">AN16*AN21*Hipótesis!$E$16</f>
        <v>43016.0625</v>
      </c>
      <c r="AO34" s="109" t="n">
        <f aca="false">AO16*AO21*Hipótesis!$E$16</f>
        <v>43016.0625</v>
      </c>
      <c r="AP34" s="109" t="n">
        <f aca="false">AP16*AP21*Hipótesis!$E$16</f>
        <v>43016.0625</v>
      </c>
      <c r="AQ34" s="109" t="n">
        <f aca="false">AQ16*AQ21*Hipótesis!$E$16</f>
        <v>43016.0625</v>
      </c>
      <c r="AR34" s="109" t="n">
        <f aca="false">AR16*AR21*Hipótesis!$E$16</f>
        <v>43016.0625</v>
      </c>
      <c r="AS34" s="109" t="n">
        <f aca="false">AS16*AS21*Hipótesis!$E$16</f>
        <v>43016.0625</v>
      </c>
      <c r="AT34" s="109" t="n">
        <f aca="false">AT16*AT21*Hipótesis!$E$16</f>
        <v>43016.0625</v>
      </c>
      <c r="AU34" s="109" t="n">
        <f aca="false">AU16*AU21*Hipótesis!$E$16</f>
        <v>43016.0625</v>
      </c>
      <c r="AV34" s="109" t="n">
        <f aca="false">AV16*AV21*Hipótesis!$E$16</f>
        <v>43016.0625</v>
      </c>
      <c r="AW34" s="109" t="n">
        <f aca="false">AW16*AW21*Hipótesis!$E$16</f>
        <v>43016.0625</v>
      </c>
      <c r="AX34" s="109" t="n">
        <f aca="false">AX16*AX21*Hipótesis!$E$16</f>
        <v>43016.0625</v>
      </c>
      <c r="AY34" s="109" t="n">
        <f aca="false">AY16*AY21*Hipótesis!$E$16</f>
        <v>43016.0625</v>
      </c>
      <c r="AZ34" s="109" t="n">
        <f aca="false">AZ16*AZ21*Hipótesis!$E$16</f>
        <v>43016.0625</v>
      </c>
      <c r="BA34" s="109" t="n">
        <f aca="false">BA16*BA21*Hipótesis!$E$16</f>
        <v>43016.0625</v>
      </c>
      <c r="BB34" s="109" t="n">
        <f aca="false">BB16*BB21*Hipótesis!$E$16</f>
        <v>43016.0625</v>
      </c>
      <c r="BC34" s="109" t="n">
        <f aca="false">BC16*BC21*Hipótesis!$E$16</f>
        <v>43016.0625</v>
      </c>
      <c r="BD34" s="109" t="n">
        <f aca="false">BD16*BD21*Hipótesis!$E$16</f>
        <v>43016.0625</v>
      </c>
      <c r="BE34" s="109" t="n">
        <f aca="false">BE16*BE21*Hipótesis!$E$16</f>
        <v>43016.0625</v>
      </c>
      <c r="BF34" s="109" t="n">
        <f aca="false">BF16*BF21*Hipótesis!$E$16</f>
        <v>43016.0625</v>
      </c>
      <c r="BG34" s="109" t="n">
        <f aca="false">BG16*BG21*Hipótesis!$E$16</f>
        <v>43016.0625</v>
      </c>
      <c r="BH34" s="109" t="n">
        <f aca="false">BH16*BH21*Hipótesis!$E$16</f>
        <v>43016.0625</v>
      </c>
      <c r="BI34" s="109" t="n">
        <f aca="false">BI16*BI21*Hipótesis!$E$16</f>
        <v>43016.0625</v>
      </c>
      <c r="BJ34" s="109" t="n">
        <f aca="false">BJ16*BJ21*Hipótesis!$E$16</f>
        <v>43016.0625</v>
      </c>
      <c r="BK34" s="109" t="n">
        <f aca="false">BK16*BK21*Hipótesis!$E$16</f>
        <v>43016.0625</v>
      </c>
      <c r="BL34" s="109" t="n">
        <f aca="false">BL16*BL21*Hipótesis!$E$16</f>
        <v>43016.0625</v>
      </c>
      <c r="BM34" s="109" t="n">
        <f aca="false">BM16*BM21*Hipótesis!$E$16</f>
        <v>43016.0625</v>
      </c>
      <c r="BN34" s="109" t="n">
        <f aca="false">BN16*BN21*Hipótesis!$E$16</f>
        <v>43016.0625</v>
      </c>
      <c r="BO34" s="109" t="n">
        <f aca="false">BO16*BO21*Hipótesis!$E$16</f>
        <v>43016.0625</v>
      </c>
      <c r="BP34" s="109" t="n">
        <f aca="false">BP16*BP21*Hipótesis!$E$16</f>
        <v>43016.0625</v>
      </c>
      <c r="BQ34" s="109" t="n">
        <f aca="false">BQ16*BQ21*Hipótesis!$E$16</f>
        <v>43016.0625</v>
      </c>
      <c r="BR34" s="109" t="n">
        <f aca="false">BR16*BR21*Hipótesis!$E$16</f>
        <v>43016.0625</v>
      </c>
      <c r="BS34" s="109" t="n">
        <f aca="false">BS16*BS21*Hipótesis!$E$16</f>
        <v>43016.0625</v>
      </c>
      <c r="BT34" s="109" t="n">
        <f aca="false">BT16*BT21*Hipótesis!$E$16</f>
        <v>43016.0625</v>
      </c>
      <c r="BU34" s="109" t="n">
        <f aca="false">BU16*BU21*Hipótesis!$E$16</f>
        <v>43016.0625</v>
      </c>
      <c r="BV34" s="109" t="n">
        <f aca="false">BV16*BV21*Hipótesis!$E$16</f>
        <v>43016.0625</v>
      </c>
      <c r="BW34" s="109" t="n">
        <f aca="false">BW16*BW21*Hipótesis!$E$16</f>
        <v>43016.0625</v>
      </c>
      <c r="BX34" s="109" t="n">
        <f aca="false">BX16*BX21*Hipótesis!$E$16</f>
        <v>43016.0625</v>
      </c>
      <c r="BY34" s="109" t="n">
        <f aca="false">BY16*BY21*Hipótesis!$E$16</f>
        <v>43016.0625</v>
      </c>
      <c r="BZ34" s="109" t="n">
        <f aca="false">BZ16*BZ21*Hipótesis!$E$16</f>
        <v>43016.0625</v>
      </c>
      <c r="CA34" s="109" t="n">
        <f aca="false">CA16*CA21*Hipótesis!$E$16</f>
        <v>43016.0625</v>
      </c>
      <c r="CB34" s="109" t="n">
        <f aca="false">CB16*CB21*Hipótesis!$E$16</f>
        <v>43016.0625</v>
      </c>
      <c r="CC34" s="109" t="n">
        <f aca="false">CC16*CC21*Hipótesis!$E$16</f>
        <v>43016.0625</v>
      </c>
      <c r="CD34" s="109" t="n">
        <f aca="false">CD16*CD21*Hipótesis!$E$16</f>
        <v>43016.0625</v>
      </c>
      <c r="CE34" s="109" t="n">
        <f aca="false">CE16*CE21*Hipótesis!$E$16</f>
        <v>43016.0625</v>
      </c>
      <c r="CF34" s="109" t="n">
        <f aca="false">CF16*CF21*Hipótesis!$E$16</f>
        <v>43016.0625</v>
      </c>
      <c r="CG34" s="109" t="n">
        <f aca="false">CG16*CG21*Hipótesis!$E$16</f>
        <v>43016.0625</v>
      </c>
      <c r="CH34" s="109" t="n">
        <f aca="false">CH16*CH21*Hipótesis!$E$16</f>
        <v>43016.0625</v>
      </c>
    </row>
    <row r="35" customFormat="false" ht="13.5" hidden="false" customHeight="true" outlineLevel="0" collapsed="false">
      <c r="A35" s="6" t="s">
        <v>540</v>
      </c>
      <c r="C35" s="109" t="n">
        <f aca="false">C23*(Hipótesis!$E$30*Hipótesis!$E$20+(1-Hipótesis!$E$30)*Hipótesis!$E$21)</f>
        <v>0</v>
      </c>
      <c r="D35" s="109" t="n">
        <f aca="false">D23*(Hipótesis!$E$30*Hipótesis!$E$20+(1-Hipótesis!$E$30)*Hipótesis!$E$21)</f>
        <v>0</v>
      </c>
      <c r="E35" s="109" t="n">
        <f aca="false">E23*(Hipótesis!$E$30*Hipótesis!$E$20+(1-Hipótesis!$E$30)*Hipótesis!$E$21)</f>
        <v>0</v>
      </c>
      <c r="F35" s="109" t="n">
        <f aca="false">F23*(Hipótesis!$E$30*Hipótesis!$E$20+(1-Hipótesis!$E$30)*Hipótesis!$E$21)</f>
        <v>0</v>
      </c>
      <c r="G35" s="109" t="n">
        <f aca="false">G23*(Hipótesis!$E$30*Hipótesis!$E$20+(1-Hipótesis!$E$30)*Hipótesis!$E$21)</f>
        <v>0</v>
      </c>
      <c r="H35" s="109" t="n">
        <f aca="false">H23*(Hipótesis!$E$30*Hipótesis!$E$20+(1-Hipótesis!$E$30)*Hipótesis!$E$21)</f>
        <v>0</v>
      </c>
      <c r="I35" s="109" t="n">
        <f aca="false">I23*(Hipótesis!$E$30*Hipótesis!$E$20+(1-Hipótesis!$E$30)*Hipótesis!$E$21)</f>
        <v>2607.28093672833</v>
      </c>
      <c r="J35" s="109" t="n">
        <f aca="false">J23*(Hipótesis!$E$30*Hipótesis!$E$20+(1-Hipótesis!$E$30)*Hipótesis!$E$21)</f>
        <v>5214.56187345665</v>
      </c>
      <c r="K35" s="109" t="n">
        <f aca="false">K23*(Hipótesis!$E$30*Hipótesis!$E$20+(1-Hipótesis!$E$30)*Hipótesis!$E$21)</f>
        <v>7821.84281018497</v>
      </c>
      <c r="L35" s="109" t="n">
        <f aca="false">L23*(Hipótesis!$E$30*Hipótesis!$E$20+(1-Hipótesis!$E$30)*Hipótesis!$E$21)</f>
        <v>10429.1237469133</v>
      </c>
      <c r="M35" s="109" t="n">
        <f aca="false">M23*(Hipótesis!$E$30*Hipótesis!$E$20+(1-Hipótesis!$E$30)*Hipótesis!$E$21)</f>
        <v>13036.4046836416</v>
      </c>
      <c r="N35" s="109" t="n">
        <f aca="false">N23*(Hipótesis!$E$30*Hipótesis!$E$20+(1-Hipótesis!$E$30)*Hipótesis!$E$21)</f>
        <v>15643.6856203699</v>
      </c>
      <c r="O35" s="109" t="n">
        <f aca="false">O23*(Hipótesis!$E$30*Hipótesis!$E$20+(1-Hipótesis!$E$30)*Hipótesis!$E$21)</f>
        <v>18250.9665570983</v>
      </c>
      <c r="P35" s="109" t="n">
        <f aca="false">P23*(Hipótesis!$E$30*Hipótesis!$E$20+(1-Hipótesis!$E$30)*Hipótesis!$E$21)</f>
        <v>20858.2474938266</v>
      </c>
      <c r="Q35" s="109" t="n">
        <f aca="false">Q23*(Hipótesis!$E$30*Hipótesis!$E$20+(1-Hipótesis!$E$30)*Hipótesis!$E$21)</f>
        <v>23465.5284305549</v>
      </c>
      <c r="R35" s="109" t="n">
        <f aca="false">R23*(Hipótesis!$E$30*Hipótesis!$E$20+(1-Hipótesis!$E$30)*Hipótesis!$E$21)</f>
        <v>26072.8093672833</v>
      </c>
      <c r="S35" s="109" t="n">
        <f aca="false">S23*(Hipótesis!$E$30*Hipótesis!$E$20+(1-Hipótesis!$E$30)*Hipótesis!$E$21)</f>
        <v>28680.0903040116</v>
      </c>
      <c r="T35" s="109" t="n">
        <f aca="false">T23*(Hipótesis!$E$30*Hipótesis!$E$20+(1-Hipótesis!$E$30)*Hipótesis!$E$21)</f>
        <v>31287.3712407399</v>
      </c>
      <c r="U35" s="109" t="n">
        <f aca="false">U23*(Hipótesis!$E$30*Hipótesis!$E$20+(1-Hipótesis!$E$30)*Hipótesis!$E$21)</f>
        <v>33894.6521774682</v>
      </c>
      <c r="V35" s="109" t="n">
        <f aca="false">V23*(Hipótesis!$E$30*Hipótesis!$E$20+(1-Hipótesis!$E$30)*Hipótesis!$E$21)</f>
        <v>36501.9331141965</v>
      </c>
      <c r="W35" s="109" t="n">
        <f aca="false">W23*(Hipótesis!$E$30*Hipótesis!$E$20+(1-Hipótesis!$E$30)*Hipótesis!$E$21)</f>
        <v>39109.2140509249</v>
      </c>
      <c r="X35" s="109" t="n">
        <f aca="false">X23*(Hipótesis!$E$30*Hipótesis!$E$20+(1-Hipótesis!$E$30)*Hipótesis!$E$21)</f>
        <v>41716.4949876532</v>
      </c>
      <c r="Y35" s="109" t="n">
        <f aca="false">Y23*(Hipótesis!$E$30*Hipótesis!$E$20+(1-Hipótesis!$E$30)*Hipótesis!$E$21)</f>
        <v>44323.7759243815</v>
      </c>
      <c r="Z35" s="109" t="n">
        <f aca="false">Z23*(Hipótesis!$E$30*Hipótesis!$E$20+(1-Hipótesis!$E$30)*Hipótesis!$E$21)</f>
        <v>46931.0568611099</v>
      </c>
      <c r="AA35" s="109" t="n">
        <f aca="false">AA23*(Hipótesis!$E$30*Hipótesis!$E$20+(1-Hipótesis!$E$30)*Hipótesis!$E$21)</f>
        <v>49538.3377978382</v>
      </c>
      <c r="AB35" s="109" t="n">
        <f aca="false">AB23*(Hipótesis!$E$30*Hipótesis!$E$20+(1-Hipótesis!$E$30)*Hipótesis!$E$21)</f>
        <v>52145.6187345665</v>
      </c>
      <c r="AC35" s="109" t="n">
        <f aca="false">AC23*(Hipótesis!$E$30*Hipótesis!$E$20+(1-Hipótesis!$E$30)*Hipótesis!$E$21)</f>
        <v>54752.8996712948</v>
      </c>
      <c r="AD35" s="109" t="n">
        <f aca="false">AD23*(Hipótesis!$E$30*Hipótesis!$E$20+(1-Hipótesis!$E$30)*Hipótesis!$E$21)</f>
        <v>57360.1806080232</v>
      </c>
      <c r="AE35" s="109" t="n">
        <f aca="false">AE23*(Hipótesis!$E$30*Hipótesis!$E$20+(1-Hipótesis!$E$30)*Hipótesis!$E$21)</f>
        <v>59967.4615447515</v>
      </c>
      <c r="AF35" s="109" t="n">
        <f aca="false">AF23*(Hipótesis!$E$30*Hipótesis!$E$20+(1-Hipótesis!$E$30)*Hipótesis!$E$21)</f>
        <v>62574.7424814798</v>
      </c>
      <c r="AG35" s="109" t="n">
        <f aca="false">AG23*(Hipótesis!$E$30*Hipótesis!$E$20+(1-Hipótesis!$E$30)*Hipótesis!$E$21)</f>
        <v>65182.0234182081</v>
      </c>
      <c r="AH35" s="109" t="n">
        <f aca="false">AH23*(Hipótesis!$E$30*Hipótesis!$E$20+(1-Hipótesis!$E$30)*Hipótesis!$E$21)</f>
        <v>67789.3043549364</v>
      </c>
      <c r="AI35" s="109" t="n">
        <f aca="false">AI23*(Hipótesis!$E$30*Hipótesis!$E$20+(1-Hipótesis!$E$30)*Hipótesis!$E$21)</f>
        <v>70396.5852916648</v>
      </c>
      <c r="AJ35" s="109" t="n">
        <f aca="false">AJ23*(Hipótesis!$E$30*Hipótesis!$E$20+(1-Hipótesis!$E$30)*Hipótesis!$E$21)</f>
        <v>73003.8662283931</v>
      </c>
      <c r="AK35" s="109" t="n">
        <f aca="false">AK23*(Hipótesis!$E$30*Hipótesis!$E$20+(1-Hipótesis!$E$30)*Hipótesis!$E$21)</f>
        <v>75611.1471651214</v>
      </c>
      <c r="AL35" s="109" t="n">
        <f aca="false">AL23*(Hipótesis!$E$30*Hipótesis!$E$20+(1-Hipótesis!$E$30)*Hipótesis!$E$21)</f>
        <v>78218.4281018497</v>
      </c>
      <c r="AM35" s="109" t="n">
        <f aca="false">AM23*(Hipótesis!$E$30*Hipótesis!$E$20+(1-Hipótesis!$E$30)*Hipótesis!$E$21)</f>
        <v>80825.7090385781</v>
      </c>
      <c r="AN35" s="109" t="n">
        <f aca="false">AN23*(Hipótesis!$E$30*Hipótesis!$E$20+(1-Hipótesis!$E$30)*Hipótesis!$E$21)</f>
        <v>83432.9899753064</v>
      </c>
      <c r="AO35" s="109" t="n">
        <f aca="false">AO23*(Hipótesis!$E$30*Hipótesis!$E$20+(1-Hipótesis!$E$30)*Hipótesis!$E$21)</f>
        <v>86040.2709120347</v>
      </c>
      <c r="AP35" s="109" t="n">
        <f aca="false">AP23*(Hipótesis!$E$30*Hipótesis!$E$20+(1-Hipótesis!$E$30)*Hipótesis!$E$21)</f>
        <v>88647.5518487631</v>
      </c>
      <c r="AQ35" s="109" t="n">
        <f aca="false">AQ23*(Hipótesis!$E$30*Hipótesis!$E$20+(1-Hipótesis!$E$30)*Hipótesis!$E$21)</f>
        <v>91254.8327854914</v>
      </c>
      <c r="AR35" s="109" t="n">
        <f aca="false">AR23*(Hipótesis!$E$30*Hipótesis!$E$20+(1-Hipótesis!$E$30)*Hipótesis!$E$21)</f>
        <v>93862.1137222197</v>
      </c>
      <c r="AS35" s="109" t="n">
        <f aca="false">AS23*(Hipótesis!$E$30*Hipótesis!$E$20+(1-Hipótesis!$E$30)*Hipótesis!$E$21)</f>
        <v>93862.1137222197</v>
      </c>
      <c r="AT35" s="109" t="n">
        <f aca="false">AT23*(Hipótesis!$E$30*Hipótesis!$E$20+(1-Hipótesis!$E$30)*Hipótesis!$E$21)</f>
        <v>93862.1137222197</v>
      </c>
      <c r="AU35" s="109" t="n">
        <f aca="false">AU23*(Hipótesis!$E$30*Hipótesis!$E$20+(1-Hipótesis!$E$30)*Hipótesis!$E$21)</f>
        <v>93862.1137222197</v>
      </c>
      <c r="AV35" s="109" t="n">
        <f aca="false">AV23*(Hipótesis!$E$30*Hipótesis!$E$20+(1-Hipótesis!$E$30)*Hipótesis!$E$21)</f>
        <v>93862.1137222197</v>
      </c>
      <c r="AW35" s="109" t="n">
        <f aca="false">AW23*(Hipótesis!$E$30*Hipótesis!$E$20+(1-Hipótesis!$E$30)*Hipótesis!$E$21)</f>
        <v>93862.1137222197</v>
      </c>
      <c r="AX35" s="109" t="n">
        <f aca="false">AX23*(Hipótesis!$E$30*Hipótesis!$E$20+(1-Hipótesis!$E$30)*Hipótesis!$E$21)</f>
        <v>93862.1137222197</v>
      </c>
      <c r="AY35" s="109" t="n">
        <f aca="false">AY23*(Hipótesis!$E$30*Hipótesis!$E$20+(1-Hipótesis!$E$30)*Hipótesis!$E$21)</f>
        <v>93862.1137222197</v>
      </c>
      <c r="AZ35" s="109" t="n">
        <f aca="false">AZ23*(Hipótesis!$E$30*Hipótesis!$E$20+(1-Hipótesis!$E$30)*Hipótesis!$E$21)</f>
        <v>93862.1137222197</v>
      </c>
      <c r="BA35" s="109" t="n">
        <f aca="false">BA23*(Hipótesis!$E$30*Hipótesis!$E$20+(1-Hipótesis!$E$30)*Hipótesis!$E$21)</f>
        <v>93862.1137222197</v>
      </c>
      <c r="BB35" s="109" t="n">
        <f aca="false">BB23*(Hipótesis!$E$30*Hipótesis!$E$20+(1-Hipótesis!$E$30)*Hipótesis!$E$21)</f>
        <v>93862.1137222197</v>
      </c>
      <c r="BC35" s="109" t="n">
        <f aca="false">BC23*(Hipótesis!$E$30*Hipótesis!$E$20+(1-Hipótesis!$E$30)*Hipótesis!$E$21)</f>
        <v>93862.1137222197</v>
      </c>
      <c r="BD35" s="109" t="n">
        <f aca="false">BD23*(Hipótesis!$E$30*Hipótesis!$E$20+(1-Hipótesis!$E$30)*Hipótesis!$E$21)</f>
        <v>93862.1137222197</v>
      </c>
      <c r="BE35" s="109" t="n">
        <f aca="false">BE23*(Hipótesis!$E$30*Hipótesis!$E$20+(1-Hipótesis!$E$30)*Hipótesis!$E$21)</f>
        <v>93862.1137222197</v>
      </c>
      <c r="BF35" s="109" t="n">
        <f aca="false">BF23*(Hipótesis!$E$30*Hipótesis!$E$20+(1-Hipótesis!$E$30)*Hipótesis!$E$21)</f>
        <v>93862.1137222197</v>
      </c>
      <c r="BG35" s="109" t="n">
        <f aca="false">BG23*(Hipótesis!$E$30*Hipótesis!$E$20+(1-Hipótesis!$E$30)*Hipótesis!$E$21)</f>
        <v>93862.1137222197</v>
      </c>
      <c r="BH35" s="109" t="n">
        <f aca="false">BH23*(Hipótesis!$E$30*Hipótesis!$E$20+(1-Hipótesis!$E$30)*Hipótesis!$E$21)</f>
        <v>93862.1137222197</v>
      </c>
      <c r="BI35" s="109" t="n">
        <f aca="false">BI23*(Hipótesis!$E$30*Hipótesis!$E$20+(1-Hipótesis!$E$30)*Hipótesis!$E$21)</f>
        <v>93862.1137222197</v>
      </c>
      <c r="BJ35" s="109" t="n">
        <f aca="false">BJ23*(Hipótesis!$E$30*Hipótesis!$E$20+(1-Hipótesis!$E$30)*Hipótesis!$E$21)</f>
        <v>93862.1137222197</v>
      </c>
      <c r="BK35" s="109" t="n">
        <f aca="false">BK23*(Hipótesis!$E$30*Hipótesis!$E$20+(1-Hipótesis!$E$30)*Hipótesis!$E$21)</f>
        <v>93862.1137222197</v>
      </c>
      <c r="BL35" s="109" t="n">
        <f aca="false">BL23*(Hipótesis!$E$30*Hipótesis!$E$20+(1-Hipótesis!$E$30)*Hipótesis!$E$21)</f>
        <v>93862.1137222197</v>
      </c>
      <c r="BM35" s="109" t="n">
        <f aca="false">BM23*(Hipótesis!$E$30*Hipótesis!$E$20+(1-Hipótesis!$E$30)*Hipótesis!$E$21)</f>
        <v>93862.1137222197</v>
      </c>
      <c r="BN35" s="109" t="n">
        <f aca="false">BN23*(Hipótesis!$E$30*Hipótesis!$E$20+(1-Hipótesis!$E$30)*Hipótesis!$E$21)</f>
        <v>93862.1137222197</v>
      </c>
      <c r="BO35" s="109" t="n">
        <f aca="false">BO23*(Hipótesis!$E$30*Hipótesis!$E$20+(1-Hipótesis!$E$30)*Hipótesis!$E$21)</f>
        <v>93862.1137222197</v>
      </c>
      <c r="BP35" s="109" t="n">
        <f aca="false">BP23*(Hipótesis!$E$30*Hipótesis!$E$20+(1-Hipótesis!$E$30)*Hipótesis!$E$21)</f>
        <v>93862.1137222197</v>
      </c>
      <c r="BQ35" s="109" t="n">
        <f aca="false">BQ23*(Hipótesis!$E$30*Hipótesis!$E$20+(1-Hipótesis!$E$30)*Hipótesis!$E$21)</f>
        <v>93862.1137222197</v>
      </c>
      <c r="BR35" s="109" t="n">
        <f aca="false">BR23*(Hipótesis!$E$30*Hipótesis!$E$20+(1-Hipótesis!$E$30)*Hipótesis!$E$21)</f>
        <v>93862.1137222197</v>
      </c>
      <c r="BS35" s="109" t="n">
        <f aca="false">BS23*(Hipótesis!$E$30*Hipótesis!$E$20+(1-Hipótesis!$E$30)*Hipótesis!$E$21)</f>
        <v>93862.1137222197</v>
      </c>
      <c r="BT35" s="109" t="n">
        <f aca="false">BT23*(Hipótesis!$E$30*Hipótesis!$E$20+(1-Hipótesis!$E$30)*Hipótesis!$E$21)</f>
        <v>93862.1137222197</v>
      </c>
      <c r="BU35" s="109" t="n">
        <f aca="false">BU23*(Hipótesis!$E$30*Hipótesis!$E$20+(1-Hipótesis!$E$30)*Hipótesis!$E$21)</f>
        <v>93862.1137222197</v>
      </c>
      <c r="BV35" s="109" t="n">
        <f aca="false">BV23*(Hipótesis!$E$30*Hipótesis!$E$20+(1-Hipótesis!$E$30)*Hipótesis!$E$21)</f>
        <v>93862.1137222197</v>
      </c>
      <c r="BW35" s="109" t="n">
        <f aca="false">BW23*(Hipótesis!$E$30*Hipótesis!$E$20+(1-Hipótesis!$E$30)*Hipótesis!$E$21)</f>
        <v>93862.1137222197</v>
      </c>
      <c r="BX35" s="109" t="n">
        <f aca="false">BX23*(Hipótesis!$E$30*Hipótesis!$E$20+(1-Hipótesis!$E$30)*Hipótesis!$E$21)</f>
        <v>93862.1137222197</v>
      </c>
      <c r="BY35" s="109" t="n">
        <f aca="false">BY23*(Hipótesis!$E$30*Hipótesis!$E$20+(1-Hipótesis!$E$30)*Hipótesis!$E$21)</f>
        <v>93862.1137222197</v>
      </c>
      <c r="BZ35" s="109" t="n">
        <f aca="false">BZ23*(Hipótesis!$E$30*Hipótesis!$E$20+(1-Hipótesis!$E$30)*Hipótesis!$E$21)</f>
        <v>93862.1137222197</v>
      </c>
      <c r="CA35" s="109" t="n">
        <f aca="false">CA23*(Hipótesis!$E$30*Hipótesis!$E$20+(1-Hipótesis!$E$30)*Hipótesis!$E$21)</f>
        <v>93862.1137222197</v>
      </c>
      <c r="CB35" s="109" t="n">
        <f aca="false">CB23*(Hipótesis!$E$30*Hipótesis!$E$20+(1-Hipótesis!$E$30)*Hipótesis!$E$21)</f>
        <v>93862.1137222197</v>
      </c>
      <c r="CC35" s="109" t="n">
        <f aca="false">CC23*(Hipótesis!$E$30*Hipótesis!$E$20+(1-Hipótesis!$E$30)*Hipótesis!$E$21)</f>
        <v>93862.1137222197</v>
      </c>
      <c r="CD35" s="109" t="n">
        <f aca="false">CD23*(Hipótesis!$E$30*Hipótesis!$E$20+(1-Hipótesis!$E$30)*Hipótesis!$E$21)</f>
        <v>93862.1137222197</v>
      </c>
      <c r="CE35" s="109" t="n">
        <f aca="false">CE23*(Hipótesis!$E$30*Hipótesis!$E$20+(1-Hipótesis!$E$30)*Hipótesis!$E$21)</f>
        <v>93862.1137222197</v>
      </c>
      <c r="CF35" s="109" t="n">
        <f aca="false">CF23*(Hipótesis!$E$30*Hipótesis!$E$20+(1-Hipótesis!$E$30)*Hipótesis!$E$21)</f>
        <v>93862.1137222197</v>
      </c>
      <c r="CG35" s="109" t="n">
        <f aca="false">CG23*(Hipótesis!$E$30*Hipótesis!$E$20+(1-Hipótesis!$E$30)*Hipótesis!$E$21)</f>
        <v>93862.1137222197</v>
      </c>
      <c r="CH35" s="109" t="n">
        <f aca="false">CH23*(Hipótesis!$E$30*Hipótesis!$E$20+(1-Hipótesis!$E$30)*Hipótesis!$E$21)</f>
        <v>93862.1137222197</v>
      </c>
    </row>
    <row r="36" customFormat="false" ht="13.5" hidden="false" customHeight="true" outlineLevel="0" collapsed="false">
      <c r="A36" s="22" t="s">
        <v>541</v>
      </c>
      <c r="C36" s="109" t="n">
        <f aca="false">C34+C35</f>
        <v>1357.52625</v>
      </c>
      <c r="D36" s="109" t="n">
        <f aca="false">D34+D35</f>
        <v>2820.7575</v>
      </c>
      <c r="E36" s="109" t="n">
        <f aca="false">E34+E35</f>
        <v>5875.06921875</v>
      </c>
      <c r="F36" s="109" t="n">
        <f aca="false">F34+F35</f>
        <v>7571.8546875</v>
      </c>
      <c r="G36" s="109" t="n">
        <f aca="false">G34+G35</f>
        <v>9162.93515625</v>
      </c>
      <c r="H36" s="109" t="n">
        <f aca="false">H34+H35</f>
        <v>11722.978125</v>
      </c>
      <c r="I36" s="109" t="n">
        <f aca="false">I34+I35</f>
        <v>16890.3020304783</v>
      </c>
      <c r="J36" s="109" t="n">
        <f aca="false">J34+J35</f>
        <v>22057.6259359567</v>
      </c>
      <c r="K36" s="109" t="n">
        <f aca="false">K34+K35</f>
        <v>27224.949841435</v>
      </c>
      <c r="L36" s="109" t="n">
        <f aca="false">L34+L35</f>
        <v>32392.2737469133</v>
      </c>
      <c r="M36" s="109" t="n">
        <f aca="false">M34+M35</f>
        <v>35968.5171836416</v>
      </c>
      <c r="N36" s="109" t="n">
        <f aca="false">N34+N35</f>
        <v>40866.07312037</v>
      </c>
      <c r="O36" s="109" t="n">
        <f aca="false">O34+O35</f>
        <v>45763.6290570983</v>
      </c>
      <c r="P36" s="109" t="n">
        <f aca="false">P34+P35</f>
        <v>50185.5124938266</v>
      </c>
      <c r="Q36" s="109" t="n">
        <f aca="false">Q34+Q35</f>
        <v>54607.3959305549</v>
      </c>
      <c r="R36" s="109" t="n">
        <f aca="false">R34+R35</f>
        <v>59029.2793672833</v>
      </c>
      <c r="S36" s="109" t="n">
        <f aca="false">S34+S35</f>
        <v>63451.1628040116</v>
      </c>
      <c r="T36" s="109" t="n">
        <f aca="false">T34+T35</f>
        <v>67873.0462407399</v>
      </c>
      <c r="U36" s="109" t="n">
        <f aca="false">U34+U35</f>
        <v>72294.9296774682</v>
      </c>
      <c r="V36" s="109" t="n">
        <f aca="false">V34+V35</f>
        <v>76716.8131141966</v>
      </c>
      <c r="W36" s="109" t="n">
        <f aca="false">W34+W35</f>
        <v>81138.6965509249</v>
      </c>
      <c r="X36" s="109" t="n">
        <f aca="false">X34+X35</f>
        <v>84239.2674876532</v>
      </c>
      <c r="Y36" s="109" t="n">
        <f aca="false">Y34+Y35</f>
        <v>87339.8384243815</v>
      </c>
      <c r="Z36" s="109" t="n">
        <f aca="false">Z34+Z35</f>
        <v>89947.1193611099</v>
      </c>
      <c r="AA36" s="109" t="n">
        <f aca="false">AA34+AA35</f>
        <v>92554.4002978382</v>
      </c>
      <c r="AB36" s="109" t="n">
        <f aca="false">AB34+AB35</f>
        <v>95161.6812345665</v>
      </c>
      <c r="AC36" s="109" t="n">
        <f aca="false">AC34+AC35</f>
        <v>97768.9621712948</v>
      </c>
      <c r="AD36" s="109" t="n">
        <f aca="false">AD34+AD35</f>
        <v>100376.243108023</v>
      </c>
      <c r="AE36" s="109" t="n">
        <f aca="false">AE34+AE35</f>
        <v>102983.524044751</v>
      </c>
      <c r="AF36" s="109" t="n">
        <f aca="false">AF34+AF35</f>
        <v>105590.80498148</v>
      </c>
      <c r="AG36" s="109" t="n">
        <f aca="false">AG34+AG35</f>
        <v>108198.085918208</v>
      </c>
      <c r="AH36" s="109" t="n">
        <f aca="false">AH34+AH35</f>
        <v>110805.366854936</v>
      </c>
      <c r="AI36" s="109" t="n">
        <f aca="false">AI34+AI35</f>
        <v>113412.647791665</v>
      </c>
      <c r="AJ36" s="109" t="n">
        <f aca="false">AJ34+AJ35</f>
        <v>116019.928728393</v>
      </c>
      <c r="AK36" s="109" t="n">
        <f aca="false">AK34+AK35</f>
        <v>118627.209665121</v>
      </c>
      <c r="AL36" s="109" t="n">
        <f aca="false">AL34+AL35</f>
        <v>121234.49060185</v>
      </c>
      <c r="AM36" s="109" t="n">
        <f aca="false">AM34+AM35</f>
        <v>123841.771538578</v>
      </c>
      <c r="AN36" s="109" t="n">
        <f aca="false">AN34+AN35</f>
        <v>126449.052475306</v>
      </c>
      <c r="AO36" s="109" t="n">
        <f aca="false">AO34+AO35</f>
        <v>129056.333412035</v>
      </c>
      <c r="AP36" s="109" t="n">
        <f aca="false">AP34+AP35</f>
        <v>131663.614348763</v>
      </c>
      <c r="AQ36" s="109" t="n">
        <f aca="false">AQ34+AQ35</f>
        <v>134270.895285491</v>
      </c>
      <c r="AR36" s="109" t="n">
        <f aca="false">AR34+AR35</f>
        <v>136878.17622222</v>
      </c>
      <c r="AS36" s="109" t="n">
        <f aca="false">AS34+AS35</f>
        <v>136878.17622222</v>
      </c>
      <c r="AT36" s="109" t="n">
        <f aca="false">AT34+AT35</f>
        <v>136878.17622222</v>
      </c>
      <c r="AU36" s="109" t="n">
        <f aca="false">AU34+AU35</f>
        <v>136878.17622222</v>
      </c>
      <c r="AV36" s="109" t="n">
        <f aca="false">AV34+AV35</f>
        <v>136878.17622222</v>
      </c>
      <c r="AW36" s="109" t="n">
        <f aca="false">AW34+AW35</f>
        <v>136878.17622222</v>
      </c>
      <c r="AX36" s="109" t="n">
        <f aca="false">AX34+AX35</f>
        <v>136878.17622222</v>
      </c>
      <c r="AY36" s="109" t="n">
        <f aca="false">AY34+AY35</f>
        <v>136878.17622222</v>
      </c>
      <c r="AZ36" s="109" t="n">
        <f aca="false">AZ34+AZ35</f>
        <v>136878.17622222</v>
      </c>
      <c r="BA36" s="109" t="n">
        <f aca="false">BA34+BA35</f>
        <v>136878.17622222</v>
      </c>
      <c r="BB36" s="109" t="n">
        <f aca="false">BB34+BB35</f>
        <v>136878.17622222</v>
      </c>
      <c r="BC36" s="109" t="n">
        <f aca="false">BC34+BC35</f>
        <v>136878.17622222</v>
      </c>
      <c r="BD36" s="109" t="n">
        <f aca="false">BD34+BD35</f>
        <v>136878.17622222</v>
      </c>
      <c r="BE36" s="109" t="n">
        <f aca="false">BE34+BE35</f>
        <v>136878.17622222</v>
      </c>
      <c r="BF36" s="109" t="n">
        <f aca="false">BF34+BF35</f>
        <v>136878.17622222</v>
      </c>
      <c r="BG36" s="109" t="n">
        <f aca="false">BG34+BG35</f>
        <v>136878.17622222</v>
      </c>
      <c r="BH36" s="109" t="n">
        <f aca="false">BH34+BH35</f>
        <v>136878.17622222</v>
      </c>
      <c r="BI36" s="109" t="n">
        <f aca="false">BI34+BI35</f>
        <v>136878.17622222</v>
      </c>
      <c r="BJ36" s="109" t="n">
        <f aca="false">BJ34+BJ35</f>
        <v>136878.17622222</v>
      </c>
      <c r="BK36" s="109" t="n">
        <f aca="false">BK34+BK35</f>
        <v>136878.17622222</v>
      </c>
      <c r="BL36" s="109" t="n">
        <f aca="false">BL34+BL35</f>
        <v>136878.17622222</v>
      </c>
      <c r="BM36" s="109" t="n">
        <f aca="false">BM34+BM35</f>
        <v>136878.17622222</v>
      </c>
      <c r="BN36" s="109" t="n">
        <f aca="false">BN34+BN35</f>
        <v>136878.17622222</v>
      </c>
      <c r="BO36" s="109" t="n">
        <f aca="false">BO34+BO35</f>
        <v>136878.17622222</v>
      </c>
      <c r="BP36" s="109" t="n">
        <f aca="false">BP34+BP35</f>
        <v>136878.17622222</v>
      </c>
      <c r="BQ36" s="109" t="n">
        <f aca="false">BQ34+BQ35</f>
        <v>136878.17622222</v>
      </c>
      <c r="BR36" s="109" t="n">
        <f aca="false">BR34+BR35</f>
        <v>136878.17622222</v>
      </c>
      <c r="BS36" s="109" t="n">
        <f aca="false">BS34+BS35</f>
        <v>136878.17622222</v>
      </c>
      <c r="BT36" s="109" t="n">
        <f aca="false">BT34+BT35</f>
        <v>136878.17622222</v>
      </c>
      <c r="BU36" s="109" t="n">
        <f aca="false">BU34+BU35</f>
        <v>136878.17622222</v>
      </c>
      <c r="BV36" s="109" t="n">
        <f aca="false">BV34+BV35</f>
        <v>136878.17622222</v>
      </c>
      <c r="BW36" s="109" t="n">
        <f aca="false">BW34+BW35</f>
        <v>136878.17622222</v>
      </c>
      <c r="BX36" s="109" t="n">
        <f aca="false">BX34+BX35</f>
        <v>136878.17622222</v>
      </c>
      <c r="BY36" s="109" t="n">
        <f aca="false">BY34+BY35</f>
        <v>136878.17622222</v>
      </c>
      <c r="BZ36" s="109" t="n">
        <f aca="false">BZ34+BZ35</f>
        <v>136878.17622222</v>
      </c>
      <c r="CA36" s="109" t="n">
        <f aca="false">CA34+CA35</f>
        <v>136878.17622222</v>
      </c>
      <c r="CB36" s="109" t="n">
        <f aca="false">CB34+CB35</f>
        <v>136878.17622222</v>
      </c>
      <c r="CC36" s="109" t="n">
        <f aca="false">CC34+CC35</f>
        <v>136878.17622222</v>
      </c>
      <c r="CD36" s="109" t="n">
        <f aca="false">CD34+CD35</f>
        <v>136878.17622222</v>
      </c>
      <c r="CE36" s="109" t="n">
        <f aca="false">CE34+CE35</f>
        <v>136878.17622222</v>
      </c>
      <c r="CF36" s="109" t="n">
        <f aca="false">CF34+CF35</f>
        <v>136878.17622222</v>
      </c>
      <c r="CG36" s="109" t="n">
        <f aca="false">CG34+CG35</f>
        <v>136878.17622222</v>
      </c>
      <c r="CH36" s="109" t="n">
        <f aca="false">CH34+CH35</f>
        <v>136878.17622222</v>
      </c>
    </row>
    <row r="37" customFormat="false" ht="13.5" hidden="false" customHeight="true" outlineLevel="0" collapsed="false">
      <c r="A37" s="6" t="s">
        <v>542</v>
      </c>
      <c r="C37" s="109" t="n">
        <f aca="false">-C36*Hipótesis!$E$34</f>
        <v>-135.752625</v>
      </c>
      <c r="D37" s="109" t="n">
        <f aca="false">-D36*Hipótesis!$E$34</f>
        <v>-282.07575</v>
      </c>
      <c r="E37" s="109" t="n">
        <f aca="false">-E36*Hipótesis!$E$34</f>
        <v>-587.506921875</v>
      </c>
      <c r="F37" s="109" t="n">
        <f aca="false">-F36*Hipótesis!$E$34</f>
        <v>-757.18546875</v>
      </c>
      <c r="G37" s="109" t="n">
        <f aca="false">-G36*Hipótesis!$E$34</f>
        <v>-916.293515625</v>
      </c>
      <c r="H37" s="109" t="n">
        <f aca="false">-H36*Hipótesis!$E$34</f>
        <v>-1172.2978125</v>
      </c>
      <c r="I37" s="109" t="n">
        <f aca="false">-I36*Hipótesis!$E$34</f>
        <v>-1689.03020304783</v>
      </c>
      <c r="J37" s="109" t="n">
        <f aca="false">-J36*Hipótesis!$E$34</f>
        <v>-2205.76259359567</v>
      </c>
      <c r="K37" s="109" t="n">
        <f aca="false">-K36*Hipótesis!$E$34</f>
        <v>-2722.4949841435</v>
      </c>
      <c r="L37" s="109" t="n">
        <f aca="false">-L36*Hipótesis!$E$34</f>
        <v>-3239.22737469133</v>
      </c>
      <c r="M37" s="109" t="n">
        <f aca="false">-M36*Hipótesis!$E$34</f>
        <v>-3596.85171836416</v>
      </c>
      <c r="N37" s="109" t="n">
        <f aca="false">-N36*Hipótesis!$E$34</f>
        <v>-4086.60731203699</v>
      </c>
      <c r="O37" s="109" t="n">
        <f aca="false">-O36*Hipótesis!$E$34</f>
        <v>-4576.36290570983</v>
      </c>
      <c r="P37" s="109" t="n">
        <f aca="false">-P36*Hipótesis!$E$34</f>
        <v>-5018.55124938266</v>
      </c>
      <c r="Q37" s="109" t="n">
        <f aca="false">-Q36*Hipótesis!$E$34</f>
        <v>-5460.73959305549</v>
      </c>
      <c r="R37" s="109" t="n">
        <f aca="false">-R36*Hipótesis!$E$34</f>
        <v>-5902.92793672833</v>
      </c>
      <c r="S37" s="109" t="n">
        <f aca="false">-S36*Hipótesis!$E$34</f>
        <v>-6345.11628040116</v>
      </c>
      <c r="T37" s="109" t="n">
        <f aca="false">-T36*Hipótesis!$E$34</f>
        <v>-6787.30462407399</v>
      </c>
      <c r="U37" s="109" t="n">
        <f aca="false">-U36*Hipótesis!$E$34</f>
        <v>-7229.49296774682</v>
      </c>
      <c r="V37" s="109" t="n">
        <f aca="false">-V36*Hipótesis!$E$34</f>
        <v>-7671.68131141966</v>
      </c>
      <c r="W37" s="109" t="n">
        <f aca="false">-W36*Hipótesis!$E$34</f>
        <v>-8113.86965509249</v>
      </c>
      <c r="X37" s="109" t="n">
        <f aca="false">-X36*Hipótesis!$E$34</f>
        <v>-8423.92674876532</v>
      </c>
      <c r="Y37" s="109" t="n">
        <f aca="false">-Y36*Hipótesis!$E$34</f>
        <v>-8733.98384243815</v>
      </c>
      <c r="Z37" s="109" t="n">
        <f aca="false">-Z36*Hipótesis!$E$34</f>
        <v>-8994.71193611099</v>
      </c>
      <c r="AA37" s="109" t="n">
        <f aca="false">-AA36*Hipótesis!$E$34</f>
        <v>-9255.44002978382</v>
      </c>
      <c r="AB37" s="109" t="n">
        <f aca="false">-AB36*Hipótesis!$E$34</f>
        <v>-9516.16812345665</v>
      </c>
      <c r="AC37" s="109" t="n">
        <f aca="false">-AC36*Hipótesis!$E$34</f>
        <v>-9776.89621712948</v>
      </c>
      <c r="AD37" s="109" t="n">
        <f aca="false">-AD36*Hipótesis!$E$34</f>
        <v>-10037.6243108023</v>
      </c>
      <c r="AE37" s="109" t="n">
        <f aca="false">-AE36*Hipótesis!$E$34</f>
        <v>-10298.3524044751</v>
      </c>
      <c r="AF37" s="109" t="n">
        <f aca="false">-AF36*Hipótesis!$E$34</f>
        <v>-10559.080498148</v>
      </c>
      <c r="AG37" s="109" t="n">
        <f aca="false">-AG36*Hipótesis!$E$34</f>
        <v>-10819.8085918208</v>
      </c>
      <c r="AH37" s="109" t="n">
        <f aca="false">-AH36*Hipótesis!$E$34</f>
        <v>-11080.5366854936</v>
      </c>
      <c r="AI37" s="109" t="n">
        <f aca="false">-AI36*Hipótesis!$E$34</f>
        <v>-11341.2647791665</v>
      </c>
      <c r="AJ37" s="109" t="n">
        <f aca="false">-AJ36*Hipótesis!$E$34</f>
        <v>-11601.9928728393</v>
      </c>
      <c r="AK37" s="109" t="n">
        <f aca="false">-AK36*Hipótesis!$E$34</f>
        <v>-11862.7209665121</v>
      </c>
      <c r="AL37" s="109" t="n">
        <f aca="false">-AL36*Hipótesis!$E$34</f>
        <v>-12123.449060185</v>
      </c>
      <c r="AM37" s="109" t="n">
        <f aca="false">-AM36*Hipótesis!$E$34</f>
        <v>-12384.1771538578</v>
      </c>
      <c r="AN37" s="109" t="n">
        <f aca="false">-AN36*Hipótesis!$E$34</f>
        <v>-12644.9052475306</v>
      </c>
      <c r="AO37" s="109" t="n">
        <f aca="false">-AO36*Hipótesis!$E$34</f>
        <v>-12905.6333412035</v>
      </c>
      <c r="AP37" s="109" t="n">
        <f aca="false">-AP36*Hipótesis!$E$34</f>
        <v>-13166.3614348763</v>
      </c>
      <c r="AQ37" s="109" t="n">
        <f aca="false">-AQ36*Hipótesis!$E$34</f>
        <v>-13427.0895285491</v>
      </c>
      <c r="AR37" s="109" t="n">
        <f aca="false">-AR36*Hipótesis!$E$34</f>
        <v>-13687.817622222</v>
      </c>
      <c r="AS37" s="109" t="n">
        <f aca="false">-AS36*Hipótesis!$E$34</f>
        <v>-13687.817622222</v>
      </c>
      <c r="AT37" s="109" t="n">
        <f aca="false">-AT36*Hipótesis!$E$34</f>
        <v>-13687.817622222</v>
      </c>
      <c r="AU37" s="109" t="n">
        <f aca="false">-AU36*Hipótesis!$E$34</f>
        <v>-13687.817622222</v>
      </c>
      <c r="AV37" s="109" t="n">
        <f aca="false">-AV36*Hipótesis!$E$34</f>
        <v>-13687.817622222</v>
      </c>
      <c r="AW37" s="109" t="n">
        <f aca="false">-AW36*Hipótesis!$E$34</f>
        <v>-13687.817622222</v>
      </c>
      <c r="AX37" s="109" t="n">
        <f aca="false">-AX36*Hipótesis!$E$34</f>
        <v>-13687.817622222</v>
      </c>
      <c r="AY37" s="109" t="n">
        <f aca="false">-AY36*Hipótesis!$E$34</f>
        <v>-13687.817622222</v>
      </c>
      <c r="AZ37" s="109" t="n">
        <f aca="false">-AZ36*Hipótesis!$E$34</f>
        <v>-13687.817622222</v>
      </c>
      <c r="BA37" s="109" t="n">
        <f aca="false">-BA36*Hipótesis!$E$34</f>
        <v>-13687.817622222</v>
      </c>
      <c r="BB37" s="109" t="n">
        <f aca="false">-BB36*Hipótesis!$E$34</f>
        <v>-13687.817622222</v>
      </c>
      <c r="BC37" s="109" t="n">
        <f aca="false">-BC36*Hipótesis!$E$34</f>
        <v>-13687.817622222</v>
      </c>
      <c r="BD37" s="109" t="n">
        <f aca="false">-BD36*Hipótesis!$E$34</f>
        <v>-13687.817622222</v>
      </c>
      <c r="BE37" s="109" t="n">
        <f aca="false">-BE36*Hipótesis!$E$34</f>
        <v>-13687.817622222</v>
      </c>
      <c r="BF37" s="109" t="n">
        <f aca="false">-BF36*Hipótesis!$E$34</f>
        <v>-13687.817622222</v>
      </c>
      <c r="BG37" s="109" t="n">
        <f aca="false">-BG36*Hipótesis!$E$34</f>
        <v>-13687.817622222</v>
      </c>
      <c r="BH37" s="109" t="n">
        <f aca="false">-BH36*Hipótesis!$E$34</f>
        <v>-13687.817622222</v>
      </c>
      <c r="BI37" s="109" t="n">
        <f aca="false">-BI36*Hipótesis!$E$34</f>
        <v>-13687.817622222</v>
      </c>
      <c r="BJ37" s="109" t="n">
        <f aca="false">-BJ36*Hipótesis!$E$34</f>
        <v>-13687.817622222</v>
      </c>
      <c r="BK37" s="109" t="n">
        <f aca="false">-BK36*Hipótesis!$E$34</f>
        <v>-13687.817622222</v>
      </c>
      <c r="BL37" s="109" t="n">
        <f aca="false">-BL36*Hipótesis!$E$34</f>
        <v>-13687.817622222</v>
      </c>
      <c r="BM37" s="109" t="n">
        <f aca="false">-BM36*Hipótesis!$E$34</f>
        <v>-13687.817622222</v>
      </c>
      <c r="BN37" s="109" t="n">
        <f aca="false">-BN36*Hipótesis!$E$34</f>
        <v>-13687.817622222</v>
      </c>
      <c r="BO37" s="109" t="n">
        <f aca="false">-BO36*Hipótesis!$E$34</f>
        <v>-13687.817622222</v>
      </c>
      <c r="BP37" s="109" t="n">
        <f aca="false">-BP36*Hipótesis!$E$34</f>
        <v>-13687.817622222</v>
      </c>
      <c r="BQ37" s="109" t="n">
        <f aca="false">-BQ36*Hipótesis!$E$34</f>
        <v>-13687.817622222</v>
      </c>
      <c r="BR37" s="109" t="n">
        <f aca="false">-BR36*Hipótesis!$E$34</f>
        <v>-13687.817622222</v>
      </c>
      <c r="BS37" s="109" t="n">
        <f aca="false">-BS36*Hipótesis!$E$34</f>
        <v>-13687.817622222</v>
      </c>
      <c r="BT37" s="109" t="n">
        <f aca="false">-BT36*Hipótesis!$E$34</f>
        <v>-13687.817622222</v>
      </c>
      <c r="BU37" s="109" t="n">
        <f aca="false">-BU36*Hipótesis!$E$34</f>
        <v>-13687.817622222</v>
      </c>
      <c r="BV37" s="109" t="n">
        <f aca="false">-BV36*Hipótesis!$E$34</f>
        <v>-13687.817622222</v>
      </c>
      <c r="BW37" s="109" t="n">
        <f aca="false">-BW36*Hipótesis!$E$34</f>
        <v>-13687.817622222</v>
      </c>
      <c r="BX37" s="109" t="n">
        <f aca="false">-BX36*Hipótesis!$E$34</f>
        <v>-13687.817622222</v>
      </c>
      <c r="BY37" s="109" t="n">
        <f aca="false">-BY36*Hipótesis!$E$34</f>
        <v>-13687.817622222</v>
      </c>
      <c r="BZ37" s="109" t="n">
        <f aca="false">-BZ36*Hipótesis!$E$34</f>
        <v>-13687.817622222</v>
      </c>
      <c r="CA37" s="109" t="n">
        <f aca="false">-CA36*Hipótesis!$E$34</f>
        <v>-13687.817622222</v>
      </c>
      <c r="CB37" s="109" t="n">
        <f aca="false">-CB36*Hipótesis!$E$34</f>
        <v>-13687.817622222</v>
      </c>
      <c r="CC37" s="109" t="n">
        <f aca="false">-CC36*Hipótesis!$E$34</f>
        <v>-13687.817622222</v>
      </c>
      <c r="CD37" s="109" t="n">
        <f aca="false">-CD36*Hipótesis!$E$34</f>
        <v>-13687.817622222</v>
      </c>
      <c r="CE37" s="109" t="n">
        <f aca="false">-CE36*Hipótesis!$E$34</f>
        <v>-13687.817622222</v>
      </c>
      <c r="CF37" s="109" t="n">
        <f aca="false">-CF36*Hipótesis!$E$34</f>
        <v>-13687.817622222</v>
      </c>
      <c r="CG37" s="109" t="n">
        <f aca="false">-CG36*Hipótesis!$E$34</f>
        <v>-13687.817622222</v>
      </c>
      <c r="CH37" s="109" t="n">
        <f aca="false">-CH36*Hipótesis!$E$34</f>
        <v>-13687.817622222</v>
      </c>
    </row>
    <row r="38" customFormat="false" ht="13.5" hidden="false" customHeight="true" outlineLevel="0" collapsed="false">
      <c r="A38" s="22" t="s">
        <v>543</v>
      </c>
      <c r="C38" s="109" t="n">
        <f aca="false">C36+C37</f>
        <v>1221.773625</v>
      </c>
      <c r="D38" s="109" t="n">
        <f aca="false">D36+D37</f>
        <v>2538.68175</v>
      </c>
      <c r="E38" s="109" t="n">
        <f aca="false">E36+E37</f>
        <v>5287.562296875</v>
      </c>
      <c r="F38" s="109" t="n">
        <f aca="false">F36+F37</f>
        <v>6814.66921875</v>
      </c>
      <c r="G38" s="109" t="n">
        <f aca="false">G36+G37</f>
        <v>8246.641640625</v>
      </c>
      <c r="H38" s="109" t="n">
        <f aca="false">H36+H37</f>
        <v>10550.6803125</v>
      </c>
      <c r="I38" s="109" t="n">
        <f aca="false">I36+I37</f>
        <v>15201.2718274305</v>
      </c>
      <c r="J38" s="109" t="n">
        <f aca="false">J36+J37</f>
        <v>19851.863342361</v>
      </c>
      <c r="K38" s="109" t="n">
        <f aca="false">K36+K37</f>
        <v>24502.4548572915</v>
      </c>
      <c r="L38" s="109" t="n">
        <f aca="false">L36+L37</f>
        <v>29153.046372222</v>
      </c>
      <c r="M38" s="109" t="n">
        <f aca="false">M36+M37</f>
        <v>32371.6654652775</v>
      </c>
      <c r="N38" s="109" t="n">
        <f aca="false">N36+N37</f>
        <v>36779.465808333</v>
      </c>
      <c r="O38" s="109" t="n">
        <f aca="false">O36+O37</f>
        <v>41187.2661513884</v>
      </c>
      <c r="P38" s="109" t="n">
        <f aca="false">P36+P37</f>
        <v>45166.9612444439</v>
      </c>
      <c r="Q38" s="109" t="n">
        <f aca="false">Q36+Q37</f>
        <v>49146.6563374994</v>
      </c>
      <c r="R38" s="109" t="n">
        <f aca="false">R36+R37</f>
        <v>53126.3514305549</v>
      </c>
      <c r="S38" s="109" t="n">
        <f aca="false">S36+S37</f>
        <v>57106.0465236104</v>
      </c>
      <c r="T38" s="109" t="n">
        <f aca="false">T36+T37</f>
        <v>61085.7416166659</v>
      </c>
      <c r="U38" s="109" t="n">
        <f aca="false">U36+U37</f>
        <v>65065.4367097214</v>
      </c>
      <c r="V38" s="109" t="n">
        <f aca="false">V36+V37</f>
        <v>69045.1318027769</v>
      </c>
      <c r="W38" s="109" t="n">
        <f aca="false">W36+W37</f>
        <v>73024.8268958324</v>
      </c>
      <c r="X38" s="109" t="n">
        <f aca="false">X36+X37</f>
        <v>75815.3407388879</v>
      </c>
      <c r="Y38" s="109" t="n">
        <f aca="false">Y36+Y37</f>
        <v>78605.8545819434</v>
      </c>
      <c r="Z38" s="109" t="n">
        <f aca="false">Z36+Z37</f>
        <v>80952.4074249989</v>
      </c>
      <c r="AA38" s="109" t="n">
        <f aca="false">AA36+AA37</f>
        <v>83298.9602680544</v>
      </c>
      <c r="AB38" s="109" t="n">
        <f aca="false">AB36+AB37</f>
        <v>85645.5131111099</v>
      </c>
      <c r="AC38" s="109" t="n">
        <f aca="false">AC36+AC37</f>
        <v>87992.0659541653</v>
      </c>
      <c r="AD38" s="109" t="n">
        <f aca="false">AD36+AD37</f>
        <v>90338.6187972208</v>
      </c>
      <c r="AE38" s="109" t="n">
        <f aca="false">AE36+AE37</f>
        <v>92685.1716402763</v>
      </c>
      <c r="AF38" s="109" t="n">
        <f aca="false">AF36+AF37</f>
        <v>95031.7244833318</v>
      </c>
      <c r="AG38" s="109" t="n">
        <f aca="false">AG36+AG37</f>
        <v>97378.2773263873</v>
      </c>
      <c r="AH38" s="109" t="n">
        <f aca="false">AH36+AH37</f>
        <v>99724.8301694428</v>
      </c>
      <c r="AI38" s="109" t="n">
        <f aca="false">AI36+AI37</f>
        <v>102071.383012498</v>
      </c>
      <c r="AJ38" s="109" t="n">
        <f aca="false">AJ36+AJ37</f>
        <v>104417.935855554</v>
      </c>
      <c r="AK38" s="109" t="n">
        <f aca="false">AK36+AK37</f>
        <v>106764.488698609</v>
      </c>
      <c r="AL38" s="109" t="n">
        <f aca="false">AL36+AL37</f>
        <v>109111.041541665</v>
      </c>
      <c r="AM38" s="109" t="n">
        <f aca="false">AM36+AM37</f>
        <v>111457.59438472</v>
      </c>
      <c r="AN38" s="109" t="n">
        <f aca="false">AN36+AN37</f>
        <v>113804.147227776</v>
      </c>
      <c r="AO38" s="109" t="n">
        <f aca="false">AO36+AO37</f>
        <v>116150.700070831</v>
      </c>
      <c r="AP38" s="109" t="n">
        <f aca="false">AP36+AP37</f>
        <v>118497.252913887</v>
      </c>
      <c r="AQ38" s="109" t="n">
        <f aca="false">AQ36+AQ37</f>
        <v>120843.805756942</v>
      </c>
      <c r="AR38" s="109" t="n">
        <f aca="false">AR36+AR37</f>
        <v>123190.358599998</v>
      </c>
      <c r="AS38" s="109" t="n">
        <f aca="false">AS36+AS37</f>
        <v>123190.358599998</v>
      </c>
      <c r="AT38" s="109" t="n">
        <f aca="false">AT36+AT37</f>
        <v>123190.358599998</v>
      </c>
      <c r="AU38" s="109" t="n">
        <f aca="false">AU36+AU37</f>
        <v>123190.358599998</v>
      </c>
      <c r="AV38" s="109" t="n">
        <f aca="false">AV36+AV37</f>
        <v>123190.358599998</v>
      </c>
      <c r="AW38" s="109" t="n">
        <f aca="false">AW36+AW37</f>
        <v>123190.358599998</v>
      </c>
      <c r="AX38" s="109" t="n">
        <f aca="false">AX36+AX37</f>
        <v>123190.358599998</v>
      </c>
      <c r="AY38" s="109" t="n">
        <f aca="false">AY36+AY37</f>
        <v>123190.358599998</v>
      </c>
      <c r="AZ38" s="109" t="n">
        <f aca="false">AZ36+AZ37</f>
        <v>123190.358599998</v>
      </c>
      <c r="BA38" s="109" t="n">
        <f aca="false">BA36+BA37</f>
        <v>123190.358599998</v>
      </c>
      <c r="BB38" s="109" t="n">
        <f aca="false">BB36+BB37</f>
        <v>123190.358599998</v>
      </c>
      <c r="BC38" s="109" t="n">
        <f aca="false">BC36+BC37</f>
        <v>123190.358599998</v>
      </c>
      <c r="BD38" s="109" t="n">
        <f aca="false">BD36+BD37</f>
        <v>123190.358599998</v>
      </c>
      <c r="BE38" s="109" t="n">
        <f aca="false">BE36+BE37</f>
        <v>123190.358599998</v>
      </c>
      <c r="BF38" s="109" t="n">
        <f aca="false">BF36+BF37</f>
        <v>123190.358599998</v>
      </c>
      <c r="BG38" s="109" t="n">
        <f aca="false">BG36+BG37</f>
        <v>123190.358599998</v>
      </c>
      <c r="BH38" s="109" t="n">
        <f aca="false">BH36+BH37</f>
        <v>123190.358599998</v>
      </c>
      <c r="BI38" s="109" t="n">
        <f aca="false">BI36+BI37</f>
        <v>123190.358599998</v>
      </c>
      <c r="BJ38" s="109" t="n">
        <f aca="false">BJ36+BJ37</f>
        <v>123190.358599998</v>
      </c>
      <c r="BK38" s="109" t="n">
        <f aca="false">BK36+BK37</f>
        <v>123190.358599998</v>
      </c>
      <c r="BL38" s="109" t="n">
        <f aca="false">BL36+BL37</f>
        <v>123190.358599998</v>
      </c>
      <c r="BM38" s="109" t="n">
        <f aca="false">BM36+BM37</f>
        <v>123190.358599998</v>
      </c>
      <c r="BN38" s="109" t="n">
        <f aca="false">BN36+BN37</f>
        <v>123190.358599998</v>
      </c>
      <c r="BO38" s="109" t="n">
        <f aca="false">BO36+BO37</f>
        <v>123190.358599998</v>
      </c>
      <c r="BP38" s="109" t="n">
        <f aca="false">BP36+BP37</f>
        <v>123190.358599998</v>
      </c>
      <c r="BQ38" s="109" t="n">
        <f aca="false">BQ36+BQ37</f>
        <v>123190.358599998</v>
      </c>
      <c r="BR38" s="109" t="n">
        <f aca="false">BR36+BR37</f>
        <v>123190.358599998</v>
      </c>
      <c r="BS38" s="109" t="n">
        <f aca="false">BS36+BS37</f>
        <v>123190.358599998</v>
      </c>
      <c r="BT38" s="109" t="n">
        <f aca="false">BT36+BT37</f>
        <v>123190.358599998</v>
      </c>
      <c r="BU38" s="109" t="n">
        <f aca="false">BU36+BU37</f>
        <v>123190.358599998</v>
      </c>
      <c r="BV38" s="109" t="n">
        <f aca="false">BV36+BV37</f>
        <v>123190.358599998</v>
      </c>
      <c r="BW38" s="109" t="n">
        <f aca="false">BW36+BW37</f>
        <v>123190.358599998</v>
      </c>
      <c r="BX38" s="109" t="n">
        <f aca="false">BX36+BX37</f>
        <v>123190.358599998</v>
      </c>
      <c r="BY38" s="109" t="n">
        <f aca="false">BY36+BY37</f>
        <v>123190.358599998</v>
      </c>
      <c r="BZ38" s="109" t="n">
        <f aca="false">BZ36+BZ37</f>
        <v>123190.358599998</v>
      </c>
      <c r="CA38" s="109" t="n">
        <f aca="false">CA36+CA37</f>
        <v>123190.358599998</v>
      </c>
      <c r="CB38" s="109" t="n">
        <f aca="false">CB36+CB37</f>
        <v>123190.358599998</v>
      </c>
      <c r="CC38" s="109" t="n">
        <f aca="false">CC36+CC37</f>
        <v>123190.358599998</v>
      </c>
      <c r="CD38" s="109" t="n">
        <f aca="false">CD36+CD37</f>
        <v>123190.358599998</v>
      </c>
      <c r="CE38" s="109" t="n">
        <f aca="false">CE36+CE37</f>
        <v>123190.358599998</v>
      </c>
      <c r="CF38" s="109" t="n">
        <f aca="false">CF36+CF37</f>
        <v>123190.358599998</v>
      </c>
      <c r="CG38" s="109" t="n">
        <f aca="false">CG36+CG37</f>
        <v>123190.358599998</v>
      </c>
      <c r="CH38" s="109" t="n">
        <f aca="false">CH36+CH37</f>
        <v>123190.358599998</v>
      </c>
    </row>
    <row r="39" customFormat="false" ht="13.5" hidden="false" customHeight="true" outlineLevel="0" collapsed="false">
      <c r="A39" s="6" t="s">
        <v>544</v>
      </c>
      <c r="C39" s="109" t="n">
        <f aca="false">-(C19*C21*Hipótesis!$E$18+C23*Hipótesis!$E$22)</f>
        <v>-79.5625</v>
      </c>
      <c r="D39" s="109" t="n">
        <f aca="false">-(D19*D21*Hipótesis!$E$18+D23*Hipótesis!$E$22)</f>
        <v>-171.445735294118</v>
      </c>
      <c r="E39" s="109" t="n">
        <f aca="false">-(E19*E21*Hipótesis!$E$18+E23*Hipótesis!$E$22)</f>
        <v>-425.619184236195</v>
      </c>
      <c r="F39" s="109" t="n">
        <f aca="false">-(F19*F21*Hipótesis!$E$18+F23*Hipótesis!$E$22)</f>
        <v>-600.230133178271</v>
      </c>
      <c r="G39" s="109" t="n">
        <f aca="false">-(G19*G21*Hipótesis!$E$18+G23*Hipótesis!$E$22)</f>
        <v>-762.520346826231</v>
      </c>
      <c r="H39" s="109" t="n">
        <f aca="false">-(H19*H21*Hipótesis!$E$18+H23*Hipótesis!$E$22)</f>
        <v>-1065.98565238595</v>
      </c>
      <c r="I39" s="109" t="n">
        <f aca="false">-(I19*I21*Hipótesis!$E$18+I23*Hipótesis!$E$22)</f>
        <v>-1635.26717322946</v>
      </c>
      <c r="J39" s="109" t="n">
        <f aca="false">-(J19*J21*Hipótesis!$E$18+J23*Hipótesis!$E$22)</f>
        <v>-2204.54869407297</v>
      </c>
      <c r="K39" s="109" t="n">
        <f aca="false">-(K19*K21*Hipótesis!$E$18+K23*Hipótesis!$E$22)</f>
        <v>-2773.83021491648</v>
      </c>
      <c r="L39" s="109" t="n">
        <f aca="false">-(L19*L21*Hipótesis!$E$18+L23*Hipótesis!$E$22)</f>
        <v>-3343.11173575999</v>
      </c>
      <c r="M39" s="109" t="n">
        <f aca="false">-(M19*M21*Hipótesis!$E$18+M23*Hipótesis!$E$22)</f>
        <v>-3750.10304295553</v>
      </c>
      <c r="N39" s="109" t="n">
        <f aca="false">-(N19*N21*Hipótesis!$E$18+N23*Hipótesis!$E$22)</f>
        <v>-4362.43993838638</v>
      </c>
      <c r="O39" s="109" t="n">
        <f aca="false">-(O19*O21*Hipótesis!$E$18+O23*Hipótesis!$E$22)</f>
        <v>-4974.77683381722</v>
      </c>
      <c r="P39" s="109" t="n">
        <f aca="false">-(P19*P21*Hipótesis!$E$18+P23*Hipótesis!$E$22)</f>
        <v>-5528.07687263042</v>
      </c>
      <c r="Q39" s="109" t="n">
        <f aca="false">-(Q19*Q21*Hipótesis!$E$18+Q23*Hipótesis!$E$22)</f>
        <v>-6081.37691144361</v>
      </c>
      <c r="R39" s="109" t="n">
        <f aca="false">-(R19*R21*Hipótesis!$E$18+R23*Hipótesis!$E$22)</f>
        <v>-6634.67695025681</v>
      </c>
      <c r="S39" s="109" t="n">
        <f aca="false">-(S19*S21*Hipótesis!$E$18+S23*Hipótesis!$E$22)</f>
        <v>-7187.97698907</v>
      </c>
      <c r="T39" s="109" t="n">
        <f aca="false">-(T19*T21*Hipótesis!$E$18+T23*Hipótesis!$E$22)</f>
        <v>-7741.2770278832</v>
      </c>
      <c r="U39" s="109" t="n">
        <f aca="false">-(U19*U21*Hipótesis!$E$18+U23*Hipótesis!$E$22)</f>
        <v>-8294.57706669639</v>
      </c>
      <c r="V39" s="109" t="n">
        <f aca="false">-(V19*V21*Hipótesis!$E$18+V23*Hipótesis!$E$22)</f>
        <v>-8847.87710550959</v>
      </c>
      <c r="W39" s="109" t="n">
        <f aca="false">-(W19*W21*Hipótesis!$E$18+W23*Hipótesis!$E$22)</f>
        <v>-9401.17714432278</v>
      </c>
      <c r="X39" s="109" t="n">
        <f aca="false">-(X19*X21*Hipótesis!$E$18+X23*Hipótesis!$E$22)</f>
        <v>-9749.13159490069</v>
      </c>
      <c r="Y39" s="109" t="n">
        <f aca="false">-(Y19*Y21*Hipótesis!$E$18+Y23*Hipótesis!$E$22)</f>
        <v>-10097.0860454786</v>
      </c>
      <c r="Z39" s="109" t="n">
        <f aca="false">-(Z19*Z21*Hipótesis!$E$18+Z23*Hipótesis!$E$22)</f>
        <v>-10362.9022607624</v>
      </c>
      <c r="AA39" s="109" t="n">
        <f aca="false">-(AA19*AA21*Hipótesis!$E$18+AA23*Hipótesis!$E$22)</f>
        <v>-10628.7184760462</v>
      </c>
      <c r="AB39" s="109" t="n">
        <f aca="false">-(AB19*AB21*Hipótesis!$E$18+AB23*Hipótesis!$E$22)</f>
        <v>-10894.5346913299</v>
      </c>
      <c r="AC39" s="109" t="n">
        <f aca="false">-(AC19*AC21*Hipótesis!$E$18+AC23*Hipótesis!$E$22)</f>
        <v>-11160.3509066137</v>
      </c>
      <c r="AD39" s="109" t="n">
        <f aca="false">-(AD19*AD21*Hipótesis!$E$18+AD23*Hipótesis!$E$22)</f>
        <v>-11426.1671218975</v>
      </c>
      <c r="AE39" s="109" t="n">
        <f aca="false">-(AE19*AE21*Hipótesis!$E$18+AE23*Hipótesis!$E$22)</f>
        <v>-11691.9833371813</v>
      </c>
      <c r="AF39" s="109" t="n">
        <f aca="false">-(AF19*AF21*Hipótesis!$E$18+AF23*Hipótesis!$E$22)</f>
        <v>-11957.7995524651</v>
      </c>
      <c r="AG39" s="109" t="n">
        <f aca="false">-(AG19*AG21*Hipótesis!$E$18+AG23*Hipótesis!$E$22)</f>
        <v>-12223.6157677489</v>
      </c>
      <c r="AH39" s="109" t="n">
        <f aca="false">-(AH19*AH21*Hipótesis!$E$18+AH23*Hipótesis!$E$22)</f>
        <v>-12489.4319830326</v>
      </c>
      <c r="AI39" s="109" t="n">
        <f aca="false">-(AI19*AI21*Hipótesis!$E$18+AI23*Hipótesis!$E$22)</f>
        <v>-12755.2481983164</v>
      </c>
      <c r="AJ39" s="109" t="n">
        <f aca="false">-(AJ19*AJ21*Hipótesis!$E$18+AJ23*Hipótesis!$E$22)</f>
        <v>-13021.0644136002</v>
      </c>
      <c r="AK39" s="109" t="n">
        <f aca="false">-(AK19*AK21*Hipótesis!$E$18+AK23*Hipótesis!$E$22)</f>
        <v>-13286.880628884</v>
      </c>
      <c r="AL39" s="109" t="n">
        <f aca="false">-(AL19*AL21*Hipótesis!$E$18+AL23*Hipótesis!$E$22)</f>
        <v>-13552.6968441678</v>
      </c>
      <c r="AM39" s="109" t="n">
        <f aca="false">-(AM19*AM21*Hipótesis!$E$18+AM23*Hipótesis!$E$22)</f>
        <v>-13818.5130594516</v>
      </c>
      <c r="AN39" s="109" t="n">
        <f aca="false">-(AN19*AN21*Hipótesis!$E$18+AN23*Hipótesis!$E$22)</f>
        <v>-14084.3292747353</v>
      </c>
      <c r="AO39" s="109" t="n">
        <f aca="false">-(AO19*AO21*Hipótesis!$E$18+AO23*Hipótesis!$E$22)</f>
        <v>-14350.1454900191</v>
      </c>
      <c r="AP39" s="109" t="n">
        <f aca="false">-(AP19*AP21*Hipótesis!$E$18+AP23*Hipótesis!$E$22)</f>
        <v>-14615.9617053029</v>
      </c>
      <c r="AQ39" s="109" t="n">
        <f aca="false">-(AQ19*AQ21*Hipótesis!$E$18+AQ23*Hipótesis!$E$22)</f>
        <v>-14881.7779205867</v>
      </c>
      <c r="AR39" s="109" t="n">
        <f aca="false">-(AR19*AR21*Hipótesis!$E$18+AR23*Hipótesis!$E$22)</f>
        <v>-15147.5941358705</v>
      </c>
      <c r="AS39" s="109" t="n">
        <f aca="false">-(AS19*AS21*Hipótesis!$E$18+AS23*Hipótesis!$E$22)</f>
        <v>-15147.5941358705</v>
      </c>
      <c r="AT39" s="109" t="n">
        <f aca="false">-(AT19*AT21*Hipótesis!$E$18+AT23*Hipótesis!$E$22)</f>
        <v>-15147.5941358705</v>
      </c>
      <c r="AU39" s="109" t="n">
        <f aca="false">-(AU19*AU21*Hipótesis!$E$18+AU23*Hipótesis!$E$22)</f>
        <v>-15147.5941358705</v>
      </c>
      <c r="AV39" s="109" t="n">
        <f aca="false">-(AV19*AV21*Hipótesis!$E$18+AV23*Hipótesis!$E$22)</f>
        <v>-15147.5941358705</v>
      </c>
      <c r="AW39" s="109" t="n">
        <f aca="false">-(AW19*AW21*Hipótesis!$E$18+AW23*Hipótesis!$E$22)</f>
        <v>-15147.5941358705</v>
      </c>
      <c r="AX39" s="109" t="n">
        <f aca="false">-(AX19*AX21*Hipótesis!$E$18+AX23*Hipótesis!$E$22)</f>
        <v>-15147.5941358705</v>
      </c>
      <c r="AY39" s="109" t="n">
        <f aca="false">-(AY19*AY21*Hipótesis!$E$18+AY23*Hipótesis!$E$22)</f>
        <v>-15147.5941358705</v>
      </c>
      <c r="AZ39" s="109" t="n">
        <f aca="false">-(AZ19*AZ21*Hipótesis!$E$18+AZ23*Hipótesis!$E$22)</f>
        <v>-15147.5941358705</v>
      </c>
      <c r="BA39" s="109" t="n">
        <f aca="false">-(BA19*BA21*Hipótesis!$E$18+BA23*Hipótesis!$E$22)</f>
        <v>-15147.5941358705</v>
      </c>
      <c r="BB39" s="109" t="n">
        <f aca="false">-(BB19*BB21*Hipótesis!$E$18+BB23*Hipótesis!$E$22)</f>
        <v>-15147.5941358705</v>
      </c>
      <c r="BC39" s="109" t="n">
        <f aca="false">-(BC19*BC21*Hipótesis!$E$18+BC23*Hipótesis!$E$22)</f>
        <v>-15147.5941358705</v>
      </c>
      <c r="BD39" s="109" t="n">
        <f aca="false">-(BD19*BD21*Hipótesis!$E$18+BD23*Hipótesis!$E$22)</f>
        <v>-15147.5941358705</v>
      </c>
      <c r="BE39" s="109" t="n">
        <f aca="false">-(BE19*BE21*Hipótesis!$E$18+BE23*Hipótesis!$E$22)</f>
        <v>-15147.5941358705</v>
      </c>
      <c r="BF39" s="109" t="n">
        <f aca="false">-(BF19*BF21*Hipótesis!$E$18+BF23*Hipótesis!$E$22)</f>
        <v>-15147.5941358705</v>
      </c>
      <c r="BG39" s="109" t="n">
        <f aca="false">-(BG19*BG21*Hipótesis!$E$18+BG23*Hipótesis!$E$22)</f>
        <v>-15147.5941358705</v>
      </c>
      <c r="BH39" s="109" t="n">
        <f aca="false">-(BH19*BH21*Hipótesis!$E$18+BH23*Hipótesis!$E$22)</f>
        <v>-15147.5941358705</v>
      </c>
      <c r="BI39" s="109" t="n">
        <f aca="false">-(BI19*BI21*Hipótesis!$E$18+BI23*Hipótesis!$E$22)</f>
        <v>-15147.5941358705</v>
      </c>
      <c r="BJ39" s="109" t="n">
        <f aca="false">-(BJ19*BJ21*Hipótesis!$E$18+BJ23*Hipótesis!$E$22)</f>
        <v>-15147.5941358705</v>
      </c>
      <c r="BK39" s="109" t="n">
        <f aca="false">-(BK19*BK21*Hipótesis!$E$18+BK23*Hipótesis!$E$22)</f>
        <v>-15147.5941358705</v>
      </c>
      <c r="BL39" s="109" t="n">
        <f aca="false">-(BL19*BL21*Hipótesis!$E$18+BL23*Hipótesis!$E$22)</f>
        <v>-15147.5941358705</v>
      </c>
      <c r="BM39" s="109" t="n">
        <f aca="false">-(BM19*BM21*Hipótesis!$E$18+BM23*Hipótesis!$E$22)</f>
        <v>-15147.5941358705</v>
      </c>
      <c r="BN39" s="109" t="n">
        <f aca="false">-(BN19*BN21*Hipótesis!$E$18+BN23*Hipótesis!$E$22)</f>
        <v>-15147.5941358705</v>
      </c>
      <c r="BO39" s="109" t="n">
        <f aca="false">-(BO19*BO21*Hipótesis!$E$18+BO23*Hipótesis!$E$22)</f>
        <v>-15147.5941358705</v>
      </c>
      <c r="BP39" s="109" t="n">
        <f aca="false">-(BP19*BP21*Hipótesis!$E$18+BP23*Hipótesis!$E$22)</f>
        <v>-15147.5941358705</v>
      </c>
      <c r="BQ39" s="109" t="n">
        <f aca="false">-(BQ19*BQ21*Hipótesis!$E$18+BQ23*Hipótesis!$E$22)</f>
        <v>-15147.5941358705</v>
      </c>
      <c r="BR39" s="109" t="n">
        <f aca="false">-(BR19*BR21*Hipótesis!$E$18+BR23*Hipótesis!$E$22)</f>
        <v>-15147.5941358705</v>
      </c>
      <c r="BS39" s="109" t="n">
        <f aca="false">-(BS19*BS21*Hipótesis!$E$18+BS23*Hipótesis!$E$22)</f>
        <v>-15147.5941358705</v>
      </c>
      <c r="BT39" s="109" t="n">
        <f aca="false">-(BT19*BT21*Hipótesis!$E$18+BT23*Hipótesis!$E$22)</f>
        <v>-15147.5941358705</v>
      </c>
      <c r="BU39" s="109" t="n">
        <f aca="false">-(BU19*BU21*Hipótesis!$E$18+BU23*Hipótesis!$E$22)</f>
        <v>-15147.5941358705</v>
      </c>
      <c r="BV39" s="109" t="n">
        <f aca="false">-(BV19*BV21*Hipótesis!$E$18+BV23*Hipótesis!$E$22)</f>
        <v>-15147.5941358705</v>
      </c>
      <c r="BW39" s="109" t="n">
        <f aca="false">-(BW19*BW21*Hipótesis!$E$18+BW23*Hipótesis!$E$22)</f>
        <v>-15147.5941358705</v>
      </c>
      <c r="BX39" s="109" t="n">
        <f aca="false">-(BX19*BX21*Hipótesis!$E$18+BX23*Hipótesis!$E$22)</f>
        <v>-15147.5941358705</v>
      </c>
      <c r="BY39" s="109" t="n">
        <f aca="false">-(BY19*BY21*Hipótesis!$E$18+BY23*Hipótesis!$E$22)</f>
        <v>-15147.5941358705</v>
      </c>
      <c r="BZ39" s="109" t="n">
        <f aca="false">-(BZ19*BZ21*Hipótesis!$E$18+BZ23*Hipótesis!$E$22)</f>
        <v>-15147.5941358705</v>
      </c>
      <c r="CA39" s="109" t="n">
        <f aca="false">-(CA19*CA21*Hipótesis!$E$18+CA23*Hipótesis!$E$22)</f>
        <v>-15147.5941358705</v>
      </c>
      <c r="CB39" s="109" t="n">
        <f aca="false">-(CB19*CB21*Hipótesis!$E$18+CB23*Hipótesis!$E$22)</f>
        <v>-15147.5941358705</v>
      </c>
      <c r="CC39" s="109" t="n">
        <f aca="false">-(CC19*CC21*Hipótesis!$E$18+CC23*Hipótesis!$E$22)</f>
        <v>-15147.5941358705</v>
      </c>
      <c r="CD39" s="109" t="n">
        <f aca="false">-(CD19*CD21*Hipótesis!$E$18+CD23*Hipótesis!$E$22)</f>
        <v>-15147.5941358705</v>
      </c>
      <c r="CE39" s="109" t="n">
        <f aca="false">-(CE19*CE21*Hipótesis!$E$18+CE23*Hipótesis!$E$22)</f>
        <v>-15147.5941358705</v>
      </c>
      <c r="CF39" s="109" t="n">
        <f aca="false">-(CF19*CF21*Hipótesis!$E$18+CF23*Hipótesis!$E$22)</f>
        <v>-15147.5941358705</v>
      </c>
      <c r="CG39" s="109" t="n">
        <f aca="false">-(CG19*CG21*Hipótesis!$E$18+CG23*Hipótesis!$E$22)</f>
        <v>-15147.5941358705</v>
      </c>
      <c r="CH39" s="109" t="n">
        <f aca="false">-(CH19*CH21*Hipótesis!$E$18+CH23*Hipótesis!$E$22)</f>
        <v>-15147.5941358705</v>
      </c>
    </row>
    <row r="40" customFormat="false" ht="13.5" hidden="false" customHeight="true" outlineLevel="0" collapsed="false">
      <c r="A40" s="47" t="s">
        <v>545</v>
      </c>
      <c r="C40" s="71" t="n">
        <f aca="false">C38+C39</f>
        <v>1142.211125</v>
      </c>
      <c r="D40" s="71" t="n">
        <f aca="false">D38+D39</f>
        <v>2367.23601470588</v>
      </c>
      <c r="E40" s="71" t="n">
        <f aca="false">E38+E39</f>
        <v>4861.94311263881</v>
      </c>
      <c r="F40" s="71" t="n">
        <f aca="false">F38+F39</f>
        <v>6214.43908557173</v>
      </c>
      <c r="G40" s="71" t="n">
        <f aca="false">G38+G39</f>
        <v>7484.12129379877</v>
      </c>
      <c r="H40" s="71" t="n">
        <f aca="false">H38+H39</f>
        <v>9484.69466011405</v>
      </c>
      <c r="I40" s="71" t="n">
        <f aca="false">I38+I39</f>
        <v>13566.004654201</v>
      </c>
      <c r="J40" s="71" t="n">
        <f aca="false">J38+J39</f>
        <v>17647.314648288</v>
      </c>
      <c r="K40" s="71" t="n">
        <f aca="false">K38+K39</f>
        <v>21728.624642375</v>
      </c>
      <c r="L40" s="71" t="n">
        <f aca="false">L38+L39</f>
        <v>25809.934636462</v>
      </c>
      <c r="M40" s="71" t="n">
        <f aca="false">M38+M39</f>
        <v>28621.5624223219</v>
      </c>
      <c r="N40" s="71" t="n">
        <f aca="false">N38+N39</f>
        <v>32417.0258699466</v>
      </c>
      <c r="O40" s="71" t="n">
        <f aca="false">O38+O39</f>
        <v>36212.4893175712</v>
      </c>
      <c r="P40" s="71" t="n">
        <f aca="false">P38+P39</f>
        <v>39638.8843718135</v>
      </c>
      <c r="Q40" s="71" t="n">
        <f aca="false">Q38+Q39</f>
        <v>43065.2794260558</v>
      </c>
      <c r="R40" s="71" t="n">
        <f aca="false">R38+R39</f>
        <v>46491.6744802981</v>
      </c>
      <c r="S40" s="71" t="n">
        <f aca="false">S38+S39</f>
        <v>49918.0695345404</v>
      </c>
      <c r="T40" s="71" t="n">
        <f aca="false">T38+T39</f>
        <v>53344.4645887827</v>
      </c>
      <c r="U40" s="71" t="n">
        <f aca="false">U38+U39</f>
        <v>56770.859643025</v>
      </c>
      <c r="V40" s="71" t="n">
        <f aca="false">V38+V39</f>
        <v>60197.2546972673</v>
      </c>
      <c r="W40" s="71" t="n">
        <f aca="false">W38+W39</f>
        <v>63623.6497515096</v>
      </c>
      <c r="X40" s="71" t="n">
        <f aca="false">X38+X39</f>
        <v>66066.2091439872</v>
      </c>
      <c r="Y40" s="71" t="n">
        <f aca="false">Y38+Y39</f>
        <v>68508.7685364648</v>
      </c>
      <c r="Z40" s="71" t="n">
        <f aca="false">Z38+Z39</f>
        <v>70589.5051642365</v>
      </c>
      <c r="AA40" s="71" t="n">
        <f aca="false">AA38+AA39</f>
        <v>72670.2417920082</v>
      </c>
      <c r="AB40" s="71" t="n">
        <f aca="false">AB38+AB39</f>
        <v>74750.9784197799</v>
      </c>
      <c r="AC40" s="71" t="n">
        <f aca="false">AC38+AC39</f>
        <v>76831.7150475516</v>
      </c>
      <c r="AD40" s="71" t="n">
        <f aca="false">AD38+AD39</f>
        <v>78912.4516753233</v>
      </c>
      <c r="AE40" s="71" t="n">
        <f aca="false">AE38+AE39</f>
        <v>80993.188303095</v>
      </c>
      <c r="AF40" s="71" t="n">
        <f aca="false">AF38+AF39</f>
        <v>83073.9249308667</v>
      </c>
      <c r="AG40" s="71" t="n">
        <f aca="false">AG38+AG39</f>
        <v>85154.6615586385</v>
      </c>
      <c r="AH40" s="71" t="n">
        <f aca="false">AH38+AH39</f>
        <v>87235.3981864102</v>
      </c>
      <c r="AI40" s="71" t="n">
        <f aca="false">AI38+AI39</f>
        <v>89316.1348141819</v>
      </c>
      <c r="AJ40" s="71" t="n">
        <f aca="false">AJ38+AJ39</f>
        <v>91396.8714419536</v>
      </c>
      <c r="AK40" s="71" t="n">
        <f aca="false">AK38+AK39</f>
        <v>93477.6080697253</v>
      </c>
      <c r="AL40" s="71" t="n">
        <f aca="false">AL38+AL39</f>
        <v>95558.344697497</v>
      </c>
      <c r="AM40" s="71" t="n">
        <f aca="false">AM38+AM39</f>
        <v>97639.0813252687</v>
      </c>
      <c r="AN40" s="71" t="n">
        <f aca="false">AN38+AN39</f>
        <v>99719.8179530404</v>
      </c>
      <c r="AO40" s="71" t="n">
        <f aca="false">AO38+AO39</f>
        <v>101800.554580812</v>
      </c>
      <c r="AP40" s="71" t="n">
        <f aca="false">AP38+AP39</f>
        <v>103881.291208584</v>
      </c>
      <c r="AQ40" s="71" t="n">
        <f aca="false">AQ38+AQ39</f>
        <v>105962.027836356</v>
      </c>
      <c r="AR40" s="71" t="n">
        <f aca="false">AR38+AR39</f>
        <v>108042.764464127</v>
      </c>
      <c r="AS40" s="71" t="n">
        <f aca="false">AS38+AS39</f>
        <v>108042.764464127</v>
      </c>
      <c r="AT40" s="71" t="n">
        <f aca="false">AT38+AT39</f>
        <v>108042.764464127</v>
      </c>
      <c r="AU40" s="71" t="n">
        <f aca="false">AU38+AU39</f>
        <v>108042.764464127</v>
      </c>
      <c r="AV40" s="71" t="n">
        <f aca="false">AV38+AV39</f>
        <v>108042.764464127</v>
      </c>
      <c r="AW40" s="71" t="n">
        <f aca="false">AW38+AW39</f>
        <v>108042.764464127</v>
      </c>
      <c r="AX40" s="71" t="n">
        <f aca="false">AX38+AX39</f>
        <v>108042.764464127</v>
      </c>
      <c r="AY40" s="71" t="n">
        <f aca="false">AY38+AY39</f>
        <v>108042.764464127</v>
      </c>
      <c r="AZ40" s="71" t="n">
        <f aca="false">AZ38+AZ39</f>
        <v>108042.764464127</v>
      </c>
      <c r="BA40" s="71" t="n">
        <f aca="false">BA38+BA39</f>
        <v>108042.764464127</v>
      </c>
      <c r="BB40" s="71" t="n">
        <f aca="false">BB38+BB39</f>
        <v>108042.764464127</v>
      </c>
      <c r="BC40" s="71" t="n">
        <f aca="false">BC38+BC39</f>
        <v>108042.764464127</v>
      </c>
      <c r="BD40" s="71" t="n">
        <f aca="false">BD38+BD39</f>
        <v>108042.764464127</v>
      </c>
      <c r="BE40" s="71" t="n">
        <f aca="false">BE38+BE39</f>
        <v>108042.764464127</v>
      </c>
      <c r="BF40" s="71" t="n">
        <f aca="false">BF38+BF39</f>
        <v>108042.764464127</v>
      </c>
      <c r="BG40" s="71" t="n">
        <f aca="false">BG38+BG39</f>
        <v>108042.764464127</v>
      </c>
      <c r="BH40" s="71" t="n">
        <f aca="false">BH38+BH39</f>
        <v>108042.764464127</v>
      </c>
      <c r="BI40" s="71" t="n">
        <f aca="false">BI38+BI39</f>
        <v>108042.764464127</v>
      </c>
      <c r="BJ40" s="71" t="n">
        <f aca="false">BJ38+BJ39</f>
        <v>108042.764464127</v>
      </c>
      <c r="BK40" s="71" t="n">
        <f aca="false">BK38+BK39</f>
        <v>108042.764464127</v>
      </c>
      <c r="BL40" s="71" t="n">
        <f aca="false">BL38+BL39</f>
        <v>108042.764464127</v>
      </c>
      <c r="BM40" s="71" t="n">
        <f aca="false">BM38+BM39</f>
        <v>108042.764464127</v>
      </c>
      <c r="BN40" s="71" t="n">
        <f aca="false">BN38+BN39</f>
        <v>108042.764464127</v>
      </c>
      <c r="BO40" s="71" t="n">
        <f aca="false">BO38+BO39</f>
        <v>108042.764464127</v>
      </c>
      <c r="BP40" s="71" t="n">
        <f aca="false">BP38+BP39</f>
        <v>108042.764464127</v>
      </c>
      <c r="BQ40" s="71" t="n">
        <f aca="false">BQ38+BQ39</f>
        <v>108042.764464127</v>
      </c>
      <c r="BR40" s="71" t="n">
        <f aca="false">BR38+BR39</f>
        <v>108042.764464127</v>
      </c>
      <c r="BS40" s="71" t="n">
        <f aca="false">BS38+BS39</f>
        <v>108042.764464127</v>
      </c>
      <c r="BT40" s="71" t="n">
        <f aca="false">BT38+BT39</f>
        <v>108042.764464127</v>
      </c>
      <c r="BU40" s="71" t="n">
        <f aca="false">BU38+BU39</f>
        <v>108042.764464127</v>
      </c>
      <c r="BV40" s="71" t="n">
        <f aca="false">BV38+BV39</f>
        <v>108042.764464127</v>
      </c>
      <c r="BW40" s="71" t="n">
        <f aca="false">BW38+BW39</f>
        <v>108042.764464127</v>
      </c>
      <c r="BX40" s="71" t="n">
        <f aca="false">BX38+BX39</f>
        <v>108042.764464127</v>
      </c>
      <c r="BY40" s="71" t="n">
        <f aca="false">BY38+BY39</f>
        <v>108042.764464127</v>
      </c>
      <c r="BZ40" s="71" t="n">
        <f aca="false">BZ38+BZ39</f>
        <v>108042.764464127</v>
      </c>
      <c r="CA40" s="71" t="n">
        <f aca="false">CA38+CA39</f>
        <v>108042.764464127</v>
      </c>
      <c r="CB40" s="71" t="n">
        <f aca="false">CB38+CB39</f>
        <v>108042.764464127</v>
      </c>
      <c r="CC40" s="71" t="n">
        <f aca="false">CC38+CC39</f>
        <v>108042.764464127</v>
      </c>
      <c r="CD40" s="71" t="n">
        <f aca="false">CD38+CD39</f>
        <v>108042.764464127</v>
      </c>
      <c r="CE40" s="71" t="n">
        <f aca="false">CE38+CE39</f>
        <v>108042.764464127</v>
      </c>
      <c r="CF40" s="71" t="n">
        <f aca="false">CF38+CF39</f>
        <v>108042.764464127</v>
      </c>
      <c r="CG40" s="71" t="n">
        <f aca="false">CG38+CG39</f>
        <v>108042.764464127</v>
      </c>
      <c r="CH40" s="71" t="n">
        <f aca="false">CH38+CH39</f>
        <v>108042.764464127</v>
      </c>
    </row>
    <row r="41" customFormat="false" ht="13.5" hidden="false" customHeight="true" outlineLevel="0" collapsed="false">
      <c r="A41" s="6" t="s">
        <v>546</v>
      </c>
      <c r="C41" s="120" t="n">
        <f aca="false">IFERROR(C40/C38,0)</f>
        <v>0.9348795076502</v>
      </c>
      <c r="D41" s="120" t="n">
        <f aca="false">IFERROR(D40/D38,0)</f>
        <v>0.932466629464635</v>
      </c>
      <c r="E41" s="120" t="n">
        <f aca="false">IFERROR(E40/E38,0)</f>
        <v>0.919505594385576</v>
      </c>
      <c r="F41" s="120" t="n">
        <f aca="false">IFERROR(F40/F38,0)</f>
        <v>0.911920870417777</v>
      </c>
      <c r="G41" s="120" t="n">
        <f aca="false">IFERROR(G40/G38,0)</f>
        <v>0.907535651474187</v>
      </c>
      <c r="H41" s="120" t="n">
        <f aca="false">IFERROR(H40/H38,0)</f>
        <v>0.898965221121995</v>
      </c>
      <c r="I41" s="120" t="n">
        <f aca="false">IFERROR(I40/I38,0)</f>
        <v>0.892425634394706</v>
      </c>
      <c r="J41" s="120" t="n">
        <f aca="false">IFERROR(J40/J38,0)</f>
        <v>0.888950036777214</v>
      </c>
      <c r="K41" s="120" t="n">
        <f aca="false">IFERROR(K40/K38,0)</f>
        <v>0.886793783273065</v>
      </c>
      <c r="L41" s="120" t="n">
        <f aca="false">IFERROR(L40/L38,0)</f>
        <v>0.885325475318236</v>
      </c>
      <c r="M41" s="120" t="n">
        <f aca="false">IFERROR(M40/M38,0)</f>
        <v>0.884154769640197</v>
      </c>
      <c r="N41" s="120" t="n">
        <f aca="false">IFERROR(N40/N38,0)</f>
        <v>0.881389252331174</v>
      </c>
      <c r="O41" s="120" t="n">
        <f aca="false">IFERROR(O40/O38,0)</f>
        <v>0.879215658171342</v>
      </c>
      <c r="P41" s="120" t="n">
        <f aca="false">IFERROR(P40/P38,0)</f>
        <v>0.877607952354545</v>
      </c>
      <c r="Q41" s="120" t="n">
        <f aca="false">IFERROR(Q40/Q38,0)</f>
        <v>0.876260617412472</v>
      </c>
      <c r="R41" s="120" t="n">
        <f aca="false">IFERROR(R40/R38,0)</f>
        <v>0.875115140196867</v>
      </c>
      <c r="S41" s="120" t="n">
        <f aca="false">IFERROR(S40/S38,0)</f>
        <v>0.874129318581034</v>
      </c>
      <c r="T41" s="120" t="n">
        <f aca="false">IFERROR(T40/T38,0)</f>
        <v>0.873271948199264</v>
      </c>
      <c r="U41" s="120" t="n">
        <f aca="false">IFERROR(U40/U38,0)</f>
        <v>0.872519459083918</v>
      </c>
      <c r="V41" s="120" t="n">
        <f aca="false">IFERROR(V40/V38,0)</f>
        <v>0.871853715468558</v>
      </c>
      <c r="W41" s="120" t="n">
        <f aca="false">IFERROR(W40/W38,0)</f>
        <v>0.871260535026899</v>
      </c>
      <c r="X41" s="120" t="n">
        <f aca="false">IFERROR(X40/X38,0)</f>
        <v>0.871409512904819</v>
      </c>
      <c r="Y41" s="120" t="n">
        <f aca="false">IFERROR(Y40/Y38,0)</f>
        <v>0.871547913330644</v>
      </c>
      <c r="Z41" s="120" t="n">
        <f aca="false">IFERROR(Z40/Z38,0)</f>
        <v>0.871987719817185</v>
      </c>
      <c r="AA41" s="120" t="n">
        <f aca="false">IFERROR(AA40/AA38,0)</f>
        <v>0.872402747383123</v>
      </c>
      <c r="AB41" s="120" t="n">
        <f aca="false">IFERROR(AB40/AB38,0)</f>
        <v>0.872795032739237</v>
      </c>
      <c r="AC41" s="120" t="n">
        <f aca="false">IFERROR(AC40/AC38,0)</f>
        <v>0.873166395338108</v>
      </c>
      <c r="AD41" s="120" t="n">
        <f aca="false">IFERROR(AD40/AD38,0)</f>
        <v>0.873518465590609</v>
      </c>
      <c r="AE41" s="120" t="n">
        <f aca="false">IFERROR(AE40/AE38,0)</f>
        <v>0.873852708796188</v>
      </c>
      <c r="AF41" s="120" t="n">
        <f aca="false">IFERROR(AF40/AF38,0)</f>
        <v>0.874170445527773</v>
      </c>
      <c r="AG41" s="120" t="n">
        <f aca="false">IFERROR(AG40/AG38,0)</f>
        <v>0.874472869069368</v>
      </c>
      <c r="AH41" s="120" t="n">
        <f aca="false">IFERROR(AH40/AH38,0)</f>
        <v>0.874761060391762</v>
      </c>
      <c r="AI41" s="120" t="n">
        <f aca="false">IFERROR(AI40/AI38,0)</f>
        <v>0.875036001062564</v>
      </c>
      <c r="AJ41" s="120" t="n">
        <f aca="false">IFERROR(AJ40/AJ38,0)</f>
        <v>0.875298584415489</v>
      </c>
      <c r="AK41" s="120" t="n">
        <f aca="false">IFERROR(AK40/AK38,0)</f>
        <v>0.875549625246722</v>
      </c>
      <c r="AL41" s="120" t="n">
        <f aca="false">IFERROR(AL40/AL38,0)</f>
        <v>0.875789868260101</v>
      </c>
      <c r="AM41" s="120" t="n">
        <f aca="false">IFERROR(AM40/AM38,0)</f>
        <v>0.876019995445497</v>
      </c>
      <c r="AN41" s="120" t="n">
        <f aca="false">IFERROR(AN40/AN38,0)</f>
        <v>0.876240632544384</v>
      </c>
      <c r="AO41" s="120" t="n">
        <f aca="false">IFERROR(AO40/AO38,0)</f>
        <v>0.876452354731671</v>
      </c>
      <c r="AP41" s="120" t="n">
        <f aca="false">IFERROR(AP40/AP38,0)</f>
        <v>0.876655691622451</v>
      </c>
      <c r="AQ41" s="120" t="n">
        <f aca="false">IFERROR(AQ40/AQ38,0)</f>
        <v>0.876851131695414</v>
      </c>
      <c r="AR41" s="120" t="n">
        <f aca="false">IFERROR(AR40/AR38,0)</f>
        <v>0.87703912621072</v>
      </c>
      <c r="AS41" s="120" t="n">
        <f aca="false">IFERROR(AS40/AS38,0)</f>
        <v>0.87703912621072</v>
      </c>
      <c r="AT41" s="120" t="n">
        <f aca="false">IFERROR(AT40/AT38,0)</f>
        <v>0.87703912621072</v>
      </c>
      <c r="AU41" s="120" t="n">
        <f aca="false">IFERROR(AU40/AU38,0)</f>
        <v>0.87703912621072</v>
      </c>
      <c r="AV41" s="120" t="n">
        <f aca="false">IFERROR(AV40/AV38,0)</f>
        <v>0.87703912621072</v>
      </c>
      <c r="AW41" s="120" t="n">
        <f aca="false">IFERROR(AW40/AW38,0)</f>
        <v>0.87703912621072</v>
      </c>
      <c r="AX41" s="120" t="n">
        <f aca="false">IFERROR(AX40/AX38,0)</f>
        <v>0.87703912621072</v>
      </c>
      <c r="AY41" s="120" t="n">
        <f aca="false">IFERROR(AY40/AY38,0)</f>
        <v>0.87703912621072</v>
      </c>
      <c r="AZ41" s="120" t="n">
        <f aca="false">IFERROR(AZ40/AZ38,0)</f>
        <v>0.87703912621072</v>
      </c>
      <c r="BA41" s="120" t="n">
        <f aca="false">IFERROR(BA40/BA38,0)</f>
        <v>0.87703912621072</v>
      </c>
      <c r="BB41" s="120" t="n">
        <f aca="false">IFERROR(BB40/BB38,0)</f>
        <v>0.87703912621072</v>
      </c>
      <c r="BC41" s="120" t="n">
        <f aca="false">IFERROR(BC40/BC38,0)</f>
        <v>0.87703912621072</v>
      </c>
      <c r="BD41" s="120" t="n">
        <f aca="false">IFERROR(BD40/BD38,0)</f>
        <v>0.87703912621072</v>
      </c>
      <c r="BE41" s="120" t="n">
        <f aca="false">IFERROR(BE40/BE38,0)</f>
        <v>0.87703912621072</v>
      </c>
      <c r="BF41" s="120" t="n">
        <f aca="false">IFERROR(BF40/BF38,0)</f>
        <v>0.87703912621072</v>
      </c>
      <c r="BG41" s="120" t="n">
        <f aca="false">IFERROR(BG40/BG38,0)</f>
        <v>0.87703912621072</v>
      </c>
      <c r="BH41" s="120" t="n">
        <f aca="false">IFERROR(BH40/BH38,0)</f>
        <v>0.87703912621072</v>
      </c>
      <c r="BI41" s="120" t="n">
        <f aca="false">IFERROR(BI40/BI38,0)</f>
        <v>0.87703912621072</v>
      </c>
      <c r="BJ41" s="120" t="n">
        <f aca="false">IFERROR(BJ40/BJ38,0)</f>
        <v>0.87703912621072</v>
      </c>
      <c r="BK41" s="120" t="n">
        <f aca="false">IFERROR(BK40/BK38,0)</f>
        <v>0.87703912621072</v>
      </c>
      <c r="BL41" s="120" t="n">
        <f aca="false">IFERROR(BL40/BL38,0)</f>
        <v>0.87703912621072</v>
      </c>
      <c r="BM41" s="120" t="n">
        <f aca="false">IFERROR(BM40/BM38,0)</f>
        <v>0.87703912621072</v>
      </c>
      <c r="BN41" s="120" t="n">
        <f aca="false">IFERROR(BN40/BN38,0)</f>
        <v>0.87703912621072</v>
      </c>
      <c r="BO41" s="120" t="n">
        <f aca="false">IFERROR(BO40/BO38,0)</f>
        <v>0.87703912621072</v>
      </c>
      <c r="BP41" s="120" t="n">
        <f aca="false">IFERROR(BP40/BP38,0)</f>
        <v>0.87703912621072</v>
      </c>
      <c r="BQ41" s="120" t="n">
        <f aca="false">IFERROR(BQ40/BQ38,0)</f>
        <v>0.87703912621072</v>
      </c>
      <c r="BR41" s="120" t="n">
        <f aca="false">IFERROR(BR40/BR38,0)</f>
        <v>0.87703912621072</v>
      </c>
      <c r="BS41" s="120" t="n">
        <f aca="false">IFERROR(BS40/BS38,0)</f>
        <v>0.87703912621072</v>
      </c>
      <c r="BT41" s="120" t="n">
        <f aca="false">IFERROR(BT40/BT38,0)</f>
        <v>0.87703912621072</v>
      </c>
      <c r="BU41" s="120" t="n">
        <f aca="false">IFERROR(BU40/BU38,0)</f>
        <v>0.87703912621072</v>
      </c>
      <c r="BV41" s="120" t="n">
        <f aca="false">IFERROR(BV40/BV38,0)</f>
        <v>0.87703912621072</v>
      </c>
      <c r="BW41" s="120" t="n">
        <f aca="false">IFERROR(BW40/BW38,0)</f>
        <v>0.87703912621072</v>
      </c>
      <c r="BX41" s="120" t="n">
        <f aca="false">IFERROR(BX40/BX38,0)</f>
        <v>0.87703912621072</v>
      </c>
      <c r="BY41" s="120" t="n">
        <f aca="false">IFERROR(BY40/BY38,0)</f>
        <v>0.87703912621072</v>
      </c>
      <c r="BZ41" s="120" t="n">
        <f aca="false">IFERROR(BZ40/BZ38,0)</f>
        <v>0.87703912621072</v>
      </c>
      <c r="CA41" s="120" t="n">
        <f aca="false">IFERROR(CA40/CA38,0)</f>
        <v>0.87703912621072</v>
      </c>
      <c r="CB41" s="120" t="n">
        <f aca="false">IFERROR(CB40/CB38,0)</f>
        <v>0.87703912621072</v>
      </c>
      <c r="CC41" s="120" t="n">
        <f aca="false">IFERROR(CC40/CC38,0)</f>
        <v>0.87703912621072</v>
      </c>
      <c r="CD41" s="120" t="n">
        <f aca="false">IFERROR(CD40/CD38,0)</f>
        <v>0.87703912621072</v>
      </c>
      <c r="CE41" s="120" t="n">
        <f aca="false">IFERROR(CE40/CE38,0)</f>
        <v>0.87703912621072</v>
      </c>
      <c r="CF41" s="120" t="n">
        <f aca="false">IFERROR(CF40/CF38,0)</f>
        <v>0.87703912621072</v>
      </c>
      <c r="CG41" s="120" t="n">
        <f aca="false">IFERROR(CG40/CG38,0)</f>
        <v>0.87703912621072</v>
      </c>
      <c r="CH41" s="120" t="n">
        <f aca="false">IFERROR(CH40/CH38,0)</f>
        <v>0.87703912621072</v>
      </c>
    </row>
    <row r="42" customFormat="false" ht="13.5" hidden="false" customHeight="true" outlineLevel="0" collapsed="false">
      <c r="A42" s="6" t="s">
        <v>547</v>
      </c>
      <c r="C42" s="109" t="n">
        <f aca="false">-Hipótesis!$E$36</f>
        <v>-1800</v>
      </c>
      <c r="D42" s="109" t="n">
        <f aca="false">-Hipótesis!$E$36</f>
        <v>-1800</v>
      </c>
      <c r="E42" s="109" t="n">
        <f aca="false">-Hipótesis!$E$36</f>
        <v>-1800</v>
      </c>
      <c r="F42" s="109" t="n">
        <f aca="false">-Hipótesis!$E$36</f>
        <v>-1800</v>
      </c>
      <c r="G42" s="109" t="n">
        <f aca="false">-Hipótesis!$E$36</f>
        <v>-1800</v>
      </c>
      <c r="H42" s="109" t="n">
        <f aca="false">-Hipótesis!$E$36</f>
        <v>-1800</v>
      </c>
      <c r="I42" s="109" t="n">
        <f aca="false">-Hipótesis!$E$36</f>
        <v>-1800</v>
      </c>
      <c r="J42" s="109" t="n">
        <f aca="false">-Hipótesis!$E$36</f>
        <v>-1800</v>
      </c>
      <c r="K42" s="109" t="n">
        <f aca="false">-Hipótesis!$E$36</f>
        <v>-1800</v>
      </c>
      <c r="L42" s="109" t="n">
        <f aca="false">-Hipótesis!$E$36</f>
        <v>-1800</v>
      </c>
      <c r="M42" s="109" t="n">
        <f aca="false">-Hipótesis!$E$36</f>
        <v>-1800</v>
      </c>
      <c r="N42" s="109" t="n">
        <f aca="false">-Hipótesis!$E$36</f>
        <v>-1800</v>
      </c>
      <c r="O42" s="109" t="n">
        <f aca="false">-Hipótesis!$E$36</f>
        <v>-1800</v>
      </c>
      <c r="P42" s="109" t="n">
        <f aca="false">-Hipótesis!$E$36</f>
        <v>-1800</v>
      </c>
      <c r="Q42" s="109" t="n">
        <f aca="false">-Hipótesis!$E$36</f>
        <v>-1800</v>
      </c>
      <c r="R42" s="109" t="n">
        <f aca="false">-Hipótesis!$E$36</f>
        <v>-1800</v>
      </c>
      <c r="S42" s="109" t="n">
        <f aca="false">-Hipótesis!$E$36</f>
        <v>-1800</v>
      </c>
      <c r="T42" s="109" t="n">
        <f aca="false">-Hipótesis!$E$36</f>
        <v>-1800</v>
      </c>
      <c r="U42" s="109" t="n">
        <f aca="false">-Hipótesis!$E$36</f>
        <v>-1800</v>
      </c>
      <c r="V42" s="109" t="n">
        <f aca="false">-Hipótesis!$E$36</f>
        <v>-1800</v>
      </c>
      <c r="W42" s="109" t="n">
        <f aca="false">-Hipótesis!$E$36</f>
        <v>-1800</v>
      </c>
      <c r="X42" s="109" t="n">
        <f aca="false">-Hipótesis!$E$36</f>
        <v>-1800</v>
      </c>
      <c r="Y42" s="109" t="n">
        <f aca="false">-Hipótesis!$E$36</f>
        <v>-1800</v>
      </c>
      <c r="Z42" s="109" t="n">
        <f aca="false">-Hipótesis!$E$36</f>
        <v>-1800</v>
      </c>
      <c r="AA42" s="109" t="n">
        <f aca="false">-Hipótesis!$E$36</f>
        <v>-1800</v>
      </c>
      <c r="AB42" s="109" t="n">
        <f aca="false">-Hipótesis!$E$36</f>
        <v>-1800</v>
      </c>
      <c r="AC42" s="109" t="n">
        <f aca="false">-Hipótesis!$E$36</f>
        <v>-1800</v>
      </c>
      <c r="AD42" s="109" t="n">
        <f aca="false">-Hipótesis!$E$36</f>
        <v>-1800</v>
      </c>
      <c r="AE42" s="109" t="n">
        <f aca="false">-Hipótesis!$E$36</f>
        <v>-1800</v>
      </c>
      <c r="AF42" s="109" t="n">
        <f aca="false">-Hipótesis!$E$36</f>
        <v>-1800</v>
      </c>
      <c r="AG42" s="109" t="n">
        <f aca="false">-Hipótesis!$E$36</f>
        <v>-1800</v>
      </c>
      <c r="AH42" s="109" t="n">
        <f aca="false">-Hipótesis!$E$36</f>
        <v>-1800</v>
      </c>
      <c r="AI42" s="109" t="n">
        <f aca="false">-Hipótesis!$E$36</f>
        <v>-1800</v>
      </c>
      <c r="AJ42" s="109" t="n">
        <f aca="false">-Hipótesis!$E$36</f>
        <v>-1800</v>
      </c>
      <c r="AK42" s="109" t="n">
        <f aca="false">-Hipótesis!$E$36</f>
        <v>-1800</v>
      </c>
      <c r="AL42" s="109" t="n">
        <f aca="false">-Hipótesis!$E$36</f>
        <v>-1800</v>
      </c>
      <c r="AM42" s="109" t="n">
        <f aca="false">-Hipótesis!$E$36</f>
        <v>-1800</v>
      </c>
      <c r="AN42" s="109" t="n">
        <f aca="false">-Hipótesis!$E$36</f>
        <v>-1800</v>
      </c>
      <c r="AO42" s="109" t="n">
        <f aca="false">-Hipótesis!$E$36</f>
        <v>-1800</v>
      </c>
      <c r="AP42" s="109" t="n">
        <f aca="false">-Hipótesis!$E$36</f>
        <v>-1800</v>
      </c>
      <c r="AQ42" s="109" t="n">
        <f aca="false">-Hipótesis!$E$36</f>
        <v>-1800</v>
      </c>
      <c r="AR42" s="109" t="n">
        <f aca="false">-Hipótesis!$E$36</f>
        <v>-1800</v>
      </c>
      <c r="AS42" s="109" t="n">
        <f aca="false">-Hipótesis!$E$36</f>
        <v>-1800</v>
      </c>
      <c r="AT42" s="109" t="n">
        <f aca="false">-Hipótesis!$E$36</f>
        <v>-1800</v>
      </c>
      <c r="AU42" s="109" t="n">
        <f aca="false">-Hipótesis!$E$36</f>
        <v>-1800</v>
      </c>
      <c r="AV42" s="109" t="n">
        <f aca="false">-Hipótesis!$E$36</f>
        <v>-1800</v>
      </c>
      <c r="AW42" s="109" t="n">
        <f aca="false">-Hipótesis!$E$36</f>
        <v>-1800</v>
      </c>
      <c r="AX42" s="109" t="n">
        <f aca="false">-Hipótesis!$E$36</f>
        <v>-1800</v>
      </c>
      <c r="AY42" s="109" t="n">
        <f aca="false">-Hipótesis!$E$36</f>
        <v>-1800</v>
      </c>
      <c r="AZ42" s="109" t="n">
        <f aca="false">-Hipótesis!$E$36</f>
        <v>-1800</v>
      </c>
      <c r="BA42" s="109" t="n">
        <f aca="false">-Hipótesis!$E$36</f>
        <v>-1800</v>
      </c>
      <c r="BB42" s="109" t="n">
        <f aca="false">-Hipótesis!$E$36</f>
        <v>-1800</v>
      </c>
      <c r="BC42" s="109" t="n">
        <f aca="false">-Hipótesis!$E$36</f>
        <v>-1800</v>
      </c>
      <c r="BD42" s="109" t="n">
        <f aca="false">-Hipótesis!$E$36</f>
        <v>-1800</v>
      </c>
      <c r="BE42" s="109" t="n">
        <f aca="false">-Hipótesis!$E$36</f>
        <v>-1800</v>
      </c>
      <c r="BF42" s="109" t="n">
        <f aca="false">-Hipótesis!$E$36</f>
        <v>-1800</v>
      </c>
      <c r="BG42" s="109" t="n">
        <f aca="false">-Hipótesis!$E$36</f>
        <v>-1800</v>
      </c>
      <c r="BH42" s="109" t="n">
        <f aca="false">-Hipótesis!$E$36</f>
        <v>-1800</v>
      </c>
      <c r="BI42" s="109" t="n">
        <f aca="false">-Hipótesis!$E$36</f>
        <v>-1800</v>
      </c>
      <c r="BJ42" s="109" t="n">
        <f aca="false">-Hipótesis!$E$36</f>
        <v>-1800</v>
      </c>
      <c r="BK42" s="109" t="n">
        <f aca="false">-Hipótesis!$E$36</f>
        <v>-1800</v>
      </c>
      <c r="BL42" s="109" t="n">
        <f aca="false">-Hipótesis!$E$36</f>
        <v>-1800</v>
      </c>
      <c r="BM42" s="109" t="n">
        <f aca="false">-Hipótesis!$E$36</f>
        <v>-1800</v>
      </c>
      <c r="BN42" s="109" t="n">
        <f aca="false">-Hipótesis!$E$36</f>
        <v>-1800</v>
      </c>
      <c r="BO42" s="109" t="n">
        <f aca="false">-Hipótesis!$E$36</f>
        <v>-1800</v>
      </c>
      <c r="BP42" s="109" t="n">
        <f aca="false">-Hipótesis!$E$36</f>
        <v>-1800</v>
      </c>
      <c r="BQ42" s="109" t="n">
        <f aca="false">-Hipótesis!$E$36</f>
        <v>-1800</v>
      </c>
      <c r="BR42" s="109" t="n">
        <f aca="false">-Hipótesis!$E$36</f>
        <v>-1800</v>
      </c>
      <c r="BS42" s="109" t="n">
        <f aca="false">-Hipótesis!$E$36</f>
        <v>-1800</v>
      </c>
      <c r="BT42" s="109" t="n">
        <f aca="false">-Hipótesis!$E$36</f>
        <v>-1800</v>
      </c>
      <c r="BU42" s="109" t="n">
        <f aca="false">-Hipótesis!$E$36</f>
        <v>-1800</v>
      </c>
      <c r="BV42" s="109" t="n">
        <f aca="false">-Hipótesis!$E$36</f>
        <v>-1800</v>
      </c>
      <c r="BW42" s="109" t="n">
        <f aca="false">-Hipótesis!$E$36</f>
        <v>-1800</v>
      </c>
      <c r="BX42" s="109" t="n">
        <f aca="false">-Hipótesis!$E$36</f>
        <v>-1800</v>
      </c>
      <c r="BY42" s="109" t="n">
        <f aca="false">-Hipótesis!$E$36</f>
        <v>-1800</v>
      </c>
      <c r="BZ42" s="109" t="n">
        <f aca="false">-Hipótesis!$E$36</f>
        <v>-1800</v>
      </c>
      <c r="CA42" s="109" t="n">
        <f aca="false">-Hipótesis!$E$36</f>
        <v>-1800</v>
      </c>
      <c r="CB42" s="109" t="n">
        <f aca="false">-Hipótesis!$E$36</f>
        <v>-1800</v>
      </c>
      <c r="CC42" s="109" t="n">
        <f aca="false">-Hipótesis!$E$36</f>
        <v>-1800</v>
      </c>
      <c r="CD42" s="109" t="n">
        <f aca="false">-Hipótesis!$E$36</f>
        <v>-1800</v>
      </c>
      <c r="CE42" s="109" t="n">
        <f aca="false">-Hipótesis!$E$36</f>
        <v>-1800</v>
      </c>
      <c r="CF42" s="109" t="n">
        <f aca="false">-Hipótesis!$E$36</f>
        <v>-1800</v>
      </c>
      <c r="CG42" s="109" t="n">
        <f aca="false">-Hipótesis!$E$36</f>
        <v>-1800</v>
      </c>
      <c r="CH42" s="109" t="n">
        <f aca="false">-Hipótesis!$E$36</f>
        <v>-1800</v>
      </c>
    </row>
    <row r="43" customFormat="false" ht="13.5" hidden="false" customHeight="true" outlineLevel="0" collapsed="false">
      <c r="A43" s="6" t="s">
        <v>548</v>
      </c>
      <c r="C43" s="109" t="n">
        <f aca="false">-(Hipótesis!$E$37+C24*Hipótesis!$E$38)</f>
        <v>-320.876104557164</v>
      </c>
      <c r="D43" s="109" t="n">
        <f aca="false">-(Hipótesis!$E$37+D24*Hipótesis!$E$38)</f>
        <v>-342.721135816415</v>
      </c>
      <c r="E43" s="109" t="n">
        <f aca="false">-(Hipótesis!$E$37+E24*Hipótesis!$E$38)</f>
        <v>-380.650524916807</v>
      </c>
      <c r="F43" s="109" t="n">
        <f aca="false">-(Hipótesis!$E$37+F24*Hipótesis!$E$38)</f>
        <v>-397.703809460035</v>
      </c>
      <c r="G43" s="109" t="n">
        <f aca="false">-(Hipótesis!$E$37+G24*Hipótesis!$E$38)</f>
        <v>-413.788167301177</v>
      </c>
      <c r="H43" s="109" t="n">
        <f aca="false">-(Hipótesis!$E$37+H24*Hipótesis!$E$38)</f>
        <v>-440.974810270392</v>
      </c>
      <c r="I43" s="109" t="n">
        <f aca="false">-(Hipótesis!$E$37+I24*Hipótesis!$E$38)</f>
        <v>-492.361453239608</v>
      </c>
      <c r="J43" s="109" t="n">
        <f aca="false">-(Hipótesis!$E$37+J24*Hipótesis!$E$38)</f>
        <v>-543.748096208823</v>
      </c>
      <c r="K43" s="109" t="n">
        <f aca="false">-(Hipótesis!$E$37+K24*Hipótesis!$E$38)</f>
        <v>-595.134739178039</v>
      </c>
      <c r="L43" s="109" t="n">
        <f aca="false">-(Hipótesis!$E$37+L24*Hipótesis!$E$38)</f>
        <v>-646.521382147254</v>
      </c>
      <c r="M43" s="109" t="n">
        <f aca="false">-(Hipótesis!$E$37+M24*Hipótesis!$E$38)</f>
        <v>-681.823667275328</v>
      </c>
      <c r="N43" s="109" t="n">
        <f aca="false">-(Hipótesis!$E$37+N24*Hipótesis!$E$38)</f>
        <v>-733.274730771509</v>
      </c>
      <c r="O43" s="109" t="n">
        <f aca="false">-(Hipótesis!$E$37+O24*Hipótesis!$E$38)</f>
        <v>-784.72579426769</v>
      </c>
      <c r="P43" s="109" t="n">
        <f aca="false">-(Hipótesis!$E$37+P24*Hipótesis!$E$38)</f>
        <v>-831.534083983041</v>
      </c>
      <c r="Q43" s="109" t="n">
        <f aca="false">-(Hipótesis!$E$37+Q24*Hipótesis!$E$38)</f>
        <v>-878.342373698391</v>
      </c>
      <c r="R43" s="109" t="n">
        <f aca="false">-(Hipótesis!$E$37+R24*Hipótesis!$E$38)</f>
        <v>-925.150663413741</v>
      </c>
      <c r="S43" s="109" t="n">
        <f aca="false">-(Hipótesis!$E$37+S24*Hipótesis!$E$38)</f>
        <v>-971.958953129091</v>
      </c>
      <c r="T43" s="109" t="n">
        <f aca="false">-(Hipótesis!$E$37+T24*Hipótesis!$E$38)</f>
        <v>-1018.76724284444</v>
      </c>
      <c r="U43" s="109" t="n">
        <f aca="false">-(Hipótesis!$E$37+U24*Hipótesis!$E$38)</f>
        <v>-1065.57553255979</v>
      </c>
      <c r="V43" s="109" t="n">
        <f aca="false">-(Hipótesis!$E$37+V24*Hipótesis!$E$38)</f>
        <v>-1112.38382227514</v>
      </c>
      <c r="W43" s="109" t="n">
        <f aca="false">-(Hipótesis!$E$37+W24*Hipótesis!$E$38)</f>
        <v>-1159.19211199049</v>
      </c>
      <c r="X43" s="109" t="n">
        <f aca="false">-(Hipótesis!$E$37+X24*Hipótesis!$E$38)</f>
        <v>-1189.85162333774</v>
      </c>
      <c r="Y43" s="109" t="n">
        <f aca="false">-(Hipótesis!$E$37+Y24*Hipótesis!$E$38)</f>
        <v>-1220.51113468498</v>
      </c>
      <c r="Z43" s="109" t="n">
        <f aca="false">-(Hipótesis!$E$37+Z24*Hipótesis!$E$38)</f>
        <v>-1244.71113468498</v>
      </c>
      <c r="AA43" s="109" t="n">
        <f aca="false">-(Hipótesis!$E$37+AA24*Hipótesis!$E$38)</f>
        <v>-1268.91113468498</v>
      </c>
      <c r="AB43" s="109" t="n">
        <f aca="false">-(Hipótesis!$E$37+AB24*Hipótesis!$E$38)</f>
        <v>-1293.11113468498</v>
      </c>
      <c r="AC43" s="109" t="n">
        <f aca="false">-(Hipótesis!$E$37+AC24*Hipótesis!$E$38)</f>
        <v>-1317.31113468498</v>
      </c>
      <c r="AD43" s="109" t="n">
        <f aca="false">-(Hipótesis!$E$37+AD24*Hipótesis!$E$38)</f>
        <v>-1341.51113468498</v>
      </c>
      <c r="AE43" s="109" t="n">
        <f aca="false">-(Hipótesis!$E$37+AE24*Hipótesis!$E$38)</f>
        <v>-1365.71113468498</v>
      </c>
      <c r="AF43" s="109" t="n">
        <f aca="false">-(Hipótesis!$E$37+AF24*Hipótesis!$E$38)</f>
        <v>-1389.91113468498</v>
      </c>
      <c r="AG43" s="109" t="n">
        <f aca="false">-(Hipótesis!$E$37+AG24*Hipótesis!$E$38)</f>
        <v>-1414.11113468498</v>
      </c>
      <c r="AH43" s="109" t="n">
        <f aca="false">-(Hipótesis!$E$37+AH24*Hipótesis!$E$38)</f>
        <v>-1438.31113468498</v>
      </c>
      <c r="AI43" s="109" t="n">
        <f aca="false">-(Hipótesis!$E$37+AI24*Hipótesis!$E$38)</f>
        <v>-1462.51113468498</v>
      </c>
      <c r="AJ43" s="109" t="n">
        <f aca="false">-(Hipótesis!$E$37+AJ24*Hipótesis!$E$38)</f>
        <v>-1486.71113468498</v>
      </c>
      <c r="AK43" s="109" t="n">
        <f aca="false">-(Hipótesis!$E$37+AK24*Hipótesis!$E$38)</f>
        <v>-1510.91113468498</v>
      </c>
      <c r="AL43" s="109" t="n">
        <f aca="false">-(Hipótesis!$E$37+AL24*Hipótesis!$E$38)</f>
        <v>-1535.11113468498</v>
      </c>
      <c r="AM43" s="109" t="n">
        <f aca="false">-(Hipótesis!$E$37+AM24*Hipótesis!$E$38)</f>
        <v>-1559.31113468498</v>
      </c>
      <c r="AN43" s="109" t="n">
        <f aca="false">-(Hipótesis!$E$37+AN24*Hipótesis!$E$38)</f>
        <v>-1583.51113468498</v>
      </c>
      <c r="AO43" s="109" t="n">
        <f aca="false">-(Hipótesis!$E$37+AO24*Hipótesis!$E$38)</f>
        <v>-1607.71113468498</v>
      </c>
      <c r="AP43" s="109" t="n">
        <f aca="false">-(Hipótesis!$E$37+AP24*Hipótesis!$E$38)</f>
        <v>-1631.91113468498</v>
      </c>
      <c r="AQ43" s="109" t="n">
        <f aca="false">-(Hipótesis!$E$37+AQ24*Hipótesis!$E$38)</f>
        <v>-1656.11113468498</v>
      </c>
      <c r="AR43" s="109" t="n">
        <f aca="false">-(Hipótesis!$E$37+AR24*Hipótesis!$E$38)</f>
        <v>-1680.31113468498</v>
      </c>
      <c r="AS43" s="109" t="n">
        <f aca="false">-(Hipótesis!$E$37+AS24*Hipótesis!$E$38)</f>
        <v>-1680.31113468498</v>
      </c>
      <c r="AT43" s="109" t="n">
        <f aca="false">-(Hipótesis!$E$37+AT24*Hipótesis!$E$38)</f>
        <v>-1680.31113468498</v>
      </c>
      <c r="AU43" s="109" t="n">
        <f aca="false">-(Hipótesis!$E$37+AU24*Hipótesis!$E$38)</f>
        <v>-1680.31113468498</v>
      </c>
      <c r="AV43" s="109" t="n">
        <f aca="false">-(Hipótesis!$E$37+AV24*Hipótesis!$E$38)</f>
        <v>-1680.31113468498</v>
      </c>
      <c r="AW43" s="109" t="n">
        <f aca="false">-(Hipótesis!$E$37+AW24*Hipótesis!$E$38)</f>
        <v>-1680.31113468498</v>
      </c>
      <c r="AX43" s="109" t="n">
        <f aca="false">-(Hipótesis!$E$37+AX24*Hipótesis!$E$38)</f>
        <v>-1680.31113468498</v>
      </c>
      <c r="AY43" s="109" t="n">
        <f aca="false">-(Hipótesis!$E$37+AY24*Hipótesis!$E$38)</f>
        <v>-1680.31113468498</v>
      </c>
      <c r="AZ43" s="109" t="n">
        <f aca="false">-(Hipótesis!$E$37+AZ24*Hipótesis!$E$38)</f>
        <v>-1680.31113468498</v>
      </c>
      <c r="BA43" s="109" t="n">
        <f aca="false">-(Hipótesis!$E$37+BA24*Hipótesis!$E$38)</f>
        <v>-1680.31113468498</v>
      </c>
      <c r="BB43" s="109" t="n">
        <f aca="false">-(Hipótesis!$E$37+BB24*Hipótesis!$E$38)</f>
        <v>-1680.31113468498</v>
      </c>
      <c r="BC43" s="109" t="n">
        <f aca="false">-(Hipótesis!$E$37+BC24*Hipótesis!$E$38)</f>
        <v>-1680.31113468498</v>
      </c>
      <c r="BD43" s="109" t="n">
        <f aca="false">-(Hipótesis!$E$37+BD24*Hipótesis!$E$38)</f>
        <v>-1680.31113468498</v>
      </c>
      <c r="BE43" s="109" t="n">
        <f aca="false">-(Hipótesis!$E$37+BE24*Hipótesis!$E$38)</f>
        <v>-1680.31113468498</v>
      </c>
      <c r="BF43" s="109" t="n">
        <f aca="false">-(Hipótesis!$E$37+BF24*Hipótesis!$E$38)</f>
        <v>-1680.31113468498</v>
      </c>
      <c r="BG43" s="109" t="n">
        <f aca="false">-(Hipótesis!$E$37+BG24*Hipótesis!$E$38)</f>
        <v>-1680.31113468498</v>
      </c>
      <c r="BH43" s="109" t="n">
        <f aca="false">-(Hipótesis!$E$37+BH24*Hipótesis!$E$38)</f>
        <v>-1680.31113468498</v>
      </c>
      <c r="BI43" s="109" t="n">
        <f aca="false">-(Hipótesis!$E$37+BI24*Hipótesis!$E$38)</f>
        <v>-1680.31113468498</v>
      </c>
      <c r="BJ43" s="109" t="n">
        <f aca="false">-(Hipótesis!$E$37+BJ24*Hipótesis!$E$38)</f>
        <v>-1680.31113468498</v>
      </c>
      <c r="BK43" s="109" t="n">
        <f aca="false">-(Hipótesis!$E$37+BK24*Hipótesis!$E$38)</f>
        <v>-1680.31113468498</v>
      </c>
      <c r="BL43" s="109" t="n">
        <f aca="false">-(Hipótesis!$E$37+BL24*Hipótesis!$E$38)</f>
        <v>-1680.31113468498</v>
      </c>
      <c r="BM43" s="109" t="n">
        <f aca="false">-(Hipótesis!$E$37+BM24*Hipótesis!$E$38)</f>
        <v>-1680.31113468498</v>
      </c>
      <c r="BN43" s="109" t="n">
        <f aca="false">-(Hipótesis!$E$37+BN24*Hipótesis!$E$38)</f>
        <v>-1680.31113468498</v>
      </c>
      <c r="BO43" s="109" t="n">
        <f aca="false">-(Hipótesis!$E$37+BO24*Hipótesis!$E$38)</f>
        <v>-1680.31113468498</v>
      </c>
      <c r="BP43" s="109" t="n">
        <f aca="false">-(Hipótesis!$E$37+BP24*Hipótesis!$E$38)</f>
        <v>-1680.31113468498</v>
      </c>
      <c r="BQ43" s="109" t="n">
        <f aca="false">-(Hipótesis!$E$37+BQ24*Hipótesis!$E$38)</f>
        <v>-1680.31113468498</v>
      </c>
      <c r="BR43" s="109" t="n">
        <f aca="false">-(Hipótesis!$E$37+BR24*Hipótesis!$E$38)</f>
        <v>-1680.31113468498</v>
      </c>
      <c r="BS43" s="109" t="n">
        <f aca="false">-(Hipótesis!$E$37+BS24*Hipótesis!$E$38)</f>
        <v>-1680.31113468498</v>
      </c>
      <c r="BT43" s="109" t="n">
        <f aca="false">-(Hipótesis!$E$37+BT24*Hipótesis!$E$38)</f>
        <v>-1680.31113468498</v>
      </c>
      <c r="BU43" s="109" t="n">
        <f aca="false">-(Hipótesis!$E$37+BU24*Hipótesis!$E$38)</f>
        <v>-1680.31113468498</v>
      </c>
      <c r="BV43" s="109" t="n">
        <f aca="false">-(Hipótesis!$E$37+BV24*Hipótesis!$E$38)</f>
        <v>-1680.31113468498</v>
      </c>
      <c r="BW43" s="109" t="n">
        <f aca="false">-(Hipótesis!$E$37+BW24*Hipótesis!$E$38)</f>
        <v>-1680.31113468498</v>
      </c>
      <c r="BX43" s="109" t="n">
        <f aca="false">-(Hipótesis!$E$37+BX24*Hipótesis!$E$38)</f>
        <v>-1680.31113468498</v>
      </c>
      <c r="BY43" s="109" t="n">
        <f aca="false">-(Hipótesis!$E$37+BY24*Hipótesis!$E$38)</f>
        <v>-1680.31113468498</v>
      </c>
      <c r="BZ43" s="109" t="n">
        <f aca="false">-(Hipótesis!$E$37+BZ24*Hipótesis!$E$38)</f>
        <v>-1680.31113468498</v>
      </c>
      <c r="CA43" s="109" t="n">
        <f aca="false">-(Hipótesis!$E$37+CA24*Hipótesis!$E$38)</f>
        <v>-1680.31113468498</v>
      </c>
      <c r="CB43" s="109" t="n">
        <f aca="false">-(Hipótesis!$E$37+CB24*Hipótesis!$E$38)</f>
        <v>-1680.31113468498</v>
      </c>
      <c r="CC43" s="109" t="n">
        <f aca="false">-(Hipótesis!$E$37+CC24*Hipótesis!$E$38)</f>
        <v>-1680.31113468498</v>
      </c>
      <c r="CD43" s="109" t="n">
        <f aca="false">-(Hipótesis!$E$37+CD24*Hipótesis!$E$38)</f>
        <v>-1680.31113468498</v>
      </c>
      <c r="CE43" s="109" t="n">
        <f aca="false">-(Hipótesis!$E$37+CE24*Hipótesis!$E$38)</f>
        <v>-1680.31113468498</v>
      </c>
      <c r="CF43" s="109" t="n">
        <f aca="false">-(Hipótesis!$E$37+CF24*Hipótesis!$E$38)</f>
        <v>-1680.31113468498</v>
      </c>
      <c r="CG43" s="109" t="n">
        <f aca="false">-(Hipótesis!$E$37+CG24*Hipótesis!$E$38)</f>
        <v>-1680.31113468498</v>
      </c>
      <c r="CH43" s="109" t="n">
        <f aca="false">-(Hipótesis!$E$37+CH24*Hipótesis!$E$38)</f>
        <v>-1680.31113468498</v>
      </c>
    </row>
    <row r="44" customFormat="false" ht="13.5" hidden="false" customHeight="true" outlineLevel="0" collapsed="false">
      <c r="A44" s="6" t="s">
        <v>549</v>
      </c>
      <c r="C44" s="109" t="n">
        <f aca="false">-IF(AND(1&gt;=Hipótesis!$D$48,Hipótesis!$B$48=1),IF(Hipótesis!$G$48=1,Hipótesis!$C$44,Hipótesis!$C$48*(1+Hipótesis!$D$45)^0)*(1+Hipótesis!$D$42),0)</f>
        <v>-2904</v>
      </c>
      <c r="D44" s="109" t="n">
        <f aca="false">-IF(AND(2&gt;=Hipótesis!$D$48,Hipótesis!$B$48=1),IF(Hipótesis!$G$48=1,Hipótesis!$C$44,Hipótesis!$C$48*(1+Hipótesis!$D$45)^0)*(1+Hipótesis!$D$42),0)</f>
        <v>-2904</v>
      </c>
      <c r="E44" s="109" t="n">
        <f aca="false">-IF(AND(3&gt;=Hipótesis!$D$48,Hipótesis!$B$48=1),IF(Hipótesis!$G$48=1,Hipótesis!$C$44,Hipótesis!$C$48*(1+Hipótesis!$D$45)^0)*(1+Hipótesis!$D$42),0)</f>
        <v>-2904</v>
      </c>
      <c r="F44" s="109" t="n">
        <f aca="false">-IF(AND(4&gt;=Hipótesis!$D$48,Hipótesis!$B$48=1),IF(Hipótesis!$G$48=1,Hipótesis!$C$44,Hipótesis!$C$48*(1+Hipótesis!$D$45)^0)*(1+Hipótesis!$D$42),0)</f>
        <v>-2904</v>
      </c>
      <c r="G44" s="109" t="n">
        <f aca="false">-IF(AND(5&gt;=Hipótesis!$D$48,Hipótesis!$B$48=1),IF(Hipótesis!$G$48=1,Hipótesis!$C$44,Hipótesis!$C$48*(1+Hipótesis!$D$45)^0)*(1+Hipótesis!$D$42),0)</f>
        <v>-2904</v>
      </c>
      <c r="H44" s="109" t="n">
        <f aca="false">-IF(AND(6&gt;=Hipótesis!$D$48,Hipótesis!$B$48=1),IF(Hipótesis!$G$48=1,Hipótesis!$C$44,Hipótesis!$C$48*(1+Hipótesis!$D$45)^0)*(1+Hipótesis!$D$42),0)</f>
        <v>-2904</v>
      </c>
      <c r="I44" s="109" t="n">
        <f aca="false">-IF(AND(7&gt;=Hipótesis!$D$48,Hipótesis!$B$48=1),IF(Hipótesis!$G$48=1,Hipótesis!$C$44,Hipótesis!$C$48*(1+Hipótesis!$D$45)^0)*(1+Hipótesis!$D$42),0)</f>
        <v>-2904</v>
      </c>
      <c r="J44" s="109" t="n">
        <f aca="false">-IF(AND(8&gt;=Hipótesis!$D$48,Hipótesis!$B$48=1),IF(Hipótesis!$G$48=1,Hipótesis!$C$44,Hipótesis!$C$48*(1+Hipótesis!$D$45)^0)*(1+Hipótesis!$D$42),0)</f>
        <v>-2904</v>
      </c>
      <c r="K44" s="109" t="n">
        <f aca="false">-IF(AND(9&gt;=Hipótesis!$D$48,Hipótesis!$B$48=1),IF(Hipótesis!$G$48=1,Hipótesis!$C$44,Hipótesis!$C$48*(1+Hipótesis!$D$45)^0)*(1+Hipótesis!$D$42),0)</f>
        <v>-2904</v>
      </c>
      <c r="L44" s="109" t="n">
        <f aca="false">-IF(AND(10&gt;=Hipótesis!$D$48,Hipótesis!$B$48=1),IF(Hipótesis!$G$48=1,Hipótesis!$C$44,Hipótesis!$C$48*(1+Hipótesis!$D$45)^0)*(1+Hipótesis!$D$42),0)</f>
        <v>-2904</v>
      </c>
      <c r="M44" s="109" t="n">
        <f aca="false">-IF(AND(11&gt;=Hipótesis!$D$48,Hipótesis!$B$48=1),IF(Hipótesis!$G$48=1,Hipótesis!$C$44,Hipótesis!$C$48*(1+Hipótesis!$D$45)^0)*(1+Hipótesis!$D$42),0)</f>
        <v>-2904</v>
      </c>
      <c r="N44" s="109" t="n">
        <f aca="false">-IF(AND(12&gt;=Hipótesis!$D$48,Hipótesis!$B$48=1),IF(Hipótesis!$G$48=1,Hipótesis!$C$44,Hipótesis!$C$48*(1+Hipótesis!$D$45)^0)*(1+Hipótesis!$D$42),0)</f>
        <v>-2904</v>
      </c>
      <c r="O44" s="109" t="n">
        <f aca="false">-IF(AND(13&gt;=Hipótesis!$D$48,Hipótesis!$B$48=1),IF(Hipótesis!$G$48=1,Hipótesis!$D$44,Hipótesis!$C$48*(1+Hipótesis!$D$45)^1)*(1+Hipótesis!$D$42),0)</f>
        <v>-4620</v>
      </c>
      <c r="P44" s="109" t="n">
        <f aca="false">-IF(AND(14&gt;=Hipótesis!$D$48,Hipótesis!$B$48=1),IF(Hipótesis!$G$48=1,Hipótesis!$D$44,Hipótesis!$C$48*(1+Hipótesis!$D$45)^1)*(1+Hipótesis!$D$42),0)</f>
        <v>-4620</v>
      </c>
      <c r="Q44" s="109" t="n">
        <f aca="false">-IF(AND(15&gt;=Hipótesis!$D$48,Hipótesis!$B$48=1),IF(Hipótesis!$G$48=1,Hipótesis!$D$44,Hipótesis!$C$48*(1+Hipótesis!$D$45)^1)*(1+Hipótesis!$D$42),0)</f>
        <v>-4620</v>
      </c>
      <c r="R44" s="109" t="n">
        <f aca="false">-IF(AND(16&gt;=Hipótesis!$D$48,Hipótesis!$B$48=1),IF(Hipótesis!$G$48=1,Hipótesis!$D$44,Hipótesis!$C$48*(1+Hipótesis!$D$45)^1)*(1+Hipótesis!$D$42),0)</f>
        <v>-4620</v>
      </c>
      <c r="S44" s="109" t="n">
        <f aca="false">-IF(AND(17&gt;=Hipótesis!$D$48,Hipótesis!$B$48=1),IF(Hipótesis!$G$48=1,Hipótesis!$D$44,Hipótesis!$C$48*(1+Hipótesis!$D$45)^1)*(1+Hipótesis!$D$42),0)</f>
        <v>-4620</v>
      </c>
      <c r="T44" s="109" t="n">
        <f aca="false">-IF(AND(18&gt;=Hipótesis!$D$48,Hipótesis!$B$48=1),IF(Hipótesis!$G$48=1,Hipótesis!$D$44,Hipótesis!$C$48*(1+Hipótesis!$D$45)^1)*(1+Hipótesis!$D$42),0)</f>
        <v>-4620</v>
      </c>
      <c r="U44" s="109" t="n">
        <f aca="false">-IF(AND(19&gt;=Hipótesis!$D$48,Hipótesis!$B$48=1),IF(Hipótesis!$G$48=1,Hipótesis!$D$44,Hipótesis!$C$48*(1+Hipótesis!$D$45)^1)*(1+Hipótesis!$D$42),0)</f>
        <v>-4620</v>
      </c>
      <c r="V44" s="109" t="n">
        <f aca="false">-IF(AND(20&gt;=Hipótesis!$D$48,Hipótesis!$B$48=1),IF(Hipótesis!$G$48=1,Hipótesis!$D$44,Hipótesis!$C$48*(1+Hipótesis!$D$45)^1)*(1+Hipótesis!$D$42),0)</f>
        <v>-4620</v>
      </c>
      <c r="W44" s="109" t="n">
        <f aca="false">-IF(AND(21&gt;=Hipótesis!$D$48,Hipótesis!$B$48=1),IF(Hipótesis!$G$48=1,Hipótesis!$D$44,Hipótesis!$C$48*(1+Hipótesis!$D$45)^1)*(1+Hipótesis!$D$42),0)</f>
        <v>-4620</v>
      </c>
      <c r="X44" s="109" t="n">
        <f aca="false">-IF(AND(22&gt;=Hipótesis!$D$48,Hipótesis!$B$48=1),IF(Hipótesis!$G$48=1,Hipótesis!$D$44,Hipótesis!$C$48*(1+Hipótesis!$D$45)^1)*(1+Hipótesis!$D$42),0)</f>
        <v>-4620</v>
      </c>
      <c r="Y44" s="109" t="n">
        <f aca="false">-IF(AND(23&gt;=Hipótesis!$D$48,Hipótesis!$B$48=1),IF(Hipótesis!$G$48=1,Hipótesis!$D$44,Hipótesis!$C$48*(1+Hipótesis!$D$45)^1)*(1+Hipótesis!$D$42),0)</f>
        <v>-4620</v>
      </c>
      <c r="Z44" s="109" t="n">
        <f aca="false">-IF(AND(24&gt;=Hipótesis!$D$48,Hipótesis!$B$48=1),IF(Hipótesis!$G$48=1,Hipótesis!$D$44,Hipótesis!$C$48*(1+Hipótesis!$D$45)^1)*(1+Hipótesis!$D$42),0)</f>
        <v>-4620</v>
      </c>
      <c r="AA44" s="109" t="n">
        <f aca="false">-IF(AND(25&gt;=Hipótesis!$D$48,Hipótesis!$B$48=1),IF(Hipótesis!$G$48=1,Hipótesis!$E$44,Hipótesis!$C$48*(1+Hipótesis!$D$45)^2)*(1+Hipótesis!$D$42),0)</f>
        <v>-5280</v>
      </c>
      <c r="AB44" s="109" t="n">
        <f aca="false">-IF(AND(26&gt;=Hipótesis!$D$48,Hipótesis!$B$48=1),IF(Hipótesis!$G$48=1,Hipótesis!$E$44,Hipótesis!$C$48*(1+Hipótesis!$D$45)^2)*(1+Hipótesis!$D$42),0)</f>
        <v>-5280</v>
      </c>
      <c r="AC44" s="109" t="n">
        <f aca="false">-IF(AND(27&gt;=Hipótesis!$D$48,Hipótesis!$B$48=1),IF(Hipótesis!$G$48=1,Hipótesis!$E$44,Hipótesis!$C$48*(1+Hipótesis!$D$45)^2)*(1+Hipótesis!$D$42),0)</f>
        <v>-5280</v>
      </c>
      <c r="AD44" s="109" t="n">
        <f aca="false">-IF(AND(28&gt;=Hipótesis!$D$48,Hipótesis!$B$48=1),IF(Hipótesis!$G$48=1,Hipótesis!$E$44,Hipótesis!$C$48*(1+Hipótesis!$D$45)^2)*(1+Hipótesis!$D$42),0)</f>
        <v>-5280</v>
      </c>
      <c r="AE44" s="109" t="n">
        <f aca="false">-IF(AND(29&gt;=Hipótesis!$D$48,Hipótesis!$B$48=1),IF(Hipótesis!$G$48=1,Hipótesis!$E$44,Hipótesis!$C$48*(1+Hipótesis!$D$45)^2)*(1+Hipótesis!$D$42),0)</f>
        <v>-5280</v>
      </c>
      <c r="AF44" s="109" t="n">
        <f aca="false">-IF(AND(30&gt;=Hipótesis!$D$48,Hipótesis!$B$48=1),IF(Hipótesis!$G$48=1,Hipótesis!$E$44,Hipótesis!$C$48*(1+Hipótesis!$D$45)^2)*(1+Hipótesis!$D$42),0)</f>
        <v>-5280</v>
      </c>
      <c r="AG44" s="109" t="n">
        <f aca="false">-IF(AND(31&gt;=Hipótesis!$D$48,Hipótesis!$B$48=1),IF(Hipótesis!$G$48=1,Hipótesis!$E$44,Hipótesis!$C$48*(1+Hipótesis!$D$45)^2)*(1+Hipótesis!$D$42),0)</f>
        <v>-5280</v>
      </c>
      <c r="AH44" s="109" t="n">
        <f aca="false">-IF(AND(32&gt;=Hipótesis!$D$48,Hipótesis!$B$48=1),IF(Hipótesis!$G$48=1,Hipótesis!$E$44,Hipótesis!$C$48*(1+Hipótesis!$D$45)^2)*(1+Hipótesis!$D$42),0)</f>
        <v>-5280</v>
      </c>
      <c r="AI44" s="109" t="n">
        <f aca="false">-IF(AND(33&gt;=Hipótesis!$D$48,Hipótesis!$B$48=1),IF(Hipótesis!$G$48=1,Hipótesis!$E$44,Hipótesis!$C$48*(1+Hipótesis!$D$45)^2)*(1+Hipótesis!$D$42),0)</f>
        <v>-5280</v>
      </c>
      <c r="AJ44" s="109" t="n">
        <f aca="false">-IF(AND(34&gt;=Hipótesis!$D$48,Hipótesis!$B$48=1),IF(Hipótesis!$G$48=1,Hipótesis!$E$44,Hipótesis!$C$48*(1+Hipótesis!$D$45)^2)*(1+Hipótesis!$D$42),0)</f>
        <v>-5280</v>
      </c>
      <c r="AK44" s="109" t="n">
        <f aca="false">-IF(AND(35&gt;=Hipótesis!$D$48,Hipótesis!$B$48=1),IF(Hipótesis!$G$48=1,Hipótesis!$E$44,Hipótesis!$C$48*(1+Hipótesis!$D$45)^2)*(1+Hipótesis!$D$42),0)</f>
        <v>-5280</v>
      </c>
      <c r="AL44" s="109" t="n">
        <f aca="false">-IF(AND(36&gt;=Hipótesis!$D$48,Hipótesis!$B$48=1),IF(Hipótesis!$G$48=1,Hipótesis!$E$44,Hipótesis!$C$48*(1+Hipótesis!$D$45)^2)*(1+Hipótesis!$D$42),0)</f>
        <v>-5280</v>
      </c>
      <c r="AM44" s="109" t="n">
        <f aca="false">-IF(AND(37&gt;=Hipótesis!$D$48,Hipótesis!$B$48=1),IF(Hipótesis!$G$48=1,Hipótesis!$F$44,Hipótesis!$C$48*(1+Hipótesis!$D$45)^3)*(1+Hipótesis!$D$42),0)</f>
        <v>-5940</v>
      </c>
      <c r="AN44" s="109" t="n">
        <f aca="false">-IF(AND(38&gt;=Hipótesis!$D$48,Hipótesis!$B$48=1),IF(Hipótesis!$G$48=1,Hipótesis!$F$44,Hipótesis!$C$48*(1+Hipótesis!$D$45)^3)*(1+Hipótesis!$D$42),0)</f>
        <v>-5940</v>
      </c>
      <c r="AO44" s="109" t="n">
        <f aca="false">-IF(AND(39&gt;=Hipótesis!$D$48,Hipótesis!$B$48=1),IF(Hipótesis!$G$48=1,Hipótesis!$F$44,Hipótesis!$C$48*(1+Hipótesis!$D$45)^3)*(1+Hipótesis!$D$42),0)</f>
        <v>-5940</v>
      </c>
      <c r="AP44" s="109" t="n">
        <f aca="false">-IF(AND(40&gt;=Hipótesis!$D$48,Hipótesis!$B$48=1),IF(Hipótesis!$G$48=1,Hipótesis!$F$44,Hipótesis!$C$48*(1+Hipótesis!$D$45)^3)*(1+Hipótesis!$D$42),0)</f>
        <v>-5940</v>
      </c>
      <c r="AQ44" s="109" t="n">
        <f aca="false">-IF(AND(41&gt;=Hipótesis!$D$48,Hipótesis!$B$48=1),IF(Hipótesis!$G$48=1,Hipótesis!$F$44,Hipótesis!$C$48*(1+Hipótesis!$D$45)^3)*(1+Hipótesis!$D$42),0)</f>
        <v>-5940</v>
      </c>
      <c r="AR44" s="109" t="n">
        <f aca="false">-IF(AND(42&gt;=Hipótesis!$D$48,Hipótesis!$B$48=1),IF(Hipótesis!$G$48=1,Hipótesis!$F$44,Hipótesis!$C$48*(1+Hipótesis!$D$45)^3)*(1+Hipótesis!$D$42),0)</f>
        <v>-5940</v>
      </c>
      <c r="AS44" s="109" t="n">
        <f aca="false">-IF(AND(43&gt;=Hipótesis!$D$48,Hipótesis!$B$48=1),IF(Hipótesis!$G$48=1,Hipótesis!$F$44,Hipótesis!$C$48*(1+Hipótesis!$D$45)^3)*(1+Hipótesis!$D$42),0)</f>
        <v>-5940</v>
      </c>
      <c r="AT44" s="109" t="n">
        <f aca="false">-IF(AND(44&gt;=Hipótesis!$D$48,Hipótesis!$B$48=1),IF(Hipótesis!$G$48=1,Hipótesis!$F$44,Hipótesis!$C$48*(1+Hipótesis!$D$45)^3)*(1+Hipótesis!$D$42),0)</f>
        <v>-5940</v>
      </c>
      <c r="AU44" s="109" t="n">
        <f aca="false">-IF(AND(45&gt;=Hipótesis!$D$48,Hipótesis!$B$48=1),IF(Hipótesis!$G$48=1,Hipótesis!$F$44,Hipótesis!$C$48*(1+Hipótesis!$D$45)^3)*(1+Hipótesis!$D$42),0)</f>
        <v>-5940</v>
      </c>
      <c r="AV44" s="109" t="n">
        <f aca="false">-IF(AND(46&gt;=Hipótesis!$D$48,Hipótesis!$B$48=1),IF(Hipótesis!$G$48=1,Hipótesis!$F$44,Hipótesis!$C$48*(1+Hipótesis!$D$45)^3)*(1+Hipótesis!$D$42),0)</f>
        <v>-5940</v>
      </c>
      <c r="AW44" s="109" t="n">
        <f aca="false">-IF(AND(47&gt;=Hipótesis!$D$48,Hipótesis!$B$48=1),IF(Hipótesis!$G$48=1,Hipótesis!$F$44,Hipótesis!$C$48*(1+Hipótesis!$D$45)^3)*(1+Hipótesis!$D$42),0)</f>
        <v>-5940</v>
      </c>
      <c r="AX44" s="109" t="n">
        <f aca="false">-IF(AND(48&gt;=Hipótesis!$D$48,Hipótesis!$B$48=1),IF(Hipótesis!$G$48=1,Hipótesis!$F$44,Hipótesis!$C$48*(1+Hipótesis!$D$45)^3)*(1+Hipótesis!$D$42),0)</f>
        <v>-5940</v>
      </c>
      <c r="AY44" s="109" t="n">
        <f aca="false">-IF(AND(49&gt;=Hipótesis!$D$48,Hipótesis!$B$48=1),IF(Hipótesis!$G$48=1,Hipótesis!$G$44,Hipótesis!$C$48*(1+Hipótesis!$D$45)^4)*(1+Hipótesis!$D$42),0)</f>
        <v>-6600</v>
      </c>
      <c r="AZ44" s="109" t="n">
        <f aca="false">-IF(AND(50&gt;=Hipótesis!$D$48,Hipótesis!$B$48=1),IF(Hipótesis!$G$48=1,Hipótesis!$G$44,Hipótesis!$C$48*(1+Hipótesis!$D$45)^4)*(1+Hipótesis!$D$42),0)</f>
        <v>-6600</v>
      </c>
      <c r="BA44" s="109" t="n">
        <f aca="false">-IF(AND(51&gt;=Hipótesis!$D$48,Hipótesis!$B$48=1),IF(Hipótesis!$G$48=1,Hipótesis!$G$44,Hipótesis!$C$48*(1+Hipótesis!$D$45)^4)*(1+Hipótesis!$D$42),0)</f>
        <v>-6600</v>
      </c>
      <c r="BB44" s="109" t="n">
        <f aca="false">-IF(AND(52&gt;=Hipótesis!$D$48,Hipótesis!$B$48=1),IF(Hipótesis!$G$48=1,Hipótesis!$G$44,Hipótesis!$C$48*(1+Hipótesis!$D$45)^4)*(1+Hipótesis!$D$42),0)</f>
        <v>-6600</v>
      </c>
      <c r="BC44" s="109" t="n">
        <f aca="false">-IF(AND(53&gt;=Hipótesis!$D$48,Hipótesis!$B$48=1),IF(Hipótesis!$G$48=1,Hipótesis!$G$44,Hipótesis!$C$48*(1+Hipótesis!$D$45)^4)*(1+Hipótesis!$D$42),0)</f>
        <v>-6600</v>
      </c>
      <c r="BD44" s="109" t="n">
        <f aca="false">-IF(AND(54&gt;=Hipótesis!$D$48,Hipótesis!$B$48=1),IF(Hipótesis!$G$48=1,Hipótesis!$G$44,Hipótesis!$C$48*(1+Hipótesis!$D$45)^4)*(1+Hipótesis!$D$42),0)</f>
        <v>-6600</v>
      </c>
      <c r="BE44" s="109" t="n">
        <f aca="false">-IF(AND(55&gt;=Hipótesis!$D$48,Hipótesis!$B$48=1),IF(Hipótesis!$G$48=1,Hipótesis!$G$44,Hipótesis!$C$48*(1+Hipótesis!$D$45)^4)*(1+Hipótesis!$D$42),0)</f>
        <v>-6600</v>
      </c>
      <c r="BF44" s="109" t="n">
        <f aca="false">-IF(AND(56&gt;=Hipótesis!$D$48,Hipótesis!$B$48=1),IF(Hipótesis!$G$48=1,Hipótesis!$G$44,Hipótesis!$C$48*(1+Hipótesis!$D$45)^4)*(1+Hipótesis!$D$42),0)</f>
        <v>-6600</v>
      </c>
      <c r="BG44" s="109" t="n">
        <f aca="false">-IF(AND(57&gt;=Hipótesis!$D$48,Hipótesis!$B$48=1),IF(Hipótesis!$G$48=1,Hipótesis!$G$44,Hipótesis!$C$48*(1+Hipótesis!$D$45)^4)*(1+Hipótesis!$D$42),0)</f>
        <v>-6600</v>
      </c>
      <c r="BH44" s="109" t="n">
        <f aca="false">-IF(AND(58&gt;=Hipótesis!$D$48,Hipótesis!$B$48=1),IF(Hipótesis!$G$48=1,Hipótesis!$G$44,Hipótesis!$C$48*(1+Hipótesis!$D$45)^4)*(1+Hipótesis!$D$42),0)</f>
        <v>-6600</v>
      </c>
      <c r="BI44" s="109" t="n">
        <f aca="false">-IF(AND(59&gt;=Hipótesis!$D$48,Hipótesis!$B$48=1),IF(Hipótesis!$G$48=1,Hipótesis!$G$44,Hipótesis!$C$48*(1+Hipótesis!$D$45)^4)*(1+Hipótesis!$D$42),0)</f>
        <v>-6600</v>
      </c>
      <c r="BJ44" s="109" t="n">
        <f aca="false">-IF(AND(60&gt;=Hipótesis!$D$48,Hipótesis!$B$48=1),IF(Hipótesis!$G$48=1,Hipótesis!$G$44,Hipótesis!$C$48*(1+Hipótesis!$D$45)^4)*(1+Hipótesis!$D$42),0)</f>
        <v>-6600</v>
      </c>
      <c r="BK44" s="109" t="n">
        <f aca="false">-IF(AND(61&gt;=Hipótesis!$D$48,Hipótesis!$B$48=1),IF(Hipótesis!$G$48=1,Hipótesis!$H$44,Hipótesis!$C$48*(1+Hipótesis!$D$45)^5)*(1+Hipótesis!$D$42),0)</f>
        <v>-7260</v>
      </c>
      <c r="BL44" s="109" t="n">
        <f aca="false">-IF(AND(62&gt;=Hipótesis!$D$48,Hipótesis!$B$48=1),IF(Hipótesis!$G$48=1,Hipótesis!$H$44,Hipótesis!$C$48*(1+Hipótesis!$D$45)^5)*(1+Hipótesis!$D$42),0)</f>
        <v>-7260</v>
      </c>
      <c r="BM44" s="109" t="n">
        <f aca="false">-IF(AND(63&gt;=Hipótesis!$D$48,Hipótesis!$B$48=1),IF(Hipótesis!$G$48=1,Hipótesis!$H$44,Hipótesis!$C$48*(1+Hipótesis!$D$45)^5)*(1+Hipótesis!$D$42),0)</f>
        <v>-7260</v>
      </c>
      <c r="BN44" s="109" t="n">
        <f aca="false">-IF(AND(64&gt;=Hipótesis!$D$48,Hipótesis!$B$48=1),IF(Hipótesis!$G$48=1,Hipótesis!$H$44,Hipótesis!$C$48*(1+Hipótesis!$D$45)^5)*(1+Hipótesis!$D$42),0)</f>
        <v>-7260</v>
      </c>
      <c r="BO44" s="109" t="n">
        <f aca="false">-IF(AND(65&gt;=Hipótesis!$D$48,Hipótesis!$B$48=1),IF(Hipótesis!$G$48=1,Hipótesis!$H$44,Hipótesis!$C$48*(1+Hipótesis!$D$45)^5)*(1+Hipótesis!$D$42),0)</f>
        <v>-7260</v>
      </c>
      <c r="BP44" s="109" t="n">
        <f aca="false">-IF(AND(66&gt;=Hipótesis!$D$48,Hipótesis!$B$48=1),IF(Hipótesis!$G$48=1,Hipótesis!$H$44,Hipótesis!$C$48*(1+Hipótesis!$D$45)^5)*(1+Hipótesis!$D$42),0)</f>
        <v>-7260</v>
      </c>
      <c r="BQ44" s="109" t="n">
        <f aca="false">-IF(AND(67&gt;=Hipótesis!$D$48,Hipótesis!$B$48=1),IF(Hipótesis!$G$48=1,Hipótesis!$H$44,Hipótesis!$C$48*(1+Hipótesis!$D$45)^5)*(1+Hipótesis!$D$42),0)</f>
        <v>-7260</v>
      </c>
      <c r="BR44" s="109" t="n">
        <f aca="false">-IF(AND(68&gt;=Hipótesis!$D$48,Hipótesis!$B$48=1),IF(Hipótesis!$G$48=1,Hipótesis!$H$44,Hipótesis!$C$48*(1+Hipótesis!$D$45)^5)*(1+Hipótesis!$D$42),0)</f>
        <v>-7260</v>
      </c>
      <c r="BS44" s="109" t="n">
        <f aca="false">-IF(AND(69&gt;=Hipótesis!$D$48,Hipótesis!$B$48=1),IF(Hipótesis!$G$48=1,Hipótesis!$H$44,Hipótesis!$C$48*(1+Hipótesis!$D$45)^5)*(1+Hipótesis!$D$42),0)</f>
        <v>-7260</v>
      </c>
      <c r="BT44" s="109" t="n">
        <f aca="false">-IF(AND(70&gt;=Hipótesis!$D$48,Hipótesis!$B$48=1),IF(Hipótesis!$G$48=1,Hipótesis!$H$44,Hipótesis!$C$48*(1+Hipótesis!$D$45)^5)*(1+Hipótesis!$D$42),0)</f>
        <v>-7260</v>
      </c>
      <c r="BU44" s="109" t="n">
        <f aca="false">-IF(AND(71&gt;=Hipótesis!$D$48,Hipótesis!$B$48=1),IF(Hipótesis!$G$48=1,Hipótesis!$H$44,Hipótesis!$C$48*(1+Hipótesis!$D$45)^5)*(1+Hipótesis!$D$42),0)</f>
        <v>-7260</v>
      </c>
      <c r="BV44" s="109" t="n">
        <f aca="false">-IF(AND(72&gt;=Hipótesis!$D$48,Hipótesis!$B$48=1),IF(Hipótesis!$G$48=1,Hipótesis!$H$44,Hipótesis!$C$48*(1+Hipótesis!$D$45)^5)*(1+Hipótesis!$D$42),0)</f>
        <v>-7260</v>
      </c>
      <c r="BW44" s="109" t="n">
        <f aca="false">-IF(AND(73&gt;=Hipótesis!$D$48,Hipótesis!$B$48=1),IF(Hipótesis!$G$48=1,Hipótesis!$I$44,Hipótesis!$C$48*(1+Hipótesis!$D$45)^6)*(1+Hipótesis!$D$42),0)</f>
        <v>-7920</v>
      </c>
      <c r="BX44" s="109" t="n">
        <f aca="false">-IF(AND(74&gt;=Hipótesis!$D$48,Hipótesis!$B$48=1),IF(Hipótesis!$G$48=1,Hipótesis!$I$44,Hipótesis!$C$48*(1+Hipótesis!$D$45)^6)*(1+Hipótesis!$D$42),0)</f>
        <v>-7920</v>
      </c>
      <c r="BY44" s="109" t="n">
        <f aca="false">-IF(AND(75&gt;=Hipótesis!$D$48,Hipótesis!$B$48=1),IF(Hipótesis!$G$48=1,Hipótesis!$I$44,Hipótesis!$C$48*(1+Hipótesis!$D$45)^6)*(1+Hipótesis!$D$42),0)</f>
        <v>-7920</v>
      </c>
      <c r="BZ44" s="109" t="n">
        <f aca="false">-IF(AND(76&gt;=Hipótesis!$D$48,Hipótesis!$B$48=1),IF(Hipótesis!$G$48=1,Hipótesis!$I$44,Hipótesis!$C$48*(1+Hipótesis!$D$45)^6)*(1+Hipótesis!$D$42),0)</f>
        <v>-7920</v>
      </c>
      <c r="CA44" s="109" t="n">
        <f aca="false">-IF(AND(77&gt;=Hipótesis!$D$48,Hipótesis!$B$48=1),IF(Hipótesis!$G$48=1,Hipótesis!$I$44,Hipótesis!$C$48*(1+Hipótesis!$D$45)^6)*(1+Hipótesis!$D$42),0)</f>
        <v>-7920</v>
      </c>
      <c r="CB44" s="109" t="n">
        <f aca="false">-IF(AND(78&gt;=Hipótesis!$D$48,Hipótesis!$B$48=1),IF(Hipótesis!$G$48=1,Hipótesis!$I$44,Hipótesis!$C$48*(1+Hipótesis!$D$45)^6)*(1+Hipótesis!$D$42),0)</f>
        <v>-7920</v>
      </c>
      <c r="CC44" s="109" t="n">
        <f aca="false">-IF(AND(79&gt;=Hipótesis!$D$48,Hipótesis!$B$48=1),IF(Hipótesis!$G$48=1,Hipótesis!$I$44,Hipótesis!$C$48*(1+Hipótesis!$D$45)^6)*(1+Hipótesis!$D$42),0)</f>
        <v>-7920</v>
      </c>
      <c r="CD44" s="109" t="n">
        <f aca="false">-IF(AND(80&gt;=Hipótesis!$D$48,Hipótesis!$B$48=1),IF(Hipótesis!$G$48=1,Hipótesis!$I$44,Hipótesis!$C$48*(1+Hipótesis!$D$45)^6)*(1+Hipótesis!$D$42),0)</f>
        <v>-7920</v>
      </c>
      <c r="CE44" s="109" t="n">
        <f aca="false">-IF(AND(81&gt;=Hipótesis!$D$48,Hipótesis!$B$48=1),IF(Hipótesis!$G$48=1,Hipótesis!$I$44,Hipótesis!$C$48*(1+Hipótesis!$D$45)^6)*(1+Hipótesis!$D$42),0)</f>
        <v>-7920</v>
      </c>
      <c r="CF44" s="109" t="n">
        <f aca="false">-IF(AND(82&gt;=Hipótesis!$D$48,Hipótesis!$B$48=1),IF(Hipótesis!$G$48=1,Hipótesis!$I$44,Hipótesis!$C$48*(1+Hipótesis!$D$45)^6)*(1+Hipótesis!$D$42),0)</f>
        <v>-7920</v>
      </c>
      <c r="CG44" s="109" t="n">
        <f aca="false">-IF(AND(83&gt;=Hipótesis!$D$48,Hipótesis!$B$48=1),IF(Hipótesis!$G$48=1,Hipótesis!$I$44,Hipótesis!$C$48*(1+Hipótesis!$D$45)^6)*(1+Hipótesis!$D$42),0)</f>
        <v>-7920</v>
      </c>
      <c r="CH44" s="109" t="n">
        <f aca="false">-IF(AND(84&gt;=Hipótesis!$D$48,Hipótesis!$B$48=1),IF(Hipótesis!$G$48=1,Hipótesis!$I$44,Hipótesis!$C$48*(1+Hipótesis!$D$45)^6)*(1+Hipótesis!$D$42),0)</f>
        <v>-7920</v>
      </c>
    </row>
    <row r="45" customFormat="false" ht="13.5" hidden="false" customHeight="true" outlineLevel="0" collapsed="false">
      <c r="A45" s="6" t="s">
        <v>550</v>
      </c>
      <c r="C45" s="109" t="n">
        <f aca="false">-IF(AND(1&gt;=Hipótesis!$D$49,Hipótesis!$B$49=1),IF(Hipótesis!$G$49=1,Hipótesis!$C$44,Hipótesis!$C$49*(1+Hipótesis!$D$45)^0)*(1+Hipótesis!$D$42),0)</f>
        <v>-2904</v>
      </c>
      <c r="D45" s="109" t="n">
        <f aca="false">-IF(AND(2&gt;=Hipótesis!$D$49,Hipótesis!$B$49=1),IF(Hipótesis!$G$49=1,Hipótesis!$C$44,Hipótesis!$C$49*(1+Hipótesis!$D$45)^0)*(1+Hipótesis!$D$42),0)</f>
        <v>-2904</v>
      </c>
      <c r="E45" s="109" t="n">
        <f aca="false">-IF(AND(3&gt;=Hipótesis!$D$49,Hipótesis!$B$49=1),IF(Hipótesis!$G$49=1,Hipótesis!$C$44,Hipótesis!$C$49*(1+Hipótesis!$D$45)^0)*(1+Hipótesis!$D$42),0)</f>
        <v>-2904</v>
      </c>
      <c r="F45" s="109" t="n">
        <f aca="false">-IF(AND(4&gt;=Hipótesis!$D$49,Hipótesis!$B$49=1),IF(Hipótesis!$G$49=1,Hipótesis!$C$44,Hipótesis!$C$49*(1+Hipótesis!$D$45)^0)*(1+Hipótesis!$D$42),0)</f>
        <v>-2904</v>
      </c>
      <c r="G45" s="109" t="n">
        <f aca="false">-IF(AND(5&gt;=Hipótesis!$D$49,Hipótesis!$B$49=1),IF(Hipótesis!$G$49=1,Hipótesis!$C$44,Hipótesis!$C$49*(1+Hipótesis!$D$45)^0)*(1+Hipótesis!$D$42),0)</f>
        <v>-2904</v>
      </c>
      <c r="H45" s="109" t="n">
        <f aca="false">-IF(AND(6&gt;=Hipótesis!$D$49,Hipótesis!$B$49=1),IF(Hipótesis!$G$49=1,Hipótesis!$C$44,Hipótesis!$C$49*(1+Hipótesis!$D$45)^0)*(1+Hipótesis!$D$42),0)</f>
        <v>-2904</v>
      </c>
      <c r="I45" s="109" t="n">
        <f aca="false">-IF(AND(7&gt;=Hipótesis!$D$49,Hipótesis!$B$49=1),IF(Hipótesis!$G$49=1,Hipótesis!$C$44,Hipótesis!$C$49*(1+Hipótesis!$D$45)^0)*(1+Hipótesis!$D$42),0)</f>
        <v>-2904</v>
      </c>
      <c r="J45" s="109" t="n">
        <f aca="false">-IF(AND(8&gt;=Hipótesis!$D$49,Hipótesis!$B$49=1),IF(Hipótesis!$G$49=1,Hipótesis!$C$44,Hipótesis!$C$49*(1+Hipótesis!$D$45)^0)*(1+Hipótesis!$D$42),0)</f>
        <v>-2904</v>
      </c>
      <c r="K45" s="109" t="n">
        <f aca="false">-IF(AND(9&gt;=Hipótesis!$D$49,Hipótesis!$B$49=1),IF(Hipótesis!$G$49=1,Hipótesis!$C$44,Hipótesis!$C$49*(1+Hipótesis!$D$45)^0)*(1+Hipótesis!$D$42),0)</f>
        <v>-2904</v>
      </c>
      <c r="L45" s="109" t="n">
        <f aca="false">-IF(AND(10&gt;=Hipótesis!$D$49,Hipótesis!$B$49=1),IF(Hipótesis!$G$49=1,Hipótesis!$C$44,Hipótesis!$C$49*(1+Hipótesis!$D$45)^0)*(1+Hipótesis!$D$42),0)</f>
        <v>-2904</v>
      </c>
      <c r="M45" s="109" t="n">
        <f aca="false">-IF(AND(11&gt;=Hipótesis!$D$49,Hipótesis!$B$49=1),IF(Hipótesis!$G$49=1,Hipótesis!$C$44,Hipótesis!$C$49*(1+Hipótesis!$D$45)^0)*(1+Hipótesis!$D$42),0)</f>
        <v>-2904</v>
      </c>
      <c r="N45" s="109" t="n">
        <f aca="false">-IF(AND(12&gt;=Hipótesis!$D$49,Hipótesis!$B$49=1),IF(Hipótesis!$G$49=1,Hipótesis!$C$44,Hipótesis!$C$49*(1+Hipótesis!$D$45)^0)*(1+Hipótesis!$D$42),0)</f>
        <v>-2904</v>
      </c>
      <c r="O45" s="109" t="n">
        <f aca="false">-IF(AND(13&gt;=Hipótesis!$D$49,Hipótesis!$B$49=1),IF(Hipótesis!$G$49=1,Hipótesis!$D$44,Hipótesis!$C$49*(1+Hipótesis!$D$45)^1)*(1+Hipótesis!$D$42),0)</f>
        <v>-4620</v>
      </c>
      <c r="P45" s="109" t="n">
        <f aca="false">-IF(AND(14&gt;=Hipótesis!$D$49,Hipótesis!$B$49=1),IF(Hipótesis!$G$49=1,Hipótesis!$D$44,Hipótesis!$C$49*(1+Hipótesis!$D$45)^1)*(1+Hipótesis!$D$42),0)</f>
        <v>-4620</v>
      </c>
      <c r="Q45" s="109" t="n">
        <f aca="false">-IF(AND(15&gt;=Hipótesis!$D$49,Hipótesis!$B$49=1),IF(Hipótesis!$G$49=1,Hipótesis!$D$44,Hipótesis!$C$49*(1+Hipótesis!$D$45)^1)*(1+Hipótesis!$D$42),0)</f>
        <v>-4620</v>
      </c>
      <c r="R45" s="109" t="n">
        <f aca="false">-IF(AND(16&gt;=Hipótesis!$D$49,Hipótesis!$B$49=1),IF(Hipótesis!$G$49=1,Hipótesis!$D$44,Hipótesis!$C$49*(1+Hipótesis!$D$45)^1)*(1+Hipótesis!$D$42),0)</f>
        <v>-4620</v>
      </c>
      <c r="S45" s="109" t="n">
        <f aca="false">-IF(AND(17&gt;=Hipótesis!$D$49,Hipótesis!$B$49=1),IF(Hipótesis!$G$49=1,Hipótesis!$D$44,Hipótesis!$C$49*(1+Hipótesis!$D$45)^1)*(1+Hipótesis!$D$42),0)</f>
        <v>-4620</v>
      </c>
      <c r="T45" s="109" t="n">
        <f aca="false">-IF(AND(18&gt;=Hipótesis!$D$49,Hipótesis!$B$49=1),IF(Hipótesis!$G$49=1,Hipótesis!$D$44,Hipótesis!$C$49*(1+Hipótesis!$D$45)^1)*(1+Hipótesis!$D$42),0)</f>
        <v>-4620</v>
      </c>
      <c r="U45" s="109" t="n">
        <f aca="false">-IF(AND(19&gt;=Hipótesis!$D$49,Hipótesis!$B$49=1),IF(Hipótesis!$G$49=1,Hipótesis!$D$44,Hipótesis!$C$49*(1+Hipótesis!$D$45)^1)*(1+Hipótesis!$D$42),0)</f>
        <v>-4620</v>
      </c>
      <c r="V45" s="109" t="n">
        <f aca="false">-IF(AND(20&gt;=Hipótesis!$D$49,Hipótesis!$B$49=1),IF(Hipótesis!$G$49=1,Hipótesis!$D$44,Hipótesis!$C$49*(1+Hipótesis!$D$45)^1)*(1+Hipótesis!$D$42),0)</f>
        <v>-4620</v>
      </c>
      <c r="W45" s="109" t="n">
        <f aca="false">-IF(AND(21&gt;=Hipótesis!$D$49,Hipótesis!$B$49=1),IF(Hipótesis!$G$49=1,Hipótesis!$D$44,Hipótesis!$C$49*(1+Hipótesis!$D$45)^1)*(1+Hipótesis!$D$42),0)</f>
        <v>-4620</v>
      </c>
      <c r="X45" s="109" t="n">
        <f aca="false">-IF(AND(22&gt;=Hipótesis!$D$49,Hipótesis!$B$49=1),IF(Hipótesis!$G$49=1,Hipótesis!$D$44,Hipótesis!$C$49*(1+Hipótesis!$D$45)^1)*(1+Hipótesis!$D$42),0)</f>
        <v>-4620</v>
      </c>
      <c r="Y45" s="109" t="n">
        <f aca="false">-IF(AND(23&gt;=Hipótesis!$D$49,Hipótesis!$B$49=1),IF(Hipótesis!$G$49=1,Hipótesis!$D$44,Hipótesis!$C$49*(1+Hipótesis!$D$45)^1)*(1+Hipótesis!$D$42),0)</f>
        <v>-4620</v>
      </c>
      <c r="Z45" s="109" t="n">
        <f aca="false">-IF(AND(24&gt;=Hipótesis!$D$49,Hipótesis!$B$49=1),IF(Hipótesis!$G$49=1,Hipótesis!$D$44,Hipótesis!$C$49*(1+Hipótesis!$D$45)^1)*(1+Hipótesis!$D$42),0)</f>
        <v>-4620</v>
      </c>
      <c r="AA45" s="109" t="n">
        <f aca="false">-IF(AND(25&gt;=Hipótesis!$D$49,Hipótesis!$B$49=1),IF(Hipótesis!$G$49=1,Hipótesis!$E$44,Hipótesis!$C$49*(1+Hipótesis!$D$45)^2)*(1+Hipótesis!$D$42),0)</f>
        <v>-5280</v>
      </c>
      <c r="AB45" s="109" t="n">
        <f aca="false">-IF(AND(26&gt;=Hipótesis!$D$49,Hipótesis!$B$49=1),IF(Hipótesis!$G$49=1,Hipótesis!$E$44,Hipótesis!$C$49*(1+Hipótesis!$D$45)^2)*(1+Hipótesis!$D$42),0)</f>
        <v>-5280</v>
      </c>
      <c r="AC45" s="109" t="n">
        <f aca="false">-IF(AND(27&gt;=Hipótesis!$D$49,Hipótesis!$B$49=1),IF(Hipótesis!$G$49=1,Hipótesis!$E$44,Hipótesis!$C$49*(1+Hipótesis!$D$45)^2)*(1+Hipótesis!$D$42),0)</f>
        <v>-5280</v>
      </c>
      <c r="AD45" s="109" t="n">
        <f aca="false">-IF(AND(28&gt;=Hipótesis!$D$49,Hipótesis!$B$49=1),IF(Hipótesis!$G$49=1,Hipótesis!$E$44,Hipótesis!$C$49*(1+Hipótesis!$D$45)^2)*(1+Hipótesis!$D$42),0)</f>
        <v>-5280</v>
      </c>
      <c r="AE45" s="109" t="n">
        <f aca="false">-IF(AND(29&gt;=Hipótesis!$D$49,Hipótesis!$B$49=1),IF(Hipótesis!$G$49=1,Hipótesis!$E$44,Hipótesis!$C$49*(1+Hipótesis!$D$45)^2)*(1+Hipótesis!$D$42),0)</f>
        <v>-5280</v>
      </c>
      <c r="AF45" s="109" t="n">
        <f aca="false">-IF(AND(30&gt;=Hipótesis!$D$49,Hipótesis!$B$49=1),IF(Hipótesis!$G$49=1,Hipótesis!$E$44,Hipótesis!$C$49*(1+Hipótesis!$D$45)^2)*(1+Hipótesis!$D$42),0)</f>
        <v>-5280</v>
      </c>
      <c r="AG45" s="109" t="n">
        <f aca="false">-IF(AND(31&gt;=Hipótesis!$D$49,Hipótesis!$B$49=1),IF(Hipótesis!$G$49=1,Hipótesis!$E$44,Hipótesis!$C$49*(1+Hipótesis!$D$45)^2)*(1+Hipótesis!$D$42),0)</f>
        <v>-5280</v>
      </c>
      <c r="AH45" s="109" t="n">
        <f aca="false">-IF(AND(32&gt;=Hipótesis!$D$49,Hipótesis!$B$49=1),IF(Hipótesis!$G$49=1,Hipótesis!$E$44,Hipótesis!$C$49*(1+Hipótesis!$D$45)^2)*(1+Hipótesis!$D$42),0)</f>
        <v>-5280</v>
      </c>
      <c r="AI45" s="109" t="n">
        <f aca="false">-IF(AND(33&gt;=Hipótesis!$D$49,Hipótesis!$B$49=1),IF(Hipótesis!$G$49=1,Hipótesis!$E$44,Hipótesis!$C$49*(1+Hipótesis!$D$45)^2)*(1+Hipótesis!$D$42),0)</f>
        <v>-5280</v>
      </c>
      <c r="AJ45" s="109" t="n">
        <f aca="false">-IF(AND(34&gt;=Hipótesis!$D$49,Hipótesis!$B$49=1),IF(Hipótesis!$G$49=1,Hipótesis!$E$44,Hipótesis!$C$49*(1+Hipótesis!$D$45)^2)*(1+Hipótesis!$D$42),0)</f>
        <v>-5280</v>
      </c>
      <c r="AK45" s="109" t="n">
        <f aca="false">-IF(AND(35&gt;=Hipótesis!$D$49,Hipótesis!$B$49=1),IF(Hipótesis!$G$49=1,Hipótesis!$E$44,Hipótesis!$C$49*(1+Hipótesis!$D$45)^2)*(1+Hipótesis!$D$42),0)</f>
        <v>-5280</v>
      </c>
      <c r="AL45" s="109" t="n">
        <f aca="false">-IF(AND(36&gt;=Hipótesis!$D$49,Hipótesis!$B$49=1),IF(Hipótesis!$G$49=1,Hipótesis!$E$44,Hipótesis!$C$49*(1+Hipótesis!$D$45)^2)*(1+Hipótesis!$D$42),0)</f>
        <v>-5280</v>
      </c>
      <c r="AM45" s="109" t="n">
        <f aca="false">-IF(AND(37&gt;=Hipótesis!$D$49,Hipótesis!$B$49=1),IF(Hipótesis!$G$49=1,Hipótesis!$F$44,Hipótesis!$C$49*(1+Hipótesis!$D$45)^3)*(1+Hipótesis!$D$42),0)</f>
        <v>-5940</v>
      </c>
      <c r="AN45" s="109" t="n">
        <f aca="false">-IF(AND(38&gt;=Hipótesis!$D$49,Hipótesis!$B$49=1),IF(Hipótesis!$G$49=1,Hipótesis!$F$44,Hipótesis!$C$49*(1+Hipótesis!$D$45)^3)*(1+Hipótesis!$D$42),0)</f>
        <v>-5940</v>
      </c>
      <c r="AO45" s="109" t="n">
        <f aca="false">-IF(AND(39&gt;=Hipótesis!$D$49,Hipótesis!$B$49=1),IF(Hipótesis!$G$49=1,Hipótesis!$F$44,Hipótesis!$C$49*(1+Hipótesis!$D$45)^3)*(1+Hipótesis!$D$42),0)</f>
        <v>-5940</v>
      </c>
      <c r="AP45" s="109" t="n">
        <f aca="false">-IF(AND(40&gt;=Hipótesis!$D$49,Hipótesis!$B$49=1),IF(Hipótesis!$G$49=1,Hipótesis!$F$44,Hipótesis!$C$49*(1+Hipótesis!$D$45)^3)*(1+Hipótesis!$D$42),0)</f>
        <v>-5940</v>
      </c>
      <c r="AQ45" s="109" t="n">
        <f aca="false">-IF(AND(41&gt;=Hipótesis!$D$49,Hipótesis!$B$49=1),IF(Hipótesis!$G$49=1,Hipótesis!$F$44,Hipótesis!$C$49*(1+Hipótesis!$D$45)^3)*(1+Hipótesis!$D$42),0)</f>
        <v>-5940</v>
      </c>
      <c r="AR45" s="109" t="n">
        <f aca="false">-IF(AND(42&gt;=Hipótesis!$D$49,Hipótesis!$B$49=1),IF(Hipótesis!$G$49=1,Hipótesis!$F$44,Hipótesis!$C$49*(1+Hipótesis!$D$45)^3)*(1+Hipótesis!$D$42),0)</f>
        <v>-5940</v>
      </c>
      <c r="AS45" s="109" t="n">
        <f aca="false">-IF(AND(43&gt;=Hipótesis!$D$49,Hipótesis!$B$49=1),IF(Hipótesis!$G$49=1,Hipótesis!$F$44,Hipótesis!$C$49*(1+Hipótesis!$D$45)^3)*(1+Hipótesis!$D$42),0)</f>
        <v>-5940</v>
      </c>
      <c r="AT45" s="109" t="n">
        <f aca="false">-IF(AND(44&gt;=Hipótesis!$D$49,Hipótesis!$B$49=1),IF(Hipótesis!$G$49=1,Hipótesis!$F$44,Hipótesis!$C$49*(1+Hipótesis!$D$45)^3)*(1+Hipótesis!$D$42),0)</f>
        <v>-5940</v>
      </c>
      <c r="AU45" s="109" t="n">
        <f aca="false">-IF(AND(45&gt;=Hipótesis!$D$49,Hipótesis!$B$49=1),IF(Hipótesis!$G$49=1,Hipótesis!$F$44,Hipótesis!$C$49*(1+Hipótesis!$D$45)^3)*(1+Hipótesis!$D$42),0)</f>
        <v>-5940</v>
      </c>
      <c r="AV45" s="109" t="n">
        <f aca="false">-IF(AND(46&gt;=Hipótesis!$D$49,Hipótesis!$B$49=1),IF(Hipótesis!$G$49=1,Hipótesis!$F$44,Hipótesis!$C$49*(1+Hipótesis!$D$45)^3)*(1+Hipótesis!$D$42),0)</f>
        <v>-5940</v>
      </c>
      <c r="AW45" s="109" t="n">
        <f aca="false">-IF(AND(47&gt;=Hipótesis!$D$49,Hipótesis!$B$49=1),IF(Hipótesis!$G$49=1,Hipótesis!$F$44,Hipótesis!$C$49*(1+Hipótesis!$D$45)^3)*(1+Hipótesis!$D$42),0)</f>
        <v>-5940</v>
      </c>
      <c r="AX45" s="109" t="n">
        <f aca="false">-IF(AND(48&gt;=Hipótesis!$D$49,Hipótesis!$B$49=1),IF(Hipótesis!$G$49=1,Hipótesis!$F$44,Hipótesis!$C$49*(1+Hipótesis!$D$45)^3)*(1+Hipótesis!$D$42),0)</f>
        <v>-5940</v>
      </c>
      <c r="AY45" s="109" t="n">
        <f aca="false">-IF(AND(49&gt;=Hipótesis!$D$49,Hipótesis!$B$49=1),IF(Hipótesis!$G$49=1,Hipótesis!$G$44,Hipótesis!$C$49*(1+Hipótesis!$D$45)^4)*(1+Hipótesis!$D$42),0)</f>
        <v>-6600</v>
      </c>
      <c r="AZ45" s="109" t="n">
        <f aca="false">-IF(AND(50&gt;=Hipótesis!$D$49,Hipótesis!$B$49=1),IF(Hipótesis!$G$49=1,Hipótesis!$G$44,Hipótesis!$C$49*(1+Hipótesis!$D$45)^4)*(1+Hipótesis!$D$42),0)</f>
        <v>-6600</v>
      </c>
      <c r="BA45" s="109" t="n">
        <f aca="false">-IF(AND(51&gt;=Hipótesis!$D$49,Hipótesis!$B$49=1),IF(Hipótesis!$G$49=1,Hipótesis!$G$44,Hipótesis!$C$49*(1+Hipótesis!$D$45)^4)*(1+Hipótesis!$D$42),0)</f>
        <v>-6600</v>
      </c>
      <c r="BB45" s="109" t="n">
        <f aca="false">-IF(AND(52&gt;=Hipótesis!$D$49,Hipótesis!$B$49=1),IF(Hipótesis!$G$49=1,Hipótesis!$G$44,Hipótesis!$C$49*(1+Hipótesis!$D$45)^4)*(1+Hipótesis!$D$42),0)</f>
        <v>-6600</v>
      </c>
      <c r="BC45" s="109" t="n">
        <f aca="false">-IF(AND(53&gt;=Hipótesis!$D$49,Hipótesis!$B$49=1),IF(Hipótesis!$G$49=1,Hipótesis!$G$44,Hipótesis!$C$49*(1+Hipótesis!$D$45)^4)*(1+Hipótesis!$D$42),0)</f>
        <v>-6600</v>
      </c>
      <c r="BD45" s="109" t="n">
        <f aca="false">-IF(AND(54&gt;=Hipótesis!$D$49,Hipótesis!$B$49=1),IF(Hipótesis!$G$49=1,Hipótesis!$G$44,Hipótesis!$C$49*(1+Hipótesis!$D$45)^4)*(1+Hipótesis!$D$42),0)</f>
        <v>-6600</v>
      </c>
      <c r="BE45" s="109" t="n">
        <f aca="false">-IF(AND(55&gt;=Hipótesis!$D$49,Hipótesis!$B$49=1),IF(Hipótesis!$G$49=1,Hipótesis!$G$44,Hipótesis!$C$49*(1+Hipótesis!$D$45)^4)*(1+Hipótesis!$D$42),0)</f>
        <v>-6600</v>
      </c>
      <c r="BF45" s="109" t="n">
        <f aca="false">-IF(AND(56&gt;=Hipótesis!$D$49,Hipótesis!$B$49=1),IF(Hipótesis!$G$49=1,Hipótesis!$G$44,Hipótesis!$C$49*(1+Hipótesis!$D$45)^4)*(1+Hipótesis!$D$42),0)</f>
        <v>-6600</v>
      </c>
      <c r="BG45" s="109" t="n">
        <f aca="false">-IF(AND(57&gt;=Hipótesis!$D$49,Hipótesis!$B$49=1),IF(Hipótesis!$G$49=1,Hipótesis!$G$44,Hipótesis!$C$49*(1+Hipótesis!$D$45)^4)*(1+Hipótesis!$D$42),0)</f>
        <v>-6600</v>
      </c>
      <c r="BH45" s="109" t="n">
        <f aca="false">-IF(AND(58&gt;=Hipótesis!$D$49,Hipótesis!$B$49=1),IF(Hipótesis!$G$49=1,Hipótesis!$G$44,Hipótesis!$C$49*(1+Hipótesis!$D$45)^4)*(1+Hipótesis!$D$42),0)</f>
        <v>-6600</v>
      </c>
      <c r="BI45" s="109" t="n">
        <f aca="false">-IF(AND(59&gt;=Hipótesis!$D$49,Hipótesis!$B$49=1),IF(Hipótesis!$G$49=1,Hipótesis!$G$44,Hipótesis!$C$49*(1+Hipótesis!$D$45)^4)*(1+Hipótesis!$D$42),0)</f>
        <v>-6600</v>
      </c>
      <c r="BJ45" s="109" t="n">
        <f aca="false">-IF(AND(60&gt;=Hipótesis!$D$49,Hipótesis!$B$49=1),IF(Hipótesis!$G$49=1,Hipótesis!$G$44,Hipótesis!$C$49*(1+Hipótesis!$D$45)^4)*(1+Hipótesis!$D$42),0)</f>
        <v>-6600</v>
      </c>
      <c r="BK45" s="109" t="n">
        <f aca="false">-IF(AND(61&gt;=Hipótesis!$D$49,Hipótesis!$B$49=1),IF(Hipótesis!$G$49=1,Hipótesis!$H$44,Hipótesis!$C$49*(1+Hipótesis!$D$45)^5)*(1+Hipótesis!$D$42),0)</f>
        <v>-7260</v>
      </c>
      <c r="BL45" s="109" t="n">
        <f aca="false">-IF(AND(62&gt;=Hipótesis!$D$49,Hipótesis!$B$49=1),IF(Hipótesis!$G$49=1,Hipótesis!$H$44,Hipótesis!$C$49*(1+Hipótesis!$D$45)^5)*(1+Hipótesis!$D$42),0)</f>
        <v>-7260</v>
      </c>
      <c r="BM45" s="109" t="n">
        <f aca="false">-IF(AND(63&gt;=Hipótesis!$D$49,Hipótesis!$B$49=1),IF(Hipótesis!$G$49=1,Hipótesis!$H$44,Hipótesis!$C$49*(1+Hipótesis!$D$45)^5)*(1+Hipótesis!$D$42),0)</f>
        <v>-7260</v>
      </c>
      <c r="BN45" s="109" t="n">
        <f aca="false">-IF(AND(64&gt;=Hipótesis!$D$49,Hipótesis!$B$49=1),IF(Hipótesis!$G$49=1,Hipótesis!$H$44,Hipótesis!$C$49*(1+Hipótesis!$D$45)^5)*(1+Hipótesis!$D$42),0)</f>
        <v>-7260</v>
      </c>
      <c r="BO45" s="109" t="n">
        <f aca="false">-IF(AND(65&gt;=Hipótesis!$D$49,Hipótesis!$B$49=1),IF(Hipótesis!$G$49=1,Hipótesis!$H$44,Hipótesis!$C$49*(1+Hipótesis!$D$45)^5)*(1+Hipótesis!$D$42),0)</f>
        <v>-7260</v>
      </c>
      <c r="BP45" s="109" t="n">
        <f aca="false">-IF(AND(66&gt;=Hipótesis!$D$49,Hipótesis!$B$49=1),IF(Hipótesis!$G$49=1,Hipótesis!$H$44,Hipótesis!$C$49*(1+Hipótesis!$D$45)^5)*(1+Hipótesis!$D$42),0)</f>
        <v>-7260</v>
      </c>
      <c r="BQ45" s="109" t="n">
        <f aca="false">-IF(AND(67&gt;=Hipótesis!$D$49,Hipótesis!$B$49=1),IF(Hipótesis!$G$49=1,Hipótesis!$H$44,Hipótesis!$C$49*(1+Hipótesis!$D$45)^5)*(1+Hipótesis!$D$42),0)</f>
        <v>-7260</v>
      </c>
      <c r="BR45" s="109" t="n">
        <f aca="false">-IF(AND(68&gt;=Hipótesis!$D$49,Hipótesis!$B$49=1),IF(Hipótesis!$G$49=1,Hipótesis!$H$44,Hipótesis!$C$49*(1+Hipótesis!$D$45)^5)*(1+Hipótesis!$D$42),0)</f>
        <v>-7260</v>
      </c>
      <c r="BS45" s="109" t="n">
        <f aca="false">-IF(AND(69&gt;=Hipótesis!$D$49,Hipótesis!$B$49=1),IF(Hipótesis!$G$49=1,Hipótesis!$H$44,Hipótesis!$C$49*(1+Hipótesis!$D$45)^5)*(1+Hipótesis!$D$42),0)</f>
        <v>-7260</v>
      </c>
      <c r="BT45" s="109" t="n">
        <f aca="false">-IF(AND(70&gt;=Hipótesis!$D$49,Hipótesis!$B$49=1),IF(Hipótesis!$G$49=1,Hipótesis!$H$44,Hipótesis!$C$49*(1+Hipótesis!$D$45)^5)*(1+Hipótesis!$D$42),0)</f>
        <v>-7260</v>
      </c>
      <c r="BU45" s="109" t="n">
        <f aca="false">-IF(AND(71&gt;=Hipótesis!$D$49,Hipótesis!$B$49=1),IF(Hipótesis!$G$49=1,Hipótesis!$H$44,Hipótesis!$C$49*(1+Hipótesis!$D$45)^5)*(1+Hipótesis!$D$42),0)</f>
        <v>-7260</v>
      </c>
      <c r="BV45" s="109" t="n">
        <f aca="false">-IF(AND(72&gt;=Hipótesis!$D$49,Hipótesis!$B$49=1),IF(Hipótesis!$G$49=1,Hipótesis!$H$44,Hipótesis!$C$49*(1+Hipótesis!$D$45)^5)*(1+Hipótesis!$D$42),0)</f>
        <v>-7260</v>
      </c>
      <c r="BW45" s="109" t="n">
        <f aca="false">-IF(AND(73&gt;=Hipótesis!$D$49,Hipótesis!$B$49=1),IF(Hipótesis!$G$49=1,Hipótesis!$I$44,Hipótesis!$C$49*(1+Hipótesis!$D$45)^6)*(1+Hipótesis!$D$42),0)</f>
        <v>-7920</v>
      </c>
      <c r="BX45" s="109" t="n">
        <f aca="false">-IF(AND(74&gt;=Hipótesis!$D$49,Hipótesis!$B$49=1),IF(Hipótesis!$G$49=1,Hipótesis!$I$44,Hipótesis!$C$49*(1+Hipótesis!$D$45)^6)*(1+Hipótesis!$D$42),0)</f>
        <v>-7920</v>
      </c>
      <c r="BY45" s="109" t="n">
        <f aca="false">-IF(AND(75&gt;=Hipótesis!$D$49,Hipótesis!$B$49=1),IF(Hipótesis!$G$49=1,Hipótesis!$I$44,Hipótesis!$C$49*(1+Hipótesis!$D$45)^6)*(1+Hipótesis!$D$42),0)</f>
        <v>-7920</v>
      </c>
      <c r="BZ45" s="109" t="n">
        <f aca="false">-IF(AND(76&gt;=Hipótesis!$D$49,Hipótesis!$B$49=1),IF(Hipótesis!$G$49=1,Hipótesis!$I$44,Hipótesis!$C$49*(1+Hipótesis!$D$45)^6)*(1+Hipótesis!$D$42),0)</f>
        <v>-7920</v>
      </c>
      <c r="CA45" s="109" t="n">
        <f aca="false">-IF(AND(77&gt;=Hipótesis!$D$49,Hipótesis!$B$49=1),IF(Hipótesis!$G$49=1,Hipótesis!$I$44,Hipótesis!$C$49*(1+Hipótesis!$D$45)^6)*(1+Hipótesis!$D$42),0)</f>
        <v>-7920</v>
      </c>
      <c r="CB45" s="109" t="n">
        <f aca="false">-IF(AND(78&gt;=Hipótesis!$D$49,Hipótesis!$B$49=1),IF(Hipótesis!$G$49=1,Hipótesis!$I$44,Hipótesis!$C$49*(1+Hipótesis!$D$45)^6)*(1+Hipótesis!$D$42),0)</f>
        <v>-7920</v>
      </c>
      <c r="CC45" s="109" t="n">
        <f aca="false">-IF(AND(79&gt;=Hipótesis!$D$49,Hipótesis!$B$49=1),IF(Hipótesis!$G$49=1,Hipótesis!$I$44,Hipótesis!$C$49*(1+Hipótesis!$D$45)^6)*(1+Hipótesis!$D$42),0)</f>
        <v>-7920</v>
      </c>
      <c r="CD45" s="109" t="n">
        <f aca="false">-IF(AND(80&gt;=Hipótesis!$D$49,Hipótesis!$B$49=1),IF(Hipótesis!$G$49=1,Hipótesis!$I$44,Hipótesis!$C$49*(1+Hipótesis!$D$45)^6)*(1+Hipótesis!$D$42),0)</f>
        <v>-7920</v>
      </c>
      <c r="CE45" s="109" t="n">
        <f aca="false">-IF(AND(81&gt;=Hipótesis!$D$49,Hipótesis!$B$49=1),IF(Hipótesis!$G$49=1,Hipótesis!$I$44,Hipótesis!$C$49*(1+Hipótesis!$D$45)^6)*(1+Hipótesis!$D$42),0)</f>
        <v>-7920</v>
      </c>
      <c r="CF45" s="109" t="n">
        <f aca="false">-IF(AND(82&gt;=Hipótesis!$D$49,Hipótesis!$B$49=1),IF(Hipótesis!$G$49=1,Hipótesis!$I$44,Hipótesis!$C$49*(1+Hipótesis!$D$45)^6)*(1+Hipótesis!$D$42),0)</f>
        <v>-7920</v>
      </c>
      <c r="CG45" s="109" t="n">
        <f aca="false">-IF(AND(83&gt;=Hipótesis!$D$49,Hipótesis!$B$49=1),IF(Hipótesis!$G$49=1,Hipótesis!$I$44,Hipótesis!$C$49*(1+Hipótesis!$D$45)^6)*(1+Hipótesis!$D$42),0)</f>
        <v>-7920</v>
      </c>
      <c r="CH45" s="109" t="n">
        <f aca="false">-IF(AND(84&gt;=Hipótesis!$D$49,Hipótesis!$B$49=1),IF(Hipótesis!$G$49=1,Hipótesis!$I$44,Hipótesis!$C$49*(1+Hipótesis!$D$45)^6)*(1+Hipótesis!$D$42),0)</f>
        <v>-7920</v>
      </c>
    </row>
    <row r="46" customFormat="false" ht="13.5" hidden="false" customHeight="true" outlineLevel="0" collapsed="false">
      <c r="A46" s="6" t="s">
        <v>551</v>
      </c>
      <c r="C46" s="109" t="n">
        <f aca="false">-IF(AND(1&gt;=Hipótesis!$D$50,Hipótesis!$B$50=1),IF(Hipótesis!$G$50=1,Hipótesis!$C$44,Hipótesis!$C$50*(1+Hipótesis!$D$45)^0)*(1+Hipótesis!$D$42),0)</f>
        <v>-2904</v>
      </c>
      <c r="D46" s="109" t="n">
        <f aca="false">-IF(AND(2&gt;=Hipótesis!$D$50,Hipótesis!$B$50=1),IF(Hipótesis!$G$50=1,Hipótesis!$C$44,Hipótesis!$C$50*(1+Hipótesis!$D$45)^0)*(1+Hipótesis!$D$42),0)</f>
        <v>-2904</v>
      </c>
      <c r="E46" s="109" t="n">
        <f aca="false">-IF(AND(3&gt;=Hipótesis!$D$50,Hipótesis!$B$50=1),IF(Hipótesis!$G$50=1,Hipótesis!$C$44,Hipótesis!$C$50*(1+Hipótesis!$D$45)^0)*(1+Hipótesis!$D$42),0)</f>
        <v>-2904</v>
      </c>
      <c r="F46" s="109" t="n">
        <f aca="false">-IF(AND(4&gt;=Hipótesis!$D$50,Hipótesis!$B$50=1),IF(Hipótesis!$G$50=1,Hipótesis!$C$44,Hipótesis!$C$50*(1+Hipótesis!$D$45)^0)*(1+Hipótesis!$D$42),0)</f>
        <v>-2904</v>
      </c>
      <c r="G46" s="109" t="n">
        <f aca="false">-IF(AND(5&gt;=Hipótesis!$D$50,Hipótesis!$B$50=1),IF(Hipótesis!$G$50=1,Hipótesis!$C$44,Hipótesis!$C$50*(1+Hipótesis!$D$45)^0)*(1+Hipótesis!$D$42),0)</f>
        <v>-2904</v>
      </c>
      <c r="H46" s="109" t="n">
        <f aca="false">-IF(AND(6&gt;=Hipótesis!$D$50,Hipótesis!$B$50=1),IF(Hipótesis!$G$50=1,Hipótesis!$C$44,Hipótesis!$C$50*(1+Hipótesis!$D$45)^0)*(1+Hipótesis!$D$42),0)</f>
        <v>-2904</v>
      </c>
      <c r="I46" s="109" t="n">
        <f aca="false">-IF(AND(7&gt;=Hipótesis!$D$50,Hipótesis!$B$50=1),IF(Hipótesis!$G$50=1,Hipótesis!$C$44,Hipótesis!$C$50*(1+Hipótesis!$D$45)^0)*(1+Hipótesis!$D$42),0)</f>
        <v>-2904</v>
      </c>
      <c r="J46" s="109" t="n">
        <f aca="false">-IF(AND(8&gt;=Hipótesis!$D$50,Hipótesis!$B$50=1),IF(Hipótesis!$G$50=1,Hipótesis!$C$44,Hipótesis!$C$50*(1+Hipótesis!$D$45)^0)*(1+Hipótesis!$D$42),0)</f>
        <v>-2904</v>
      </c>
      <c r="K46" s="109" t="n">
        <f aca="false">-IF(AND(9&gt;=Hipótesis!$D$50,Hipótesis!$B$50=1),IF(Hipótesis!$G$50=1,Hipótesis!$C$44,Hipótesis!$C$50*(1+Hipótesis!$D$45)^0)*(1+Hipótesis!$D$42),0)</f>
        <v>-2904</v>
      </c>
      <c r="L46" s="109" t="n">
        <f aca="false">-IF(AND(10&gt;=Hipótesis!$D$50,Hipótesis!$B$50=1),IF(Hipótesis!$G$50=1,Hipótesis!$C$44,Hipótesis!$C$50*(1+Hipótesis!$D$45)^0)*(1+Hipótesis!$D$42),0)</f>
        <v>-2904</v>
      </c>
      <c r="M46" s="109" t="n">
        <f aca="false">-IF(AND(11&gt;=Hipótesis!$D$50,Hipótesis!$B$50=1),IF(Hipótesis!$G$50=1,Hipótesis!$C$44,Hipótesis!$C$50*(1+Hipótesis!$D$45)^0)*(1+Hipótesis!$D$42),0)</f>
        <v>-2904</v>
      </c>
      <c r="N46" s="109" t="n">
        <f aca="false">-IF(AND(12&gt;=Hipótesis!$D$50,Hipótesis!$B$50=1),IF(Hipótesis!$G$50=1,Hipótesis!$C$44,Hipótesis!$C$50*(1+Hipótesis!$D$45)^0)*(1+Hipótesis!$D$42),0)</f>
        <v>-2904</v>
      </c>
      <c r="O46" s="109" t="n">
        <f aca="false">-IF(AND(13&gt;=Hipótesis!$D$50,Hipótesis!$B$50=1),IF(Hipótesis!$G$50=1,Hipótesis!$D$44,Hipótesis!$C$50*(1+Hipótesis!$D$45)^1)*(1+Hipótesis!$D$42),0)</f>
        <v>-4620</v>
      </c>
      <c r="P46" s="109" t="n">
        <f aca="false">-IF(AND(14&gt;=Hipótesis!$D$50,Hipótesis!$B$50=1),IF(Hipótesis!$G$50=1,Hipótesis!$D$44,Hipótesis!$C$50*(1+Hipótesis!$D$45)^1)*(1+Hipótesis!$D$42),0)</f>
        <v>-4620</v>
      </c>
      <c r="Q46" s="109" t="n">
        <f aca="false">-IF(AND(15&gt;=Hipótesis!$D$50,Hipótesis!$B$50=1),IF(Hipótesis!$G$50=1,Hipótesis!$D$44,Hipótesis!$C$50*(1+Hipótesis!$D$45)^1)*(1+Hipótesis!$D$42),0)</f>
        <v>-4620</v>
      </c>
      <c r="R46" s="109" t="n">
        <f aca="false">-IF(AND(16&gt;=Hipótesis!$D$50,Hipótesis!$B$50=1),IF(Hipótesis!$G$50=1,Hipótesis!$D$44,Hipótesis!$C$50*(1+Hipótesis!$D$45)^1)*(1+Hipótesis!$D$42),0)</f>
        <v>-4620</v>
      </c>
      <c r="S46" s="109" t="n">
        <f aca="false">-IF(AND(17&gt;=Hipótesis!$D$50,Hipótesis!$B$50=1),IF(Hipótesis!$G$50=1,Hipótesis!$D$44,Hipótesis!$C$50*(1+Hipótesis!$D$45)^1)*(1+Hipótesis!$D$42),0)</f>
        <v>-4620</v>
      </c>
      <c r="T46" s="109" t="n">
        <f aca="false">-IF(AND(18&gt;=Hipótesis!$D$50,Hipótesis!$B$50=1),IF(Hipótesis!$G$50=1,Hipótesis!$D$44,Hipótesis!$C$50*(1+Hipótesis!$D$45)^1)*(1+Hipótesis!$D$42),0)</f>
        <v>-4620</v>
      </c>
      <c r="U46" s="109" t="n">
        <f aca="false">-IF(AND(19&gt;=Hipótesis!$D$50,Hipótesis!$B$50=1),IF(Hipótesis!$G$50=1,Hipótesis!$D$44,Hipótesis!$C$50*(1+Hipótesis!$D$45)^1)*(1+Hipótesis!$D$42),0)</f>
        <v>-4620</v>
      </c>
      <c r="V46" s="109" t="n">
        <f aca="false">-IF(AND(20&gt;=Hipótesis!$D$50,Hipótesis!$B$50=1),IF(Hipótesis!$G$50=1,Hipótesis!$D$44,Hipótesis!$C$50*(1+Hipótesis!$D$45)^1)*(1+Hipótesis!$D$42),0)</f>
        <v>-4620</v>
      </c>
      <c r="W46" s="109" t="n">
        <f aca="false">-IF(AND(21&gt;=Hipótesis!$D$50,Hipótesis!$B$50=1),IF(Hipótesis!$G$50=1,Hipótesis!$D$44,Hipótesis!$C$50*(1+Hipótesis!$D$45)^1)*(1+Hipótesis!$D$42),0)</f>
        <v>-4620</v>
      </c>
      <c r="X46" s="109" t="n">
        <f aca="false">-IF(AND(22&gt;=Hipótesis!$D$50,Hipótesis!$B$50=1),IF(Hipótesis!$G$50=1,Hipótesis!$D$44,Hipótesis!$C$50*(1+Hipótesis!$D$45)^1)*(1+Hipótesis!$D$42),0)</f>
        <v>-4620</v>
      </c>
      <c r="Y46" s="109" t="n">
        <f aca="false">-IF(AND(23&gt;=Hipótesis!$D$50,Hipótesis!$B$50=1),IF(Hipótesis!$G$50=1,Hipótesis!$D$44,Hipótesis!$C$50*(1+Hipótesis!$D$45)^1)*(1+Hipótesis!$D$42),0)</f>
        <v>-4620</v>
      </c>
      <c r="Z46" s="109" t="n">
        <f aca="false">-IF(AND(24&gt;=Hipótesis!$D$50,Hipótesis!$B$50=1),IF(Hipótesis!$G$50=1,Hipótesis!$D$44,Hipótesis!$C$50*(1+Hipótesis!$D$45)^1)*(1+Hipótesis!$D$42),0)</f>
        <v>-4620</v>
      </c>
      <c r="AA46" s="109" t="n">
        <f aca="false">-IF(AND(25&gt;=Hipótesis!$D$50,Hipótesis!$B$50=1),IF(Hipótesis!$G$50=1,Hipótesis!$E$44,Hipótesis!$C$50*(1+Hipótesis!$D$45)^2)*(1+Hipótesis!$D$42),0)</f>
        <v>-5280</v>
      </c>
      <c r="AB46" s="109" t="n">
        <f aca="false">-IF(AND(26&gt;=Hipótesis!$D$50,Hipótesis!$B$50=1),IF(Hipótesis!$G$50=1,Hipótesis!$E$44,Hipótesis!$C$50*(1+Hipótesis!$D$45)^2)*(1+Hipótesis!$D$42),0)</f>
        <v>-5280</v>
      </c>
      <c r="AC46" s="109" t="n">
        <f aca="false">-IF(AND(27&gt;=Hipótesis!$D$50,Hipótesis!$B$50=1),IF(Hipótesis!$G$50=1,Hipótesis!$E$44,Hipótesis!$C$50*(1+Hipótesis!$D$45)^2)*(1+Hipótesis!$D$42),0)</f>
        <v>-5280</v>
      </c>
      <c r="AD46" s="109" t="n">
        <f aca="false">-IF(AND(28&gt;=Hipótesis!$D$50,Hipótesis!$B$50=1),IF(Hipótesis!$G$50=1,Hipótesis!$E$44,Hipótesis!$C$50*(1+Hipótesis!$D$45)^2)*(1+Hipótesis!$D$42),0)</f>
        <v>-5280</v>
      </c>
      <c r="AE46" s="109" t="n">
        <f aca="false">-IF(AND(29&gt;=Hipótesis!$D$50,Hipótesis!$B$50=1),IF(Hipótesis!$G$50=1,Hipótesis!$E$44,Hipótesis!$C$50*(1+Hipótesis!$D$45)^2)*(1+Hipótesis!$D$42),0)</f>
        <v>-5280</v>
      </c>
      <c r="AF46" s="109" t="n">
        <f aca="false">-IF(AND(30&gt;=Hipótesis!$D$50,Hipótesis!$B$50=1),IF(Hipótesis!$G$50=1,Hipótesis!$E$44,Hipótesis!$C$50*(1+Hipótesis!$D$45)^2)*(1+Hipótesis!$D$42),0)</f>
        <v>-5280</v>
      </c>
      <c r="AG46" s="109" t="n">
        <f aca="false">-IF(AND(31&gt;=Hipótesis!$D$50,Hipótesis!$B$50=1),IF(Hipótesis!$G$50=1,Hipótesis!$E$44,Hipótesis!$C$50*(1+Hipótesis!$D$45)^2)*(1+Hipótesis!$D$42),0)</f>
        <v>-5280</v>
      </c>
      <c r="AH46" s="109" t="n">
        <f aca="false">-IF(AND(32&gt;=Hipótesis!$D$50,Hipótesis!$B$50=1),IF(Hipótesis!$G$50=1,Hipótesis!$E$44,Hipótesis!$C$50*(1+Hipótesis!$D$45)^2)*(1+Hipótesis!$D$42),0)</f>
        <v>-5280</v>
      </c>
      <c r="AI46" s="109" t="n">
        <f aca="false">-IF(AND(33&gt;=Hipótesis!$D$50,Hipótesis!$B$50=1),IF(Hipótesis!$G$50=1,Hipótesis!$E$44,Hipótesis!$C$50*(1+Hipótesis!$D$45)^2)*(1+Hipótesis!$D$42),0)</f>
        <v>-5280</v>
      </c>
      <c r="AJ46" s="109" t="n">
        <f aca="false">-IF(AND(34&gt;=Hipótesis!$D$50,Hipótesis!$B$50=1),IF(Hipótesis!$G$50=1,Hipótesis!$E$44,Hipótesis!$C$50*(1+Hipótesis!$D$45)^2)*(1+Hipótesis!$D$42),0)</f>
        <v>-5280</v>
      </c>
      <c r="AK46" s="109" t="n">
        <f aca="false">-IF(AND(35&gt;=Hipótesis!$D$50,Hipótesis!$B$50=1),IF(Hipótesis!$G$50=1,Hipótesis!$E$44,Hipótesis!$C$50*(1+Hipótesis!$D$45)^2)*(1+Hipótesis!$D$42),0)</f>
        <v>-5280</v>
      </c>
      <c r="AL46" s="109" t="n">
        <f aca="false">-IF(AND(36&gt;=Hipótesis!$D$50,Hipótesis!$B$50=1),IF(Hipótesis!$G$50=1,Hipótesis!$E$44,Hipótesis!$C$50*(1+Hipótesis!$D$45)^2)*(1+Hipótesis!$D$42),0)</f>
        <v>-5280</v>
      </c>
      <c r="AM46" s="109" t="n">
        <f aca="false">-IF(AND(37&gt;=Hipótesis!$D$50,Hipótesis!$B$50=1),IF(Hipótesis!$G$50=1,Hipótesis!$F$44,Hipótesis!$C$50*(1+Hipótesis!$D$45)^3)*(1+Hipótesis!$D$42),0)</f>
        <v>-5940</v>
      </c>
      <c r="AN46" s="109" t="n">
        <f aca="false">-IF(AND(38&gt;=Hipótesis!$D$50,Hipótesis!$B$50=1),IF(Hipótesis!$G$50=1,Hipótesis!$F$44,Hipótesis!$C$50*(1+Hipótesis!$D$45)^3)*(1+Hipótesis!$D$42),0)</f>
        <v>-5940</v>
      </c>
      <c r="AO46" s="109" t="n">
        <f aca="false">-IF(AND(39&gt;=Hipótesis!$D$50,Hipótesis!$B$50=1),IF(Hipótesis!$G$50=1,Hipótesis!$F$44,Hipótesis!$C$50*(1+Hipótesis!$D$45)^3)*(1+Hipótesis!$D$42),0)</f>
        <v>-5940</v>
      </c>
      <c r="AP46" s="109" t="n">
        <f aca="false">-IF(AND(40&gt;=Hipótesis!$D$50,Hipótesis!$B$50=1),IF(Hipótesis!$G$50=1,Hipótesis!$F$44,Hipótesis!$C$50*(1+Hipótesis!$D$45)^3)*(1+Hipótesis!$D$42),0)</f>
        <v>-5940</v>
      </c>
      <c r="AQ46" s="109" t="n">
        <f aca="false">-IF(AND(41&gt;=Hipótesis!$D$50,Hipótesis!$B$50=1),IF(Hipótesis!$G$50=1,Hipótesis!$F$44,Hipótesis!$C$50*(1+Hipótesis!$D$45)^3)*(1+Hipótesis!$D$42),0)</f>
        <v>-5940</v>
      </c>
      <c r="AR46" s="109" t="n">
        <f aca="false">-IF(AND(42&gt;=Hipótesis!$D$50,Hipótesis!$B$50=1),IF(Hipótesis!$G$50=1,Hipótesis!$F$44,Hipótesis!$C$50*(1+Hipótesis!$D$45)^3)*(1+Hipótesis!$D$42),0)</f>
        <v>-5940</v>
      </c>
      <c r="AS46" s="109" t="n">
        <f aca="false">-IF(AND(43&gt;=Hipótesis!$D$50,Hipótesis!$B$50=1),IF(Hipótesis!$G$50=1,Hipótesis!$F$44,Hipótesis!$C$50*(1+Hipótesis!$D$45)^3)*(1+Hipótesis!$D$42),0)</f>
        <v>-5940</v>
      </c>
      <c r="AT46" s="109" t="n">
        <f aca="false">-IF(AND(44&gt;=Hipótesis!$D$50,Hipótesis!$B$50=1),IF(Hipótesis!$G$50=1,Hipótesis!$F$44,Hipótesis!$C$50*(1+Hipótesis!$D$45)^3)*(1+Hipótesis!$D$42),0)</f>
        <v>-5940</v>
      </c>
      <c r="AU46" s="109" t="n">
        <f aca="false">-IF(AND(45&gt;=Hipótesis!$D$50,Hipótesis!$B$50=1),IF(Hipótesis!$G$50=1,Hipótesis!$F$44,Hipótesis!$C$50*(1+Hipótesis!$D$45)^3)*(1+Hipótesis!$D$42),0)</f>
        <v>-5940</v>
      </c>
      <c r="AV46" s="109" t="n">
        <f aca="false">-IF(AND(46&gt;=Hipótesis!$D$50,Hipótesis!$B$50=1),IF(Hipótesis!$G$50=1,Hipótesis!$F$44,Hipótesis!$C$50*(1+Hipótesis!$D$45)^3)*(1+Hipótesis!$D$42),0)</f>
        <v>-5940</v>
      </c>
      <c r="AW46" s="109" t="n">
        <f aca="false">-IF(AND(47&gt;=Hipótesis!$D$50,Hipótesis!$B$50=1),IF(Hipótesis!$G$50=1,Hipótesis!$F$44,Hipótesis!$C$50*(1+Hipótesis!$D$45)^3)*(1+Hipótesis!$D$42),0)</f>
        <v>-5940</v>
      </c>
      <c r="AX46" s="109" t="n">
        <f aca="false">-IF(AND(48&gt;=Hipótesis!$D$50,Hipótesis!$B$50=1),IF(Hipótesis!$G$50=1,Hipótesis!$F$44,Hipótesis!$C$50*(1+Hipótesis!$D$45)^3)*(1+Hipótesis!$D$42),0)</f>
        <v>-5940</v>
      </c>
      <c r="AY46" s="109" t="n">
        <f aca="false">-IF(AND(49&gt;=Hipótesis!$D$50,Hipótesis!$B$50=1),IF(Hipótesis!$G$50=1,Hipótesis!$G$44,Hipótesis!$C$50*(1+Hipótesis!$D$45)^4)*(1+Hipótesis!$D$42),0)</f>
        <v>-6600</v>
      </c>
      <c r="AZ46" s="109" t="n">
        <f aca="false">-IF(AND(50&gt;=Hipótesis!$D$50,Hipótesis!$B$50=1),IF(Hipótesis!$G$50=1,Hipótesis!$G$44,Hipótesis!$C$50*(1+Hipótesis!$D$45)^4)*(1+Hipótesis!$D$42),0)</f>
        <v>-6600</v>
      </c>
      <c r="BA46" s="109" t="n">
        <f aca="false">-IF(AND(51&gt;=Hipótesis!$D$50,Hipótesis!$B$50=1),IF(Hipótesis!$G$50=1,Hipótesis!$G$44,Hipótesis!$C$50*(1+Hipótesis!$D$45)^4)*(1+Hipótesis!$D$42),0)</f>
        <v>-6600</v>
      </c>
      <c r="BB46" s="109" t="n">
        <f aca="false">-IF(AND(52&gt;=Hipótesis!$D$50,Hipótesis!$B$50=1),IF(Hipótesis!$G$50=1,Hipótesis!$G$44,Hipótesis!$C$50*(1+Hipótesis!$D$45)^4)*(1+Hipótesis!$D$42),0)</f>
        <v>-6600</v>
      </c>
      <c r="BC46" s="109" t="n">
        <f aca="false">-IF(AND(53&gt;=Hipótesis!$D$50,Hipótesis!$B$50=1),IF(Hipótesis!$G$50=1,Hipótesis!$G$44,Hipótesis!$C$50*(1+Hipótesis!$D$45)^4)*(1+Hipótesis!$D$42),0)</f>
        <v>-6600</v>
      </c>
      <c r="BD46" s="109" t="n">
        <f aca="false">-IF(AND(54&gt;=Hipótesis!$D$50,Hipótesis!$B$50=1),IF(Hipótesis!$G$50=1,Hipótesis!$G$44,Hipótesis!$C$50*(1+Hipótesis!$D$45)^4)*(1+Hipótesis!$D$42),0)</f>
        <v>-6600</v>
      </c>
      <c r="BE46" s="109" t="n">
        <f aca="false">-IF(AND(55&gt;=Hipótesis!$D$50,Hipótesis!$B$50=1),IF(Hipótesis!$G$50=1,Hipótesis!$G$44,Hipótesis!$C$50*(1+Hipótesis!$D$45)^4)*(1+Hipótesis!$D$42),0)</f>
        <v>-6600</v>
      </c>
      <c r="BF46" s="109" t="n">
        <f aca="false">-IF(AND(56&gt;=Hipótesis!$D$50,Hipótesis!$B$50=1),IF(Hipótesis!$G$50=1,Hipótesis!$G$44,Hipótesis!$C$50*(1+Hipótesis!$D$45)^4)*(1+Hipótesis!$D$42),0)</f>
        <v>-6600</v>
      </c>
      <c r="BG46" s="109" t="n">
        <f aca="false">-IF(AND(57&gt;=Hipótesis!$D$50,Hipótesis!$B$50=1),IF(Hipótesis!$G$50=1,Hipótesis!$G$44,Hipótesis!$C$50*(1+Hipótesis!$D$45)^4)*(1+Hipótesis!$D$42),0)</f>
        <v>-6600</v>
      </c>
      <c r="BH46" s="109" t="n">
        <f aca="false">-IF(AND(58&gt;=Hipótesis!$D$50,Hipótesis!$B$50=1),IF(Hipótesis!$G$50=1,Hipótesis!$G$44,Hipótesis!$C$50*(1+Hipótesis!$D$45)^4)*(1+Hipótesis!$D$42),0)</f>
        <v>-6600</v>
      </c>
      <c r="BI46" s="109" t="n">
        <f aca="false">-IF(AND(59&gt;=Hipótesis!$D$50,Hipótesis!$B$50=1),IF(Hipótesis!$G$50=1,Hipótesis!$G$44,Hipótesis!$C$50*(1+Hipótesis!$D$45)^4)*(1+Hipótesis!$D$42),0)</f>
        <v>-6600</v>
      </c>
      <c r="BJ46" s="109" t="n">
        <f aca="false">-IF(AND(60&gt;=Hipótesis!$D$50,Hipótesis!$B$50=1),IF(Hipótesis!$G$50=1,Hipótesis!$G$44,Hipótesis!$C$50*(1+Hipótesis!$D$45)^4)*(1+Hipótesis!$D$42),0)</f>
        <v>-6600</v>
      </c>
      <c r="BK46" s="109" t="n">
        <f aca="false">-IF(AND(61&gt;=Hipótesis!$D$50,Hipótesis!$B$50=1),IF(Hipótesis!$G$50=1,Hipótesis!$H$44,Hipótesis!$C$50*(1+Hipótesis!$D$45)^5)*(1+Hipótesis!$D$42),0)</f>
        <v>-7260</v>
      </c>
      <c r="BL46" s="109" t="n">
        <f aca="false">-IF(AND(62&gt;=Hipótesis!$D$50,Hipótesis!$B$50=1),IF(Hipótesis!$G$50=1,Hipótesis!$H$44,Hipótesis!$C$50*(1+Hipótesis!$D$45)^5)*(1+Hipótesis!$D$42),0)</f>
        <v>-7260</v>
      </c>
      <c r="BM46" s="109" t="n">
        <f aca="false">-IF(AND(63&gt;=Hipótesis!$D$50,Hipótesis!$B$50=1),IF(Hipótesis!$G$50=1,Hipótesis!$H$44,Hipótesis!$C$50*(1+Hipótesis!$D$45)^5)*(1+Hipótesis!$D$42),0)</f>
        <v>-7260</v>
      </c>
      <c r="BN46" s="109" t="n">
        <f aca="false">-IF(AND(64&gt;=Hipótesis!$D$50,Hipótesis!$B$50=1),IF(Hipótesis!$G$50=1,Hipótesis!$H$44,Hipótesis!$C$50*(1+Hipótesis!$D$45)^5)*(1+Hipótesis!$D$42),0)</f>
        <v>-7260</v>
      </c>
      <c r="BO46" s="109" t="n">
        <f aca="false">-IF(AND(65&gt;=Hipótesis!$D$50,Hipótesis!$B$50=1),IF(Hipótesis!$G$50=1,Hipótesis!$H$44,Hipótesis!$C$50*(1+Hipótesis!$D$45)^5)*(1+Hipótesis!$D$42),0)</f>
        <v>-7260</v>
      </c>
      <c r="BP46" s="109" t="n">
        <f aca="false">-IF(AND(66&gt;=Hipótesis!$D$50,Hipótesis!$B$50=1),IF(Hipótesis!$G$50=1,Hipótesis!$H$44,Hipótesis!$C$50*(1+Hipótesis!$D$45)^5)*(1+Hipótesis!$D$42),0)</f>
        <v>-7260</v>
      </c>
      <c r="BQ46" s="109" t="n">
        <f aca="false">-IF(AND(67&gt;=Hipótesis!$D$50,Hipótesis!$B$50=1),IF(Hipótesis!$G$50=1,Hipótesis!$H$44,Hipótesis!$C$50*(1+Hipótesis!$D$45)^5)*(1+Hipótesis!$D$42),0)</f>
        <v>-7260</v>
      </c>
      <c r="BR46" s="109" t="n">
        <f aca="false">-IF(AND(68&gt;=Hipótesis!$D$50,Hipótesis!$B$50=1),IF(Hipótesis!$G$50=1,Hipótesis!$H$44,Hipótesis!$C$50*(1+Hipótesis!$D$45)^5)*(1+Hipótesis!$D$42),0)</f>
        <v>-7260</v>
      </c>
      <c r="BS46" s="109" t="n">
        <f aca="false">-IF(AND(69&gt;=Hipótesis!$D$50,Hipótesis!$B$50=1),IF(Hipótesis!$G$50=1,Hipótesis!$H$44,Hipótesis!$C$50*(1+Hipótesis!$D$45)^5)*(1+Hipótesis!$D$42),0)</f>
        <v>-7260</v>
      </c>
      <c r="BT46" s="109" t="n">
        <f aca="false">-IF(AND(70&gt;=Hipótesis!$D$50,Hipótesis!$B$50=1),IF(Hipótesis!$G$50=1,Hipótesis!$H$44,Hipótesis!$C$50*(1+Hipótesis!$D$45)^5)*(1+Hipótesis!$D$42),0)</f>
        <v>-7260</v>
      </c>
      <c r="BU46" s="109" t="n">
        <f aca="false">-IF(AND(71&gt;=Hipótesis!$D$50,Hipótesis!$B$50=1),IF(Hipótesis!$G$50=1,Hipótesis!$H$44,Hipótesis!$C$50*(1+Hipótesis!$D$45)^5)*(1+Hipótesis!$D$42),0)</f>
        <v>-7260</v>
      </c>
      <c r="BV46" s="109" t="n">
        <f aca="false">-IF(AND(72&gt;=Hipótesis!$D$50,Hipótesis!$B$50=1),IF(Hipótesis!$G$50=1,Hipótesis!$H$44,Hipótesis!$C$50*(1+Hipótesis!$D$45)^5)*(1+Hipótesis!$D$42),0)</f>
        <v>-7260</v>
      </c>
      <c r="BW46" s="109" t="n">
        <f aca="false">-IF(AND(73&gt;=Hipótesis!$D$50,Hipótesis!$B$50=1),IF(Hipótesis!$G$50=1,Hipótesis!$I$44,Hipótesis!$C$50*(1+Hipótesis!$D$45)^6)*(1+Hipótesis!$D$42),0)</f>
        <v>-7920</v>
      </c>
      <c r="BX46" s="109" t="n">
        <f aca="false">-IF(AND(74&gt;=Hipótesis!$D$50,Hipótesis!$B$50=1),IF(Hipótesis!$G$50=1,Hipótesis!$I$44,Hipótesis!$C$50*(1+Hipótesis!$D$45)^6)*(1+Hipótesis!$D$42),0)</f>
        <v>-7920</v>
      </c>
      <c r="BY46" s="109" t="n">
        <f aca="false">-IF(AND(75&gt;=Hipótesis!$D$50,Hipótesis!$B$50=1),IF(Hipótesis!$G$50=1,Hipótesis!$I$44,Hipótesis!$C$50*(1+Hipótesis!$D$45)^6)*(1+Hipótesis!$D$42),0)</f>
        <v>-7920</v>
      </c>
      <c r="BZ46" s="109" t="n">
        <f aca="false">-IF(AND(76&gt;=Hipótesis!$D$50,Hipótesis!$B$50=1),IF(Hipótesis!$G$50=1,Hipótesis!$I$44,Hipótesis!$C$50*(1+Hipótesis!$D$45)^6)*(1+Hipótesis!$D$42),0)</f>
        <v>-7920</v>
      </c>
      <c r="CA46" s="109" t="n">
        <f aca="false">-IF(AND(77&gt;=Hipótesis!$D$50,Hipótesis!$B$50=1),IF(Hipótesis!$G$50=1,Hipótesis!$I$44,Hipótesis!$C$50*(1+Hipótesis!$D$45)^6)*(1+Hipótesis!$D$42),0)</f>
        <v>-7920</v>
      </c>
      <c r="CB46" s="109" t="n">
        <f aca="false">-IF(AND(78&gt;=Hipótesis!$D$50,Hipótesis!$B$50=1),IF(Hipótesis!$G$50=1,Hipótesis!$I$44,Hipótesis!$C$50*(1+Hipótesis!$D$45)^6)*(1+Hipótesis!$D$42),0)</f>
        <v>-7920</v>
      </c>
      <c r="CC46" s="109" t="n">
        <f aca="false">-IF(AND(79&gt;=Hipótesis!$D$50,Hipótesis!$B$50=1),IF(Hipótesis!$G$50=1,Hipótesis!$I$44,Hipótesis!$C$50*(1+Hipótesis!$D$45)^6)*(1+Hipótesis!$D$42),0)</f>
        <v>-7920</v>
      </c>
      <c r="CD46" s="109" t="n">
        <f aca="false">-IF(AND(80&gt;=Hipótesis!$D$50,Hipótesis!$B$50=1),IF(Hipótesis!$G$50=1,Hipótesis!$I$44,Hipótesis!$C$50*(1+Hipótesis!$D$45)^6)*(1+Hipótesis!$D$42),0)</f>
        <v>-7920</v>
      </c>
      <c r="CE46" s="109" t="n">
        <f aca="false">-IF(AND(81&gt;=Hipótesis!$D$50,Hipótesis!$B$50=1),IF(Hipótesis!$G$50=1,Hipótesis!$I$44,Hipótesis!$C$50*(1+Hipótesis!$D$45)^6)*(1+Hipótesis!$D$42),0)</f>
        <v>-7920</v>
      </c>
      <c r="CF46" s="109" t="n">
        <f aca="false">-IF(AND(82&gt;=Hipótesis!$D$50,Hipótesis!$B$50=1),IF(Hipótesis!$G$50=1,Hipótesis!$I$44,Hipótesis!$C$50*(1+Hipótesis!$D$45)^6)*(1+Hipótesis!$D$42),0)</f>
        <v>-7920</v>
      </c>
      <c r="CG46" s="109" t="n">
        <f aca="false">-IF(AND(83&gt;=Hipótesis!$D$50,Hipótesis!$B$50=1),IF(Hipótesis!$G$50=1,Hipótesis!$I$44,Hipótesis!$C$50*(1+Hipótesis!$D$45)^6)*(1+Hipótesis!$D$42),0)</f>
        <v>-7920</v>
      </c>
      <c r="CH46" s="109" t="n">
        <f aca="false">-IF(AND(84&gt;=Hipótesis!$D$50,Hipótesis!$B$50=1),IF(Hipótesis!$G$50=1,Hipótesis!$I$44,Hipótesis!$C$50*(1+Hipótesis!$D$45)^6)*(1+Hipótesis!$D$42),0)</f>
        <v>-7920</v>
      </c>
    </row>
    <row r="47" customFormat="false" ht="13.5" hidden="false" customHeight="true" outlineLevel="0" collapsed="false">
      <c r="A47" s="6" t="s">
        <v>552</v>
      </c>
      <c r="C47" s="109" t="n">
        <f aca="false">-IF(AND(1&gt;=Hipótesis!$D$51,Hipótesis!$B$51=1),IF(Hipótesis!$G$51=1,Hipótesis!$C$44,Hipótesis!$C$51*(1+Hipótesis!$D$45)^0)*(1+Hipótesis!$D$42),0)</f>
        <v>-2640</v>
      </c>
      <c r="D47" s="109" t="n">
        <f aca="false">-IF(AND(2&gt;=Hipótesis!$D$51,Hipótesis!$B$51=1),IF(Hipótesis!$G$51=1,Hipótesis!$C$44,Hipótesis!$C$51*(1+Hipótesis!$D$45)^0)*(1+Hipótesis!$D$42),0)</f>
        <v>-2640</v>
      </c>
      <c r="E47" s="109" t="n">
        <f aca="false">-IF(AND(3&gt;=Hipótesis!$D$51,Hipótesis!$B$51=1),IF(Hipótesis!$G$51=1,Hipótesis!$C$44,Hipótesis!$C$51*(1+Hipótesis!$D$45)^0)*(1+Hipótesis!$D$42),0)</f>
        <v>-2640</v>
      </c>
      <c r="F47" s="109" t="n">
        <f aca="false">-IF(AND(4&gt;=Hipótesis!$D$51,Hipótesis!$B$51=1),IF(Hipótesis!$G$51=1,Hipótesis!$C$44,Hipótesis!$C$51*(1+Hipótesis!$D$45)^0)*(1+Hipótesis!$D$42),0)</f>
        <v>-2640</v>
      </c>
      <c r="G47" s="109" t="n">
        <f aca="false">-IF(AND(5&gt;=Hipótesis!$D$51,Hipótesis!$B$51=1),IF(Hipótesis!$G$51=1,Hipótesis!$C$44,Hipótesis!$C$51*(1+Hipótesis!$D$45)^0)*(1+Hipótesis!$D$42),0)</f>
        <v>-2640</v>
      </c>
      <c r="H47" s="109" t="n">
        <f aca="false">-IF(AND(6&gt;=Hipótesis!$D$51,Hipótesis!$B$51=1),IF(Hipótesis!$G$51=1,Hipótesis!$C$44,Hipótesis!$C$51*(1+Hipótesis!$D$45)^0)*(1+Hipótesis!$D$42),0)</f>
        <v>-2640</v>
      </c>
      <c r="I47" s="109" t="n">
        <f aca="false">-IF(AND(7&gt;=Hipótesis!$D$51,Hipótesis!$B$51=1),IF(Hipótesis!$G$51=1,Hipótesis!$C$44,Hipótesis!$C$51*(1+Hipótesis!$D$45)^0)*(1+Hipótesis!$D$42),0)</f>
        <v>-2640</v>
      </c>
      <c r="J47" s="109" t="n">
        <f aca="false">-IF(AND(8&gt;=Hipótesis!$D$51,Hipótesis!$B$51=1),IF(Hipótesis!$G$51=1,Hipótesis!$C$44,Hipótesis!$C$51*(1+Hipótesis!$D$45)^0)*(1+Hipótesis!$D$42),0)</f>
        <v>-2640</v>
      </c>
      <c r="K47" s="109" t="n">
        <f aca="false">-IF(AND(9&gt;=Hipótesis!$D$51,Hipótesis!$B$51=1),IF(Hipótesis!$G$51=1,Hipótesis!$C$44,Hipótesis!$C$51*(1+Hipótesis!$D$45)^0)*(1+Hipótesis!$D$42),0)</f>
        <v>-2640</v>
      </c>
      <c r="L47" s="109" t="n">
        <f aca="false">-IF(AND(10&gt;=Hipótesis!$D$51,Hipótesis!$B$51=1),IF(Hipótesis!$G$51=1,Hipótesis!$C$44,Hipótesis!$C$51*(1+Hipótesis!$D$45)^0)*(1+Hipótesis!$D$42),0)</f>
        <v>-2640</v>
      </c>
      <c r="M47" s="109" t="n">
        <f aca="false">-IF(AND(11&gt;=Hipótesis!$D$51,Hipótesis!$B$51=1),IF(Hipótesis!$G$51=1,Hipótesis!$C$44,Hipótesis!$C$51*(1+Hipótesis!$D$45)^0)*(1+Hipótesis!$D$42),0)</f>
        <v>-2640</v>
      </c>
      <c r="N47" s="109" t="n">
        <f aca="false">-IF(AND(12&gt;=Hipótesis!$D$51,Hipótesis!$B$51=1),IF(Hipótesis!$G$51=1,Hipótesis!$C$44,Hipótesis!$C$51*(1+Hipótesis!$D$45)^0)*(1+Hipótesis!$D$42),0)</f>
        <v>-2640</v>
      </c>
      <c r="O47" s="109" t="n">
        <f aca="false">-IF(AND(13&gt;=Hipótesis!$D$51,Hipótesis!$B$51=1),IF(Hipótesis!$G$51=1,Hipótesis!$D$44,Hipótesis!$C$51*(1+Hipótesis!$D$45)^1)*(1+Hipótesis!$D$42),0)</f>
        <v>-2719.2</v>
      </c>
      <c r="P47" s="109" t="n">
        <f aca="false">-IF(AND(14&gt;=Hipótesis!$D$51,Hipótesis!$B$51=1),IF(Hipótesis!$G$51=1,Hipótesis!$D$44,Hipótesis!$C$51*(1+Hipótesis!$D$45)^1)*(1+Hipótesis!$D$42),0)</f>
        <v>-2719.2</v>
      </c>
      <c r="Q47" s="109" t="n">
        <f aca="false">-IF(AND(15&gt;=Hipótesis!$D$51,Hipótesis!$B$51=1),IF(Hipótesis!$G$51=1,Hipótesis!$D$44,Hipótesis!$C$51*(1+Hipótesis!$D$45)^1)*(1+Hipótesis!$D$42),0)</f>
        <v>-2719.2</v>
      </c>
      <c r="R47" s="109" t="n">
        <f aca="false">-IF(AND(16&gt;=Hipótesis!$D$51,Hipótesis!$B$51=1),IF(Hipótesis!$G$51=1,Hipótesis!$D$44,Hipótesis!$C$51*(1+Hipótesis!$D$45)^1)*(1+Hipótesis!$D$42),0)</f>
        <v>-2719.2</v>
      </c>
      <c r="S47" s="109" t="n">
        <f aca="false">-IF(AND(17&gt;=Hipótesis!$D$51,Hipótesis!$B$51=1),IF(Hipótesis!$G$51=1,Hipótesis!$D$44,Hipótesis!$C$51*(1+Hipótesis!$D$45)^1)*(1+Hipótesis!$D$42),0)</f>
        <v>-2719.2</v>
      </c>
      <c r="T47" s="109" t="n">
        <f aca="false">-IF(AND(18&gt;=Hipótesis!$D$51,Hipótesis!$B$51=1),IF(Hipótesis!$G$51=1,Hipótesis!$D$44,Hipótesis!$C$51*(1+Hipótesis!$D$45)^1)*(1+Hipótesis!$D$42),0)</f>
        <v>-2719.2</v>
      </c>
      <c r="U47" s="109" t="n">
        <f aca="false">-IF(AND(19&gt;=Hipótesis!$D$51,Hipótesis!$B$51=1),IF(Hipótesis!$G$51=1,Hipótesis!$D$44,Hipótesis!$C$51*(1+Hipótesis!$D$45)^1)*(1+Hipótesis!$D$42),0)</f>
        <v>-2719.2</v>
      </c>
      <c r="V47" s="109" t="n">
        <f aca="false">-IF(AND(20&gt;=Hipótesis!$D$51,Hipótesis!$B$51=1),IF(Hipótesis!$G$51=1,Hipótesis!$D$44,Hipótesis!$C$51*(1+Hipótesis!$D$45)^1)*(1+Hipótesis!$D$42),0)</f>
        <v>-2719.2</v>
      </c>
      <c r="W47" s="109" t="n">
        <f aca="false">-IF(AND(21&gt;=Hipótesis!$D$51,Hipótesis!$B$51=1),IF(Hipótesis!$G$51=1,Hipótesis!$D$44,Hipótesis!$C$51*(1+Hipótesis!$D$45)^1)*(1+Hipótesis!$D$42),0)</f>
        <v>-2719.2</v>
      </c>
      <c r="X47" s="109" t="n">
        <f aca="false">-IF(AND(22&gt;=Hipótesis!$D$51,Hipótesis!$B$51=1),IF(Hipótesis!$G$51=1,Hipótesis!$D$44,Hipótesis!$C$51*(1+Hipótesis!$D$45)^1)*(1+Hipótesis!$D$42),0)</f>
        <v>-2719.2</v>
      </c>
      <c r="Y47" s="109" t="n">
        <f aca="false">-IF(AND(23&gt;=Hipótesis!$D$51,Hipótesis!$B$51=1),IF(Hipótesis!$G$51=1,Hipótesis!$D$44,Hipótesis!$C$51*(1+Hipótesis!$D$45)^1)*(1+Hipótesis!$D$42),0)</f>
        <v>-2719.2</v>
      </c>
      <c r="Z47" s="109" t="n">
        <f aca="false">-IF(AND(24&gt;=Hipótesis!$D$51,Hipótesis!$B$51=1),IF(Hipótesis!$G$51=1,Hipótesis!$D$44,Hipótesis!$C$51*(1+Hipótesis!$D$45)^1)*(1+Hipótesis!$D$42),0)</f>
        <v>-2719.2</v>
      </c>
      <c r="AA47" s="109" t="n">
        <f aca="false">-IF(AND(25&gt;=Hipótesis!$D$51,Hipótesis!$B$51=1),IF(Hipótesis!$G$51=1,Hipótesis!$E$44,Hipótesis!$C$51*(1+Hipótesis!$D$45)^2)*(1+Hipótesis!$D$42),0)</f>
        <v>-2800.776</v>
      </c>
      <c r="AB47" s="109" t="n">
        <f aca="false">-IF(AND(26&gt;=Hipótesis!$D$51,Hipótesis!$B$51=1),IF(Hipótesis!$G$51=1,Hipótesis!$E$44,Hipótesis!$C$51*(1+Hipótesis!$D$45)^2)*(1+Hipótesis!$D$42),0)</f>
        <v>-2800.776</v>
      </c>
      <c r="AC47" s="109" t="n">
        <f aca="false">-IF(AND(27&gt;=Hipótesis!$D$51,Hipótesis!$B$51=1),IF(Hipótesis!$G$51=1,Hipótesis!$E$44,Hipótesis!$C$51*(1+Hipótesis!$D$45)^2)*(1+Hipótesis!$D$42),0)</f>
        <v>-2800.776</v>
      </c>
      <c r="AD47" s="109" t="n">
        <f aca="false">-IF(AND(28&gt;=Hipótesis!$D$51,Hipótesis!$B$51=1),IF(Hipótesis!$G$51=1,Hipótesis!$E$44,Hipótesis!$C$51*(1+Hipótesis!$D$45)^2)*(1+Hipótesis!$D$42),0)</f>
        <v>-2800.776</v>
      </c>
      <c r="AE47" s="109" t="n">
        <f aca="false">-IF(AND(29&gt;=Hipótesis!$D$51,Hipótesis!$B$51=1),IF(Hipótesis!$G$51=1,Hipótesis!$E$44,Hipótesis!$C$51*(1+Hipótesis!$D$45)^2)*(1+Hipótesis!$D$42),0)</f>
        <v>-2800.776</v>
      </c>
      <c r="AF47" s="109" t="n">
        <f aca="false">-IF(AND(30&gt;=Hipótesis!$D$51,Hipótesis!$B$51=1),IF(Hipótesis!$G$51=1,Hipótesis!$E$44,Hipótesis!$C$51*(1+Hipótesis!$D$45)^2)*(1+Hipótesis!$D$42),0)</f>
        <v>-2800.776</v>
      </c>
      <c r="AG47" s="109" t="n">
        <f aca="false">-IF(AND(31&gt;=Hipótesis!$D$51,Hipótesis!$B$51=1),IF(Hipótesis!$G$51=1,Hipótesis!$E$44,Hipótesis!$C$51*(1+Hipótesis!$D$45)^2)*(1+Hipótesis!$D$42),0)</f>
        <v>-2800.776</v>
      </c>
      <c r="AH47" s="109" t="n">
        <f aca="false">-IF(AND(32&gt;=Hipótesis!$D$51,Hipótesis!$B$51=1),IF(Hipótesis!$G$51=1,Hipótesis!$E$44,Hipótesis!$C$51*(1+Hipótesis!$D$45)^2)*(1+Hipótesis!$D$42),0)</f>
        <v>-2800.776</v>
      </c>
      <c r="AI47" s="109" t="n">
        <f aca="false">-IF(AND(33&gt;=Hipótesis!$D$51,Hipótesis!$B$51=1),IF(Hipótesis!$G$51=1,Hipótesis!$E$44,Hipótesis!$C$51*(1+Hipótesis!$D$45)^2)*(1+Hipótesis!$D$42),0)</f>
        <v>-2800.776</v>
      </c>
      <c r="AJ47" s="109" t="n">
        <f aca="false">-IF(AND(34&gt;=Hipótesis!$D$51,Hipótesis!$B$51=1),IF(Hipótesis!$G$51=1,Hipótesis!$E$44,Hipótesis!$C$51*(1+Hipótesis!$D$45)^2)*(1+Hipótesis!$D$42),0)</f>
        <v>-2800.776</v>
      </c>
      <c r="AK47" s="109" t="n">
        <f aca="false">-IF(AND(35&gt;=Hipótesis!$D$51,Hipótesis!$B$51=1),IF(Hipótesis!$G$51=1,Hipótesis!$E$44,Hipótesis!$C$51*(1+Hipótesis!$D$45)^2)*(1+Hipótesis!$D$42),0)</f>
        <v>-2800.776</v>
      </c>
      <c r="AL47" s="109" t="n">
        <f aca="false">-IF(AND(36&gt;=Hipótesis!$D$51,Hipótesis!$B$51=1),IF(Hipótesis!$G$51=1,Hipótesis!$E$44,Hipótesis!$C$51*(1+Hipótesis!$D$45)^2)*(1+Hipótesis!$D$42),0)</f>
        <v>-2800.776</v>
      </c>
      <c r="AM47" s="109" t="n">
        <f aca="false">-IF(AND(37&gt;=Hipótesis!$D$51,Hipótesis!$B$51=1),IF(Hipótesis!$G$51=1,Hipótesis!$F$44,Hipótesis!$C$51*(1+Hipótesis!$D$45)^3)*(1+Hipótesis!$D$42),0)</f>
        <v>-2884.79928</v>
      </c>
      <c r="AN47" s="109" t="n">
        <f aca="false">-IF(AND(38&gt;=Hipótesis!$D$51,Hipótesis!$B$51=1),IF(Hipótesis!$G$51=1,Hipótesis!$F$44,Hipótesis!$C$51*(1+Hipótesis!$D$45)^3)*(1+Hipótesis!$D$42),0)</f>
        <v>-2884.79928</v>
      </c>
      <c r="AO47" s="109" t="n">
        <f aca="false">-IF(AND(39&gt;=Hipótesis!$D$51,Hipótesis!$B$51=1),IF(Hipótesis!$G$51=1,Hipótesis!$F$44,Hipótesis!$C$51*(1+Hipótesis!$D$45)^3)*(1+Hipótesis!$D$42),0)</f>
        <v>-2884.79928</v>
      </c>
      <c r="AP47" s="109" t="n">
        <f aca="false">-IF(AND(40&gt;=Hipótesis!$D$51,Hipótesis!$B$51=1),IF(Hipótesis!$G$51=1,Hipótesis!$F$44,Hipótesis!$C$51*(1+Hipótesis!$D$45)^3)*(1+Hipótesis!$D$42),0)</f>
        <v>-2884.79928</v>
      </c>
      <c r="AQ47" s="109" t="n">
        <f aca="false">-IF(AND(41&gt;=Hipótesis!$D$51,Hipótesis!$B$51=1),IF(Hipótesis!$G$51=1,Hipótesis!$F$44,Hipótesis!$C$51*(1+Hipótesis!$D$45)^3)*(1+Hipótesis!$D$42),0)</f>
        <v>-2884.79928</v>
      </c>
      <c r="AR47" s="109" t="n">
        <f aca="false">-IF(AND(42&gt;=Hipótesis!$D$51,Hipótesis!$B$51=1),IF(Hipótesis!$G$51=1,Hipótesis!$F$44,Hipótesis!$C$51*(1+Hipótesis!$D$45)^3)*(1+Hipótesis!$D$42),0)</f>
        <v>-2884.79928</v>
      </c>
      <c r="AS47" s="109" t="n">
        <f aca="false">-IF(AND(43&gt;=Hipótesis!$D$51,Hipótesis!$B$51=1),IF(Hipótesis!$G$51=1,Hipótesis!$F$44,Hipótesis!$C$51*(1+Hipótesis!$D$45)^3)*(1+Hipótesis!$D$42),0)</f>
        <v>-2884.79928</v>
      </c>
      <c r="AT47" s="109" t="n">
        <f aca="false">-IF(AND(44&gt;=Hipótesis!$D$51,Hipótesis!$B$51=1),IF(Hipótesis!$G$51=1,Hipótesis!$F$44,Hipótesis!$C$51*(1+Hipótesis!$D$45)^3)*(1+Hipótesis!$D$42),0)</f>
        <v>-2884.79928</v>
      </c>
      <c r="AU47" s="109" t="n">
        <f aca="false">-IF(AND(45&gt;=Hipótesis!$D$51,Hipótesis!$B$51=1),IF(Hipótesis!$G$51=1,Hipótesis!$F$44,Hipótesis!$C$51*(1+Hipótesis!$D$45)^3)*(1+Hipótesis!$D$42),0)</f>
        <v>-2884.79928</v>
      </c>
      <c r="AV47" s="109" t="n">
        <f aca="false">-IF(AND(46&gt;=Hipótesis!$D$51,Hipótesis!$B$51=1),IF(Hipótesis!$G$51=1,Hipótesis!$F$44,Hipótesis!$C$51*(1+Hipótesis!$D$45)^3)*(1+Hipótesis!$D$42),0)</f>
        <v>-2884.79928</v>
      </c>
      <c r="AW47" s="109" t="n">
        <f aca="false">-IF(AND(47&gt;=Hipótesis!$D$51,Hipótesis!$B$51=1),IF(Hipótesis!$G$51=1,Hipótesis!$F$44,Hipótesis!$C$51*(1+Hipótesis!$D$45)^3)*(1+Hipótesis!$D$42),0)</f>
        <v>-2884.79928</v>
      </c>
      <c r="AX47" s="109" t="n">
        <f aca="false">-IF(AND(48&gt;=Hipótesis!$D$51,Hipótesis!$B$51=1),IF(Hipótesis!$G$51=1,Hipótesis!$F$44,Hipótesis!$C$51*(1+Hipótesis!$D$45)^3)*(1+Hipótesis!$D$42),0)</f>
        <v>-2884.79928</v>
      </c>
      <c r="AY47" s="109" t="n">
        <f aca="false">-IF(AND(49&gt;=Hipótesis!$D$51,Hipótesis!$B$51=1),IF(Hipótesis!$G$51=1,Hipótesis!$G$44,Hipótesis!$C$51*(1+Hipótesis!$D$45)^4)*(1+Hipótesis!$D$42),0)</f>
        <v>-2971.3432584</v>
      </c>
      <c r="AZ47" s="109" t="n">
        <f aca="false">-IF(AND(50&gt;=Hipótesis!$D$51,Hipótesis!$B$51=1),IF(Hipótesis!$G$51=1,Hipótesis!$G$44,Hipótesis!$C$51*(1+Hipótesis!$D$45)^4)*(1+Hipótesis!$D$42),0)</f>
        <v>-2971.3432584</v>
      </c>
      <c r="BA47" s="109" t="n">
        <f aca="false">-IF(AND(51&gt;=Hipótesis!$D$51,Hipótesis!$B$51=1),IF(Hipótesis!$G$51=1,Hipótesis!$G$44,Hipótesis!$C$51*(1+Hipótesis!$D$45)^4)*(1+Hipótesis!$D$42),0)</f>
        <v>-2971.3432584</v>
      </c>
      <c r="BB47" s="109" t="n">
        <f aca="false">-IF(AND(52&gt;=Hipótesis!$D$51,Hipótesis!$B$51=1),IF(Hipótesis!$G$51=1,Hipótesis!$G$44,Hipótesis!$C$51*(1+Hipótesis!$D$45)^4)*(1+Hipótesis!$D$42),0)</f>
        <v>-2971.3432584</v>
      </c>
      <c r="BC47" s="109" t="n">
        <f aca="false">-IF(AND(53&gt;=Hipótesis!$D$51,Hipótesis!$B$51=1),IF(Hipótesis!$G$51=1,Hipótesis!$G$44,Hipótesis!$C$51*(1+Hipótesis!$D$45)^4)*(1+Hipótesis!$D$42),0)</f>
        <v>-2971.3432584</v>
      </c>
      <c r="BD47" s="109" t="n">
        <f aca="false">-IF(AND(54&gt;=Hipótesis!$D$51,Hipótesis!$B$51=1),IF(Hipótesis!$G$51=1,Hipótesis!$G$44,Hipótesis!$C$51*(1+Hipótesis!$D$45)^4)*(1+Hipótesis!$D$42),0)</f>
        <v>-2971.3432584</v>
      </c>
      <c r="BE47" s="109" t="n">
        <f aca="false">-IF(AND(55&gt;=Hipótesis!$D$51,Hipótesis!$B$51=1),IF(Hipótesis!$G$51=1,Hipótesis!$G$44,Hipótesis!$C$51*(1+Hipótesis!$D$45)^4)*(1+Hipótesis!$D$42),0)</f>
        <v>-2971.3432584</v>
      </c>
      <c r="BF47" s="109" t="n">
        <f aca="false">-IF(AND(56&gt;=Hipótesis!$D$51,Hipótesis!$B$51=1),IF(Hipótesis!$G$51=1,Hipótesis!$G$44,Hipótesis!$C$51*(1+Hipótesis!$D$45)^4)*(1+Hipótesis!$D$42),0)</f>
        <v>-2971.3432584</v>
      </c>
      <c r="BG47" s="109" t="n">
        <f aca="false">-IF(AND(57&gt;=Hipótesis!$D$51,Hipótesis!$B$51=1),IF(Hipótesis!$G$51=1,Hipótesis!$G$44,Hipótesis!$C$51*(1+Hipótesis!$D$45)^4)*(1+Hipótesis!$D$42),0)</f>
        <v>-2971.3432584</v>
      </c>
      <c r="BH47" s="109" t="n">
        <f aca="false">-IF(AND(58&gt;=Hipótesis!$D$51,Hipótesis!$B$51=1),IF(Hipótesis!$G$51=1,Hipótesis!$G$44,Hipótesis!$C$51*(1+Hipótesis!$D$45)^4)*(1+Hipótesis!$D$42),0)</f>
        <v>-2971.3432584</v>
      </c>
      <c r="BI47" s="109" t="n">
        <f aca="false">-IF(AND(59&gt;=Hipótesis!$D$51,Hipótesis!$B$51=1),IF(Hipótesis!$G$51=1,Hipótesis!$G$44,Hipótesis!$C$51*(1+Hipótesis!$D$45)^4)*(1+Hipótesis!$D$42),0)</f>
        <v>-2971.3432584</v>
      </c>
      <c r="BJ47" s="109" t="n">
        <f aca="false">-IF(AND(60&gt;=Hipótesis!$D$51,Hipótesis!$B$51=1),IF(Hipótesis!$G$51=1,Hipótesis!$G$44,Hipótesis!$C$51*(1+Hipótesis!$D$45)^4)*(1+Hipótesis!$D$42),0)</f>
        <v>-2971.3432584</v>
      </c>
      <c r="BK47" s="109" t="n">
        <f aca="false">-IF(AND(61&gt;=Hipótesis!$D$51,Hipótesis!$B$51=1),IF(Hipótesis!$G$51=1,Hipótesis!$H$44,Hipótesis!$C$51*(1+Hipótesis!$D$45)^5)*(1+Hipótesis!$D$42),0)</f>
        <v>-3060.483556152</v>
      </c>
      <c r="BL47" s="109" t="n">
        <f aca="false">-IF(AND(62&gt;=Hipótesis!$D$51,Hipótesis!$B$51=1),IF(Hipótesis!$G$51=1,Hipótesis!$H$44,Hipótesis!$C$51*(1+Hipótesis!$D$45)^5)*(1+Hipótesis!$D$42),0)</f>
        <v>-3060.483556152</v>
      </c>
      <c r="BM47" s="109" t="n">
        <f aca="false">-IF(AND(63&gt;=Hipótesis!$D$51,Hipótesis!$B$51=1),IF(Hipótesis!$G$51=1,Hipótesis!$H$44,Hipótesis!$C$51*(1+Hipótesis!$D$45)^5)*(1+Hipótesis!$D$42),0)</f>
        <v>-3060.483556152</v>
      </c>
      <c r="BN47" s="109" t="n">
        <f aca="false">-IF(AND(64&gt;=Hipótesis!$D$51,Hipótesis!$B$51=1),IF(Hipótesis!$G$51=1,Hipótesis!$H$44,Hipótesis!$C$51*(1+Hipótesis!$D$45)^5)*(1+Hipótesis!$D$42),0)</f>
        <v>-3060.483556152</v>
      </c>
      <c r="BO47" s="109" t="n">
        <f aca="false">-IF(AND(65&gt;=Hipótesis!$D$51,Hipótesis!$B$51=1),IF(Hipótesis!$G$51=1,Hipótesis!$H$44,Hipótesis!$C$51*(1+Hipótesis!$D$45)^5)*(1+Hipótesis!$D$42),0)</f>
        <v>-3060.483556152</v>
      </c>
      <c r="BP47" s="109" t="n">
        <f aca="false">-IF(AND(66&gt;=Hipótesis!$D$51,Hipótesis!$B$51=1),IF(Hipótesis!$G$51=1,Hipótesis!$H$44,Hipótesis!$C$51*(1+Hipótesis!$D$45)^5)*(1+Hipótesis!$D$42),0)</f>
        <v>-3060.483556152</v>
      </c>
      <c r="BQ47" s="109" t="n">
        <f aca="false">-IF(AND(67&gt;=Hipótesis!$D$51,Hipótesis!$B$51=1),IF(Hipótesis!$G$51=1,Hipótesis!$H$44,Hipótesis!$C$51*(1+Hipótesis!$D$45)^5)*(1+Hipótesis!$D$42),0)</f>
        <v>-3060.483556152</v>
      </c>
      <c r="BR47" s="109" t="n">
        <f aca="false">-IF(AND(68&gt;=Hipótesis!$D$51,Hipótesis!$B$51=1),IF(Hipótesis!$G$51=1,Hipótesis!$H$44,Hipótesis!$C$51*(1+Hipótesis!$D$45)^5)*(1+Hipótesis!$D$42),0)</f>
        <v>-3060.483556152</v>
      </c>
      <c r="BS47" s="109" t="n">
        <f aca="false">-IF(AND(69&gt;=Hipótesis!$D$51,Hipótesis!$B$51=1),IF(Hipótesis!$G$51=1,Hipótesis!$H$44,Hipótesis!$C$51*(1+Hipótesis!$D$45)^5)*(1+Hipótesis!$D$42),0)</f>
        <v>-3060.483556152</v>
      </c>
      <c r="BT47" s="109" t="n">
        <f aca="false">-IF(AND(70&gt;=Hipótesis!$D$51,Hipótesis!$B$51=1),IF(Hipótesis!$G$51=1,Hipótesis!$H$44,Hipótesis!$C$51*(1+Hipótesis!$D$45)^5)*(1+Hipótesis!$D$42),0)</f>
        <v>-3060.483556152</v>
      </c>
      <c r="BU47" s="109" t="n">
        <f aca="false">-IF(AND(71&gt;=Hipótesis!$D$51,Hipótesis!$B$51=1),IF(Hipótesis!$G$51=1,Hipótesis!$H$44,Hipótesis!$C$51*(1+Hipótesis!$D$45)^5)*(1+Hipótesis!$D$42),0)</f>
        <v>-3060.483556152</v>
      </c>
      <c r="BV47" s="109" t="n">
        <f aca="false">-IF(AND(72&gt;=Hipótesis!$D$51,Hipótesis!$B$51=1),IF(Hipótesis!$G$51=1,Hipótesis!$H$44,Hipótesis!$C$51*(1+Hipótesis!$D$45)^5)*(1+Hipótesis!$D$42),0)</f>
        <v>-3060.483556152</v>
      </c>
      <c r="BW47" s="109" t="n">
        <f aca="false">-IF(AND(73&gt;=Hipótesis!$D$51,Hipótesis!$B$51=1),IF(Hipótesis!$G$51=1,Hipótesis!$I$44,Hipótesis!$C$51*(1+Hipótesis!$D$45)^6)*(1+Hipótesis!$D$42),0)</f>
        <v>-3152.29806283656</v>
      </c>
      <c r="BX47" s="109" t="n">
        <f aca="false">-IF(AND(74&gt;=Hipótesis!$D$51,Hipótesis!$B$51=1),IF(Hipótesis!$G$51=1,Hipótesis!$I$44,Hipótesis!$C$51*(1+Hipótesis!$D$45)^6)*(1+Hipótesis!$D$42),0)</f>
        <v>-3152.29806283656</v>
      </c>
      <c r="BY47" s="109" t="n">
        <f aca="false">-IF(AND(75&gt;=Hipótesis!$D$51,Hipótesis!$B$51=1),IF(Hipótesis!$G$51=1,Hipótesis!$I$44,Hipótesis!$C$51*(1+Hipótesis!$D$45)^6)*(1+Hipótesis!$D$42),0)</f>
        <v>-3152.29806283656</v>
      </c>
      <c r="BZ47" s="109" t="n">
        <f aca="false">-IF(AND(76&gt;=Hipótesis!$D$51,Hipótesis!$B$51=1),IF(Hipótesis!$G$51=1,Hipótesis!$I$44,Hipótesis!$C$51*(1+Hipótesis!$D$45)^6)*(1+Hipótesis!$D$42),0)</f>
        <v>-3152.29806283656</v>
      </c>
      <c r="CA47" s="109" t="n">
        <f aca="false">-IF(AND(77&gt;=Hipótesis!$D$51,Hipótesis!$B$51=1),IF(Hipótesis!$G$51=1,Hipótesis!$I$44,Hipótesis!$C$51*(1+Hipótesis!$D$45)^6)*(1+Hipótesis!$D$42),0)</f>
        <v>-3152.29806283656</v>
      </c>
      <c r="CB47" s="109" t="n">
        <f aca="false">-IF(AND(78&gt;=Hipótesis!$D$51,Hipótesis!$B$51=1),IF(Hipótesis!$G$51=1,Hipótesis!$I$44,Hipótesis!$C$51*(1+Hipótesis!$D$45)^6)*(1+Hipótesis!$D$42),0)</f>
        <v>-3152.29806283656</v>
      </c>
      <c r="CC47" s="109" t="n">
        <f aca="false">-IF(AND(79&gt;=Hipótesis!$D$51,Hipótesis!$B$51=1),IF(Hipótesis!$G$51=1,Hipótesis!$I$44,Hipótesis!$C$51*(1+Hipótesis!$D$45)^6)*(1+Hipótesis!$D$42),0)</f>
        <v>-3152.29806283656</v>
      </c>
      <c r="CD47" s="109" t="n">
        <f aca="false">-IF(AND(80&gt;=Hipótesis!$D$51,Hipótesis!$B$51=1),IF(Hipótesis!$G$51=1,Hipótesis!$I$44,Hipótesis!$C$51*(1+Hipótesis!$D$45)^6)*(1+Hipótesis!$D$42),0)</f>
        <v>-3152.29806283656</v>
      </c>
      <c r="CE47" s="109" t="n">
        <f aca="false">-IF(AND(81&gt;=Hipótesis!$D$51,Hipótesis!$B$51=1),IF(Hipótesis!$G$51=1,Hipótesis!$I$44,Hipótesis!$C$51*(1+Hipótesis!$D$45)^6)*(1+Hipótesis!$D$42),0)</f>
        <v>-3152.29806283656</v>
      </c>
      <c r="CF47" s="109" t="n">
        <f aca="false">-IF(AND(82&gt;=Hipótesis!$D$51,Hipótesis!$B$51=1),IF(Hipótesis!$G$51=1,Hipótesis!$I$44,Hipótesis!$C$51*(1+Hipótesis!$D$45)^6)*(1+Hipótesis!$D$42),0)</f>
        <v>-3152.29806283656</v>
      </c>
      <c r="CG47" s="109" t="n">
        <f aca="false">-IF(AND(83&gt;=Hipótesis!$D$51,Hipótesis!$B$51=1),IF(Hipótesis!$G$51=1,Hipótesis!$I$44,Hipótesis!$C$51*(1+Hipótesis!$D$45)^6)*(1+Hipótesis!$D$42),0)</f>
        <v>-3152.29806283656</v>
      </c>
      <c r="CH47" s="109" t="n">
        <f aca="false">-IF(AND(84&gt;=Hipótesis!$D$51,Hipótesis!$B$51=1),IF(Hipótesis!$G$51=1,Hipótesis!$I$44,Hipótesis!$C$51*(1+Hipótesis!$D$45)^6)*(1+Hipótesis!$D$42),0)</f>
        <v>-3152.29806283656</v>
      </c>
    </row>
    <row r="48" customFormat="false" ht="13.5" hidden="false" customHeight="true" outlineLevel="0" collapsed="false">
      <c r="A48" s="6" t="s">
        <v>553</v>
      </c>
      <c r="C48" s="109" t="n">
        <f aca="false">-IF(AND(1&gt;=Hipótesis!$D$52,Hipótesis!$B$52=1),IF(Hipótesis!$G$52=1,Hipótesis!$C$44,Hipótesis!$C$52*(1+Hipótesis!$D$45)^0)*(1+Hipótesis!$D$42),0)</f>
        <v>-0</v>
      </c>
      <c r="D48" s="109" t="n">
        <f aca="false">-IF(AND(2&gt;=Hipótesis!$D$52,Hipótesis!$B$52=1),IF(Hipótesis!$G$52=1,Hipótesis!$C$44,Hipótesis!$C$52*(1+Hipótesis!$D$45)^0)*(1+Hipótesis!$D$42),0)</f>
        <v>-0</v>
      </c>
      <c r="E48" s="109" t="n">
        <f aca="false">-IF(AND(3&gt;=Hipótesis!$D$52,Hipótesis!$B$52=1),IF(Hipótesis!$G$52=1,Hipótesis!$C$44,Hipótesis!$C$52*(1+Hipótesis!$D$45)^0)*(1+Hipótesis!$D$42),0)</f>
        <v>-0</v>
      </c>
      <c r="F48" s="109" t="n">
        <f aca="false">-IF(AND(4&gt;=Hipótesis!$D$52,Hipótesis!$B$52=1),IF(Hipótesis!$G$52=1,Hipótesis!$C$44,Hipótesis!$C$52*(1+Hipótesis!$D$45)^0)*(1+Hipótesis!$D$42),0)</f>
        <v>-0</v>
      </c>
      <c r="G48" s="109" t="n">
        <f aca="false">-IF(AND(5&gt;=Hipótesis!$D$52,Hipótesis!$B$52=1),IF(Hipótesis!$G$52=1,Hipótesis!$C$44,Hipótesis!$C$52*(1+Hipótesis!$D$45)^0)*(1+Hipótesis!$D$42),0)</f>
        <v>-0</v>
      </c>
      <c r="H48" s="109" t="n">
        <f aca="false">-IF(AND(6&gt;=Hipótesis!$D$52,Hipótesis!$B$52=1),IF(Hipótesis!$G$52=1,Hipótesis!$C$44,Hipótesis!$C$52*(1+Hipótesis!$D$45)^0)*(1+Hipótesis!$D$42),0)</f>
        <v>-0</v>
      </c>
      <c r="I48" s="109" t="n">
        <f aca="false">-IF(AND(7&gt;=Hipótesis!$D$52,Hipótesis!$B$52=1),IF(Hipótesis!$G$52=1,Hipótesis!$C$44,Hipótesis!$C$52*(1+Hipótesis!$D$45)^0)*(1+Hipótesis!$D$42),0)</f>
        <v>-0</v>
      </c>
      <c r="J48" s="109" t="n">
        <f aca="false">-IF(AND(8&gt;=Hipótesis!$D$52,Hipótesis!$B$52=1),IF(Hipótesis!$G$52=1,Hipótesis!$C$44,Hipótesis!$C$52*(1+Hipótesis!$D$45)^0)*(1+Hipótesis!$D$42),0)</f>
        <v>-0</v>
      </c>
      <c r="K48" s="109" t="n">
        <f aca="false">-IF(AND(9&gt;=Hipótesis!$D$52,Hipótesis!$B$52=1),IF(Hipótesis!$G$52=1,Hipótesis!$C$44,Hipótesis!$C$52*(1+Hipótesis!$D$45)^0)*(1+Hipótesis!$D$42),0)</f>
        <v>-0</v>
      </c>
      <c r="L48" s="109" t="n">
        <f aca="false">-IF(AND(10&gt;=Hipótesis!$D$52,Hipótesis!$B$52=1),IF(Hipótesis!$G$52=1,Hipótesis!$C$44,Hipótesis!$C$52*(1+Hipótesis!$D$45)^0)*(1+Hipótesis!$D$42),0)</f>
        <v>-0</v>
      </c>
      <c r="M48" s="109" t="n">
        <f aca="false">-IF(AND(11&gt;=Hipótesis!$D$52,Hipótesis!$B$52=1),IF(Hipótesis!$G$52=1,Hipótesis!$C$44,Hipótesis!$C$52*(1+Hipótesis!$D$45)^0)*(1+Hipótesis!$D$42),0)</f>
        <v>-0</v>
      </c>
      <c r="N48" s="109" t="n">
        <f aca="false">-IF(AND(12&gt;=Hipótesis!$D$52,Hipótesis!$B$52=1),IF(Hipótesis!$G$52=1,Hipótesis!$C$44,Hipótesis!$C$52*(1+Hipótesis!$D$45)^0)*(1+Hipótesis!$D$42),0)</f>
        <v>-0</v>
      </c>
      <c r="O48" s="109" t="n">
        <f aca="false">-IF(AND(13&gt;=Hipótesis!$D$52,Hipótesis!$B$52=1),IF(Hipótesis!$G$52=1,Hipótesis!$D$44,Hipótesis!$C$52*(1+Hipótesis!$D$45)^1)*(1+Hipótesis!$D$42),0)</f>
        <v>-0</v>
      </c>
      <c r="P48" s="109" t="n">
        <f aca="false">-IF(AND(14&gt;=Hipótesis!$D$52,Hipótesis!$B$52=1),IF(Hipótesis!$G$52=1,Hipótesis!$D$44,Hipótesis!$C$52*(1+Hipótesis!$D$45)^1)*(1+Hipótesis!$D$42),0)</f>
        <v>-0</v>
      </c>
      <c r="Q48" s="109" t="n">
        <f aca="false">-IF(AND(15&gt;=Hipótesis!$D$52,Hipótesis!$B$52=1),IF(Hipótesis!$G$52=1,Hipótesis!$D$44,Hipótesis!$C$52*(1+Hipótesis!$D$45)^1)*(1+Hipótesis!$D$42),0)</f>
        <v>-0</v>
      </c>
      <c r="R48" s="109" t="n">
        <f aca="false">-IF(AND(16&gt;=Hipótesis!$D$52,Hipótesis!$B$52=1),IF(Hipótesis!$G$52=1,Hipótesis!$D$44,Hipótesis!$C$52*(1+Hipótesis!$D$45)^1)*(1+Hipótesis!$D$42),0)</f>
        <v>-0</v>
      </c>
      <c r="S48" s="109" t="n">
        <f aca="false">-IF(AND(17&gt;=Hipótesis!$D$52,Hipótesis!$B$52=1),IF(Hipótesis!$G$52=1,Hipótesis!$D$44,Hipótesis!$C$52*(1+Hipótesis!$D$45)^1)*(1+Hipótesis!$D$42),0)</f>
        <v>-0</v>
      </c>
      <c r="T48" s="109" t="n">
        <f aca="false">-IF(AND(18&gt;=Hipótesis!$D$52,Hipótesis!$B$52=1),IF(Hipótesis!$G$52=1,Hipótesis!$D$44,Hipótesis!$C$52*(1+Hipótesis!$D$45)^1)*(1+Hipótesis!$D$42),0)</f>
        <v>-0</v>
      </c>
      <c r="U48" s="109" t="n">
        <f aca="false">-IF(AND(19&gt;=Hipótesis!$D$52,Hipótesis!$B$52=1),IF(Hipótesis!$G$52=1,Hipótesis!$D$44,Hipótesis!$C$52*(1+Hipótesis!$D$45)^1)*(1+Hipótesis!$D$42),0)</f>
        <v>-0</v>
      </c>
      <c r="V48" s="109" t="n">
        <f aca="false">-IF(AND(20&gt;=Hipótesis!$D$52,Hipótesis!$B$52=1),IF(Hipótesis!$G$52=1,Hipótesis!$D$44,Hipótesis!$C$52*(1+Hipótesis!$D$45)^1)*(1+Hipótesis!$D$42),0)</f>
        <v>-2719.2</v>
      </c>
      <c r="W48" s="109" t="n">
        <f aca="false">-IF(AND(21&gt;=Hipótesis!$D$52,Hipótesis!$B$52=1),IF(Hipótesis!$G$52=1,Hipótesis!$D$44,Hipótesis!$C$52*(1+Hipótesis!$D$45)^1)*(1+Hipótesis!$D$42),0)</f>
        <v>-2719.2</v>
      </c>
      <c r="X48" s="109" t="n">
        <f aca="false">-IF(AND(22&gt;=Hipótesis!$D$52,Hipótesis!$B$52=1),IF(Hipótesis!$G$52=1,Hipótesis!$D$44,Hipótesis!$C$52*(1+Hipótesis!$D$45)^1)*(1+Hipótesis!$D$42),0)</f>
        <v>-2719.2</v>
      </c>
      <c r="Y48" s="109" t="n">
        <f aca="false">-IF(AND(23&gt;=Hipótesis!$D$52,Hipótesis!$B$52=1),IF(Hipótesis!$G$52=1,Hipótesis!$D$44,Hipótesis!$C$52*(1+Hipótesis!$D$45)^1)*(1+Hipótesis!$D$42),0)</f>
        <v>-2719.2</v>
      </c>
      <c r="Z48" s="109" t="n">
        <f aca="false">-IF(AND(24&gt;=Hipótesis!$D$52,Hipótesis!$B$52=1),IF(Hipótesis!$G$52=1,Hipótesis!$D$44,Hipótesis!$C$52*(1+Hipótesis!$D$45)^1)*(1+Hipótesis!$D$42),0)</f>
        <v>-2719.2</v>
      </c>
      <c r="AA48" s="109" t="n">
        <f aca="false">-IF(AND(25&gt;=Hipótesis!$D$52,Hipótesis!$B$52=1),IF(Hipótesis!$G$52=1,Hipótesis!$E$44,Hipótesis!$C$52*(1+Hipótesis!$D$45)^2)*(1+Hipótesis!$D$42),0)</f>
        <v>-2800.776</v>
      </c>
      <c r="AB48" s="109" t="n">
        <f aca="false">-IF(AND(26&gt;=Hipótesis!$D$52,Hipótesis!$B$52=1),IF(Hipótesis!$G$52=1,Hipótesis!$E$44,Hipótesis!$C$52*(1+Hipótesis!$D$45)^2)*(1+Hipótesis!$D$42),0)</f>
        <v>-2800.776</v>
      </c>
      <c r="AC48" s="109" t="n">
        <f aca="false">-IF(AND(27&gt;=Hipótesis!$D$52,Hipótesis!$B$52=1),IF(Hipótesis!$G$52=1,Hipótesis!$E$44,Hipótesis!$C$52*(1+Hipótesis!$D$45)^2)*(1+Hipótesis!$D$42),0)</f>
        <v>-2800.776</v>
      </c>
      <c r="AD48" s="109" t="n">
        <f aca="false">-IF(AND(28&gt;=Hipótesis!$D$52,Hipótesis!$B$52=1),IF(Hipótesis!$G$52=1,Hipótesis!$E$44,Hipótesis!$C$52*(1+Hipótesis!$D$45)^2)*(1+Hipótesis!$D$42),0)</f>
        <v>-2800.776</v>
      </c>
      <c r="AE48" s="109" t="n">
        <f aca="false">-IF(AND(29&gt;=Hipótesis!$D$52,Hipótesis!$B$52=1),IF(Hipótesis!$G$52=1,Hipótesis!$E$44,Hipótesis!$C$52*(1+Hipótesis!$D$45)^2)*(1+Hipótesis!$D$42),0)</f>
        <v>-2800.776</v>
      </c>
      <c r="AF48" s="109" t="n">
        <f aca="false">-IF(AND(30&gt;=Hipótesis!$D$52,Hipótesis!$B$52=1),IF(Hipótesis!$G$52=1,Hipótesis!$E$44,Hipótesis!$C$52*(1+Hipótesis!$D$45)^2)*(1+Hipótesis!$D$42),0)</f>
        <v>-2800.776</v>
      </c>
      <c r="AG48" s="109" t="n">
        <f aca="false">-IF(AND(31&gt;=Hipótesis!$D$52,Hipótesis!$B$52=1),IF(Hipótesis!$G$52=1,Hipótesis!$E$44,Hipótesis!$C$52*(1+Hipótesis!$D$45)^2)*(1+Hipótesis!$D$42),0)</f>
        <v>-2800.776</v>
      </c>
      <c r="AH48" s="109" t="n">
        <f aca="false">-IF(AND(32&gt;=Hipótesis!$D$52,Hipótesis!$B$52=1),IF(Hipótesis!$G$52=1,Hipótesis!$E$44,Hipótesis!$C$52*(1+Hipótesis!$D$45)^2)*(1+Hipótesis!$D$42),0)</f>
        <v>-2800.776</v>
      </c>
      <c r="AI48" s="109" t="n">
        <f aca="false">-IF(AND(33&gt;=Hipótesis!$D$52,Hipótesis!$B$52=1),IF(Hipótesis!$G$52=1,Hipótesis!$E$44,Hipótesis!$C$52*(1+Hipótesis!$D$45)^2)*(1+Hipótesis!$D$42),0)</f>
        <v>-2800.776</v>
      </c>
      <c r="AJ48" s="109" t="n">
        <f aca="false">-IF(AND(34&gt;=Hipótesis!$D$52,Hipótesis!$B$52=1),IF(Hipótesis!$G$52=1,Hipótesis!$E$44,Hipótesis!$C$52*(1+Hipótesis!$D$45)^2)*(1+Hipótesis!$D$42),0)</f>
        <v>-2800.776</v>
      </c>
      <c r="AK48" s="109" t="n">
        <f aca="false">-IF(AND(35&gt;=Hipótesis!$D$52,Hipótesis!$B$52=1),IF(Hipótesis!$G$52=1,Hipótesis!$E$44,Hipótesis!$C$52*(1+Hipótesis!$D$45)^2)*(1+Hipótesis!$D$42),0)</f>
        <v>-2800.776</v>
      </c>
      <c r="AL48" s="109" t="n">
        <f aca="false">-IF(AND(36&gt;=Hipótesis!$D$52,Hipótesis!$B$52=1),IF(Hipótesis!$G$52=1,Hipótesis!$E$44,Hipótesis!$C$52*(1+Hipótesis!$D$45)^2)*(1+Hipótesis!$D$42),0)</f>
        <v>-2800.776</v>
      </c>
      <c r="AM48" s="109" t="n">
        <f aca="false">-IF(AND(37&gt;=Hipótesis!$D$52,Hipótesis!$B$52=1),IF(Hipótesis!$G$52=1,Hipótesis!$F$44,Hipótesis!$C$52*(1+Hipótesis!$D$45)^3)*(1+Hipótesis!$D$42),0)</f>
        <v>-2884.79928</v>
      </c>
      <c r="AN48" s="109" t="n">
        <f aca="false">-IF(AND(38&gt;=Hipótesis!$D$52,Hipótesis!$B$52=1),IF(Hipótesis!$G$52=1,Hipótesis!$F$44,Hipótesis!$C$52*(1+Hipótesis!$D$45)^3)*(1+Hipótesis!$D$42),0)</f>
        <v>-2884.79928</v>
      </c>
      <c r="AO48" s="109" t="n">
        <f aca="false">-IF(AND(39&gt;=Hipótesis!$D$52,Hipótesis!$B$52=1),IF(Hipótesis!$G$52=1,Hipótesis!$F$44,Hipótesis!$C$52*(1+Hipótesis!$D$45)^3)*(1+Hipótesis!$D$42),0)</f>
        <v>-2884.79928</v>
      </c>
      <c r="AP48" s="109" t="n">
        <f aca="false">-IF(AND(40&gt;=Hipótesis!$D$52,Hipótesis!$B$52=1),IF(Hipótesis!$G$52=1,Hipótesis!$F$44,Hipótesis!$C$52*(1+Hipótesis!$D$45)^3)*(1+Hipótesis!$D$42),0)</f>
        <v>-2884.79928</v>
      </c>
      <c r="AQ48" s="109" t="n">
        <f aca="false">-IF(AND(41&gt;=Hipótesis!$D$52,Hipótesis!$B$52=1),IF(Hipótesis!$G$52=1,Hipótesis!$F$44,Hipótesis!$C$52*(1+Hipótesis!$D$45)^3)*(1+Hipótesis!$D$42),0)</f>
        <v>-2884.79928</v>
      </c>
      <c r="AR48" s="109" t="n">
        <f aca="false">-IF(AND(42&gt;=Hipótesis!$D$52,Hipótesis!$B$52=1),IF(Hipótesis!$G$52=1,Hipótesis!$F$44,Hipótesis!$C$52*(1+Hipótesis!$D$45)^3)*(1+Hipótesis!$D$42),0)</f>
        <v>-2884.79928</v>
      </c>
      <c r="AS48" s="109" t="n">
        <f aca="false">-IF(AND(43&gt;=Hipótesis!$D$52,Hipótesis!$B$52=1),IF(Hipótesis!$G$52=1,Hipótesis!$F$44,Hipótesis!$C$52*(1+Hipótesis!$D$45)^3)*(1+Hipótesis!$D$42),0)</f>
        <v>-2884.79928</v>
      </c>
      <c r="AT48" s="109" t="n">
        <f aca="false">-IF(AND(44&gt;=Hipótesis!$D$52,Hipótesis!$B$52=1),IF(Hipótesis!$G$52=1,Hipótesis!$F$44,Hipótesis!$C$52*(1+Hipótesis!$D$45)^3)*(1+Hipótesis!$D$42),0)</f>
        <v>-2884.79928</v>
      </c>
      <c r="AU48" s="109" t="n">
        <f aca="false">-IF(AND(45&gt;=Hipótesis!$D$52,Hipótesis!$B$52=1),IF(Hipótesis!$G$52=1,Hipótesis!$F$44,Hipótesis!$C$52*(1+Hipótesis!$D$45)^3)*(1+Hipótesis!$D$42),0)</f>
        <v>-2884.79928</v>
      </c>
      <c r="AV48" s="109" t="n">
        <f aca="false">-IF(AND(46&gt;=Hipótesis!$D$52,Hipótesis!$B$52=1),IF(Hipótesis!$G$52=1,Hipótesis!$F$44,Hipótesis!$C$52*(1+Hipótesis!$D$45)^3)*(1+Hipótesis!$D$42),0)</f>
        <v>-2884.79928</v>
      </c>
      <c r="AW48" s="109" t="n">
        <f aca="false">-IF(AND(47&gt;=Hipótesis!$D$52,Hipótesis!$B$52=1),IF(Hipótesis!$G$52=1,Hipótesis!$F$44,Hipótesis!$C$52*(1+Hipótesis!$D$45)^3)*(1+Hipótesis!$D$42),0)</f>
        <v>-2884.79928</v>
      </c>
      <c r="AX48" s="109" t="n">
        <f aca="false">-IF(AND(48&gt;=Hipótesis!$D$52,Hipótesis!$B$52=1),IF(Hipótesis!$G$52=1,Hipótesis!$F$44,Hipótesis!$C$52*(1+Hipótesis!$D$45)^3)*(1+Hipótesis!$D$42),0)</f>
        <v>-2884.79928</v>
      </c>
      <c r="AY48" s="109" t="n">
        <f aca="false">-IF(AND(49&gt;=Hipótesis!$D$52,Hipótesis!$B$52=1),IF(Hipótesis!$G$52=1,Hipótesis!$G$44,Hipótesis!$C$52*(1+Hipótesis!$D$45)^4)*(1+Hipótesis!$D$42),0)</f>
        <v>-2971.3432584</v>
      </c>
      <c r="AZ48" s="109" t="n">
        <f aca="false">-IF(AND(50&gt;=Hipótesis!$D$52,Hipótesis!$B$52=1),IF(Hipótesis!$G$52=1,Hipótesis!$G$44,Hipótesis!$C$52*(1+Hipótesis!$D$45)^4)*(1+Hipótesis!$D$42),0)</f>
        <v>-2971.3432584</v>
      </c>
      <c r="BA48" s="109" t="n">
        <f aca="false">-IF(AND(51&gt;=Hipótesis!$D$52,Hipótesis!$B$52=1),IF(Hipótesis!$G$52=1,Hipótesis!$G$44,Hipótesis!$C$52*(1+Hipótesis!$D$45)^4)*(1+Hipótesis!$D$42),0)</f>
        <v>-2971.3432584</v>
      </c>
      <c r="BB48" s="109" t="n">
        <f aca="false">-IF(AND(52&gt;=Hipótesis!$D$52,Hipótesis!$B$52=1),IF(Hipótesis!$G$52=1,Hipótesis!$G$44,Hipótesis!$C$52*(1+Hipótesis!$D$45)^4)*(1+Hipótesis!$D$42),0)</f>
        <v>-2971.3432584</v>
      </c>
      <c r="BC48" s="109" t="n">
        <f aca="false">-IF(AND(53&gt;=Hipótesis!$D$52,Hipótesis!$B$52=1),IF(Hipótesis!$G$52=1,Hipótesis!$G$44,Hipótesis!$C$52*(1+Hipótesis!$D$45)^4)*(1+Hipótesis!$D$42),0)</f>
        <v>-2971.3432584</v>
      </c>
      <c r="BD48" s="109" t="n">
        <f aca="false">-IF(AND(54&gt;=Hipótesis!$D$52,Hipótesis!$B$52=1),IF(Hipótesis!$G$52=1,Hipótesis!$G$44,Hipótesis!$C$52*(1+Hipótesis!$D$45)^4)*(1+Hipótesis!$D$42),0)</f>
        <v>-2971.3432584</v>
      </c>
      <c r="BE48" s="109" t="n">
        <f aca="false">-IF(AND(55&gt;=Hipótesis!$D$52,Hipótesis!$B$52=1),IF(Hipótesis!$G$52=1,Hipótesis!$G$44,Hipótesis!$C$52*(1+Hipótesis!$D$45)^4)*(1+Hipótesis!$D$42),0)</f>
        <v>-2971.3432584</v>
      </c>
      <c r="BF48" s="109" t="n">
        <f aca="false">-IF(AND(56&gt;=Hipótesis!$D$52,Hipótesis!$B$52=1),IF(Hipótesis!$G$52=1,Hipótesis!$G$44,Hipótesis!$C$52*(1+Hipótesis!$D$45)^4)*(1+Hipótesis!$D$42),0)</f>
        <v>-2971.3432584</v>
      </c>
      <c r="BG48" s="109" t="n">
        <f aca="false">-IF(AND(57&gt;=Hipótesis!$D$52,Hipótesis!$B$52=1),IF(Hipótesis!$G$52=1,Hipótesis!$G$44,Hipótesis!$C$52*(1+Hipótesis!$D$45)^4)*(1+Hipótesis!$D$42),0)</f>
        <v>-2971.3432584</v>
      </c>
      <c r="BH48" s="109" t="n">
        <f aca="false">-IF(AND(58&gt;=Hipótesis!$D$52,Hipótesis!$B$52=1),IF(Hipótesis!$G$52=1,Hipótesis!$G$44,Hipótesis!$C$52*(1+Hipótesis!$D$45)^4)*(1+Hipótesis!$D$42),0)</f>
        <v>-2971.3432584</v>
      </c>
      <c r="BI48" s="109" t="n">
        <f aca="false">-IF(AND(59&gt;=Hipótesis!$D$52,Hipótesis!$B$52=1),IF(Hipótesis!$G$52=1,Hipótesis!$G$44,Hipótesis!$C$52*(1+Hipótesis!$D$45)^4)*(1+Hipótesis!$D$42),0)</f>
        <v>-2971.3432584</v>
      </c>
      <c r="BJ48" s="109" t="n">
        <f aca="false">-IF(AND(60&gt;=Hipótesis!$D$52,Hipótesis!$B$52=1),IF(Hipótesis!$G$52=1,Hipótesis!$G$44,Hipótesis!$C$52*(1+Hipótesis!$D$45)^4)*(1+Hipótesis!$D$42),0)</f>
        <v>-2971.3432584</v>
      </c>
      <c r="BK48" s="109" t="n">
        <f aca="false">-IF(AND(61&gt;=Hipótesis!$D$52,Hipótesis!$B$52=1),IF(Hipótesis!$G$52=1,Hipótesis!$H$44,Hipótesis!$C$52*(1+Hipótesis!$D$45)^5)*(1+Hipótesis!$D$42),0)</f>
        <v>-3060.483556152</v>
      </c>
      <c r="BL48" s="109" t="n">
        <f aca="false">-IF(AND(62&gt;=Hipótesis!$D$52,Hipótesis!$B$52=1),IF(Hipótesis!$G$52=1,Hipótesis!$H$44,Hipótesis!$C$52*(1+Hipótesis!$D$45)^5)*(1+Hipótesis!$D$42),0)</f>
        <v>-3060.483556152</v>
      </c>
      <c r="BM48" s="109" t="n">
        <f aca="false">-IF(AND(63&gt;=Hipótesis!$D$52,Hipótesis!$B$52=1),IF(Hipótesis!$G$52=1,Hipótesis!$H$44,Hipótesis!$C$52*(1+Hipótesis!$D$45)^5)*(1+Hipótesis!$D$42),0)</f>
        <v>-3060.483556152</v>
      </c>
      <c r="BN48" s="109" t="n">
        <f aca="false">-IF(AND(64&gt;=Hipótesis!$D$52,Hipótesis!$B$52=1),IF(Hipótesis!$G$52=1,Hipótesis!$H$44,Hipótesis!$C$52*(1+Hipótesis!$D$45)^5)*(1+Hipótesis!$D$42),0)</f>
        <v>-3060.483556152</v>
      </c>
      <c r="BO48" s="109" t="n">
        <f aca="false">-IF(AND(65&gt;=Hipótesis!$D$52,Hipótesis!$B$52=1),IF(Hipótesis!$G$52=1,Hipótesis!$H$44,Hipótesis!$C$52*(1+Hipótesis!$D$45)^5)*(1+Hipótesis!$D$42),0)</f>
        <v>-3060.483556152</v>
      </c>
      <c r="BP48" s="109" t="n">
        <f aca="false">-IF(AND(66&gt;=Hipótesis!$D$52,Hipótesis!$B$52=1),IF(Hipótesis!$G$52=1,Hipótesis!$H$44,Hipótesis!$C$52*(1+Hipótesis!$D$45)^5)*(1+Hipótesis!$D$42),0)</f>
        <v>-3060.483556152</v>
      </c>
      <c r="BQ48" s="109" t="n">
        <f aca="false">-IF(AND(67&gt;=Hipótesis!$D$52,Hipótesis!$B$52=1),IF(Hipótesis!$G$52=1,Hipótesis!$H$44,Hipótesis!$C$52*(1+Hipótesis!$D$45)^5)*(1+Hipótesis!$D$42),0)</f>
        <v>-3060.483556152</v>
      </c>
      <c r="BR48" s="109" t="n">
        <f aca="false">-IF(AND(68&gt;=Hipótesis!$D$52,Hipótesis!$B$52=1),IF(Hipótesis!$G$52=1,Hipótesis!$H$44,Hipótesis!$C$52*(1+Hipótesis!$D$45)^5)*(1+Hipótesis!$D$42),0)</f>
        <v>-3060.483556152</v>
      </c>
      <c r="BS48" s="109" t="n">
        <f aca="false">-IF(AND(69&gt;=Hipótesis!$D$52,Hipótesis!$B$52=1),IF(Hipótesis!$G$52=1,Hipótesis!$H$44,Hipótesis!$C$52*(1+Hipótesis!$D$45)^5)*(1+Hipótesis!$D$42),0)</f>
        <v>-3060.483556152</v>
      </c>
      <c r="BT48" s="109" t="n">
        <f aca="false">-IF(AND(70&gt;=Hipótesis!$D$52,Hipótesis!$B$52=1),IF(Hipótesis!$G$52=1,Hipótesis!$H$44,Hipótesis!$C$52*(1+Hipótesis!$D$45)^5)*(1+Hipótesis!$D$42),0)</f>
        <v>-3060.483556152</v>
      </c>
      <c r="BU48" s="109" t="n">
        <f aca="false">-IF(AND(71&gt;=Hipótesis!$D$52,Hipótesis!$B$52=1),IF(Hipótesis!$G$52=1,Hipótesis!$H$44,Hipótesis!$C$52*(1+Hipótesis!$D$45)^5)*(1+Hipótesis!$D$42),0)</f>
        <v>-3060.483556152</v>
      </c>
      <c r="BV48" s="109" t="n">
        <f aca="false">-IF(AND(72&gt;=Hipótesis!$D$52,Hipótesis!$B$52=1),IF(Hipótesis!$G$52=1,Hipótesis!$H$44,Hipótesis!$C$52*(1+Hipótesis!$D$45)^5)*(1+Hipótesis!$D$42),0)</f>
        <v>-3060.483556152</v>
      </c>
      <c r="BW48" s="109" t="n">
        <f aca="false">-IF(AND(73&gt;=Hipótesis!$D$52,Hipótesis!$B$52=1),IF(Hipótesis!$G$52=1,Hipótesis!$I$44,Hipótesis!$C$52*(1+Hipótesis!$D$45)^6)*(1+Hipótesis!$D$42),0)</f>
        <v>-3152.29806283656</v>
      </c>
      <c r="BX48" s="109" t="n">
        <f aca="false">-IF(AND(74&gt;=Hipótesis!$D$52,Hipótesis!$B$52=1),IF(Hipótesis!$G$52=1,Hipótesis!$I$44,Hipótesis!$C$52*(1+Hipótesis!$D$45)^6)*(1+Hipótesis!$D$42),0)</f>
        <v>-3152.29806283656</v>
      </c>
      <c r="BY48" s="109" t="n">
        <f aca="false">-IF(AND(75&gt;=Hipótesis!$D$52,Hipótesis!$B$52=1),IF(Hipótesis!$G$52=1,Hipótesis!$I$44,Hipótesis!$C$52*(1+Hipótesis!$D$45)^6)*(1+Hipótesis!$D$42),0)</f>
        <v>-3152.29806283656</v>
      </c>
      <c r="BZ48" s="109" t="n">
        <f aca="false">-IF(AND(76&gt;=Hipótesis!$D$52,Hipótesis!$B$52=1),IF(Hipótesis!$G$52=1,Hipótesis!$I$44,Hipótesis!$C$52*(1+Hipótesis!$D$45)^6)*(1+Hipótesis!$D$42),0)</f>
        <v>-3152.29806283656</v>
      </c>
      <c r="CA48" s="109" t="n">
        <f aca="false">-IF(AND(77&gt;=Hipótesis!$D$52,Hipótesis!$B$52=1),IF(Hipótesis!$G$52=1,Hipótesis!$I$44,Hipótesis!$C$52*(1+Hipótesis!$D$45)^6)*(1+Hipótesis!$D$42),0)</f>
        <v>-3152.29806283656</v>
      </c>
      <c r="CB48" s="109" t="n">
        <f aca="false">-IF(AND(78&gt;=Hipótesis!$D$52,Hipótesis!$B$52=1),IF(Hipótesis!$G$52=1,Hipótesis!$I$44,Hipótesis!$C$52*(1+Hipótesis!$D$45)^6)*(1+Hipótesis!$D$42),0)</f>
        <v>-3152.29806283656</v>
      </c>
      <c r="CC48" s="109" t="n">
        <f aca="false">-IF(AND(79&gt;=Hipótesis!$D$52,Hipótesis!$B$52=1),IF(Hipótesis!$G$52=1,Hipótesis!$I$44,Hipótesis!$C$52*(1+Hipótesis!$D$45)^6)*(1+Hipótesis!$D$42),0)</f>
        <v>-3152.29806283656</v>
      </c>
      <c r="CD48" s="109" t="n">
        <f aca="false">-IF(AND(80&gt;=Hipótesis!$D$52,Hipótesis!$B$52=1),IF(Hipótesis!$G$52=1,Hipótesis!$I$44,Hipótesis!$C$52*(1+Hipótesis!$D$45)^6)*(1+Hipótesis!$D$42),0)</f>
        <v>-3152.29806283656</v>
      </c>
      <c r="CE48" s="109" t="n">
        <f aca="false">-IF(AND(81&gt;=Hipótesis!$D$52,Hipótesis!$B$52=1),IF(Hipótesis!$G$52=1,Hipótesis!$I$44,Hipótesis!$C$52*(1+Hipótesis!$D$45)^6)*(1+Hipótesis!$D$42),0)</f>
        <v>-3152.29806283656</v>
      </c>
      <c r="CF48" s="109" t="n">
        <f aca="false">-IF(AND(82&gt;=Hipótesis!$D$52,Hipótesis!$B$52=1),IF(Hipótesis!$G$52=1,Hipótesis!$I$44,Hipótesis!$C$52*(1+Hipótesis!$D$45)^6)*(1+Hipótesis!$D$42),0)</f>
        <v>-3152.29806283656</v>
      </c>
      <c r="CG48" s="109" t="n">
        <f aca="false">-IF(AND(83&gt;=Hipótesis!$D$52,Hipótesis!$B$52=1),IF(Hipótesis!$G$52=1,Hipótesis!$I$44,Hipótesis!$C$52*(1+Hipótesis!$D$45)^6)*(1+Hipótesis!$D$42),0)</f>
        <v>-3152.29806283656</v>
      </c>
      <c r="CH48" s="109" t="n">
        <f aca="false">-IF(AND(84&gt;=Hipótesis!$D$52,Hipótesis!$B$52=1),IF(Hipótesis!$G$52=1,Hipótesis!$I$44,Hipótesis!$C$52*(1+Hipótesis!$D$45)^6)*(1+Hipótesis!$D$42),0)</f>
        <v>-3152.29806283656</v>
      </c>
    </row>
    <row r="49" customFormat="false" ht="13.5" hidden="false" customHeight="true" outlineLevel="0" collapsed="false">
      <c r="A49" s="6" t="s">
        <v>554</v>
      </c>
      <c r="C49" s="109" t="n">
        <f aca="false">-IF(AND(1&gt;=Hipótesis!$D$53,Hipótesis!$B$53=1),IF(Hipótesis!$G$53=1,Hipótesis!$C$44,Hipótesis!$C$53*(1+Hipótesis!$D$45)^0)*(1+Hipótesis!$D$42),0)</f>
        <v>-0</v>
      </c>
      <c r="D49" s="109" t="n">
        <f aca="false">-IF(AND(2&gt;=Hipótesis!$D$53,Hipótesis!$B$53=1),IF(Hipótesis!$G$53=1,Hipótesis!$C$44,Hipótesis!$C$53*(1+Hipótesis!$D$45)^0)*(1+Hipótesis!$D$42),0)</f>
        <v>-0</v>
      </c>
      <c r="E49" s="109" t="n">
        <f aca="false">-IF(AND(3&gt;=Hipótesis!$D$53,Hipótesis!$B$53=1),IF(Hipótesis!$G$53=1,Hipótesis!$C$44,Hipótesis!$C$53*(1+Hipótesis!$D$45)^0)*(1+Hipótesis!$D$42),0)</f>
        <v>-0</v>
      </c>
      <c r="F49" s="109" t="n">
        <f aca="false">-IF(AND(4&gt;=Hipótesis!$D$53,Hipótesis!$B$53=1),IF(Hipótesis!$G$53=1,Hipótesis!$C$44,Hipótesis!$C$53*(1+Hipótesis!$D$45)^0)*(1+Hipótesis!$D$42),0)</f>
        <v>-0</v>
      </c>
      <c r="G49" s="109" t="n">
        <f aca="false">-IF(AND(5&gt;=Hipótesis!$D$53,Hipótesis!$B$53=1),IF(Hipótesis!$G$53=1,Hipótesis!$C$44,Hipótesis!$C$53*(1+Hipótesis!$D$45)^0)*(1+Hipótesis!$D$42),0)</f>
        <v>-0</v>
      </c>
      <c r="H49" s="109" t="n">
        <f aca="false">-IF(AND(6&gt;=Hipótesis!$D$53,Hipótesis!$B$53=1),IF(Hipótesis!$G$53=1,Hipótesis!$C$44,Hipótesis!$C$53*(1+Hipótesis!$D$45)^0)*(1+Hipótesis!$D$42),0)</f>
        <v>-0</v>
      </c>
      <c r="I49" s="109" t="n">
        <f aca="false">-IF(AND(7&gt;=Hipótesis!$D$53,Hipótesis!$B$53=1),IF(Hipótesis!$G$53=1,Hipótesis!$C$44,Hipótesis!$C$53*(1+Hipótesis!$D$45)^0)*(1+Hipótesis!$D$42),0)</f>
        <v>-0</v>
      </c>
      <c r="J49" s="109" t="n">
        <f aca="false">-IF(AND(8&gt;=Hipótesis!$D$53,Hipótesis!$B$53=1),IF(Hipótesis!$G$53=1,Hipótesis!$C$44,Hipótesis!$C$53*(1+Hipótesis!$D$45)^0)*(1+Hipótesis!$D$42),0)</f>
        <v>-0</v>
      </c>
      <c r="K49" s="109" t="n">
        <f aca="false">-IF(AND(9&gt;=Hipótesis!$D$53,Hipótesis!$B$53=1),IF(Hipótesis!$G$53=1,Hipótesis!$C$44,Hipótesis!$C$53*(1+Hipótesis!$D$45)^0)*(1+Hipótesis!$D$42),0)</f>
        <v>-0</v>
      </c>
      <c r="L49" s="109" t="n">
        <f aca="false">-IF(AND(10&gt;=Hipótesis!$D$53,Hipótesis!$B$53=1),IF(Hipótesis!$G$53=1,Hipótesis!$C$44,Hipótesis!$C$53*(1+Hipótesis!$D$45)^0)*(1+Hipótesis!$D$42),0)</f>
        <v>-0</v>
      </c>
      <c r="M49" s="109" t="n">
        <f aca="false">-IF(AND(11&gt;=Hipótesis!$D$53,Hipótesis!$B$53=1),IF(Hipótesis!$G$53=1,Hipótesis!$C$44,Hipótesis!$C$53*(1+Hipótesis!$D$45)^0)*(1+Hipótesis!$D$42),0)</f>
        <v>-0</v>
      </c>
      <c r="N49" s="109" t="n">
        <f aca="false">-IF(AND(12&gt;=Hipótesis!$D$53,Hipótesis!$B$53=1),IF(Hipótesis!$G$53=1,Hipótesis!$C$44,Hipótesis!$C$53*(1+Hipótesis!$D$45)^0)*(1+Hipótesis!$D$42),0)</f>
        <v>-0</v>
      </c>
      <c r="O49" s="109" t="n">
        <f aca="false">-IF(AND(13&gt;=Hipótesis!$D$53,Hipótesis!$B$53=1),IF(Hipótesis!$G$53=1,Hipótesis!$D$44,Hipótesis!$C$53*(1+Hipótesis!$D$45)^1)*(1+Hipótesis!$D$42),0)</f>
        <v>-0</v>
      </c>
      <c r="P49" s="109" t="n">
        <f aca="false">-IF(AND(14&gt;=Hipótesis!$D$53,Hipótesis!$B$53=1),IF(Hipótesis!$G$53=1,Hipótesis!$D$44,Hipótesis!$C$53*(1+Hipótesis!$D$45)^1)*(1+Hipótesis!$D$42),0)</f>
        <v>-0</v>
      </c>
      <c r="Q49" s="109" t="n">
        <f aca="false">-IF(AND(15&gt;=Hipótesis!$D$53,Hipótesis!$B$53=1),IF(Hipótesis!$G$53=1,Hipótesis!$D$44,Hipótesis!$C$53*(1+Hipótesis!$D$45)^1)*(1+Hipótesis!$D$42),0)</f>
        <v>-0</v>
      </c>
      <c r="R49" s="109" t="n">
        <f aca="false">-IF(AND(16&gt;=Hipótesis!$D$53,Hipótesis!$B$53=1),IF(Hipótesis!$G$53=1,Hipótesis!$D$44,Hipótesis!$C$53*(1+Hipótesis!$D$45)^1)*(1+Hipótesis!$D$42),0)</f>
        <v>-0</v>
      </c>
      <c r="S49" s="109" t="n">
        <f aca="false">-IF(AND(17&gt;=Hipótesis!$D$53,Hipótesis!$B$53=1),IF(Hipótesis!$G$53=1,Hipótesis!$D$44,Hipótesis!$C$53*(1+Hipótesis!$D$45)^1)*(1+Hipótesis!$D$42),0)</f>
        <v>-0</v>
      </c>
      <c r="T49" s="109" t="n">
        <f aca="false">-IF(AND(18&gt;=Hipótesis!$D$53,Hipótesis!$B$53=1),IF(Hipótesis!$G$53=1,Hipótesis!$D$44,Hipótesis!$C$53*(1+Hipótesis!$D$45)^1)*(1+Hipótesis!$D$42),0)</f>
        <v>-0</v>
      </c>
      <c r="U49" s="109" t="n">
        <f aca="false">-IF(AND(19&gt;=Hipótesis!$D$53,Hipótesis!$B$53=1),IF(Hipótesis!$G$53=1,Hipótesis!$D$44,Hipótesis!$C$53*(1+Hipótesis!$D$45)^1)*(1+Hipótesis!$D$42),0)</f>
        <v>-0</v>
      </c>
      <c r="V49" s="109" t="n">
        <f aca="false">-IF(AND(20&gt;=Hipótesis!$D$53,Hipótesis!$B$53=1),IF(Hipótesis!$G$53=1,Hipótesis!$D$44,Hipótesis!$C$53*(1+Hipótesis!$D$45)^1)*(1+Hipótesis!$D$42),0)</f>
        <v>-0</v>
      </c>
      <c r="W49" s="109" t="n">
        <f aca="false">-IF(AND(21&gt;=Hipótesis!$D$53,Hipótesis!$B$53=1),IF(Hipótesis!$G$53=1,Hipótesis!$D$44,Hipótesis!$C$53*(1+Hipótesis!$D$45)^1)*(1+Hipótesis!$D$42),0)</f>
        <v>-0</v>
      </c>
      <c r="X49" s="109" t="n">
        <f aca="false">-IF(AND(22&gt;=Hipótesis!$D$53,Hipótesis!$B$53=1),IF(Hipótesis!$G$53=1,Hipótesis!$D$44,Hipótesis!$C$53*(1+Hipótesis!$D$45)^1)*(1+Hipótesis!$D$42),0)</f>
        <v>-0</v>
      </c>
      <c r="Y49" s="109" t="n">
        <f aca="false">-IF(AND(23&gt;=Hipótesis!$D$53,Hipótesis!$B$53=1),IF(Hipótesis!$G$53=1,Hipótesis!$D$44,Hipótesis!$C$53*(1+Hipótesis!$D$45)^1)*(1+Hipótesis!$D$42),0)</f>
        <v>-0</v>
      </c>
      <c r="Z49" s="109" t="n">
        <f aca="false">-IF(AND(24&gt;=Hipótesis!$D$53,Hipótesis!$B$53=1),IF(Hipótesis!$G$53=1,Hipótesis!$D$44,Hipótesis!$C$53*(1+Hipótesis!$D$45)^1)*(1+Hipótesis!$D$42),0)</f>
        <v>-0</v>
      </c>
      <c r="AA49" s="109" t="n">
        <f aca="false">-IF(AND(25&gt;=Hipótesis!$D$53,Hipótesis!$B$53=1),IF(Hipótesis!$G$53=1,Hipótesis!$E$44,Hipótesis!$C$53*(1+Hipótesis!$D$45)^2)*(1+Hipótesis!$D$42),0)</f>
        <v>-0</v>
      </c>
      <c r="AB49" s="109" t="n">
        <f aca="false">-IF(AND(26&gt;=Hipótesis!$D$53,Hipótesis!$B$53=1),IF(Hipótesis!$G$53=1,Hipótesis!$E$44,Hipótesis!$C$53*(1+Hipótesis!$D$45)^2)*(1+Hipótesis!$D$42),0)</f>
        <v>-0</v>
      </c>
      <c r="AC49" s="109" t="n">
        <f aca="false">-IF(AND(27&gt;=Hipótesis!$D$53,Hipótesis!$B$53=1),IF(Hipótesis!$G$53=1,Hipótesis!$E$44,Hipótesis!$C$53*(1+Hipótesis!$D$45)^2)*(1+Hipótesis!$D$42),0)</f>
        <v>-0</v>
      </c>
      <c r="AD49" s="109" t="n">
        <f aca="false">-IF(AND(28&gt;=Hipótesis!$D$53,Hipótesis!$B$53=1),IF(Hipótesis!$G$53=1,Hipótesis!$E$44,Hipótesis!$C$53*(1+Hipótesis!$D$45)^2)*(1+Hipótesis!$D$42),0)</f>
        <v>-0</v>
      </c>
      <c r="AE49" s="109" t="n">
        <f aca="false">-IF(AND(29&gt;=Hipótesis!$D$53,Hipótesis!$B$53=1),IF(Hipótesis!$G$53=1,Hipótesis!$E$44,Hipótesis!$C$53*(1+Hipótesis!$D$45)^2)*(1+Hipótesis!$D$42),0)</f>
        <v>-0</v>
      </c>
      <c r="AF49" s="109" t="n">
        <f aca="false">-IF(AND(30&gt;=Hipótesis!$D$53,Hipótesis!$B$53=1),IF(Hipótesis!$G$53=1,Hipótesis!$E$44,Hipótesis!$C$53*(1+Hipótesis!$D$45)^2)*(1+Hipótesis!$D$42),0)</f>
        <v>-0</v>
      </c>
      <c r="AG49" s="109" t="n">
        <f aca="false">-IF(AND(31&gt;=Hipótesis!$D$53,Hipótesis!$B$53=1),IF(Hipótesis!$G$53=1,Hipótesis!$E$44,Hipótesis!$C$53*(1+Hipótesis!$D$45)^2)*(1+Hipótesis!$D$42),0)</f>
        <v>-0</v>
      </c>
      <c r="AH49" s="109" t="n">
        <f aca="false">-IF(AND(32&gt;=Hipótesis!$D$53,Hipótesis!$B$53=1),IF(Hipótesis!$G$53=1,Hipótesis!$E$44,Hipótesis!$C$53*(1+Hipótesis!$D$45)^2)*(1+Hipótesis!$D$42),0)</f>
        <v>-0</v>
      </c>
      <c r="AI49" s="109" t="n">
        <f aca="false">-IF(AND(33&gt;=Hipótesis!$D$53,Hipótesis!$B$53=1),IF(Hipótesis!$G$53=1,Hipótesis!$E$44,Hipótesis!$C$53*(1+Hipótesis!$D$45)^2)*(1+Hipótesis!$D$42),0)</f>
        <v>-0</v>
      </c>
      <c r="AJ49" s="109" t="n">
        <f aca="false">-IF(AND(34&gt;=Hipótesis!$D$53,Hipótesis!$B$53=1),IF(Hipótesis!$G$53=1,Hipótesis!$E$44,Hipótesis!$C$53*(1+Hipótesis!$D$45)^2)*(1+Hipótesis!$D$42),0)</f>
        <v>-0</v>
      </c>
      <c r="AK49" s="109" t="n">
        <f aca="false">-IF(AND(35&gt;=Hipótesis!$D$53,Hipótesis!$B$53=1),IF(Hipótesis!$G$53=1,Hipótesis!$E$44,Hipótesis!$C$53*(1+Hipótesis!$D$45)^2)*(1+Hipótesis!$D$42),0)</f>
        <v>-0</v>
      </c>
      <c r="AL49" s="109" t="n">
        <f aca="false">-IF(AND(36&gt;=Hipótesis!$D$53,Hipótesis!$B$53=1),IF(Hipótesis!$G$53=1,Hipótesis!$E$44,Hipótesis!$C$53*(1+Hipótesis!$D$45)^2)*(1+Hipótesis!$D$42),0)</f>
        <v>-0</v>
      </c>
      <c r="AM49" s="109" t="n">
        <f aca="false">-IF(AND(37&gt;=Hipótesis!$D$53,Hipótesis!$B$53=1),IF(Hipótesis!$G$53=1,Hipótesis!$F$44,Hipótesis!$C$53*(1+Hipótesis!$D$45)^3)*(1+Hipótesis!$D$42),0)</f>
        <v>-0</v>
      </c>
      <c r="AN49" s="109" t="n">
        <f aca="false">-IF(AND(38&gt;=Hipótesis!$D$53,Hipótesis!$B$53=1),IF(Hipótesis!$G$53=1,Hipótesis!$F$44,Hipótesis!$C$53*(1+Hipótesis!$D$45)^3)*(1+Hipótesis!$D$42),0)</f>
        <v>-0</v>
      </c>
      <c r="AO49" s="109" t="n">
        <f aca="false">-IF(AND(39&gt;=Hipótesis!$D$53,Hipótesis!$B$53=1),IF(Hipótesis!$G$53=1,Hipótesis!$F$44,Hipótesis!$C$53*(1+Hipótesis!$D$45)^3)*(1+Hipótesis!$D$42),0)</f>
        <v>-0</v>
      </c>
      <c r="AP49" s="109" t="n">
        <f aca="false">-IF(AND(40&gt;=Hipótesis!$D$53,Hipótesis!$B$53=1),IF(Hipótesis!$G$53=1,Hipótesis!$F$44,Hipótesis!$C$53*(1+Hipótesis!$D$45)^3)*(1+Hipótesis!$D$42),0)</f>
        <v>-0</v>
      </c>
      <c r="AQ49" s="109" t="n">
        <f aca="false">-IF(AND(41&gt;=Hipótesis!$D$53,Hipótesis!$B$53=1),IF(Hipótesis!$G$53=1,Hipótesis!$F$44,Hipótesis!$C$53*(1+Hipótesis!$D$45)^3)*(1+Hipótesis!$D$42),0)</f>
        <v>-0</v>
      </c>
      <c r="AR49" s="109" t="n">
        <f aca="false">-IF(AND(42&gt;=Hipótesis!$D$53,Hipótesis!$B$53=1),IF(Hipótesis!$G$53=1,Hipótesis!$F$44,Hipótesis!$C$53*(1+Hipótesis!$D$45)^3)*(1+Hipótesis!$D$42),0)</f>
        <v>-0</v>
      </c>
      <c r="AS49" s="109" t="n">
        <f aca="false">-IF(AND(43&gt;=Hipótesis!$D$53,Hipótesis!$B$53=1),IF(Hipótesis!$G$53=1,Hipótesis!$F$44,Hipótesis!$C$53*(1+Hipótesis!$D$45)^3)*(1+Hipótesis!$D$42),0)</f>
        <v>-0</v>
      </c>
      <c r="AT49" s="109" t="n">
        <f aca="false">-IF(AND(44&gt;=Hipótesis!$D$53,Hipótesis!$B$53=1),IF(Hipótesis!$G$53=1,Hipótesis!$F$44,Hipótesis!$C$53*(1+Hipótesis!$D$45)^3)*(1+Hipótesis!$D$42),0)</f>
        <v>-0</v>
      </c>
      <c r="AU49" s="109" t="n">
        <f aca="false">-IF(AND(45&gt;=Hipótesis!$D$53,Hipótesis!$B$53=1),IF(Hipótesis!$G$53=1,Hipótesis!$F$44,Hipótesis!$C$53*(1+Hipótesis!$D$45)^3)*(1+Hipótesis!$D$42),0)</f>
        <v>-0</v>
      </c>
      <c r="AV49" s="109" t="n">
        <f aca="false">-IF(AND(46&gt;=Hipótesis!$D$53,Hipótesis!$B$53=1),IF(Hipótesis!$G$53=1,Hipótesis!$F$44,Hipótesis!$C$53*(1+Hipótesis!$D$45)^3)*(1+Hipótesis!$D$42),0)</f>
        <v>-0</v>
      </c>
      <c r="AW49" s="109" t="n">
        <f aca="false">-IF(AND(47&gt;=Hipótesis!$D$53,Hipótesis!$B$53=1),IF(Hipótesis!$G$53=1,Hipótesis!$F$44,Hipótesis!$C$53*(1+Hipótesis!$D$45)^3)*(1+Hipótesis!$D$42),0)</f>
        <v>-0</v>
      </c>
      <c r="AX49" s="109" t="n">
        <f aca="false">-IF(AND(48&gt;=Hipótesis!$D$53,Hipótesis!$B$53=1),IF(Hipótesis!$G$53=1,Hipótesis!$F$44,Hipótesis!$C$53*(1+Hipótesis!$D$45)^3)*(1+Hipótesis!$D$42),0)</f>
        <v>-0</v>
      </c>
      <c r="AY49" s="109" t="n">
        <f aca="false">-IF(AND(49&gt;=Hipótesis!$D$53,Hipótesis!$B$53=1),IF(Hipótesis!$G$53=1,Hipótesis!$G$44,Hipótesis!$C$53*(1+Hipótesis!$D$45)^4)*(1+Hipótesis!$D$42),0)</f>
        <v>-0</v>
      </c>
      <c r="AZ49" s="109" t="n">
        <f aca="false">-IF(AND(50&gt;=Hipótesis!$D$53,Hipótesis!$B$53=1),IF(Hipótesis!$G$53=1,Hipótesis!$G$44,Hipótesis!$C$53*(1+Hipótesis!$D$45)^4)*(1+Hipótesis!$D$42),0)</f>
        <v>-0</v>
      </c>
      <c r="BA49" s="109" t="n">
        <f aca="false">-IF(AND(51&gt;=Hipótesis!$D$53,Hipótesis!$B$53=1),IF(Hipótesis!$G$53=1,Hipótesis!$G$44,Hipótesis!$C$53*(1+Hipótesis!$D$45)^4)*(1+Hipótesis!$D$42),0)</f>
        <v>-0</v>
      </c>
      <c r="BB49" s="109" t="n">
        <f aca="false">-IF(AND(52&gt;=Hipótesis!$D$53,Hipótesis!$B$53=1),IF(Hipótesis!$G$53=1,Hipótesis!$G$44,Hipótesis!$C$53*(1+Hipótesis!$D$45)^4)*(1+Hipótesis!$D$42),0)</f>
        <v>-0</v>
      </c>
      <c r="BC49" s="109" t="n">
        <f aca="false">-IF(AND(53&gt;=Hipótesis!$D$53,Hipótesis!$B$53=1),IF(Hipótesis!$G$53=1,Hipótesis!$G$44,Hipótesis!$C$53*(1+Hipótesis!$D$45)^4)*(1+Hipótesis!$D$42),0)</f>
        <v>-0</v>
      </c>
      <c r="BD49" s="109" t="n">
        <f aca="false">-IF(AND(54&gt;=Hipótesis!$D$53,Hipótesis!$B$53=1),IF(Hipótesis!$G$53=1,Hipótesis!$G$44,Hipótesis!$C$53*(1+Hipótesis!$D$45)^4)*(1+Hipótesis!$D$42),0)</f>
        <v>-0</v>
      </c>
      <c r="BE49" s="109" t="n">
        <f aca="false">-IF(AND(55&gt;=Hipótesis!$D$53,Hipótesis!$B$53=1),IF(Hipótesis!$G$53=1,Hipótesis!$G$44,Hipótesis!$C$53*(1+Hipótesis!$D$45)^4)*(1+Hipótesis!$D$42),0)</f>
        <v>-0</v>
      </c>
      <c r="BF49" s="109" t="n">
        <f aca="false">-IF(AND(56&gt;=Hipótesis!$D$53,Hipótesis!$B$53=1),IF(Hipótesis!$G$53=1,Hipótesis!$G$44,Hipótesis!$C$53*(1+Hipótesis!$D$45)^4)*(1+Hipótesis!$D$42),0)</f>
        <v>-0</v>
      </c>
      <c r="BG49" s="109" t="n">
        <f aca="false">-IF(AND(57&gt;=Hipótesis!$D$53,Hipótesis!$B$53=1),IF(Hipótesis!$G$53=1,Hipótesis!$G$44,Hipótesis!$C$53*(1+Hipótesis!$D$45)^4)*(1+Hipótesis!$D$42),0)</f>
        <v>-0</v>
      </c>
      <c r="BH49" s="109" t="n">
        <f aca="false">-IF(AND(58&gt;=Hipótesis!$D$53,Hipótesis!$B$53=1),IF(Hipótesis!$G$53=1,Hipótesis!$G$44,Hipótesis!$C$53*(1+Hipótesis!$D$45)^4)*(1+Hipótesis!$D$42),0)</f>
        <v>-0</v>
      </c>
      <c r="BI49" s="109" t="n">
        <f aca="false">-IF(AND(59&gt;=Hipótesis!$D$53,Hipótesis!$B$53=1),IF(Hipótesis!$G$53=1,Hipótesis!$G$44,Hipótesis!$C$53*(1+Hipótesis!$D$45)^4)*(1+Hipótesis!$D$42),0)</f>
        <v>-0</v>
      </c>
      <c r="BJ49" s="109" t="n">
        <f aca="false">-IF(AND(60&gt;=Hipótesis!$D$53,Hipótesis!$B$53=1),IF(Hipótesis!$G$53=1,Hipótesis!$G$44,Hipótesis!$C$53*(1+Hipótesis!$D$45)^4)*(1+Hipótesis!$D$42),0)</f>
        <v>-0</v>
      </c>
      <c r="BK49" s="109" t="n">
        <f aca="false">-IF(AND(61&gt;=Hipótesis!$D$53,Hipótesis!$B$53=1),IF(Hipótesis!$G$53=1,Hipótesis!$H$44,Hipótesis!$C$53*(1+Hipótesis!$D$45)^5)*(1+Hipótesis!$D$42),0)</f>
        <v>-0</v>
      </c>
      <c r="BL49" s="109" t="n">
        <f aca="false">-IF(AND(62&gt;=Hipótesis!$D$53,Hipótesis!$B$53=1),IF(Hipótesis!$G$53=1,Hipótesis!$H$44,Hipótesis!$C$53*(1+Hipótesis!$D$45)^5)*(1+Hipótesis!$D$42),0)</f>
        <v>-0</v>
      </c>
      <c r="BM49" s="109" t="n">
        <f aca="false">-IF(AND(63&gt;=Hipótesis!$D$53,Hipótesis!$B$53=1),IF(Hipótesis!$G$53=1,Hipótesis!$H$44,Hipótesis!$C$53*(1+Hipótesis!$D$45)^5)*(1+Hipótesis!$D$42),0)</f>
        <v>-0</v>
      </c>
      <c r="BN49" s="109" t="n">
        <f aca="false">-IF(AND(64&gt;=Hipótesis!$D$53,Hipótesis!$B$53=1),IF(Hipótesis!$G$53=1,Hipótesis!$H$44,Hipótesis!$C$53*(1+Hipótesis!$D$45)^5)*(1+Hipótesis!$D$42),0)</f>
        <v>-0</v>
      </c>
      <c r="BO49" s="109" t="n">
        <f aca="false">-IF(AND(65&gt;=Hipótesis!$D$53,Hipótesis!$B$53=1),IF(Hipótesis!$G$53=1,Hipótesis!$H$44,Hipótesis!$C$53*(1+Hipótesis!$D$45)^5)*(1+Hipótesis!$D$42),0)</f>
        <v>-0</v>
      </c>
      <c r="BP49" s="109" t="n">
        <f aca="false">-IF(AND(66&gt;=Hipótesis!$D$53,Hipótesis!$B$53=1),IF(Hipótesis!$G$53=1,Hipótesis!$H$44,Hipótesis!$C$53*(1+Hipótesis!$D$45)^5)*(1+Hipótesis!$D$42),0)</f>
        <v>-0</v>
      </c>
      <c r="BQ49" s="109" t="n">
        <f aca="false">-IF(AND(67&gt;=Hipótesis!$D$53,Hipótesis!$B$53=1),IF(Hipótesis!$G$53=1,Hipótesis!$H$44,Hipótesis!$C$53*(1+Hipótesis!$D$45)^5)*(1+Hipótesis!$D$42),0)</f>
        <v>-0</v>
      </c>
      <c r="BR49" s="109" t="n">
        <f aca="false">-IF(AND(68&gt;=Hipótesis!$D$53,Hipótesis!$B$53=1),IF(Hipótesis!$G$53=1,Hipótesis!$H$44,Hipótesis!$C$53*(1+Hipótesis!$D$45)^5)*(1+Hipótesis!$D$42),0)</f>
        <v>-0</v>
      </c>
      <c r="BS49" s="109" t="n">
        <f aca="false">-IF(AND(69&gt;=Hipótesis!$D$53,Hipótesis!$B$53=1),IF(Hipótesis!$G$53=1,Hipótesis!$H$44,Hipótesis!$C$53*(1+Hipótesis!$D$45)^5)*(1+Hipótesis!$D$42),0)</f>
        <v>-0</v>
      </c>
      <c r="BT49" s="109" t="n">
        <f aca="false">-IF(AND(70&gt;=Hipótesis!$D$53,Hipótesis!$B$53=1),IF(Hipótesis!$G$53=1,Hipótesis!$H$44,Hipótesis!$C$53*(1+Hipótesis!$D$45)^5)*(1+Hipótesis!$D$42),0)</f>
        <v>-0</v>
      </c>
      <c r="BU49" s="109" t="n">
        <f aca="false">-IF(AND(71&gt;=Hipótesis!$D$53,Hipótesis!$B$53=1),IF(Hipótesis!$G$53=1,Hipótesis!$H$44,Hipótesis!$C$53*(1+Hipótesis!$D$45)^5)*(1+Hipótesis!$D$42),0)</f>
        <v>-0</v>
      </c>
      <c r="BV49" s="109" t="n">
        <f aca="false">-IF(AND(72&gt;=Hipótesis!$D$53,Hipótesis!$B$53=1),IF(Hipótesis!$G$53=1,Hipótesis!$H$44,Hipótesis!$C$53*(1+Hipótesis!$D$45)^5)*(1+Hipótesis!$D$42),0)</f>
        <v>-0</v>
      </c>
      <c r="BW49" s="109" t="n">
        <f aca="false">-IF(AND(73&gt;=Hipótesis!$D$53,Hipótesis!$B$53=1),IF(Hipótesis!$G$53=1,Hipótesis!$I$44,Hipótesis!$C$53*(1+Hipótesis!$D$45)^6)*(1+Hipótesis!$D$42),0)</f>
        <v>-0</v>
      </c>
      <c r="BX49" s="109" t="n">
        <f aca="false">-IF(AND(74&gt;=Hipótesis!$D$53,Hipótesis!$B$53=1),IF(Hipótesis!$G$53=1,Hipótesis!$I$44,Hipótesis!$C$53*(1+Hipótesis!$D$45)^6)*(1+Hipótesis!$D$42),0)</f>
        <v>-0</v>
      </c>
      <c r="BY49" s="109" t="n">
        <f aca="false">-IF(AND(75&gt;=Hipótesis!$D$53,Hipótesis!$B$53=1),IF(Hipótesis!$G$53=1,Hipótesis!$I$44,Hipótesis!$C$53*(1+Hipótesis!$D$45)^6)*(1+Hipótesis!$D$42),0)</f>
        <v>-0</v>
      </c>
      <c r="BZ49" s="109" t="n">
        <f aca="false">-IF(AND(76&gt;=Hipótesis!$D$53,Hipótesis!$B$53=1),IF(Hipótesis!$G$53=1,Hipótesis!$I$44,Hipótesis!$C$53*(1+Hipótesis!$D$45)^6)*(1+Hipótesis!$D$42),0)</f>
        <v>-0</v>
      </c>
      <c r="CA49" s="109" t="n">
        <f aca="false">-IF(AND(77&gt;=Hipótesis!$D$53,Hipótesis!$B$53=1),IF(Hipótesis!$G$53=1,Hipótesis!$I$44,Hipótesis!$C$53*(1+Hipótesis!$D$45)^6)*(1+Hipótesis!$D$42),0)</f>
        <v>-0</v>
      </c>
      <c r="CB49" s="109" t="n">
        <f aca="false">-IF(AND(78&gt;=Hipótesis!$D$53,Hipótesis!$B$53=1),IF(Hipótesis!$G$53=1,Hipótesis!$I$44,Hipótesis!$C$53*(1+Hipótesis!$D$45)^6)*(1+Hipótesis!$D$42),0)</f>
        <v>-0</v>
      </c>
      <c r="CC49" s="109" t="n">
        <f aca="false">-IF(AND(79&gt;=Hipótesis!$D$53,Hipótesis!$B$53=1),IF(Hipótesis!$G$53=1,Hipótesis!$I$44,Hipótesis!$C$53*(1+Hipótesis!$D$45)^6)*(1+Hipótesis!$D$42),0)</f>
        <v>-0</v>
      </c>
      <c r="CD49" s="109" t="n">
        <f aca="false">-IF(AND(80&gt;=Hipótesis!$D$53,Hipótesis!$B$53=1),IF(Hipótesis!$G$53=1,Hipótesis!$I$44,Hipótesis!$C$53*(1+Hipótesis!$D$45)^6)*(1+Hipótesis!$D$42),0)</f>
        <v>-0</v>
      </c>
      <c r="CE49" s="109" t="n">
        <f aca="false">-IF(AND(81&gt;=Hipótesis!$D$53,Hipótesis!$B$53=1),IF(Hipótesis!$G$53=1,Hipótesis!$I$44,Hipótesis!$C$53*(1+Hipótesis!$D$45)^6)*(1+Hipótesis!$D$42),0)</f>
        <v>-0</v>
      </c>
      <c r="CF49" s="109" t="n">
        <f aca="false">-IF(AND(82&gt;=Hipótesis!$D$53,Hipótesis!$B$53=1),IF(Hipótesis!$G$53=1,Hipótesis!$I$44,Hipótesis!$C$53*(1+Hipótesis!$D$45)^6)*(1+Hipótesis!$D$42),0)</f>
        <v>-0</v>
      </c>
      <c r="CG49" s="109" t="n">
        <f aca="false">-IF(AND(83&gt;=Hipótesis!$D$53,Hipótesis!$B$53=1),IF(Hipótesis!$G$53=1,Hipótesis!$I$44,Hipótesis!$C$53*(1+Hipótesis!$D$45)^6)*(1+Hipótesis!$D$42),0)</f>
        <v>-0</v>
      </c>
      <c r="CH49" s="109" t="n">
        <f aca="false">-IF(AND(84&gt;=Hipótesis!$D$53,Hipótesis!$B$53=1),IF(Hipótesis!$G$53=1,Hipótesis!$I$44,Hipótesis!$C$53*(1+Hipótesis!$D$45)^6)*(1+Hipótesis!$D$42),0)</f>
        <v>-0</v>
      </c>
    </row>
    <row r="50" customFormat="false" ht="13.5" hidden="false" customHeight="true" outlineLevel="0" collapsed="false">
      <c r="A50" s="22" t="s">
        <v>555</v>
      </c>
      <c r="C50" s="109" t="n">
        <f aca="false">-C30*Hipótesis!$D$61*(1+Hipótesis!$D$45)^0*(1+Hipótesis!$D$42)</f>
        <v>-0</v>
      </c>
      <c r="D50" s="109" t="n">
        <f aca="false">-D30*Hipótesis!$D$61*(1+Hipótesis!$D$45)^0*(1+Hipótesis!$D$42)</f>
        <v>-0</v>
      </c>
      <c r="E50" s="109" t="n">
        <f aca="false">-E30*Hipótesis!$D$61*(1+Hipótesis!$D$45)^0*(1+Hipótesis!$D$42)</f>
        <v>-0</v>
      </c>
      <c r="F50" s="109" t="n">
        <f aca="false">-F30*Hipótesis!$D$61*(1+Hipótesis!$D$45)^0*(1+Hipótesis!$D$42)</f>
        <v>-0</v>
      </c>
      <c r="G50" s="109" t="n">
        <f aca="false">-G30*Hipótesis!$D$61*(1+Hipótesis!$D$45)^0*(1+Hipótesis!$D$42)</f>
        <v>-0</v>
      </c>
      <c r="H50" s="109" t="n">
        <f aca="false">-H30*Hipótesis!$D$61*(1+Hipótesis!$D$45)^0*(1+Hipótesis!$D$42)</f>
        <v>-0</v>
      </c>
      <c r="I50" s="109" t="n">
        <f aca="false">-I30*Hipótesis!$D$61*(1+Hipótesis!$D$45)^0*(1+Hipótesis!$D$42)</f>
        <v>-0</v>
      </c>
      <c r="J50" s="109" t="n">
        <f aca="false">-J30*Hipótesis!$D$61*(1+Hipótesis!$D$45)^0*(1+Hipótesis!$D$42)</f>
        <v>-0</v>
      </c>
      <c r="K50" s="109" t="n">
        <f aca="false">-K30*Hipótesis!$D$61*(1+Hipótesis!$D$45)^0*(1+Hipótesis!$D$42)</f>
        <v>-0</v>
      </c>
      <c r="L50" s="109" t="n">
        <f aca="false">-L30*Hipótesis!$D$61*(1+Hipótesis!$D$45)^0*(1+Hipótesis!$D$42)</f>
        <v>-0</v>
      </c>
      <c r="M50" s="109" t="n">
        <f aca="false">-M30*Hipótesis!$D$61*(1+Hipótesis!$D$45)^0*(1+Hipótesis!$D$42)</f>
        <v>-0</v>
      </c>
      <c r="N50" s="109" t="n">
        <f aca="false">-N30*Hipótesis!$D$61*(1+Hipótesis!$D$45)^0*(1+Hipótesis!$D$42)</f>
        <v>-0</v>
      </c>
      <c r="O50" s="109" t="n">
        <f aca="false">-O30*Hipótesis!$D$61*(1+Hipótesis!$D$45)^1*(1+Hipótesis!$D$42)</f>
        <v>-0</v>
      </c>
      <c r="P50" s="109" t="n">
        <f aca="false">-P30*Hipótesis!$D$61*(1+Hipótesis!$D$45)^1*(1+Hipótesis!$D$42)</f>
        <v>-0</v>
      </c>
      <c r="Q50" s="109" t="n">
        <f aca="false">-Q30*Hipótesis!$D$61*(1+Hipótesis!$D$45)^1*(1+Hipótesis!$D$42)</f>
        <v>-0</v>
      </c>
      <c r="R50" s="109" t="n">
        <f aca="false">-R30*Hipótesis!$D$61*(1+Hipótesis!$D$45)^1*(1+Hipótesis!$D$42)</f>
        <v>-0</v>
      </c>
      <c r="S50" s="109" t="n">
        <f aca="false">-S30*Hipótesis!$D$61*(1+Hipótesis!$D$45)^1*(1+Hipótesis!$D$42)</f>
        <v>-0</v>
      </c>
      <c r="T50" s="109" t="n">
        <f aca="false">-T30*Hipótesis!$D$61*(1+Hipótesis!$D$45)^1*(1+Hipótesis!$D$42)</f>
        <v>-0</v>
      </c>
      <c r="U50" s="109" t="n">
        <f aca="false">-U30*Hipótesis!$D$61*(1+Hipótesis!$D$45)^1*(1+Hipótesis!$D$42)</f>
        <v>-0</v>
      </c>
      <c r="V50" s="109" t="n">
        <f aca="false">-V30*Hipótesis!$D$61*(1+Hipótesis!$D$45)^1*(1+Hipótesis!$D$42)</f>
        <v>-2311.32</v>
      </c>
      <c r="W50" s="109" t="n">
        <f aca="false">-W30*Hipótesis!$D$61*(1+Hipótesis!$D$45)^1*(1+Hipótesis!$D$42)</f>
        <v>-2311.32</v>
      </c>
      <c r="X50" s="109" t="n">
        <f aca="false">-X30*Hipótesis!$D$61*(1+Hipótesis!$D$45)^1*(1+Hipótesis!$D$42)</f>
        <v>-2311.32</v>
      </c>
      <c r="Y50" s="109" t="n">
        <f aca="false">-Y30*Hipótesis!$D$61*(1+Hipótesis!$D$45)^1*(1+Hipótesis!$D$42)</f>
        <v>-2311.32</v>
      </c>
      <c r="Z50" s="109" t="n">
        <f aca="false">-Z30*Hipótesis!$D$61*(1+Hipótesis!$D$45)^1*(1+Hipótesis!$D$42)</f>
        <v>-2311.32</v>
      </c>
      <c r="AA50" s="109" t="n">
        <f aca="false">-AA30*Hipótesis!$D$61*(1+Hipótesis!$D$45)^2*(1+Hipótesis!$D$42)</f>
        <v>-2380.6596</v>
      </c>
      <c r="AB50" s="109" t="n">
        <f aca="false">-AB30*Hipótesis!$D$61*(1+Hipótesis!$D$45)^2*(1+Hipótesis!$D$42)</f>
        <v>-2380.6596</v>
      </c>
      <c r="AC50" s="109" t="n">
        <f aca="false">-AC30*Hipótesis!$D$61*(1+Hipótesis!$D$45)^2*(1+Hipótesis!$D$42)</f>
        <v>-2380.6596</v>
      </c>
      <c r="AD50" s="109" t="n">
        <f aca="false">-AD30*Hipótesis!$D$61*(1+Hipótesis!$D$45)^2*(1+Hipótesis!$D$42)</f>
        <v>-2380.6596</v>
      </c>
      <c r="AE50" s="109" t="n">
        <f aca="false">-AE30*Hipótesis!$D$61*(1+Hipótesis!$D$45)^2*(1+Hipótesis!$D$42)</f>
        <v>-2380.6596</v>
      </c>
      <c r="AF50" s="109" t="n">
        <f aca="false">-AF30*Hipótesis!$D$61*(1+Hipótesis!$D$45)^2*(1+Hipótesis!$D$42)</f>
        <v>-2380.6596</v>
      </c>
      <c r="AG50" s="109" t="n">
        <f aca="false">-AG30*Hipótesis!$D$61*(1+Hipótesis!$D$45)^2*(1+Hipótesis!$D$42)</f>
        <v>-2380.6596</v>
      </c>
      <c r="AH50" s="109" t="n">
        <f aca="false">-AH30*Hipótesis!$D$61*(1+Hipótesis!$D$45)^2*(1+Hipótesis!$D$42)</f>
        <v>-2380.6596</v>
      </c>
      <c r="AI50" s="109" t="n">
        <f aca="false">-AI30*Hipótesis!$D$61*(1+Hipótesis!$D$45)^2*(1+Hipótesis!$D$42)</f>
        <v>-4761.3192</v>
      </c>
      <c r="AJ50" s="109" t="n">
        <f aca="false">-AJ30*Hipótesis!$D$61*(1+Hipótesis!$D$45)^2*(1+Hipótesis!$D$42)</f>
        <v>-4761.3192</v>
      </c>
      <c r="AK50" s="109" t="n">
        <f aca="false">-AK30*Hipótesis!$D$61*(1+Hipótesis!$D$45)^2*(1+Hipótesis!$D$42)</f>
        <v>-4761.3192</v>
      </c>
      <c r="AL50" s="109" t="n">
        <f aca="false">-AL30*Hipótesis!$D$61*(1+Hipótesis!$D$45)^2*(1+Hipótesis!$D$42)</f>
        <v>-4761.3192</v>
      </c>
      <c r="AM50" s="109" t="n">
        <f aca="false">-AM30*Hipótesis!$D$61*(1+Hipótesis!$D$45)^3*(1+Hipótesis!$D$42)</f>
        <v>-4904.158776</v>
      </c>
      <c r="AN50" s="109" t="n">
        <f aca="false">-AN30*Hipótesis!$D$61*(1+Hipótesis!$D$45)^3*(1+Hipótesis!$D$42)</f>
        <v>-4904.158776</v>
      </c>
      <c r="AO50" s="109" t="n">
        <f aca="false">-AO30*Hipótesis!$D$61*(1+Hipótesis!$D$45)^3*(1+Hipótesis!$D$42)</f>
        <v>-4904.158776</v>
      </c>
      <c r="AP50" s="109" t="n">
        <f aca="false">-AP30*Hipótesis!$D$61*(1+Hipótesis!$D$45)^3*(1+Hipótesis!$D$42)</f>
        <v>-4904.158776</v>
      </c>
      <c r="AQ50" s="109" t="n">
        <f aca="false">-AQ30*Hipótesis!$D$61*(1+Hipótesis!$D$45)^3*(1+Hipótesis!$D$42)</f>
        <v>-4904.158776</v>
      </c>
      <c r="AR50" s="109" t="n">
        <f aca="false">-AR30*Hipótesis!$D$61*(1+Hipótesis!$D$45)^3*(1+Hipótesis!$D$42)</f>
        <v>-4904.158776</v>
      </c>
      <c r="AS50" s="109" t="n">
        <f aca="false">-AS30*Hipótesis!$D$61*(1+Hipótesis!$D$45)^3*(1+Hipótesis!$D$42)</f>
        <v>-4904.158776</v>
      </c>
      <c r="AT50" s="109" t="n">
        <f aca="false">-AT30*Hipótesis!$D$61*(1+Hipótesis!$D$45)^3*(1+Hipótesis!$D$42)</f>
        <v>-4904.158776</v>
      </c>
      <c r="AU50" s="109" t="n">
        <f aca="false">-AU30*Hipótesis!$D$61*(1+Hipótesis!$D$45)^3*(1+Hipótesis!$D$42)</f>
        <v>-4904.158776</v>
      </c>
      <c r="AV50" s="109" t="n">
        <f aca="false">-AV30*Hipótesis!$D$61*(1+Hipótesis!$D$45)^3*(1+Hipótesis!$D$42)</f>
        <v>-4904.158776</v>
      </c>
      <c r="AW50" s="109" t="n">
        <f aca="false">-AW30*Hipótesis!$D$61*(1+Hipótesis!$D$45)^3*(1+Hipótesis!$D$42)</f>
        <v>-4904.158776</v>
      </c>
      <c r="AX50" s="109" t="n">
        <f aca="false">-AX30*Hipótesis!$D$61*(1+Hipótesis!$D$45)^3*(1+Hipótesis!$D$42)</f>
        <v>-4904.158776</v>
      </c>
      <c r="AY50" s="109" t="n">
        <f aca="false">-AY30*Hipótesis!$D$61*(1+Hipótesis!$D$45)^4*(1+Hipótesis!$D$42)</f>
        <v>-5051.28353928</v>
      </c>
      <c r="AZ50" s="109" t="n">
        <f aca="false">-AZ30*Hipótesis!$D$61*(1+Hipótesis!$D$45)^4*(1+Hipótesis!$D$42)</f>
        <v>-5051.28353928</v>
      </c>
      <c r="BA50" s="109" t="n">
        <f aca="false">-BA30*Hipótesis!$D$61*(1+Hipótesis!$D$45)^4*(1+Hipótesis!$D$42)</f>
        <v>-5051.28353928</v>
      </c>
      <c r="BB50" s="109" t="n">
        <f aca="false">-BB30*Hipótesis!$D$61*(1+Hipótesis!$D$45)^4*(1+Hipótesis!$D$42)</f>
        <v>-5051.28353928</v>
      </c>
      <c r="BC50" s="109" t="n">
        <f aca="false">-BC30*Hipótesis!$D$61*(1+Hipótesis!$D$45)^4*(1+Hipótesis!$D$42)</f>
        <v>-5051.28353928</v>
      </c>
      <c r="BD50" s="109" t="n">
        <f aca="false">-BD30*Hipótesis!$D$61*(1+Hipótesis!$D$45)^4*(1+Hipótesis!$D$42)</f>
        <v>-5051.28353928</v>
      </c>
      <c r="BE50" s="109" t="n">
        <f aca="false">-BE30*Hipótesis!$D$61*(1+Hipótesis!$D$45)^4*(1+Hipótesis!$D$42)</f>
        <v>-5051.28353928</v>
      </c>
      <c r="BF50" s="109" t="n">
        <f aca="false">-BF30*Hipótesis!$D$61*(1+Hipótesis!$D$45)^4*(1+Hipótesis!$D$42)</f>
        <v>-5051.28353928</v>
      </c>
      <c r="BG50" s="109" t="n">
        <f aca="false">-BG30*Hipótesis!$D$61*(1+Hipótesis!$D$45)^4*(1+Hipótesis!$D$42)</f>
        <v>-5051.28353928</v>
      </c>
      <c r="BH50" s="109" t="n">
        <f aca="false">-BH30*Hipótesis!$D$61*(1+Hipótesis!$D$45)^4*(1+Hipótesis!$D$42)</f>
        <v>-5051.28353928</v>
      </c>
      <c r="BI50" s="109" t="n">
        <f aca="false">-BI30*Hipótesis!$D$61*(1+Hipótesis!$D$45)^4*(1+Hipótesis!$D$42)</f>
        <v>-5051.28353928</v>
      </c>
      <c r="BJ50" s="109" t="n">
        <f aca="false">-BJ30*Hipótesis!$D$61*(1+Hipótesis!$D$45)^4*(1+Hipótesis!$D$42)</f>
        <v>-5051.28353928</v>
      </c>
      <c r="BK50" s="109" t="n">
        <f aca="false">-BK30*Hipótesis!$D$61*(1+Hipótesis!$D$45)^5*(1+Hipótesis!$D$42)</f>
        <v>-5202.8220454584</v>
      </c>
      <c r="BL50" s="109" t="n">
        <f aca="false">-BL30*Hipótesis!$D$61*(1+Hipótesis!$D$45)^5*(1+Hipótesis!$D$42)</f>
        <v>-5202.8220454584</v>
      </c>
      <c r="BM50" s="109" t="n">
        <f aca="false">-BM30*Hipótesis!$D$61*(1+Hipótesis!$D$45)^5*(1+Hipótesis!$D$42)</f>
        <v>-5202.8220454584</v>
      </c>
      <c r="BN50" s="109" t="n">
        <f aca="false">-BN30*Hipótesis!$D$61*(1+Hipótesis!$D$45)^5*(1+Hipótesis!$D$42)</f>
        <v>-5202.8220454584</v>
      </c>
      <c r="BO50" s="109" t="n">
        <f aca="false">-BO30*Hipótesis!$D$61*(1+Hipótesis!$D$45)^5*(1+Hipótesis!$D$42)</f>
        <v>-5202.8220454584</v>
      </c>
      <c r="BP50" s="109" t="n">
        <f aca="false">-BP30*Hipótesis!$D$61*(1+Hipótesis!$D$45)^5*(1+Hipótesis!$D$42)</f>
        <v>-5202.8220454584</v>
      </c>
      <c r="BQ50" s="109" t="n">
        <f aca="false">-BQ30*Hipótesis!$D$61*(1+Hipótesis!$D$45)^5*(1+Hipótesis!$D$42)</f>
        <v>-5202.8220454584</v>
      </c>
      <c r="BR50" s="109" t="n">
        <f aca="false">-BR30*Hipótesis!$D$61*(1+Hipótesis!$D$45)^5*(1+Hipótesis!$D$42)</f>
        <v>-5202.8220454584</v>
      </c>
      <c r="BS50" s="109" t="n">
        <f aca="false">-BS30*Hipótesis!$D$61*(1+Hipótesis!$D$45)^5*(1+Hipótesis!$D$42)</f>
        <v>-5202.8220454584</v>
      </c>
      <c r="BT50" s="109" t="n">
        <f aca="false">-BT30*Hipótesis!$D$61*(1+Hipótesis!$D$45)^5*(1+Hipótesis!$D$42)</f>
        <v>-5202.8220454584</v>
      </c>
      <c r="BU50" s="109" t="n">
        <f aca="false">-BU30*Hipótesis!$D$61*(1+Hipótesis!$D$45)^5*(1+Hipótesis!$D$42)</f>
        <v>-5202.8220454584</v>
      </c>
      <c r="BV50" s="109" t="n">
        <f aca="false">-BV30*Hipótesis!$D$61*(1+Hipótesis!$D$45)^5*(1+Hipótesis!$D$42)</f>
        <v>-5202.8220454584</v>
      </c>
      <c r="BW50" s="109" t="n">
        <f aca="false">-BW30*Hipótesis!$D$61*(1+Hipótesis!$D$45)^6*(1+Hipótesis!$D$42)</f>
        <v>-5358.90670682215</v>
      </c>
      <c r="BX50" s="109" t="n">
        <f aca="false">-BX30*Hipótesis!$D$61*(1+Hipótesis!$D$45)^6*(1+Hipótesis!$D$42)</f>
        <v>-5358.90670682215</v>
      </c>
      <c r="BY50" s="109" t="n">
        <f aca="false">-BY30*Hipótesis!$D$61*(1+Hipótesis!$D$45)^6*(1+Hipótesis!$D$42)</f>
        <v>-5358.90670682215</v>
      </c>
      <c r="BZ50" s="109" t="n">
        <f aca="false">-BZ30*Hipótesis!$D$61*(1+Hipótesis!$D$45)^6*(1+Hipótesis!$D$42)</f>
        <v>-5358.90670682215</v>
      </c>
      <c r="CA50" s="109" t="n">
        <f aca="false">-CA30*Hipótesis!$D$61*(1+Hipótesis!$D$45)^6*(1+Hipótesis!$D$42)</f>
        <v>-5358.90670682215</v>
      </c>
      <c r="CB50" s="109" t="n">
        <f aca="false">-CB30*Hipótesis!$D$61*(1+Hipótesis!$D$45)^6*(1+Hipótesis!$D$42)</f>
        <v>-5358.90670682215</v>
      </c>
      <c r="CC50" s="109" t="n">
        <f aca="false">-CC30*Hipótesis!$D$61*(1+Hipótesis!$D$45)^6*(1+Hipótesis!$D$42)</f>
        <v>-5358.90670682215</v>
      </c>
      <c r="CD50" s="109" t="n">
        <f aca="false">-CD30*Hipótesis!$D$61*(1+Hipótesis!$D$45)^6*(1+Hipótesis!$D$42)</f>
        <v>-5358.90670682215</v>
      </c>
      <c r="CE50" s="109" t="n">
        <f aca="false">-CE30*Hipótesis!$D$61*(1+Hipótesis!$D$45)^6*(1+Hipótesis!$D$42)</f>
        <v>-5358.90670682215</v>
      </c>
      <c r="CF50" s="109" t="n">
        <f aca="false">-CF30*Hipótesis!$D$61*(1+Hipótesis!$D$45)^6*(1+Hipótesis!$D$42)</f>
        <v>-5358.90670682215</v>
      </c>
      <c r="CG50" s="109" t="n">
        <f aca="false">-CG30*Hipótesis!$D$61*(1+Hipótesis!$D$45)^6*(1+Hipótesis!$D$42)</f>
        <v>-5358.90670682215</v>
      </c>
      <c r="CH50" s="109" t="n">
        <f aca="false">-CH30*Hipótesis!$D$61*(1+Hipótesis!$D$45)^6*(1+Hipótesis!$D$42)</f>
        <v>-5358.90670682215</v>
      </c>
    </row>
    <row r="51" customFormat="false" ht="13.5" hidden="false" customHeight="true" outlineLevel="0" collapsed="false">
      <c r="A51" s="22" t="s">
        <v>556</v>
      </c>
      <c r="C51" s="109" t="n">
        <f aca="false">SUM(C44:C49)+C50</f>
        <v>-11352</v>
      </c>
      <c r="D51" s="109" t="n">
        <f aca="false">SUM(D44:D49)+D50</f>
        <v>-11352</v>
      </c>
      <c r="E51" s="109" t="n">
        <f aca="false">SUM(E44:E49)+E50</f>
        <v>-11352</v>
      </c>
      <c r="F51" s="109" t="n">
        <f aca="false">SUM(F44:F49)+F50</f>
        <v>-11352</v>
      </c>
      <c r="G51" s="109" t="n">
        <f aca="false">SUM(G44:G49)+G50</f>
        <v>-11352</v>
      </c>
      <c r="H51" s="109" t="n">
        <f aca="false">SUM(H44:H49)+H50</f>
        <v>-11352</v>
      </c>
      <c r="I51" s="109" t="n">
        <f aca="false">SUM(I44:I49)+I50</f>
        <v>-11352</v>
      </c>
      <c r="J51" s="109" t="n">
        <f aca="false">SUM(J44:J49)+J50</f>
        <v>-11352</v>
      </c>
      <c r="K51" s="109" t="n">
        <f aca="false">SUM(K44:K49)+K50</f>
        <v>-11352</v>
      </c>
      <c r="L51" s="109" t="n">
        <f aca="false">SUM(L44:L49)+L50</f>
        <v>-11352</v>
      </c>
      <c r="M51" s="109" t="n">
        <f aca="false">SUM(M44:M49)+M50</f>
        <v>-11352</v>
      </c>
      <c r="N51" s="109" t="n">
        <f aca="false">SUM(N44:N49)+N50</f>
        <v>-11352</v>
      </c>
      <c r="O51" s="109" t="n">
        <f aca="false">SUM(O44:O49)+O50</f>
        <v>-16579.2</v>
      </c>
      <c r="P51" s="109" t="n">
        <f aca="false">SUM(P44:P49)+P50</f>
        <v>-16579.2</v>
      </c>
      <c r="Q51" s="109" t="n">
        <f aca="false">SUM(Q44:Q49)+Q50</f>
        <v>-16579.2</v>
      </c>
      <c r="R51" s="109" t="n">
        <f aca="false">SUM(R44:R49)+R50</f>
        <v>-16579.2</v>
      </c>
      <c r="S51" s="109" t="n">
        <f aca="false">SUM(S44:S49)+S50</f>
        <v>-16579.2</v>
      </c>
      <c r="T51" s="109" t="n">
        <f aca="false">SUM(T44:T49)+T50</f>
        <v>-16579.2</v>
      </c>
      <c r="U51" s="109" t="n">
        <f aca="false">SUM(U44:U49)+U50</f>
        <v>-16579.2</v>
      </c>
      <c r="V51" s="109" t="n">
        <f aca="false">SUM(V44:V49)+V50</f>
        <v>-21609.72</v>
      </c>
      <c r="W51" s="109" t="n">
        <f aca="false">SUM(W44:W49)+W50</f>
        <v>-21609.72</v>
      </c>
      <c r="X51" s="109" t="n">
        <f aca="false">SUM(X44:X49)+X50</f>
        <v>-21609.72</v>
      </c>
      <c r="Y51" s="109" t="n">
        <f aca="false">SUM(Y44:Y49)+Y50</f>
        <v>-21609.72</v>
      </c>
      <c r="Z51" s="109" t="n">
        <f aca="false">SUM(Z44:Z49)+Z50</f>
        <v>-21609.72</v>
      </c>
      <c r="AA51" s="109" t="n">
        <f aca="false">SUM(AA44:AA49)+AA50</f>
        <v>-23822.2116</v>
      </c>
      <c r="AB51" s="109" t="n">
        <f aca="false">SUM(AB44:AB49)+AB50</f>
        <v>-23822.2116</v>
      </c>
      <c r="AC51" s="109" t="n">
        <f aca="false">SUM(AC44:AC49)+AC50</f>
        <v>-23822.2116</v>
      </c>
      <c r="AD51" s="109" t="n">
        <f aca="false">SUM(AD44:AD49)+AD50</f>
        <v>-23822.2116</v>
      </c>
      <c r="AE51" s="109" t="n">
        <f aca="false">SUM(AE44:AE49)+AE50</f>
        <v>-23822.2116</v>
      </c>
      <c r="AF51" s="109" t="n">
        <f aca="false">SUM(AF44:AF49)+AF50</f>
        <v>-23822.2116</v>
      </c>
      <c r="AG51" s="109" t="n">
        <f aca="false">SUM(AG44:AG49)+AG50</f>
        <v>-23822.2116</v>
      </c>
      <c r="AH51" s="109" t="n">
        <f aca="false">SUM(AH44:AH49)+AH50</f>
        <v>-23822.2116</v>
      </c>
      <c r="AI51" s="109" t="n">
        <f aca="false">SUM(AI44:AI49)+AI50</f>
        <v>-26202.8712</v>
      </c>
      <c r="AJ51" s="109" t="n">
        <f aca="false">SUM(AJ44:AJ49)+AJ50</f>
        <v>-26202.8712</v>
      </c>
      <c r="AK51" s="109" t="n">
        <f aca="false">SUM(AK44:AK49)+AK50</f>
        <v>-26202.8712</v>
      </c>
      <c r="AL51" s="109" t="n">
        <f aca="false">SUM(AL44:AL49)+AL50</f>
        <v>-26202.8712</v>
      </c>
      <c r="AM51" s="109" t="n">
        <f aca="false">SUM(AM44:AM49)+AM50</f>
        <v>-28493.757336</v>
      </c>
      <c r="AN51" s="109" t="n">
        <f aca="false">SUM(AN44:AN49)+AN50</f>
        <v>-28493.757336</v>
      </c>
      <c r="AO51" s="109" t="n">
        <f aca="false">SUM(AO44:AO49)+AO50</f>
        <v>-28493.757336</v>
      </c>
      <c r="AP51" s="109" t="n">
        <f aca="false">SUM(AP44:AP49)+AP50</f>
        <v>-28493.757336</v>
      </c>
      <c r="AQ51" s="109" t="n">
        <f aca="false">SUM(AQ44:AQ49)+AQ50</f>
        <v>-28493.757336</v>
      </c>
      <c r="AR51" s="109" t="n">
        <f aca="false">SUM(AR44:AR49)+AR50</f>
        <v>-28493.757336</v>
      </c>
      <c r="AS51" s="109" t="n">
        <f aca="false">SUM(AS44:AS49)+AS50</f>
        <v>-28493.757336</v>
      </c>
      <c r="AT51" s="109" t="n">
        <f aca="false">SUM(AT44:AT49)+AT50</f>
        <v>-28493.757336</v>
      </c>
      <c r="AU51" s="109" t="n">
        <f aca="false">SUM(AU44:AU49)+AU50</f>
        <v>-28493.757336</v>
      </c>
      <c r="AV51" s="109" t="n">
        <f aca="false">SUM(AV44:AV49)+AV50</f>
        <v>-28493.757336</v>
      </c>
      <c r="AW51" s="109" t="n">
        <f aca="false">SUM(AW44:AW49)+AW50</f>
        <v>-28493.757336</v>
      </c>
      <c r="AX51" s="109" t="n">
        <f aca="false">SUM(AX44:AX49)+AX50</f>
        <v>-28493.757336</v>
      </c>
      <c r="AY51" s="109" t="n">
        <f aca="false">SUM(AY44:AY49)+AY50</f>
        <v>-30793.97005608</v>
      </c>
      <c r="AZ51" s="109" t="n">
        <f aca="false">SUM(AZ44:AZ49)+AZ50</f>
        <v>-30793.97005608</v>
      </c>
      <c r="BA51" s="109" t="n">
        <f aca="false">SUM(BA44:BA49)+BA50</f>
        <v>-30793.97005608</v>
      </c>
      <c r="BB51" s="109" t="n">
        <f aca="false">SUM(BB44:BB49)+BB50</f>
        <v>-30793.97005608</v>
      </c>
      <c r="BC51" s="109" t="n">
        <f aca="false">SUM(BC44:BC49)+BC50</f>
        <v>-30793.97005608</v>
      </c>
      <c r="BD51" s="109" t="n">
        <f aca="false">SUM(BD44:BD49)+BD50</f>
        <v>-30793.97005608</v>
      </c>
      <c r="BE51" s="109" t="n">
        <f aca="false">SUM(BE44:BE49)+BE50</f>
        <v>-30793.97005608</v>
      </c>
      <c r="BF51" s="109" t="n">
        <f aca="false">SUM(BF44:BF49)+BF50</f>
        <v>-30793.97005608</v>
      </c>
      <c r="BG51" s="109" t="n">
        <f aca="false">SUM(BG44:BG49)+BG50</f>
        <v>-30793.97005608</v>
      </c>
      <c r="BH51" s="109" t="n">
        <f aca="false">SUM(BH44:BH49)+BH50</f>
        <v>-30793.97005608</v>
      </c>
      <c r="BI51" s="109" t="n">
        <f aca="false">SUM(BI44:BI49)+BI50</f>
        <v>-30793.97005608</v>
      </c>
      <c r="BJ51" s="109" t="n">
        <f aca="false">SUM(BJ44:BJ49)+BJ50</f>
        <v>-30793.97005608</v>
      </c>
      <c r="BK51" s="109" t="n">
        <f aca="false">SUM(BK44:BK49)+BK50</f>
        <v>-33103.7891577624</v>
      </c>
      <c r="BL51" s="109" t="n">
        <f aca="false">SUM(BL44:BL49)+BL50</f>
        <v>-33103.7891577624</v>
      </c>
      <c r="BM51" s="109" t="n">
        <f aca="false">SUM(BM44:BM49)+BM50</f>
        <v>-33103.7891577624</v>
      </c>
      <c r="BN51" s="109" t="n">
        <f aca="false">SUM(BN44:BN49)+BN50</f>
        <v>-33103.7891577624</v>
      </c>
      <c r="BO51" s="109" t="n">
        <f aca="false">SUM(BO44:BO49)+BO50</f>
        <v>-33103.7891577624</v>
      </c>
      <c r="BP51" s="109" t="n">
        <f aca="false">SUM(BP44:BP49)+BP50</f>
        <v>-33103.7891577624</v>
      </c>
      <c r="BQ51" s="109" t="n">
        <f aca="false">SUM(BQ44:BQ49)+BQ50</f>
        <v>-33103.7891577624</v>
      </c>
      <c r="BR51" s="109" t="n">
        <f aca="false">SUM(BR44:BR49)+BR50</f>
        <v>-33103.7891577624</v>
      </c>
      <c r="BS51" s="109" t="n">
        <f aca="false">SUM(BS44:BS49)+BS50</f>
        <v>-33103.7891577624</v>
      </c>
      <c r="BT51" s="109" t="n">
        <f aca="false">SUM(BT44:BT49)+BT50</f>
        <v>-33103.7891577624</v>
      </c>
      <c r="BU51" s="109" t="n">
        <f aca="false">SUM(BU44:BU49)+BU50</f>
        <v>-33103.7891577624</v>
      </c>
      <c r="BV51" s="109" t="n">
        <f aca="false">SUM(BV44:BV49)+BV50</f>
        <v>-33103.7891577624</v>
      </c>
      <c r="BW51" s="109" t="n">
        <f aca="false">SUM(BW44:BW49)+BW50</f>
        <v>-35423.5028324953</v>
      </c>
      <c r="BX51" s="109" t="n">
        <f aca="false">SUM(BX44:BX49)+BX50</f>
        <v>-35423.5028324953</v>
      </c>
      <c r="BY51" s="109" t="n">
        <f aca="false">SUM(BY44:BY49)+BY50</f>
        <v>-35423.5028324953</v>
      </c>
      <c r="BZ51" s="109" t="n">
        <f aca="false">SUM(BZ44:BZ49)+BZ50</f>
        <v>-35423.5028324953</v>
      </c>
      <c r="CA51" s="109" t="n">
        <f aca="false">SUM(CA44:CA49)+CA50</f>
        <v>-35423.5028324953</v>
      </c>
      <c r="CB51" s="109" t="n">
        <f aca="false">SUM(CB44:CB49)+CB50</f>
        <v>-35423.5028324953</v>
      </c>
      <c r="CC51" s="109" t="n">
        <f aca="false">SUM(CC44:CC49)+CC50</f>
        <v>-35423.5028324953</v>
      </c>
      <c r="CD51" s="109" t="n">
        <f aca="false">SUM(CD44:CD49)+CD50</f>
        <v>-35423.5028324953</v>
      </c>
      <c r="CE51" s="109" t="n">
        <f aca="false">SUM(CE44:CE49)+CE50</f>
        <v>-35423.5028324953</v>
      </c>
      <c r="CF51" s="109" t="n">
        <f aca="false">SUM(CF44:CF49)+CF50</f>
        <v>-35423.5028324953</v>
      </c>
      <c r="CG51" s="109" t="n">
        <f aca="false">SUM(CG44:CG49)+CG50</f>
        <v>-35423.5028324953</v>
      </c>
      <c r="CH51" s="109" t="n">
        <f aca="false">SUM(CH44:CH49)+CH50</f>
        <v>-35423.5028324953</v>
      </c>
    </row>
    <row r="52" customFormat="false" ht="13.5" hidden="false" customHeight="true" outlineLevel="0" collapsed="false">
      <c r="A52" s="6" t="s">
        <v>557</v>
      </c>
      <c r="C52" s="109" t="n">
        <f aca="false">-(C26*(1-Logistica!$B$5)*Logistica!$B$7+C26*Logistica!$B$5*Logistica!$B$39)</f>
        <v>-4.78047324930469</v>
      </c>
      <c r="D52" s="109" t="n">
        <f aca="false">-(D26*(1-Logistica!$B$5)*Logistica!$B$7+D26*Logistica!$B$5*Logistica!$B$39)</f>
        <v>-10.5673619195156</v>
      </c>
      <c r="E52" s="109" t="n">
        <f aca="false">-(E26*(1-Logistica!$B$5)*Logistica!$B$7+E26*Logistica!$B$5*Logistica!$B$39)</f>
        <v>-29.1860472062813</v>
      </c>
      <c r="F52" s="109" t="n">
        <f aca="false">-(F26*(1-Logistica!$B$5)*Logistica!$B$7+F26*Logistica!$B$5*Logistica!$B$39)</f>
        <v>-43.0242592437422</v>
      </c>
      <c r="G52" s="109" t="n">
        <f aca="false">-(G26*(1-Logistica!$B$5)*Logistica!$B$7+G26*Logistica!$B$5*Logistica!$B$39)</f>
        <v>-55.8560558602969</v>
      </c>
      <c r="H52" s="109" t="n">
        <f aca="false">-(H26*(1-Logistica!$B$5)*Logistica!$B$7+H26*Logistica!$B$5*Logistica!$B$39)</f>
        <v>-80.2196958414023</v>
      </c>
      <c r="I52" s="109" t="n">
        <f aca="false">-(I26*(1-Logistica!$B$5)*Logistica!$B$7+I26*Logistica!$B$5*Logistica!$B$39)</f>
        <v>-126.830328069318</v>
      </c>
      <c r="J52" s="109" t="n">
        <f aca="false">-(J26*(1-Logistica!$B$5)*Logistica!$B$7+J26*Logistica!$B$5*Logistica!$B$39)</f>
        <v>-173.440960297233</v>
      </c>
      <c r="K52" s="109" t="n">
        <f aca="false">-(K26*(1-Logistica!$B$5)*Logistica!$B$7+K26*Logistica!$B$5*Logistica!$B$39)</f>
        <v>-220.051592525148</v>
      </c>
      <c r="L52" s="109" t="n">
        <f aca="false">-(L26*(1-Logistica!$B$5)*Logistica!$B$7+L26*Logistica!$B$5*Logistica!$B$39)</f>
        <v>-266.662224753063</v>
      </c>
      <c r="M52" s="109" t="n">
        <f aca="false">-(M26*(1-Logistica!$B$5)*Logistica!$B$7+M26*Logistica!$B$5*Logistica!$B$39)</f>
        <v>-300.441060364424</v>
      </c>
      <c r="N52" s="109" t="n">
        <f aca="false">-(N26*(1-Logistica!$B$5)*Logistica!$B$7+N26*Logistica!$B$5*Logistica!$B$39)</f>
        <v>-350.993486324222</v>
      </c>
      <c r="O52" s="109" t="n">
        <f aca="false">-(O26*(1-Logistica!$B$5)*Logistica!$B$7+O26*Logistica!$B$5*Logistica!$B$39)</f>
        <v>-401.54591228402</v>
      </c>
      <c r="P52" s="109" t="n">
        <f aca="false">-(P26*(1-Logistica!$B$5)*Logistica!$B$7+P26*Logistica!$B$5*Logistica!$B$39)</f>
        <v>-447.275931018642</v>
      </c>
      <c r="Q52" s="109" t="n">
        <f aca="false">-(Q26*(1-Logistica!$B$5)*Logistica!$B$7+Q26*Logistica!$B$5*Logistica!$B$39)</f>
        <v>-493.005949753265</v>
      </c>
      <c r="R52" s="109" t="n">
        <f aca="false">-(R26*(1-Logistica!$B$5)*Logistica!$B$7+R26*Logistica!$B$5*Logistica!$B$39)</f>
        <v>-538.735968487887</v>
      </c>
      <c r="S52" s="109" t="n">
        <f aca="false">-(S26*(1-Logistica!$B$5)*Logistica!$B$7+S26*Logistica!$B$5*Logistica!$B$39)</f>
        <v>-584.465987222509</v>
      </c>
      <c r="T52" s="109" t="n">
        <f aca="false">-(T26*(1-Logistica!$B$5)*Logistica!$B$7+T26*Logistica!$B$5*Logistica!$B$39)</f>
        <v>-630.196005957131</v>
      </c>
      <c r="U52" s="109" t="n">
        <f aca="false">-(U26*(1-Logistica!$B$5)*Logistica!$B$7+U26*Logistica!$B$5*Logistica!$B$39)</f>
        <v>-675.926024691754</v>
      </c>
      <c r="V52" s="109" t="n">
        <f aca="false">-(V26*(1-Logistica!$B$5)*Logistica!$B$7+V26*Logistica!$B$5*Logistica!$B$39)</f>
        <v>-721.656043426376</v>
      </c>
      <c r="W52" s="109" t="n">
        <f aca="false">-(W26*(1-Logistica!$B$5)*Logistica!$B$7+W26*Logistica!$B$5*Logistica!$B$39)</f>
        <v>-767.386062160998</v>
      </c>
      <c r="X52" s="109" t="n">
        <f aca="false">-(X26*(1-Logistica!$B$5)*Logistica!$B$7+X26*Logistica!$B$5*Logistica!$B$39)</f>
        <v>-796.342490547183</v>
      </c>
      <c r="Y52" s="109" t="n">
        <f aca="false">-(Y26*(1-Logistica!$B$5)*Logistica!$B$7+Y26*Logistica!$B$5*Logistica!$B$39)</f>
        <v>-825.298918933368</v>
      </c>
      <c r="Z52" s="109" t="n">
        <f aca="false">-(Z26*(1-Logistica!$B$5)*Logistica!$B$7+Z26*Logistica!$B$5*Logistica!$B$39)</f>
        <v>-847.545911180178</v>
      </c>
      <c r="AA52" s="109" t="n">
        <f aca="false">-(AA26*(1-Logistica!$B$5)*Logistica!$B$7+AA26*Logistica!$B$5*Logistica!$B$39)</f>
        <v>-869.792903426987</v>
      </c>
      <c r="AB52" s="109" t="n">
        <f aca="false">-(AB26*(1-Logistica!$B$5)*Logistica!$B$7+AB26*Logistica!$B$5*Logistica!$B$39)</f>
        <v>-892.039895673797</v>
      </c>
      <c r="AC52" s="109" t="n">
        <f aca="false">-(AC26*(1-Logistica!$B$5)*Logistica!$B$7+AC26*Logistica!$B$5*Logistica!$B$39)</f>
        <v>-914.286887920607</v>
      </c>
      <c r="AD52" s="109" t="n">
        <f aca="false">-(AD26*(1-Logistica!$B$5)*Logistica!$B$7+AD26*Logistica!$B$5*Logistica!$B$39)</f>
        <v>-936.533880167417</v>
      </c>
      <c r="AE52" s="109" t="n">
        <f aca="false">-(AE26*(1-Logistica!$B$5)*Logistica!$B$7+AE26*Logistica!$B$5*Logistica!$B$39)</f>
        <v>-958.780872414227</v>
      </c>
      <c r="AF52" s="109" t="n">
        <f aca="false">-(AF26*(1-Logistica!$B$5)*Logistica!$B$7+AF26*Logistica!$B$5*Logistica!$B$39)</f>
        <v>-981.027864661036</v>
      </c>
      <c r="AG52" s="109" t="n">
        <f aca="false">-(AG26*(1-Logistica!$B$5)*Logistica!$B$7+AG26*Logistica!$B$5*Logistica!$B$39)</f>
        <v>-1003.27485690785</v>
      </c>
      <c r="AH52" s="109" t="n">
        <f aca="false">-(AH26*(1-Logistica!$B$5)*Logistica!$B$7+AH26*Logistica!$B$5*Logistica!$B$39)</f>
        <v>-1025.52184915466</v>
      </c>
      <c r="AI52" s="109" t="n">
        <f aca="false">-(AI26*(1-Logistica!$B$5)*Logistica!$B$7+AI26*Logistica!$B$5*Logistica!$B$39)</f>
        <v>-1047.76884140147</v>
      </c>
      <c r="AJ52" s="109" t="n">
        <f aca="false">-(AJ26*(1-Logistica!$B$5)*Logistica!$B$7+AJ26*Logistica!$B$5*Logistica!$B$39)</f>
        <v>-1070.01583364828</v>
      </c>
      <c r="AK52" s="109" t="n">
        <f aca="false">-(AK26*(1-Logistica!$B$5)*Logistica!$B$7+AK26*Logistica!$B$5*Logistica!$B$39)</f>
        <v>-1092.26282589509</v>
      </c>
      <c r="AL52" s="109" t="n">
        <f aca="false">-(AL26*(1-Logistica!$B$5)*Logistica!$B$7+AL26*Logistica!$B$5*Logistica!$B$39)</f>
        <v>-1114.50981814189</v>
      </c>
      <c r="AM52" s="109" t="n">
        <f aca="false">-(AM26*(1-Logistica!$B$5)*Logistica!$B$7+AM26*Logistica!$B$5*Logistica!$B$39)</f>
        <v>-1136.7568103887</v>
      </c>
      <c r="AN52" s="109" t="n">
        <f aca="false">-(AN26*(1-Logistica!$B$5)*Logistica!$B$7+AN26*Logistica!$B$5*Logistica!$B$39)</f>
        <v>-1159.00380263551</v>
      </c>
      <c r="AO52" s="109" t="n">
        <f aca="false">-(AO26*(1-Logistica!$B$5)*Logistica!$B$7+AO26*Logistica!$B$5*Logistica!$B$39)</f>
        <v>-1181.25079488232</v>
      </c>
      <c r="AP52" s="109" t="n">
        <f aca="false">-(AP26*(1-Logistica!$B$5)*Logistica!$B$7+AP26*Logistica!$B$5*Logistica!$B$39)</f>
        <v>-1203.49778712913</v>
      </c>
      <c r="AQ52" s="109" t="n">
        <f aca="false">-(AQ26*(1-Logistica!$B$5)*Logistica!$B$7+AQ26*Logistica!$B$5*Logistica!$B$39)</f>
        <v>-1225.74477937594</v>
      </c>
      <c r="AR52" s="109" t="n">
        <f aca="false">-(AR26*(1-Logistica!$B$5)*Logistica!$B$7+AR26*Logistica!$B$5*Logistica!$B$39)</f>
        <v>-1247.99177162275</v>
      </c>
      <c r="AS52" s="109" t="n">
        <f aca="false">-(AS26*(1-Logistica!$B$5)*Logistica!$B$7+AS26*Logistica!$B$5*Logistica!$B$39)</f>
        <v>-1247.99177162275</v>
      </c>
      <c r="AT52" s="109" t="n">
        <f aca="false">-(AT26*(1-Logistica!$B$5)*Logistica!$B$7+AT26*Logistica!$B$5*Logistica!$B$39)</f>
        <v>-1247.99177162275</v>
      </c>
      <c r="AU52" s="109" t="n">
        <f aca="false">-(AU26*(1-Logistica!$B$5)*Logistica!$B$7+AU26*Logistica!$B$5*Logistica!$B$39)</f>
        <v>-1247.99177162275</v>
      </c>
      <c r="AV52" s="109" t="n">
        <f aca="false">-(AV26*(1-Logistica!$B$5)*Logistica!$B$7+AV26*Logistica!$B$5*Logistica!$B$39)</f>
        <v>-1247.99177162275</v>
      </c>
      <c r="AW52" s="109" t="n">
        <f aca="false">-(AW26*(1-Logistica!$B$5)*Logistica!$B$7+AW26*Logistica!$B$5*Logistica!$B$39)</f>
        <v>-1247.99177162275</v>
      </c>
      <c r="AX52" s="109" t="n">
        <f aca="false">-(AX26*(1-Logistica!$B$5)*Logistica!$B$7+AX26*Logistica!$B$5*Logistica!$B$39)</f>
        <v>-1247.99177162275</v>
      </c>
      <c r="AY52" s="109" t="n">
        <f aca="false">-(AY26*(1-Logistica!$B$5)*Logistica!$B$7+AY26*Logistica!$B$5*Logistica!$B$39)</f>
        <v>-1247.99177162275</v>
      </c>
      <c r="AZ52" s="109" t="n">
        <f aca="false">-(AZ26*(1-Logistica!$B$5)*Logistica!$B$7+AZ26*Logistica!$B$5*Logistica!$B$39)</f>
        <v>-1247.99177162275</v>
      </c>
      <c r="BA52" s="109" t="n">
        <f aca="false">-(BA26*(1-Logistica!$B$5)*Logistica!$B$7+BA26*Logistica!$B$5*Logistica!$B$39)</f>
        <v>-1247.99177162275</v>
      </c>
      <c r="BB52" s="109" t="n">
        <f aca="false">-(BB26*(1-Logistica!$B$5)*Logistica!$B$7+BB26*Logistica!$B$5*Logistica!$B$39)</f>
        <v>-1247.99177162275</v>
      </c>
      <c r="BC52" s="109" t="n">
        <f aca="false">-(BC26*(1-Logistica!$B$5)*Logistica!$B$7+BC26*Logistica!$B$5*Logistica!$B$39)</f>
        <v>-1247.99177162275</v>
      </c>
      <c r="BD52" s="109" t="n">
        <f aca="false">-(BD26*(1-Logistica!$B$5)*Logistica!$B$7+BD26*Logistica!$B$5*Logistica!$B$39)</f>
        <v>-1247.99177162275</v>
      </c>
      <c r="BE52" s="109" t="n">
        <f aca="false">-(BE26*(1-Logistica!$B$5)*Logistica!$B$7+BE26*Logistica!$B$5*Logistica!$B$39)</f>
        <v>-1247.99177162275</v>
      </c>
      <c r="BF52" s="109" t="n">
        <f aca="false">-(BF26*(1-Logistica!$B$5)*Logistica!$B$7+BF26*Logistica!$B$5*Logistica!$B$39)</f>
        <v>-1247.99177162275</v>
      </c>
      <c r="BG52" s="109" t="n">
        <f aca="false">-(BG26*(1-Logistica!$B$5)*Logistica!$B$7+BG26*Logistica!$B$5*Logistica!$B$39)</f>
        <v>-1247.99177162275</v>
      </c>
      <c r="BH52" s="109" t="n">
        <f aca="false">-(BH26*(1-Logistica!$B$5)*Logistica!$B$7+BH26*Logistica!$B$5*Logistica!$B$39)</f>
        <v>-1247.99177162275</v>
      </c>
      <c r="BI52" s="109" t="n">
        <f aca="false">-(BI26*(1-Logistica!$B$5)*Logistica!$B$7+BI26*Logistica!$B$5*Logistica!$B$39)</f>
        <v>-1247.99177162275</v>
      </c>
      <c r="BJ52" s="109" t="n">
        <f aca="false">-(BJ26*(1-Logistica!$B$5)*Logistica!$B$7+BJ26*Logistica!$B$5*Logistica!$B$39)</f>
        <v>-1247.99177162275</v>
      </c>
      <c r="BK52" s="109" t="n">
        <f aca="false">-(BK26*(1-Logistica!$B$5)*Logistica!$B$7+BK26*Logistica!$B$5*Logistica!$B$39)</f>
        <v>-1247.99177162275</v>
      </c>
      <c r="BL52" s="109" t="n">
        <f aca="false">-(BL26*(1-Logistica!$B$5)*Logistica!$B$7+BL26*Logistica!$B$5*Logistica!$B$39)</f>
        <v>-1247.99177162275</v>
      </c>
      <c r="BM52" s="109" t="n">
        <f aca="false">-(BM26*(1-Logistica!$B$5)*Logistica!$B$7+BM26*Logistica!$B$5*Logistica!$B$39)</f>
        <v>-1247.99177162275</v>
      </c>
      <c r="BN52" s="109" t="n">
        <f aca="false">-(BN26*(1-Logistica!$B$5)*Logistica!$B$7+BN26*Logistica!$B$5*Logistica!$B$39)</f>
        <v>-1247.99177162275</v>
      </c>
      <c r="BO52" s="109" t="n">
        <f aca="false">-(BO26*(1-Logistica!$B$5)*Logistica!$B$7+BO26*Logistica!$B$5*Logistica!$B$39)</f>
        <v>-1247.99177162275</v>
      </c>
      <c r="BP52" s="109" t="n">
        <f aca="false">-(BP26*(1-Logistica!$B$5)*Logistica!$B$7+BP26*Logistica!$B$5*Logistica!$B$39)</f>
        <v>-1247.99177162275</v>
      </c>
      <c r="BQ52" s="109" t="n">
        <f aca="false">-(BQ26*(1-Logistica!$B$5)*Logistica!$B$7+BQ26*Logistica!$B$5*Logistica!$B$39)</f>
        <v>-1247.99177162275</v>
      </c>
      <c r="BR52" s="109" t="n">
        <f aca="false">-(BR26*(1-Logistica!$B$5)*Logistica!$B$7+BR26*Logistica!$B$5*Logistica!$B$39)</f>
        <v>-1247.99177162275</v>
      </c>
      <c r="BS52" s="109" t="n">
        <f aca="false">-(BS26*(1-Logistica!$B$5)*Logistica!$B$7+BS26*Logistica!$B$5*Logistica!$B$39)</f>
        <v>-1247.99177162275</v>
      </c>
      <c r="BT52" s="109" t="n">
        <f aca="false">-(BT26*(1-Logistica!$B$5)*Logistica!$B$7+BT26*Logistica!$B$5*Logistica!$B$39)</f>
        <v>-1247.99177162275</v>
      </c>
      <c r="BU52" s="109" t="n">
        <f aca="false">-(BU26*(1-Logistica!$B$5)*Logistica!$B$7+BU26*Logistica!$B$5*Logistica!$B$39)</f>
        <v>-1247.99177162275</v>
      </c>
      <c r="BV52" s="109" t="n">
        <f aca="false">-(BV26*(1-Logistica!$B$5)*Logistica!$B$7+BV26*Logistica!$B$5*Logistica!$B$39)</f>
        <v>-1247.99177162275</v>
      </c>
      <c r="BW52" s="109" t="n">
        <f aca="false">-(BW26*(1-Logistica!$B$5)*Logistica!$B$7+BW26*Logistica!$B$5*Logistica!$B$39)</f>
        <v>-1247.99177162275</v>
      </c>
      <c r="BX52" s="109" t="n">
        <f aca="false">-(BX26*(1-Logistica!$B$5)*Logistica!$B$7+BX26*Logistica!$B$5*Logistica!$B$39)</f>
        <v>-1247.99177162275</v>
      </c>
      <c r="BY52" s="109" t="n">
        <f aca="false">-(BY26*(1-Logistica!$B$5)*Logistica!$B$7+BY26*Logistica!$B$5*Logistica!$B$39)</f>
        <v>-1247.99177162275</v>
      </c>
      <c r="BZ52" s="109" t="n">
        <f aca="false">-(BZ26*(1-Logistica!$B$5)*Logistica!$B$7+BZ26*Logistica!$B$5*Logistica!$B$39)</f>
        <v>-1247.99177162275</v>
      </c>
      <c r="CA52" s="109" t="n">
        <f aca="false">-(CA26*(1-Logistica!$B$5)*Logistica!$B$7+CA26*Logistica!$B$5*Logistica!$B$39)</f>
        <v>-1247.99177162275</v>
      </c>
      <c r="CB52" s="109" t="n">
        <f aca="false">-(CB26*(1-Logistica!$B$5)*Logistica!$B$7+CB26*Logistica!$B$5*Logistica!$B$39)</f>
        <v>-1247.99177162275</v>
      </c>
      <c r="CC52" s="109" t="n">
        <f aca="false">-(CC26*(1-Logistica!$B$5)*Logistica!$B$7+CC26*Logistica!$B$5*Logistica!$B$39)</f>
        <v>-1247.99177162275</v>
      </c>
      <c r="CD52" s="109" t="n">
        <f aca="false">-(CD26*(1-Logistica!$B$5)*Logistica!$B$7+CD26*Logistica!$B$5*Logistica!$B$39)</f>
        <v>-1247.99177162275</v>
      </c>
      <c r="CE52" s="109" t="n">
        <f aca="false">-(CE26*(1-Logistica!$B$5)*Logistica!$B$7+CE26*Logistica!$B$5*Logistica!$B$39)</f>
        <v>-1247.99177162275</v>
      </c>
      <c r="CF52" s="109" t="n">
        <f aca="false">-(CF26*(1-Logistica!$B$5)*Logistica!$B$7+CF26*Logistica!$B$5*Logistica!$B$39)</f>
        <v>-1247.99177162275</v>
      </c>
      <c r="CG52" s="109" t="n">
        <f aca="false">-(CG26*(1-Logistica!$B$5)*Logistica!$B$7+CG26*Logistica!$B$5*Logistica!$B$39)</f>
        <v>-1247.99177162275</v>
      </c>
      <c r="CH52" s="109" t="n">
        <f aca="false">-(CH26*(1-Logistica!$B$5)*Logistica!$B$7+CH26*Logistica!$B$5*Logistica!$B$39)</f>
        <v>-1247.99177162275</v>
      </c>
    </row>
    <row r="53" customFormat="false" ht="13.5" hidden="false" customHeight="true" outlineLevel="0" collapsed="false">
      <c r="A53" s="6" t="s">
        <v>558</v>
      </c>
      <c r="C53" s="109" t="n">
        <f aca="false">-Hipótesis!$E$39</f>
        <v>-500</v>
      </c>
      <c r="D53" s="109" t="n">
        <f aca="false">-Hipótesis!$E$39</f>
        <v>-500</v>
      </c>
      <c r="E53" s="109" t="n">
        <f aca="false">-Hipótesis!$E$39</f>
        <v>-500</v>
      </c>
      <c r="F53" s="109" t="n">
        <f aca="false">-Hipótesis!$E$39</f>
        <v>-500</v>
      </c>
      <c r="G53" s="109" t="n">
        <f aca="false">-Hipótesis!$E$39</f>
        <v>-500</v>
      </c>
      <c r="H53" s="109" t="n">
        <f aca="false">-Hipótesis!$E$39</f>
        <v>-500</v>
      </c>
      <c r="I53" s="109" t="n">
        <f aca="false">-Hipótesis!$E$39</f>
        <v>-500</v>
      </c>
      <c r="J53" s="109" t="n">
        <f aca="false">-Hipótesis!$E$39</f>
        <v>-500</v>
      </c>
      <c r="K53" s="109" t="n">
        <f aca="false">-Hipótesis!$E$39</f>
        <v>-500</v>
      </c>
      <c r="L53" s="109" t="n">
        <f aca="false">-Hipótesis!$E$39</f>
        <v>-500</v>
      </c>
      <c r="M53" s="109" t="n">
        <f aca="false">-Hipótesis!$E$39</f>
        <v>-500</v>
      </c>
      <c r="N53" s="109" t="n">
        <f aca="false">-Hipótesis!$E$39</f>
        <v>-500</v>
      </c>
      <c r="O53" s="109" t="n">
        <f aca="false">-Hipótesis!$E$39</f>
        <v>-500</v>
      </c>
      <c r="P53" s="109" t="n">
        <f aca="false">-Hipótesis!$E$39</f>
        <v>-500</v>
      </c>
      <c r="Q53" s="109" t="n">
        <f aca="false">-Hipótesis!$E$39</f>
        <v>-500</v>
      </c>
      <c r="R53" s="109" t="n">
        <f aca="false">-Hipótesis!$E$39</f>
        <v>-500</v>
      </c>
      <c r="S53" s="109" t="n">
        <f aca="false">-Hipótesis!$E$39</f>
        <v>-500</v>
      </c>
      <c r="T53" s="109" t="n">
        <f aca="false">-Hipótesis!$E$39</f>
        <v>-500</v>
      </c>
      <c r="U53" s="109" t="n">
        <f aca="false">-Hipótesis!$E$39</f>
        <v>-500</v>
      </c>
      <c r="V53" s="109" t="n">
        <f aca="false">-Hipótesis!$E$39</f>
        <v>-500</v>
      </c>
      <c r="W53" s="109" t="n">
        <f aca="false">-Hipótesis!$E$39</f>
        <v>-500</v>
      </c>
      <c r="X53" s="109" t="n">
        <f aca="false">-Hipótesis!$E$39</f>
        <v>-500</v>
      </c>
      <c r="Y53" s="109" t="n">
        <f aca="false">-Hipótesis!$E$39</f>
        <v>-500</v>
      </c>
      <c r="Z53" s="109" t="n">
        <f aca="false">-Hipótesis!$E$39</f>
        <v>-500</v>
      </c>
      <c r="AA53" s="109" t="n">
        <f aca="false">-Hipótesis!$E$39</f>
        <v>-500</v>
      </c>
      <c r="AB53" s="109" t="n">
        <f aca="false">-Hipótesis!$E$39</f>
        <v>-500</v>
      </c>
      <c r="AC53" s="109" t="n">
        <f aca="false">-Hipótesis!$E$39</f>
        <v>-500</v>
      </c>
      <c r="AD53" s="109" t="n">
        <f aca="false">-Hipótesis!$E$39</f>
        <v>-500</v>
      </c>
      <c r="AE53" s="109" t="n">
        <f aca="false">-Hipótesis!$E$39</f>
        <v>-500</v>
      </c>
      <c r="AF53" s="109" t="n">
        <f aca="false">-Hipótesis!$E$39</f>
        <v>-500</v>
      </c>
      <c r="AG53" s="109" t="n">
        <f aca="false">-Hipótesis!$E$39</f>
        <v>-500</v>
      </c>
      <c r="AH53" s="109" t="n">
        <f aca="false">-Hipótesis!$E$39</f>
        <v>-500</v>
      </c>
      <c r="AI53" s="109" t="n">
        <f aca="false">-Hipótesis!$E$39</f>
        <v>-500</v>
      </c>
      <c r="AJ53" s="109" t="n">
        <f aca="false">-Hipótesis!$E$39</f>
        <v>-500</v>
      </c>
      <c r="AK53" s="109" t="n">
        <f aca="false">-Hipótesis!$E$39</f>
        <v>-500</v>
      </c>
      <c r="AL53" s="109" t="n">
        <f aca="false">-Hipótesis!$E$39</f>
        <v>-500</v>
      </c>
      <c r="AM53" s="109" t="n">
        <f aca="false">-Hipótesis!$E$39</f>
        <v>-500</v>
      </c>
      <c r="AN53" s="109" t="n">
        <f aca="false">-Hipótesis!$E$39</f>
        <v>-500</v>
      </c>
      <c r="AO53" s="109" t="n">
        <f aca="false">-Hipótesis!$E$39</f>
        <v>-500</v>
      </c>
      <c r="AP53" s="109" t="n">
        <f aca="false">-Hipótesis!$E$39</f>
        <v>-500</v>
      </c>
      <c r="AQ53" s="109" t="n">
        <f aca="false">-Hipótesis!$E$39</f>
        <v>-500</v>
      </c>
      <c r="AR53" s="109" t="n">
        <f aca="false">-Hipótesis!$E$39</f>
        <v>-500</v>
      </c>
      <c r="AS53" s="109" t="n">
        <f aca="false">-Hipótesis!$E$39</f>
        <v>-500</v>
      </c>
      <c r="AT53" s="109" t="n">
        <f aca="false">-Hipótesis!$E$39</f>
        <v>-500</v>
      </c>
      <c r="AU53" s="109" t="n">
        <f aca="false">-Hipótesis!$E$39</f>
        <v>-500</v>
      </c>
      <c r="AV53" s="109" t="n">
        <f aca="false">-Hipótesis!$E$39</f>
        <v>-500</v>
      </c>
      <c r="AW53" s="109" t="n">
        <f aca="false">-Hipótesis!$E$39</f>
        <v>-500</v>
      </c>
      <c r="AX53" s="109" t="n">
        <f aca="false">-Hipótesis!$E$39</f>
        <v>-500</v>
      </c>
      <c r="AY53" s="109" t="n">
        <f aca="false">-Hipótesis!$E$39</f>
        <v>-500</v>
      </c>
      <c r="AZ53" s="109" t="n">
        <f aca="false">-Hipótesis!$E$39</f>
        <v>-500</v>
      </c>
      <c r="BA53" s="109" t="n">
        <f aca="false">-Hipótesis!$E$39</f>
        <v>-500</v>
      </c>
      <c r="BB53" s="109" t="n">
        <f aca="false">-Hipótesis!$E$39</f>
        <v>-500</v>
      </c>
      <c r="BC53" s="109" t="n">
        <f aca="false">-Hipótesis!$E$39</f>
        <v>-500</v>
      </c>
      <c r="BD53" s="109" t="n">
        <f aca="false">-Hipótesis!$E$39</f>
        <v>-500</v>
      </c>
      <c r="BE53" s="109" t="n">
        <f aca="false">-Hipótesis!$E$39</f>
        <v>-500</v>
      </c>
      <c r="BF53" s="109" t="n">
        <f aca="false">-Hipótesis!$E$39</f>
        <v>-500</v>
      </c>
      <c r="BG53" s="109" t="n">
        <f aca="false">-Hipótesis!$E$39</f>
        <v>-500</v>
      </c>
      <c r="BH53" s="109" t="n">
        <f aca="false">-Hipótesis!$E$39</f>
        <v>-500</v>
      </c>
      <c r="BI53" s="109" t="n">
        <f aca="false">-Hipótesis!$E$39</f>
        <v>-500</v>
      </c>
      <c r="BJ53" s="109" t="n">
        <f aca="false">-Hipótesis!$E$39</f>
        <v>-500</v>
      </c>
      <c r="BK53" s="109" t="n">
        <f aca="false">-Hipótesis!$E$39</f>
        <v>-500</v>
      </c>
      <c r="BL53" s="109" t="n">
        <f aca="false">-Hipótesis!$E$39</f>
        <v>-500</v>
      </c>
      <c r="BM53" s="109" t="n">
        <f aca="false">-Hipótesis!$E$39</f>
        <v>-500</v>
      </c>
      <c r="BN53" s="109" t="n">
        <f aca="false">-Hipótesis!$E$39</f>
        <v>-500</v>
      </c>
      <c r="BO53" s="109" t="n">
        <f aca="false">-Hipótesis!$E$39</f>
        <v>-500</v>
      </c>
      <c r="BP53" s="109" t="n">
        <f aca="false">-Hipótesis!$E$39</f>
        <v>-500</v>
      </c>
      <c r="BQ53" s="109" t="n">
        <f aca="false">-Hipótesis!$E$39</f>
        <v>-500</v>
      </c>
      <c r="BR53" s="109" t="n">
        <f aca="false">-Hipótesis!$E$39</f>
        <v>-500</v>
      </c>
      <c r="BS53" s="109" t="n">
        <f aca="false">-Hipótesis!$E$39</f>
        <v>-500</v>
      </c>
      <c r="BT53" s="109" t="n">
        <f aca="false">-Hipótesis!$E$39</f>
        <v>-500</v>
      </c>
      <c r="BU53" s="109" t="n">
        <f aca="false">-Hipótesis!$E$39</f>
        <v>-500</v>
      </c>
      <c r="BV53" s="109" t="n">
        <f aca="false">-Hipótesis!$E$39</f>
        <v>-500</v>
      </c>
      <c r="BW53" s="109" t="n">
        <f aca="false">-Hipótesis!$E$39</f>
        <v>-500</v>
      </c>
      <c r="BX53" s="109" t="n">
        <f aca="false">-Hipótesis!$E$39</f>
        <v>-500</v>
      </c>
      <c r="BY53" s="109" t="n">
        <f aca="false">-Hipótesis!$E$39</f>
        <v>-500</v>
      </c>
      <c r="BZ53" s="109" t="n">
        <f aca="false">-Hipótesis!$E$39</f>
        <v>-500</v>
      </c>
      <c r="CA53" s="109" t="n">
        <f aca="false">-Hipótesis!$E$39</f>
        <v>-500</v>
      </c>
      <c r="CB53" s="109" t="n">
        <f aca="false">-Hipótesis!$E$39</f>
        <v>-500</v>
      </c>
      <c r="CC53" s="109" t="n">
        <f aca="false">-Hipótesis!$E$39</f>
        <v>-500</v>
      </c>
      <c r="CD53" s="109" t="n">
        <f aca="false">-Hipótesis!$E$39</f>
        <v>-500</v>
      </c>
      <c r="CE53" s="109" t="n">
        <f aca="false">-Hipótesis!$E$39</f>
        <v>-500</v>
      </c>
      <c r="CF53" s="109" t="n">
        <f aca="false">-Hipótesis!$E$39</f>
        <v>-500</v>
      </c>
      <c r="CG53" s="109" t="n">
        <f aca="false">-Hipótesis!$E$39</f>
        <v>-500</v>
      </c>
      <c r="CH53" s="109" t="n">
        <f aca="false">-Hipótesis!$E$39</f>
        <v>-500</v>
      </c>
    </row>
    <row r="54" customFormat="false" ht="13.5" hidden="false" customHeight="true" outlineLevel="0" collapsed="false">
      <c r="A54" s="6" t="s">
        <v>559</v>
      </c>
      <c r="C54" s="109" t="n">
        <f aca="false">-Hipótesis!$E$40</f>
        <v>-500</v>
      </c>
      <c r="D54" s="109" t="n">
        <f aca="false">-Hipótesis!$E$40</f>
        <v>-500</v>
      </c>
      <c r="E54" s="109" t="n">
        <f aca="false">-Hipótesis!$E$40</f>
        <v>-500</v>
      </c>
      <c r="F54" s="109" t="n">
        <f aca="false">-Hipótesis!$E$40</f>
        <v>-500</v>
      </c>
      <c r="G54" s="109" t="n">
        <f aca="false">-Hipótesis!$E$40</f>
        <v>-500</v>
      </c>
      <c r="H54" s="109" t="n">
        <f aca="false">-Hipótesis!$E$40</f>
        <v>-500</v>
      </c>
      <c r="I54" s="109" t="n">
        <f aca="false">-Hipótesis!$E$40</f>
        <v>-500</v>
      </c>
      <c r="J54" s="109" t="n">
        <f aca="false">-Hipótesis!$E$40</f>
        <v>-500</v>
      </c>
      <c r="K54" s="109" t="n">
        <f aca="false">-Hipótesis!$E$40</f>
        <v>-500</v>
      </c>
      <c r="L54" s="109" t="n">
        <f aca="false">-Hipótesis!$E$40</f>
        <v>-500</v>
      </c>
      <c r="M54" s="109" t="n">
        <f aca="false">-Hipótesis!$E$40</f>
        <v>-500</v>
      </c>
      <c r="N54" s="109" t="n">
        <f aca="false">-Hipótesis!$E$40</f>
        <v>-500</v>
      </c>
      <c r="O54" s="109" t="n">
        <f aca="false">-Hipótesis!$E$40</f>
        <v>-500</v>
      </c>
      <c r="P54" s="109" t="n">
        <f aca="false">-Hipótesis!$E$40</f>
        <v>-500</v>
      </c>
      <c r="Q54" s="109" t="n">
        <f aca="false">-Hipótesis!$E$40</f>
        <v>-500</v>
      </c>
      <c r="R54" s="109" t="n">
        <f aca="false">-Hipótesis!$E$40</f>
        <v>-500</v>
      </c>
      <c r="S54" s="109" t="n">
        <f aca="false">-Hipótesis!$E$40</f>
        <v>-500</v>
      </c>
      <c r="T54" s="109" t="n">
        <f aca="false">-Hipótesis!$E$40</f>
        <v>-500</v>
      </c>
      <c r="U54" s="109" t="n">
        <f aca="false">-Hipótesis!$E$40</f>
        <v>-500</v>
      </c>
      <c r="V54" s="109" t="n">
        <f aca="false">-Hipótesis!$E$40</f>
        <v>-500</v>
      </c>
      <c r="W54" s="109" t="n">
        <f aca="false">-Hipótesis!$E$40</f>
        <v>-500</v>
      </c>
      <c r="X54" s="109" t="n">
        <f aca="false">-Hipótesis!$E$40</f>
        <v>-500</v>
      </c>
      <c r="Y54" s="109" t="n">
        <f aca="false">-Hipótesis!$E$40</f>
        <v>-500</v>
      </c>
      <c r="Z54" s="109" t="n">
        <f aca="false">-Hipótesis!$E$40</f>
        <v>-500</v>
      </c>
      <c r="AA54" s="109" t="n">
        <f aca="false">-Hipótesis!$E$40</f>
        <v>-500</v>
      </c>
      <c r="AB54" s="109" t="n">
        <f aca="false">-Hipótesis!$E$40</f>
        <v>-500</v>
      </c>
      <c r="AC54" s="109" t="n">
        <f aca="false">-Hipótesis!$E$40</f>
        <v>-500</v>
      </c>
      <c r="AD54" s="109" t="n">
        <f aca="false">-Hipótesis!$E$40</f>
        <v>-500</v>
      </c>
      <c r="AE54" s="109" t="n">
        <f aca="false">-Hipótesis!$E$40</f>
        <v>-500</v>
      </c>
      <c r="AF54" s="109" t="n">
        <f aca="false">-Hipótesis!$E$40</f>
        <v>-500</v>
      </c>
      <c r="AG54" s="109" t="n">
        <f aca="false">-Hipótesis!$E$40</f>
        <v>-500</v>
      </c>
      <c r="AH54" s="109" t="n">
        <f aca="false">-Hipótesis!$E$40</f>
        <v>-500</v>
      </c>
      <c r="AI54" s="109" t="n">
        <f aca="false">-Hipótesis!$E$40</f>
        <v>-500</v>
      </c>
      <c r="AJ54" s="109" t="n">
        <f aca="false">-Hipótesis!$E$40</f>
        <v>-500</v>
      </c>
      <c r="AK54" s="109" t="n">
        <f aca="false">-Hipótesis!$E$40</f>
        <v>-500</v>
      </c>
      <c r="AL54" s="109" t="n">
        <f aca="false">-Hipótesis!$E$40</f>
        <v>-500</v>
      </c>
      <c r="AM54" s="109" t="n">
        <f aca="false">-Hipótesis!$E$40</f>
        <v>-500</v>
      </c>
      <c r="AN54" s="109" t="n">
        <f aca="false">-Hipótesis!$E$40</f>
        <v>-500</v>
      </c>
      <c r="AO54" s="109" t="n">
        <f aca="false">-Hipótesis!$E$40</f>
        <v>-500</v>
      </c>
      <c r="AP54" s="109" t="n">
        <f aca="false">-Hipótesis!$E$40</f>
        <v>-500</v>
      </c>
      <c r="AQ54" s="109" t="n">
        <f aca="false">-Hipótesis!$E$40</f>
        <v>-500</v>
      </c>
      <c r="AR54" s="109" t="n">
        <f aca="false">-Hipótesis!$E$40</f>
        <v>-500</v>
      </c>
      <c r="AS54" s="109" t="n">
        <f aca="false">-Hipótesis!$E$40</f>
        <v>-500</v>
      </c>
      <c r="AT54" s="109" t="n">
        <f aca="false">-Hipótesis!$E$40</f>
        <v>-500</v>
      </c>
      <c r="AU54" s="109" t="n">
        <f aca="false">-Hipótesis!$E$40</f>
        <v>-500</v>
      </c>
      <c r="AV54" s="109" t="n">
        <f aca="false">-Hipótesis!$E$40</f>
        <v>-500</v>
      </c>
      <c r="AW54" s="109" t="n">
        <f aca="false">-Hipótesis!$E$40</f>
        <v>-500</v>
      </c>
      <c r="AX54" s="109" t="n">
        <f aca="false">-Hipótesis!$E$40</f>
        <v>-500</v>
      </c>
      <c r="AY54" s="109" t="n">
        <f aca="false">-Hipótesis!$E$40</f>
        <v>-500</v>
      </c>
      <c r="AZ54" s="109" t="n">
        <f aca="false">-Hipótesis!$E$40</f>
        <v>-500</v>
      </c>
      <c r="BA54" s="109" t="n">
        <f aca="false">-Hipótesis!$E$40</f>
        <v>-500</v>
      </c>
      <c r="BB54" s="109" t="n">
        <f aca="false">-Hipótesis!$E$40</f>
        <v>-500</v>
      </c>
      <c r="BC54" s="109" t="n">
        <f aca="false">-Hipótesis!$E$40</f>
        <v>-500</v>
      </c>
      <c r="BD54" s="109" t="n">
        <f aca="false">-Hipótesis!$E$40</f>
        <v>-500</v>
      </c>
      <c r="BE54" s="109" t="n">
        <f aca="false">-Hipótesis!$E$40</f>
        <v>-500</v>
      </c>
      <c r="BF54" s="109" t="n">
        <f aca="false">-Hipótesis!$E$40</f>
        <v>-500</v>
      </c>
      <c r="BG54" s="109" t="n">
        <f aca="false">-Hipótesis!$E$40</f>
        <v>-500</v>
      </c>
      <c r="BH54" s="109" t="n">
        <f aca="false">-Hipótesis!$E$40</f>
        <v>-500</v>
      </c>
      <c r="BI54" s="109" t="n">
        <f aca="false">-Hipótesis!$E$40</f>
        <v>-500</v>
      </c>
      <c r="BJ54" s="109" t="n">
        <f aca="false">-Hipótesis!$E$40</f>
        <v>-500</v>
      </c>
      <c r="BK54" s="109" t="n">
        <f aca="false">-Hipótesis!$E$40</f>
        <v>-500</v>
      </c>
      <c r="BL54" s="109" t="n">
        <f aca="false">-Hipótesis!$E$40</f>
        <v>-500</v>
      </c>
      <c r="BM54" s="109" t="n">
        <f aca="false">-Hipótesis!$E$40</f>
        <v>-500</v>
      </c>
      <c r="BN54" s="109" t="n">
        <f aca="false">-Hipótesis!$E$40</f>
        <v>-500</v>
      </c>
      <c r="BO54" s="109" t="n">
        <f aca="false">-Hipótesis!$E$40</f>
        <v>-500</v>
      </c>
      <c r="BP54" s="109" t="n">
        <f aca="false">-Hipótesis!$E$40</f>
        <v>-500</v>
      </c>
      <c r="BQ54" s="109" t="n">
        <f aca="false">-Hipótesis!$E$40</f>
        <v>-500</v>
      </c>
      <c r="BR54" s="109" t="n">
        <f aca="false">-Hipótesis!$E$40</f>
        <v>-500</v>
      </c>
      <c r="BS54" s="109" t="n">
        <f aca="false">-Hipótesis!$E$40</f>
        <v>-500</v>
      </c>
      <c r="BT54" s="109" t="n">
        <f aca="false">-Hipótesis!$E$40</f>
        <v>-500</v>
      </c>
      <c r="BU54" s="109" t="n">
        <f aca="false">-Hipótesis!$E$40</f>
        <v>-500</v>
      </c>
      <c r="BV54" s="109" t="n">
        <f aca="false">-Hipótesis!$E$40</f>
        <v>-500</v>
      </c>
      <c r="BW54" s="109" t="n">
        <f aca="false">-Hipótesis!$E$40</f>
        <v>-500</v>
      </c>
      <c r="BX54" s="109" t="n">
        <f aca="false">-Hipótesis!$E$40</f>
        <v>-500</v>
      </c>
      <c r="BY54" s="109" t="n">
        <f aca="false">-Hipótesis!$E$40</f>
        <v>-500</v>
      </c>
      <c r="BZ54" s="109" t="n">
        <f aca="false">-Hipótesis!$E$40</f>
        <v>-500</v>
      </c>
      <c r="CA54" s="109" t="n">
        <f aca="false">-Hipótesis!$E$40</f>
        <v>-500</v>
      </c>
      <c r="CB54" s="109" t="n">
        <f aca="false">-Hipótesis!$E$40</f>
        <v>-500</v>
      </c>
      <c r="CC54" s="109" t="n">
        <f aca="false">-Hipótesis!$E$40</f>
        <v>-500</v>
      </c>
      <c r="CD54" s="109" t="n">
        <f aca="false">-Hipótesis!$E$40</f>
        <v>-500</v>
      </c>
      <c r="CE54" s="109" t="n">
        <f aca="false">-Hipótesis!$E$40</f>
        <v>-500</v>
      </c>
      <c r="CF54" s="109" t="n">
        <f aca="false">-Hipótesis!$E$40</f>
        <v>-500</v>
      </c>
      <c r="CG54" s="109" t="n">
        <f aca="false">-Hipótesis!$E$40</f>
        <v>-500</v>
      </c>
      <c r="CH54" s="109" t="n">
        <f aca="false">-Hipótesis!$E$40</f>
        <v>-500</v>
      </c>
    </row>
    <row r="55" customFormat="false" ht="13.5" hidden="false" customHeight="true" outlineLevel="0" collapsed="false">
      <c r="A55" s="22" t="s">
        <v>560</v>
      </c>
      <c r="C55" s="109" t="n">
        <f aca="false">C42+C43+C51+C52+C53+C54</f>
        <v>-14477.6565778065</v>
      </c>
      <c r="D55" s="109" t="n">
        <f aca="false">D42+D43+D51+D52+D53+D54</f>
        <v>-14505.2884977359</v>
      </c>
      <c r="E55" s="109" t="n">
        <f aca="false">E42+E43+E51+E52+E53+E54</f>
        <v>-14561.8365721231</v>
      </c>
      <c r="F55" s="109" t="n">
        <f aca="false">F42+F43+F51+F52+F53+F54</f>
        <v>-14592.7280687038</v>
      </c>
      <c r="G55" s="109" t="n">
        <f aca="false">G42+G43+G51+G52+G53+G54</f>
        <v>-14621.6442231615</v>
      </c>
      <c r="H55" s="109" t="n">
        <f aca="false">H42+H43+H51+H52+H53+H54</f>
        <v>-14673.1945061118</v>
      </c>
      <c r="I55" s="109" t="n">
        <f aca="false">I42+I43+I51+I52+I53+I54</f>
        <v>-14771.1917813089</v>
      </c>
      <c r="J55" s="109" t="n">
        <f aca="false">J42+J43+J51+J52+J53+J54</f>
        <v>-14869.1890565061</v>
      </c>
      <c r="K55" s="109" t="n">
        <f aca="false">K42+K43+K51+K52+K53+K54</f>
        <v>-14967.1863317032</v>
      </c>
      <c r="L55" s="109" t="n">
        <f aca="false">L42+L43+L51+L52+L53+L54</f>
        <v>-15065.1836069003</v>
      </c>
      <c r="M55" s="109" t="n">
        <f aca="false">M42+M43+M51+M52+M53+M54</f>
        <v>-15134.2647276398</v>
      </c>
      <c r="N55" s="109" t="n">
        <f aca="false">N42+N43+N51+N52+N53+N54</f>
        <v>-15236.2682170957</v>
      </c>
      <c r="O55" s="109" t="n">
        <f aca="false">O42+O43+O51+O52+O53+O54</f>
        <v>-20565.4717065517</v>
      </c>
      <c r="P55" s="109" t="n">
        <f aca="false">P42+P43+P51+P52+P53+P54</f>
        <v>-20658.0100150017</v>
      </c>
      <c r="Q55" s="109" t="n">
        <f aca="false">Q42+Q43+Q51+Q52+Q53+Q54</f>
        <v>-20750.5483234517</v>
      </c>
      <c r="R55" s="109" t="n">
        <f aca="false">R42+R43+R51+R52+R53+R54</f>
        <v>-20843.0866319016</v>
      </c>
      <c r="S55" s="109" t="n">
        <f aca="false">S42+S43+S51+S52+S53+S54</f>
        <v>-20935.6249403516</v>
      </c>
      <c r="T55" s="109" t="n">
        <f aca="false">T42+T43+T51+T52+T53+T54</f>
        <v>-21028.1632488016</v>
      </c>
      <c r="U55" s="109" t="n">
        <f aca="false">U42+U43+U51+U52+U53+U54</f>
        <v>-21120.7015572516</v>
      </c>
      <c r="V55" s="109" t="n">
        <f aca="false">V42+V43+V51+V52+V53+V54</f>
        <v>-26243.7598657015</v>
      </c>
      <c r="W55" s="109" t="n">
        <f aca="false">W42+W43+W51+W52+W53+W54</f>
        <v>-26336.2981741515</v>
      </c>
      <c r="X55" s="109" t="n">
        <f aca="false">X42+X43+X51+X52+X53+X54</f>
        <v>-26395.9141138849</v>
      </c>
      <c r="Y55" s="109" t="n">
        <f aca="false">Y42+Y43+Y51+Y52+Y53+Y54</f>
        <v>-26455.5300536183</v>
      </c>
      <c r="Z55" s="109" t="n">
        <f aca="false">Z42+Z43+Z51+Z52+Z53+Z54</f>
        <v>-26501.9770458652</v>
      </c>
      <c r="AA55" s="109" t="n">
        <f aca="false">AA42+AA43+AA51+AA52+AA53+AA54</f>
        <v>-28760.915638112</v>
      </c>
      <c r="AB55" s="109" t="n">
        <f aca="false">AB42+AB43+AB51+AB52+AB53+AB54</f>
        <v>-28807.3626303588</v>
      </c>
      <c r="AC55" s="109" t="n">
        <f aca="false">AC42+AC43+AC51+AC52+AC53+AC54</f>
        <v>-28853.8096226056</v>
      </c>
      <c r="AD55" s="109" t="n">
        <f aca="false">AD42+AD43+AD51+AD52+AD53+AD54</f>
        <v>-28900.2566148524</v>
      </c>
      <c r="AE55" s="109" t="n">
        <f aca="false">AE42+AE43+AE51+AE52+AE53+AE54</f>
        <v>-28946.7036070992</v>
      </c>
      <c r="AF55" s="109" t="n">
        <f aca="false">AF42+AF43+AF51+AF52+AF53+AF54</f>
        <v>-28993.150599346</v>
      </c>
      <c r="AG55" s="109" t="n">
        <f aca="false">AG42+AG43+AG51+AG52+AG53+AG54</f>
        <v>-29039.5975915928</v>
      </c>
      <c r="AH55" s="109" t="n">
        <f aca="false">AH42+AH43+AH51+AH52+AH53+AH54</f>
        <v>-29086.0445838396</v>
      </c>
      <c r="AI55" s="109" t="n">
        <f aca="false">AI42+AI43+AI51+AI52+AI53+AI54</f>
        <v>-31513.1511760864</v>
      </c>
      <c r="AJ55" s="109" t="n">
        <f aca="false">AJ42+AJ43+AJ51+AJ52+AJ53+AJ54</f>
        <v>-31559.5981683332</v>
      </c>
      <c r="AK55" s="109" t="n">
        <f aca="false">AK42+AK43+AK51+AK52+AK53+AK54</f>
        <v>-31606.0451605801</v>
      </c>
      <c r="AL55" s="109" t="n">
        <f aca="false">AL42+AL43+AL51+AL52+AL53+AL54</f>
        <v>-31652.4921528269</v>
      </c>
      <c r="AM55" s="109" t="n">
        <f aca="false">AM42+AM43+AM51+AM52+AM53+AM54</f>
        <v>-33989.8252810737</v>
      </c>
      <c r="AN55" s="109" t="n">
        <f aca="false">AN42+AN43+AN51+AN52+AN53+AN54</f>
        <v>-34036.2722733205</v>
      </c>
      <c r="AO55" s="109" t="n">
        <f aca="false">AO42+AO43+AO51+AO52+AO53+AO54</f>
        <v>-34082.7192655673</v>
      </c>
      <c r="AP55" s="109" t="n">
        <f aca="false">AP42+AP43+AP51+AP52+AP53+AP54</f>
        <v>-34129.1662578141</v>
      </c>
      <c r="AQ55" s="109" t="n">
        <f aca="false">AQ42+AQ43+AQ51+AQ52+AQ53+AQ54</f>
        <v>-34175.6132500609</v>
      </c>
      <c r="AR55" s="109" t="n">
        <f aca="false">AR42+AR43+AR51+AR52+AR53+AR54</f>
        <v>-34222.0602423077</v>
      </c>
      <c r="AS55" s="109" t="n">
        <f aca="false">AS42+AS43+AS51+AS52+AS53+AS54</f>
        <v>-34222.0602423077</v>
      </c>
      <c r="AT55" s="109" t="n">
        <f aca="false">AT42+AT43+AT51+AT52+AT53+AT54</f>
        <v>-34222.0602423077</v>
      </c>
      <c r="AU55" s="109" t="n">
        <f aca="false">AU42+AU43+AU51+AU52+AU53+AU54</f>
        <v>-34222.0602423077</v>
      </c>
      <c r="AV55" s="109" t="n">
        <f aca="false">AV42+AV43+AV51+AV52+AV53+AV54</f>
        <v>-34222.0602423077</v>
      </c>
      <c r="AW55" s="109" t="n">
        <f aca="false">AW42+AW43+AW51+AW52+AW53+AW54</f>
        <v>-34222.0602423077</v>
      </c>
      <c r="AX55" s="109" t="n">
        <f aca="false">AX42+AX43+AX51+AX52+AX53+AX54</f>
        <v>-34222.0602423077</v>
      </c>
      <c r="AY55" s="109" t="n">
        <f aca="false">AY42+AY43+AY51+AY52+AY53+AY54</f>
        <v>-36522.2729623877</v>
      </c>
      <c r="AZ55" s="109" t="n">
        <f aca="false">AZ42+AZ43+AZ51+AZ52+AZ53+AZ54</f>
        <v>-36522.2729623877</v>
      </c>
      <c r="BA55" s="109" t="n">
        <f aca="false">BA42+BA43+BA51+BA52+BA53+BA54</f>
        <v>-36522.2729623877</v>
      </c>
      <c r="BB55" s="109" t="n">
        <f aca="false">BB42+BB43+BB51+BB52+BB53+BB54</f>
        <v>-36522.2729623877</v>
      </c>
      <c r="BC55" s="109" t="n">
        <f aca="false">BC42+BC43+BC51+BC52+BC53+BC54</f>
        <v>-36522.2729623877</v>
      </c>
      <c r="BD55" s="109" t="n">
        <f aca="false">BD42+BD43+BD51+BD52+BD53+BD54</f>
        <v>-36522.2729623877</v>
      </c>
      <c r="BE55" s="109" t="n">
        <f aca="false">BE42+BE43+BE51+BE52+BE53+BE54</f>
        <v>-36522.2729623877</v>
      </c>
      <c r="BF55" s="109" t="n">
        <f aca="false">BF42+BF43+BF51+BF52+BF53+BF54</f>
        <v>-36522.2729623877</v>
      </c>
      <c r="BG55" s="109" t="n">
        <f aca="false">BG42+BG43+BG51+BG52+BG53+BG54</f>
        <v>-36522.2729623877</v>
      </c>
      <c r="BH55" s="109" t="n">
        <f aca="false">BH42+BH43+BH51+BH52+BH53+BH54</f>
        <v>-36522.2729623877</v>
      </c>
      <c r="BI55" s="109" t="n">
        <f aca="false">BI42+BI43+BI51+BI52+BI53+BI54</f>
        <v>-36522.2729623877</v>
      </c>
      <c r="BJ55" s="109" t="n">
        <f aca="false">BJ42+BJ43+BJ51+BJ52+BJ53+BJ54</f>
        <v>-36522.2729623877</v>
      </c>
      <c r="BK55" s="109" t="n">
        <f aca="false">BK42+BK43+BK51+BK52+BK53+BK54</f>
        <v>-38832.0920640701</v>
      </c>
      <c r="BL55" s="109" t="n">
        <f aca="false">BL42+BL43+BL51+BL52+BL53+BL54</f>
        <v>-38832.0920640701</v>
      </c>
      <c r="BM55" s="109" t="n">
        <f aca="false">BM42+BM43+BM51+BM52+BM53+BM54</f>
        <v>-38832.0920640701</v>
      </c>
      <c r="BN55" s="109" t="n">
        <f aca="false">BN42+BN43+BN51+BN52+BN53+BN54</f>
        <v>-38832.0920640701</v>
      </c>
      <c r="BO55" s="109" t="n">
        <f aca="false">BO42+BO43+BO51+BO52+BO53+BO54</f>
        <v>-38832.0920640701</v>
      </c>
      <c r="BP55" s="109" t="n">
        <f aca="false">BP42+BP43+BP51+BP52+BP53+BP54</f>
        <v>-38832.0920640701</v>
      </c>
      <c r="BQ55" s="109" t="n">
        <f aca="false">BQ42+BQ43+BQ51+BQ52+BQ53+BQ54</f>
        <v>-38832.0920640701</v>
      </c>
      <c r="BR55" s="109" t="n">
        <f aca="false">BR42+BR43+BR51+BR52+BR53+BR54</f>
        <v>-38832.0920640701</v>
      </c>
      <c r="BS55" s="109" t="n">
        <f aca="false">BS42+BS43+BS51+BS52+BS53+BS54</f>
        <v>-38832.0920640701</v>
      </c>
      <c r="BT55" s="109" t="n">
        <f aca="false">BT42+BT43+BT51+BT52+BT53+BT54</f>
        <v>-38832.0920640701</v>
      </c>
      <c r="BU55" s="109" t="n">
        <f aca="false">BU42+BU43+BU51+BU52+BU53+BU54</f>
        <v>-38832.0920640701</v>
      </c>
      <c r="BV55" s="109" t="n">
        <f aca="false">BV42+BV43+BV51+BV52+BV53+BV54</f>
        <v>-38832.0920640701</v>
      </c>
      <c r="BW55" s="109" t="n">
        <f aca="false">BW42+BW43+BW51+BW52+BW53+BW54</f>
        <v>-41151.805738803</v>
      </c>
      <c r="BX55" s="109" t="n">
        <f aca="false">BX42+BX43+BX51+BX52+BX53+BX54</f>
        <v>-41151.805738803</v>
      </c>
      <c r="BY55" s="109" t="n">
        <f aca="false">BY42+BY43+BY51+BY52+BY53+BY54</f>
        <v>-41151.805738803</v>
      </c>
      <c r="BZ55" s="109" t="n">
        <f aca="false">BZ42+BZ43+BZ51+BZ52+BZ53+BZ54</f>
        <v>-41151.805738803</v>
      </c>
      <c r="CA55" s="109" t="n">
        <f aca="false">CA42+CA43+CA51+CA52+CA53+CA54</f>
        <v>-41151.805738803</v>
      </c>
      <c r="CB55" s="109" t="n">
        <f aca="false">CB42+CB43+CB51+CB52+CB53+CB54</f>
        <v>-41151.805738803</v>
      </c>
      <c r="CC55" s="109" t="n">
        <f aca="false">CC42+CC43+CC51+CC52+CC53+CC54</f>
        <v>-41151.805738803</v>
      </c>
      <c r="CD55" s="109" t="n">
        <f aca="false">CD42+CD43+CD51+CD52+CD53+CD54</f>
        <v>-41151.805738803</v>
      </c>
      <c r="CE55" s="109" t="n">
        <f aca="false">CE42+CE43+CE51+CE52+CE53+CE54</f>
        <v>-41151.805738803</v>
      </c>
      <c r="CF55" s="109" t="n">
        <f aca="false">CF42+CF43+CF51+CF52+CF53+CF54</f>
        <v>-41151.805738803</v>
      </c>
      <c r="CG55" s="109" t="n">
        <f aca="false">CG42+CG43+CG51+CG52+CG53+CG54</f>
        <v>-41151.805738803</v>
      </c>
      <c r="CH55" s="109" t="n">
        <f aca="false">CH42+CH43+CH51+CH52+CH53+CH54</f>
        <v>-41151.805738803</v>
      </c>
    </row>
    <row r="56" customFormat="false" ht="13.5" hidden="false" customHeight="true" outlineLevel="0" collapsed="false">
      <c r="A56" s="47" t="s">
        <v>561</v>
      </c>
      <c r="C56" s="71" t="n">
        <f aca="false">C40+C55</f>
        <v>-13335.4454528065</v>
      </c>
      <c r="D56" s="71" t="n">
        <f aca="false">D40+D55</f>
        <v>-12138.05248303</v>
      </c>
      <c r="E56" s="71" t="n">
        <f aca="false">E40+E55</f>
        <v>-9699.89345948428</v>
      </c>
      <c r="F56" s="71" t="n">
        <f aca="false">F40+F55</f>
        <v>-8378.28898313205</v>
      </c>
      <c r="G56" s="71" t="n">
        <f aca="false">G40+G55</f>
        <v>-7137.5229293627</v>
      </c>
      <c r="H56" s="71" t="n">
        <f aca="false">H40+H55</f>
        <v>-5188.49984599775</v>
      </c>
      <c r="I56" s="71" t="n">
        <f aca="false">I40+I55</f>
        <v>-1205.18712710789</v>
      </c>
      <c r="J56" s="71" t="n">
        <f aca="false">J40+J55</f>
        <v>2778.12559178196</v>
      </c>
      <c r="K56" s="71" t="n">
        <f aca="false">K40+K55</f>
        <v>6761.43831067182</v>
      </c>
      <c r="L56" s="71" t="n">
        <f aca="false">L40+L55</f>
        <v>10744.7510295617</v>
      </c>
      <c r="M56" s="71" t="n">
        <f aca="false">M40+M55</f>
        <v>13487.2976946822</v>
      </c>
      <c r="N56" s="71" t="n">
        <f aca="false">N40+N55</f>
        <v>17180.7576528508</v>
      </c>
      <c r="O56" s="71" t="n">
        <f aca="false">O40+O55</f>
        <v>15647.0176110195</v>
      </c>
      <c r="P56" s="71" t="n">
        <f aca="false">P40+P55</f>
        <v>18980.8743568118</v>
      </c>
      <c r="Q56" s="71" t="n">
        <f aca="false">Q40+Q55</f>
        <v>22314.7311026042</v>
      </c>
      <c r="R56" s="71" t="n">
        <f aca="false">R40+R55</f>
        <v>25648.5878483965</v>
      </c>
      <c r="S56" s="71" t="n">
        <f aca="false">S40+S55</f>
        <v>28982.4445941888</v>
      </c>
      <c r="T56" s="71" t="n">
        <f aca="false">T40+T55</f>
        <v>32316.3013399811</v>
      </c>
      <c r="U56" s="71" t="n">
        <f aca="false">U40+U55</f>
        <v>35650.1580857735</v>
      </c>
      <c r="V56" s="71" t="n">
        <f aca="false">V40+V55</f>
        <v>33953.4948315658</v>
      </c>
      <c r="W56" s="71" t="n">
        <f aca="false">W40+W55</f>
        <v>37287.3515773581</v>
      </c>
      <c r="X56" s="71" t="n">
        <f aca="false">X40+X55</f>
        <v>39670.2950301023</v>
      </c>
      <c r="Y56" s="71" t="n">
        <f aca="false">Y40+Y55</f>
        <v>42053.2384828464</v>
      </c>
      <c r="Z56" s="71" t="n">
        <f aca="false">Z40+Z55</f>
        <v>44087.5281183713</v>
      </c>
      <c r="AA56" s="71" t="n">
        <f aca="false">AA40+AA55</f>
        <v>43909.3261538963</v>
      </c>
      <c r="AB56" s="71" t="n">
        <f aca="false">AB40+AB55</f>
        <v>45943.6157894211</v>
      </c>
      <c r="AC56" s="71" t="n">
        <f aca="false">AC40+AC55</f>
        <v>47977.905424946</v>
      </c>
      <c r="AD56" s="71" t="n">
        <f aca="false">AD40+AD55</f>
        <v>50012.1950604709</v>
      </c>
      <c r="AE56" s="71" t="n">
        <f aca="false">AE40+AE55</f>
        <v>52046.4846959958</v>
      </c>
      <c r="AF56" s="71" t="n">
        <f aca="false">AF40+AF55</f>
        <v>54080.7743315207</v>
      </c>
      <c r="AG56" s="71" t="n">
        <f aca="false">AG40+AG55</f>
        <v>56115.0639670456</v>
      </c>
      <c r="AH56" s="71" t="n">
        <f aca="false">AH40+AH55</f>
        <v>58149.3536025705</v>
      </c>
      <c r="AI56" s="71" t="n">
        <f aca="false">AI40+AI55</f>
        <v>57802.9836380954</v>
      </c>
      <c r="AJ56" s="71" t="n">
        <f aca="false">AJ40+AJ55</f>
        <v>59837.2732736203</v>
      </c>
      <c r="AK56" s="71" t="n">
        <f aca="false">AK40+AK55</f>
        <v>61871.5629091452</v>
      </c>
      <c r="AL56" s="71" t="n">
        <f aca="false">AL40+AL55</f>
        <v>63905.8525446701</v>
      </c>
      <c r="AM56" s="71" t="n">
        <f aca="false">AM40+AM55</f>
        <v>63649.256044195</v>
      </c>
      <c r="AN56" s="71" t="n">
        <f aca="false">AN40+AN55</f>
        <v>65683.5456797199</v>
      </c>
      <c r="AO56" s="71" t="n">
        <f aca="false">AO40+AO55</f>
        <v>67717.8353152448</v>
      </c>
      <c r="AP56" s="71" t="n">
        <f aca="false">AP40+AP55</f>
        <v>69752.1249507697</v>
      </c>
      <c r="AQ56" s="71" t="n">
        <f aca="false">AQ40+AQ55</f>
        <v>71786.4145862946</v>
      </c>
      <c r="AR56" s="71" t="n">
        <f aca="false">AR40+AR55</f>
        <v>73820.7042218195</v>
      </c>
      <c r="AS56" s="71" t="n">
        <f aca="false">AS40+AS55</f>
        <v>73820.7042218195</v>
      </c>
      <c r="AT56" s="71" t="n">
        <f aca="false">AT40+AT55</f>
        <v>73820.7042218195</v>
      </c>
      <c r="AU56" s="71" t="n">
        <f aca="false">AU40+AU55</f>
        <v>73820.7042218195</v>
      </c>
      <c r="AV56" s="71" t="n">
        <f aca="false">AV40+AV55</f>
        <v>73820.7042218195</v>
      </c>
      <c r="AW56" s="71" t="n">
        <f aca="false">AW40+AW55</f>
        <v>73820.7042218195</v>
      </c>
      <c r="AX56" s="71" t="n">
        <f aca="false">AX40+AX55</f>
        <v>73820.7042218195</v>
      </c>
      <c r="AY56" s="71" t="n">
        <f aca="false">AY40+AY55</f>
        <v>71520.4915017395</v>
      </c>
      <c r="AZ56" s="71" t="n">
        <f aca="false">AZ40+AZ55</f>
        <v>71520.4915017395</v>
      </c>
      <c r="BA56" s="71" t="n">
        <f aca="false">BA40+BA55</f>
        <v>71520.4915017395</v>
      </c>
      <c r="BB56" s="71" t="n">
        <f aca="false">BB40+BB55</f>
        <v>71520.4915017395</v>
      </c>
      <c r="BC56" s="71" t="n">
        <f aca="false">BC40+BC55</f>
        <v>71520.4915017395</v>
      </c>
      <c r="BD56" s="71" t="n">
        <f aca="false">BD40+BD55</f>
        <v>71520.4915017395</v>
      </c>
      <c r="BE56" s="71" t="n">
        <f aca="false">BE40+BE55</f>
        <v>71520.4915017395</v>
      </c>
      <c r="BF56" s="71" t="n">
        <f aca="false">BF40+BF55</f>
        <v>71520.4915017395</v>
      </c>
      <c r="BG56" s="71" t="n">
        <f aca="false">BG40+BG55</f>
        <v>71520.4915017395</v>
      </c>
      <c r="BH56" s="71" t="n">
        <f aca="false">BH40+BH55</f>
        <v>71520.4915017395</v>
      </c>
      <c r="BI56" s="71" t="n">
        <f aca="false">BI40+BI55</f>
        <v>71520.4915017395</v>
      </c>
      <c r="BJ56" s="71" t="n">
        <f aca="false">BJ40+BJ55</f>
        <v>71520.4915017395</v>
      </c>
      <c r="BK56" s="71" t="n">
        <f aca="false">BK40+BK55</f>
        <v>69210.6724000571</v>
      </c>
      <c r="BL56" s="71" t="n">
        <f aca="false">BL40+BL55</f>
        <v>69210.6724000571</v>
      </c>
      <c r="BM56" s="71" t="n">
        <f aca="false">BM40+BM55</f>
        <v>69210.6724000571</v>
      </c>
      <c r="BN56" s="71" t="n">
        <f aca="false">BN40+BN55</f>
        <v>69210.6724000571</v>
      </c>
      <c r="BO56" s="71" t="n">
        <f aca="false">BO40+BO55</f>
        <v>69210.6724000571</v>
      </c>
      <c r="BP56" s="71" t="n">
        <f aca="false">BP40+BP55</f>
        <v>69210.6724000571</v>
      </c>
      <c r="BQ56" s="71" t="n">
        <f aca="false">BQ40+BQ55</f>
        <v>69210.6724000571</v>
      </c>
      <c r="BR56" s="71" t="n">
        <f aca="false">BR40+BR55</f>
        <v>69210.6724000571</v>
      </c>
      <c r="BS56" s="71" t="n">
        <f aca="false">BS40+BS55</f>
        <v>69210.6724000571</v>
      </c>
      <c r="BT56" s="71" t="n">
        <f aca="false">BT40+BT55</f>
        <v>69210.6724000571</v>
      </c>
      <c r="BU56" s="71" t="n">
        <f aca="false">BU40+BU55</f>
        <v>69210.6724000571</v>
      </c>
      <c r="BV56" s="71" t="n">
        <f aca="false">BV40+BV55</f>
        <v>69210.6724000571</v>
      </c>
      <c r="BW56" s="71" t="n">
        <f aca="false">BW40+BW55</f>
        <v>66890.9587253243</v>
      </c>
      <c r="BX56" s="71" t="n">
        <f aca="false">BX40+BX55</f>
        <v>66890.9587253243</v>
      </c>
      <c r="BY56" s="71" t="n">
        <f aca="false">BY40+BY55</f>
        <v>66890.9587253243</v>
      </c>
      <c r="BZ56" s="71" t="n">
        <f aca="false">BZ40+BZ55</f>
        <v>66890.9587253243</v>
      </c>
      <c r="CA56" s="71" t="n">
        <f aca="false">CA40+CA55</f>
        <v>66890.9587253243</v>
      </c>
      <c r="CB56" s="71" t="n">
        <f aca="false">CB40+CB55</f>
        <v>66890.9587253243</v>
      </c>
      <c r="CC56" s="71" t="n">
        <f aca="false">CC40+CC55</f>
        <v>66890.9587253243</v>
      </c>
      <c r="CD56" s="71" t="n">
        <f aca="false">CD40+CD55</f>
        <v>66890.9587253243</v>
      </c>
      <c r="CE56" s="71" t="n">
        <f aca="false">CE40+CE55</f>
        <v>66890.9587253243</v>
      </c>
      <c r="CF56" s="71" t="n">
        <f aca="false">CF40+CF55</f>
        <v>66890.9587253243</v>
      </c>
      <c r="CG56" s="71" t="n">
        <f aca="false">CG40+CG55</f>
        <v>66890.9587253243</v>
      </c>
      <c r="CH56" s="71" t="n">
        <f aca="false">CH40+CH55</f>
        <v>66890.9587253243</v>
      </c>
    </row>
    <row r="57" customFormat="false" ht="13.5" hidden="false" customHeight="true" outlineLevel="0" collapsed="false">
      <c r="A57" s="6" t="s">
        <v>49</v>
      </c>
      <c r="C57" s="120" t="n">
        <f aca="false">IFERROR(C56/C38,0)</f>
        <v>-10.9148251197569</v>
      </c>
      <c r="D57" s="120" t="n">
        <f aca="false">IFERROR(D56/D38,0)</f>
        <v>-4.78124226600284</v>
      </c>
      <c r="E57" s="120" t="n">
        <f aca="false">IFERROR(E56/E38,0)</f>
        <v>-1.83447360331187</v>
      </c>
      <c r="F57" s="120" t="n">
        <f aca="false">IFERROR(F56/F38,0)</f>
        <v>-1.22944910665361</v>
      </c>
      <c r="G57" s="120" t="n">
        <f aca="false">IFERROR(G56/G38,0)</f>
        <v>-0.865506619591846</v>
      </c>
      <c r="H57" s="120" t="n">
        <f aca="false">IFERROR(H56/H38,0)</f>
        <v>-0.491769221729772</v>
      </c>
      <c r="I57" s="120" t="n">
        <f aca="false">IFERROR(I56/I38,0)</f>
        <v>-0.0792819930325269</v>
      </c>
      <c r="J57" s="120" t="n">
        <f aca="false">IFERROR(J56/J38,0)</f>
        <v>0.139942812615169</v>
      </c>
      <c r="K57" s="120" t="n">
        <f aca="false">IFERROR(K56/K38,0)</f>
        <v>0.275949424253698</v>
      </c>
      <c r="L57" s="120" t="n">
        <f aca="false">IFERROR(L56/L38,0)</f>
        <v>0.368563576251147</v>
      </c>
      <c r="M57" s="120" t="n">
        <f aca="false">IFERROR(M56/M38,0)</f>
        <v>0.416638980442601</v>
      </c>
      <c r="N57" s="120" t="n">
        <f aca="false">IFERROR(N56/N38,0)</f>
        <v>0.467129069856101</v>
      </c>
      <c r="O57" s="120" t="n">
        <f aca="false">IFERROR(O56/O38,0)</f>
        <v>0.379899397874749</v>
      </c>
      <c r="P57" s="120" t="n">
        <f aca="false">IFERROR(P56/P38,0)</f>
        <v>0.420238019867823</v>
      </c>
      <c r="Q57" s="120" t="n">
        <f aca="false">IFERROR(Q56/Q38,0)</f>
        <v>0.454043728821848</v>
      </c>
      <c r="R57" s="120" t="n">
        <f aca="false">IFERROR(R56/R38,0)</f>
        <v>0.482784666323708</v>
      </c>
      <c r="S57" s="120" t="n">
        <f aca="false">IFERROR(S56/S38,0)</f>
        <v>0.507519717412167</v>
      </c>
      <c r="T57" s="120" t="n">
        <f aca="false">IFERROR(T56/T38,0)</f>
        <v>0.529031824525878</v>
      </c>
      <c r="U57" s="120" t="n">
        <f aca="false">IFERROR(U56/U38,0)</f>
        <v>0.547912376963221</v>
      </c>
      <c r="V57" s="120" t="n">
        <f aca="false">IFERROR(V56/V38,0)</f>
        <v>0.491757984162473</v>
      </c>
      <c r="W57" s="120" t="n">
        <f aca="false">IFERROR(W56/W38,0)</f>
        <v>0.510611981738038</v>
      </c>
      <c r="X57" s="120" t="n">
        <f aca="false">IFERROR(X56/X38,0)</f>
        <v>0.52324891827274</v>
      </c>
      <c r="Y57" s="120" t="n">
        <f aca="false">IFERROR(Y56/Y38,0)</f>
        <v>0.534988630382584</v>
      </c>
      <c r="Z57" s="120" t="n">
        <f aca="false">IFERROR(Z56/Z38,0)</f>
        <v>0.544610463366611</v>
      </c>
      <c r="AA57" s="120" t="n">
        <f aca="false">IFERROR(AA56/AA38,0)</f>
        <v>0.527129342462342</v>
      </c>
      <c r="AB57" s="120" t="n">
        <f aca="false">IFERROR(AB56/AB38,0)</f>
        <v>0.536439261328465</v>
      </c>
      <c r="AC57" s="120" t="n">
        <f aca="false">IFERROR(AC56/AC38,0)</f>
        <v>0.545252630503499</v>
      </c>
      <c r="AD57" s="120" t="n">
        <f aca="false">IFERROR(AD56/AD38,0)</f>
        <v>0.553608143741174</v>
      </c>
      <c r="AE57" s="120" t="n">
        <f aca="false">IFERROR(AE56/AE38,0)</f>
        <v>0.561540576285442</v>
      </c>
      <c r="AF57" s="120" t="n">
        <f aca="false">IFERROR(AF56/AF38,0)</f>
        <v>0.569081268655777</v>
      </c>
      <c r="AG57" s="120" t="n">
        <f aca="false">IFERROR(AG56/AG38,0)</f>
        <v>0.576258540484981</v>
      </c>
      <c r="AH57" s="120" t="n">
        <f aca="false">IFERROR(AH56/AH38,0)</f>
        <v>0.583098045930675</v>
      </c>
      <c r="AI57" s="120" t="n">
        <f aca="false">IFERROR(AI56/AI38,0)</f>
        <v>0.566299602612592</v>
      </c>
      <c r="AJ57" s="120" t="n">
        <f aca="false">IFERROR(AJ56/AJ38,0)</f>
        <v>0.573055507977059</v>
      </c>
      <c r="AK57" s="120" t="n">
        <f aca="false">IFERROR(AK56/AK38,0)</f>
        <v>0.579514440272416</v>
      </c>
      <c r="AL57" s="120" t="n">
        <f aca="false">IFERROR(AL56/AL38,0)</f>
        <v>0.585695559695187</v>
      </c>
      <c r="AM57" s="120" t="n">
        <f aca="false">IFERROR(AM56/AM38,0)</f>
        <v>0.57106253185849</v>
      </c>
      <c r="AN57" s="120" t="n">
        <f aca="false">IFERROR(AN56/AN38,0)</f>
        <v>0.577163023314574</v>
      </c>
      <c r="AO57" s="120" t="n">
        <f aca="false">IFERROR(AO56/AO38,0)</f>
        <v>0.583017022488448</v>
      </c>
      <c r="AP57" s="120" t="n">
        <f aca="false">IFERROR(AP56/AP38,0)</f>
        <v>0.588639172938966</v>
      </c>
      <c r="AQ57" s="120" t="n">
        <f aca="false">IFERROR(AQ56/AQ38,0)</f>
        <v>0.594042980826683</v>
      </c>
      <c r="AR57" s="120" t="n">
        <f aca="false">IFERROR(AR56/AR38,0)</f>
        <v>0.599240923240732</v>
      </c>
      <c r="AS57" s="120" t="n">
        <f aca="false">IFERROR(AS56/AS38,0)</f>
        <v>0.599240923240732</v>
      </c>
      <c r="AT57" s="120" t="n">
        <f aca="false">IFERROR(AT56/AT38,0)</f>
        <v>0.599240923240732</v>
      </c>
      <c r="AU57" s="120" t="n">
        <f aca="false">IFERROR(AU56/AU38,0)</f>
        <v>0.599240923240732</v>
      </c>
      <c r="AV57" s="120" t="n">
        <f aca="false">IFERROR(AV56/AV38,0)</f>
        <v>0.599240923240732</v>
      </c>
      <c r="AW57" s="120" t="n">
        <f aca="false">IFERROR(AW56/AW38,0)</f>
        <v>0.599240923240732</v>
      </c>
      <c r="AX57" s="120" t="n">
        <f aca="false">IFERROR(AX56/AX38,0)</f>
        <v>0.599240923240732</v>
      </c>
      <c r="AY57" s="120" t="n">
        <f aca="false">IFERROR(AY56/AY38,0)</f>
        <v>0.580568904210827</v>
      </c>
      <c r="AZ57" s="120" t="n">
        <f aca="false">IFERROR(AZ56/AZ38,0)</f>
        <v>0.580568904210827</v>
      </c>
      <c r="BA57" s="120" t="n">
        <f aca="false">IFERROR(BA56/BA38,0)</f>
        <v>0.580568904210827</v>
      </c>
      <c r="BB57" s="120" t="n">
        <f aca="false">IFERROR(BB56/BB38,0)</f>
        <v>0.580568904210827</v>
      </c>
      <c r="BC57" s="120" t="n">
        <f aca="false">IFERROR(BC56/BC38,0)</f>
        <v>0.580568904210827</v>
      </c>
      <c r="BD57" s="120" t="n">
        <f aca="false">IFERROR(BD56/BD38,0)</f>
        <v>0.580568904210827</v>
      </c>
      <c r="BE57" s="120" t="n">
        <f aca="false">IFERROR(BE56/BE38,0)</f>
        <v>0.580568904210827</v>
      </c>
      <c r="BF57" s="120" t="n">
        <f aca="false">IFERROR(BF56/BF38,0)</f>
        <v>0.580568904210827</v>
      </c>
      <c r="BG57" s="120" t="n">
        <f aca="false">IFERROR(BG56/BG38,0)</f>
        <v>0.580568904210827</v>
      </c>
      <c r="BH57" s="120" t="n">
        <f aca="false">IFERROR(BH56/BH38,0)</f>
        <v>0.580568904210827</v>
      </c>
      <c r="BI57" s="120" t="n">
        <f aca="false">IFERROR(BI56/BI38,0)</f>
        <v>0.580568904210827</v>
      </c>
      <c r="BJ57" s="120" t="n">
        <f aca="false">IFERROR(BJ56/BJ38,0)</f>
        <v>0.580568904210827</v>
      </c>
      <c r="BK57" s="120" t="n">
        <f aca="false">IFERROR(BK56/BK38,0)</f>
        <v>0.561818905201713</v>
      </c>
      <c r="BL57" s="120" t="n">
        <f aca="false">IFERROR(BL56/BL38,0)</f>
        <v>0.561818905201713</v>
      </c>
      <c r="BM57" s="120" t="n">
        <f aca="false">IFERROR(BM56/BM38,0)</f>
        <v>0.561818905201713</v>
      </c>
      <c r="BN57" s="120" t="n">
        <f aca="false">IFERROR(BN56/BN38,0)</f>
        <v>0.561818905201713</v>
      </c>
      <c r="BO57" s="120" t="n">
        <f aca="false">IFERROR(BO56/BO38,0)</f>
        <v>0.561818905201713</v>
      </c>
      <c r="BP57" s="120" t="n">
        <f aca="false">IFERROR(BP56/BP38,0)</f>
        <v>0.561818905201713</v>
      </c>
      <c r="BQ57" s="120" t="n">
        <f aca="false">IFERROR(BQ56/BQ38,0)</f>
        <v>0.561818905201713</v>
      </c>
      <c r="BR57" s="120" t="n">
        <f aca="false">IFERROR(BR56/BR38,0)</f>
        <v>0.561818905201713</v>
      </c>
      <c r="BS57" s="120" t="n">
        <f aca="false">IFERROR(BS56/BS38,0)</f>
        <v>0.561818905201713</v>
      </c>
      <c r="BT57" s="120" t="n">
        <f aca="false">IFERROR(BT56/BT38,0)</f>
        <v>0.561818905201713</v>
      </c>
      <c r="BU57" s="120" t="n">
        <f aca="false">IFERROR(BU56/BU38,0)</f>
        <v>0.561818905201713</v>
      </c>
      <c r="BV57" s="120" t="n">
        <f aca="false">IFERROR(BV56/BV38,0)</f>
        <v>0.561818905201713</v>
      </c>
      <c r="BW57" s="120" t="n">
        <f aca="false">IFERROR(BW56/BW38,0)</f>
        <v>0.542988586814013</v>
      </c>
      <c r="BX57" s="120" t="n">
        <f aca="false">IFERROR(BX56/BX38,0)</f>
        <v>0.542988586814013</v>
      </c>
      <c r="BY57" s="120" t="n">
        <f aca="false">IFERROR(BY56/BY38,0)</f>
        <v>0.542988586814013</v>
      </c>
      <c r="BZ57" s="120" t="n">
        <f aca="false">IFERROR(BZ56/BZ38,0)</f>
        <v>0.542988586814013</v>
      </c>
      <c r="CA57" s="120" t="n">
        <f aca="false">IFERROR(CA56/CA38,0)</f>
        <v>0.542988586814013</v>
      </c>
      <c r="CB57" s="120" t="n">
        <f aca="false">IFERROR(CB56/CB38,0)</f>
        <v>0.542988586814013</v>
      </c>
      <c r="CC57" s="120" t="n">
        <f aca="false">IFERROR(CC56/CC38,0)</f>
        <v>0.542988586814013</v>
      </c>
      <c r="CD57" s="120" t="n">
        <f aca="false">IFERROR(CD56/CD38,0)</f>
        <v>0.542988586814013</v>
      </c>
      <c r="CE57" s="120" t="n">
        <f aca="false">IFERROR(CE56/CE38,0)</f>
        <v>0.542988586814013</v>
      </c>
      <c r="CF57" s="120" t="n">
        <f aca="false">IFERROR(CF56/CF38,0)</f>
        <v>0.542988586814013</v>
      </c>
      <c r="CG57" s="120" t="n">
        <f aca="false">IFERROR(CG56/CG38,0)</f>
        <v>0.542988586814013</v>
      </c>
      <c r="CH57" s="120" t="n">
        <f aca="false">IFERROR(CH56/CH38,0)</f>
        <v>0.542988586814013</v>
      </c>
    </row>
    <row r="58" customFormat="false" ht="13.5" hidden="false" customHeight="true" outlineLevel="0" collapsed="false">
      <c r="A58" s="6" t="s">
        <v>562</v>
      </c>
      <c r="C58" s="109" t="n">
        <f aca="false">-(CAPEX!$G$22)/(Hipótesis!$E$86*12)</f>
        <v>-1516.90476190476</v>
      </c>
      <c r="D58" s="109" t="n">
        <f aca="false">-(CAPEX!$G$22)/(Hipótesis!$E$86*12)</f>
        <v>-1516.90476190476</v>
      </c>
      <c r="E58" s="109" t="n">
        <f aca="false">-(CAPEX!$G$22)/(Hipótesis!$E$86*12)</f>
        <v>-1516.90476190476</v>
      </c>
      <c r="F58" s="109" t="n">
        <f aca="false">-(CAPEX!$G$22)/(Hipótesis!$E$86*12)</f>
        <v>-1516.90476190476</v>
      </c>
      <c r="G58" s="109" t="n">
        <f aca="false">-(CAPEX!$G$22)/(Hipótesis!$E$86*12)</f>
        <v>-1516.90476190476</v>
      </c>
      <c r="H58" s="109" t="n">
        <f aca="false">-(CAPEX!$G$22)/(Hipótesis!$E$86*12)</f>
        <v>-1516.90476190476</v>
      </c>
      <c r="I58" s="109" t="n">
        <f aca="false">-(CAPEX!$G$22)/(Hipótesis!$E$86*12)</f>
        <v>-1516.90476190476</v>
      </c>
      <c r="J58" s="109" t="n">
        <f aca="false">-(CAPEX!$G$22)/(Hipótesis!$E$86*12)</f>
        <v>-1516.90476190476</v>
      </c>
      <c r="K58" s="109" t="n">
        <f aca="false">-(CAPEX!$G$22)/(Hipótesis!$E$86*12)</f>
        <v>-1516.90476190476</v>
      </c>
      <c r="L58" s="109" t="n">
        <f aca="false">-(CAPEX!$G$22)/(Hipótesis!$E$86*12)</f>
        <v>-1516.90476190476</v>
      </c>
      <c r="M58" s="109" t="n">
        <f aca="false">-(CAPEX!$G$22)/(Hipótesis!$E$86*12)</f>
        <v>-1516.90476190476</v>
      </c>
      <c r="N58" s="109" t="n">
        <f aca="false">-(CAPEX!$G$22)/(Hipótesis!$E$86*12)</f>
        <v>-1516.90476190476</v>
      </c>
      <c r="O58" s="109" t="n">
        <f aca="false">-(CAPEX!$G$22)/(Hipótesis!$E$86*12)</f>
        <v>-1516.90476190476</v>
      </c>
      <c r="P58" s="109" t="n">
        <f aca="false">-(CAPEX!$G$22)/(Hipótesis!$E$86*12)</f>
        <v>-1516.90476190476</v>
      </c>
      <c r="Q58" s="109" t="n">
        <f aca="false">-(CAPEX!$G$22)/(Hipótesis!$E$86*12)</f>
        <v>-1516.90476190476</v>
      </c>
      <c r="R58" s="109" t="n">
        <f aca="false">-(CAPEX!$G$22)/(Hipótesis!$E$86*12)</f>
        <v>-1516.90476190476</v>
      </c>
      <c r="S58" s="109" t="n">
        <f aca="false">-(CAPEX!$G$22)/(Hipótesis!$E$86*12)</f>
        <v>-1516.90476190476</v>
      </c>
      <c r="T58" s="109" t="n">
        <f aca="false">-(CAPEX!$G$22)/(Hipótesis!$E$86*12)</f>
        <v>-1516.90476190476</v>
      </c>
      <c r="U58" s="109" t="n">
        <f aca="false">-(CAPEX!$G$22)/(Hipótesis!$E$86*12)</f>
        <v>-1516.90476190476</v>
      </c>
      <c r="V58" s="109" t="n">
        <f aca="false">-(CAPEX!$G$22)/(Hipótesis!$E$86*12)</f>
        <v>-1516.90476190476</v>
      </c>
      <c r="W58" s="109" t="n">
        <f aca="false">-(CAPEX!$G$22)/(Hipótesis!$E$86*12)</f>
        <v>-1516.90476190476</v>
      </c>
      <c r="X58" s="109" t="n">
        <f aca="false">-(CAPEX!$G$22)/(Hipótesis!$E$86*12)</f>
        <v>-1516.90476190476</v>
      </c>
      <c r="Y58" s="109" t="n">
        <f aca="false">-(CAPEX!$G$22)/(Hipótesis!$E$86*12)</f>
        <v>-1516.90476190476</v>
      </c>
      <c r="Z58" s="109" t="n">
        <f aca="false">-(CAPEX!$G$22)/(Hipótesis!$E$86*12)</f>
        <v>-1516.90476190476</v>
      </c>
      <c r="AA58" s="109" t="n">
        <f aca="false">-(CAPEX!$G$22)/(Hipótesis!$E$86*12)</f>
        <v>-1516.90476190476</v>
      </c>
      <c r="AB58" s="109" t="n">
        <f aca="false">-(CAPEX!$G$22)/(Hipótesis!$E$86*12)</f>
        <v>-1516.90476190476</v>
      </c>
      <c r="AC58" s="109" t="n">
        <f aca="false">-(CAPEX!$G$22)/(Hipótesis!$E$86*12)</f>
        <v>-1516.90476190476</v>
      </c>
      <c r="AD58" s="109" t="n">
        <f aca="false">-(CAPEX!$G$22)/(Hipótesis!$E$86*12)</f>
        <v>-1516.90476190476</v>
      </c>
      <c r="AE58" s="109" t="n">
        <f aca="false">-(CAPEX!$G$22)/(Hipótesis!$E$86*12)</f>
        <v>-1516.90476190476</v>
      </c>
      <c r="AF58" s="109" t="n">
        <f aca="false">-(CAPEX!$G$22)/(Hipótesis!$E$86*12)</f>
        <v>-1516.90476190476</v>
      </c>
      <c r="AG58" s="109" t="n">
        <f aca="false">-(CAPEX!$G$22)/(Hipótesis!$E$86*12)</f>
        <v>-1516.90476190476</v>
      </c>
      <c r="AH58" s="109" t="n">
        <f aca="false">-(CAPEX!$G$22)/(Hipótesis!$E$86*12)</f>
        <v>-1516.90476190476</v>
      </c>
      <c r="AI58" s="109" t="n">
        <f aca="false">-(CAPEX!$G$22)/(Hipótesis!$E$86*12)</f>
        <v>-1516.90476190476</v>
      </c>
      <c r="AJ58" s="109" t="n">
        <f aca="false">-(CAPEX!$G$22)/(Hipótesis!$E$86*12)</f>
        <v>-1516.90476190476</v>
      </c>
      <c r="AK58" s="109" t="n">
        <f aca="false">-(CAPEX!$G$22)/(Hipótesis!$E$86*12)</f>
        <v>-1516.90476190476</v>
      </c>
      <c r="AL58" s="109" t="n">
        <f aca="false">-(CAPEX!$G$22)/(Hipótesis!$E$86*12)</f>
        <v>-1516.90476190476</v>
      </c>
      <c r="AM58" s="109" t="n">
        <f aca="false">-(CAPEX!$G$22)/(Hipótesis!$E$86*12)</f>
        <v>-1516.90476190476</v>
      </c>
      <c r="AN58" s="109" t="n">
        <f aca="false">-(CAPEX!$G$22)/(Hipótesis!$E$86*12)</f>
        <v>-1516.90476190476</v>
      </c>
      <c r="AO58" s="109" t="n">
        <f aca="false">-(CAPEX!$G$22)/(Hipótesis!$E$86*12)</f>
        <v>-1516.90476190476</v>
      </c>
      <c r="AP58" s="109" t="n">
        <f aca="false">-(CAPEX!$G$22)/(Hipótesis!$E$86*12)</f>
        <v>-1516.90476190476</v>
      </c>
      <c r="AQ58" s="109" t="n">
        <f aca="false">-(CAPEX!$G$22)/(Hipótesis!$E$86*12)</f>
        <v>-1516.90476190476</v>
      </c>
      <c r="AR58" s="109" t="n">
        <f aca="false">-(CAPEX!$G$22)/(Hipótesis!$E$86*12)</f>
        <v>-1516.90476190476</v>
      </c>
      <c r="AS58" s="109" t="n">
        <f aca="false">-(CAPEX!$G$22)/(Hipótesis!$E$86*12)</f>
        <v>-1516.90476190476</v>
      </c>
      <c r="AT58" s="109" t="n">
        <f aca="false">-(CAPEX!$G$22)/(Hipótesis!$E$86*12)</f>
        <v>-1516.90476190476</v>
      </c>
      <c r="AU58" s="109" t="n">
        <f aca="false">-(CAPEX!$G$22)/(Hipótesis!$E$86*12)</f>
        <v>-1516.90476190476</v>
      </c>
      <c r="AV58" s="109" t="n">
        <f aca="false">-(CAPEX!$G$22)/(Hipótesis!$E$86*12)</f>
        <v>-1516.90476190476</v>
      </c>
      <c r="AW58" s="109" t="n">
        <f aca="false">-(CAPEX!$G$22)/(Hipótesis!$E$86*12)</f>
        <v>-1516.90476190476</v>
      </c>
      <c r="AX58" s="109" t="n">
        <f aca="false">-(CAPEX!$G$22)/(Hipótesis!$E$86*12)</f>
        <v>-1516.90476190476</v>
      </c>
      <c r="AY58" s="109" t="n">
        <f aca="false">-(CAPEX!$G$22)/(Hipótesis!$E$86*12)</f>
        <v>-1516.90476190476</v>
      </c>
      <c r="AZ58" s="109" t="n">
        <f aca="false">-(CAPEX!$G$22)/(Hipótesis!$E$86*12)</f>
        <v>-1516.90476190476</v>
      </c>
      <c r="BA58" s="109" t="n">
        <f aca="false">-(CAPEX!$G$22)/(Hipótesis!$E$86*12)</f>
        <v>-1516.90476190476</v>
      </c>
      <c r="BB58" s="109" t="n">
        <f aca="false">-(CAPEX!$G$22)/(Hipótesis!$E$86*12)</f>
        <v>-1516.90476190476</v>
      </c>
      <c r="BC58" s="109" t="n">
        <f aca="false">-(CAPEX!$G$22)/(Hipótesis!$E$86*12)</f>
        <v>-1516.90476190476</v>
      </c>
      <c r="BD58" s="109" t="n">
        <f aca="false">-(CAPEX!$G$22)/(Hipótesis!$E$86*12)</f>
        <v>-1516.90476190476</v>
      </c>
      <c r="BE58" s="109" t="n">
        <f aca="false">-(CAPEX!$G$22)/(Hipótesis!$E$86*12)</f>
        <v>-1516.90476190476</v>
      </c>
      <c r="BF58" s="109" t="n">
        <f aca="false">-(CAPEX!$G$22)/(Hipótesis!$E$86*12)</f>
        <v>-1516.90476190476</v>
      </c>
      <c r="BG58" s="109" t="n">
        <f aca="false">-(CAPEX!$G$22)/(Hipótesis!$E$86*12)</f>
        <v>-1516.90476190476</v>
      </c>
      <c r="BH58" s="109" t="n">
        <f aca="false">-(CAPEX!$G$22)/(Hipótesis!$E$86*12)</f>
        <v>-1516.90476190476</v>
      </c>
      <c r="BI58" s="109" t="n">
        <f aca="false">-(CAPEX!$G$22)/(Hipótesis!$E$86*12)</f>
        <v>-1516.90476190476</v>
      </c>
      <c r="BJ58" s="109" t="n">
        <f aca="false">-(CAPEX!$G$22)/(Hipótesis!$E$86*12)</f>
        <v>-1516.90476190476</v>
      </c>
      <c r="BK58" s="109" t="n">
        <f aca="false">-(CAPEX!$G$22)/(Hipótesis!$E$86*12)</f>
        <v>-1516.90476190476</v>
      </c>
      <c r="BL58" s="109" t="n">
        <f aca="false">-(CAPEX!$G$22)/(Hipótesis!$E$86*12)</f>
        <v>-1516.90476190476</v>
      </c>
      <c r="BM58" s="109" t="n">
        <f aca="false">-(CAPEX!$G$22)/(Hipótesis!$E$86*12)</f>
        <v>-1516.90476190476</v>
      </c>
      <c r="BN58" s="109" t="n">
        <f aca="false">-(CAPEX!$G$22)/(Hipótesis!$E$86*12)</f>
        <v>-1516.90476190476</v>
      </c>
      <c r="BO58" s="109" t="n">
        <f aca="false">-(CAPEX!$G$22)/(Hipótesis!$E$86*12)</f>
        <v>-1516.90476190476</v>
      </c>
      <c r="BP58" s="109" t="n">
        <f aca="false">-(CAPEX!$G$22)/(Hipótesis!$E$86*12)</f>
        <v>-1516.90476190476</v>
      </c>
      <c r="BQ58" s="109" t="n">
        <f aca="false">-(CAPEX!$G$22)/(Hipótesis!$E$86*12)</f>
        <v>-1516.90476190476</v>
      </c>
      <c r="BR58" s="109" t="n">
        <f aca="false">-(CAPEX!$G$22)/(Hipótesis!$E$86*12)</f>
        <v>-1516.90476190476</v>
      </c>
      <c r="BS58" s="109" t="n">
        <f aca="false">-(CAPEX!$G$22)/(Hipótesis!$E$86*12)</f>
        <v>-1516.90476190476</v>
      </c>
      <c r="BT58" s="109" t="n">
        <f aca="false">-(CAPEX!$G$22)/(Hipótesis!$E$86*12)</f>
        <v>-1516.90476190476</v>
      </c>
      <c r="BU58" s="109" t="n">
        <f aca="false">-(CAPEX!$G$22)/(Hipótesis!$E$86*12)</f>
        <v>-1516.90476190476</v>
      </c>
      <c r="BV58" s="109" t="n">
        <f aca="false">-(CAPEX!$G$22)/(Hipótesis!$E$86*12)</f>
        <v>-1516.90476190476</v>
      </c>
      <c r="BW58" s="109" t="n">
        <f aca="false">-(CAPEX!$G$22)/(Hipótesis!$E$86*12)</f>
        <v>-1516.90476190476</v>
      </c>
      <c r="BX58" s="109" t="n">
        <f aca="false">-(CAPEX!$G$22)/(Hipótesis!$E$86*12)</f>
        <v>-1516.90476190476</v>
      </c>
      <c r="BY58" s="109" t="n">
        <f aca="false">-(CAPEX!$G$22)/(Hipótesis!$E$86*12)</f>
        <v>-1516.90476190476</v>
      </c>
      <c r="BZ58" s="109" t="n">
        <f aca="false">-(CAPEX!$G$22)/(Hipótesis!$E$86*12)</f>
        <v>-1516.90476190476</v>
      </c>
      <c r="CA58" s="109" t="n">
        <f aca="false">-(CAPEX!$G$22)/(Hipótesis!$E$86*12)</f>
        <v>-1516.90476190476</v>
      </c>
      <c r="CB58" s="109" t="n">
        <f aca="false">-(CAPEX!$G$22)/(Hipótesis!$E$86*12)</f>
        <v>-1516.90476190476</v>
      </c>
      <c r="CC58" s="109" t="n">
        <f aca="false">-(CAPEX!$G$22)/(Hipótesis!$E$86*12)</f>
        <v>-1516.90476190476</v>
      </c>
      <c r="CD58" s="109" t="n">
        <f aca="false">-(CAPEX!$G$22)/(Hipótesis!$E$86*12)</f>
        <v>-1516.90476190476</v>
      </c>
      <c r="CE58" s="109" t="n">
        <f aca="false">-(CAPEX!$G$22)/(Hipótesis!$E$86*12)</f>
        <v>-1516.90476190476</v>
      </c>
      <c r="CF58" s="109" t="n">
        <f aca="false">-(CAPEX!$G$22)/(Hipótesis!$E$86*12)</f>
        <v>-1516.90476190476</v>
      </c>
      <c r="CG58" s="109" t="n">
        <f aca="false">-(CAPEX!$G$22)/(Hipótesis!$E$86*12)</f>
        <v>-1516.90476190476</v>
      </c>
      <c r="CH58" s="109" t="n">
        <f aca="false">-(CAPEX!$G$22)/(Hipótesis!$E$86*12)</f>
        <v>-1516.90476190476</v>
      </c>
    </row>
    <row r="59" customFormat="false" ht="13.5" hidden="false" customHeight="true" outlineLevel="0" collapsed="false">
      <c r="A59" s="22" t="s">
        <v>563</v>
      </c>
      <c r="C59" s="109" t="n">
        <f aca="false">C56+C58</f>
        <v>-14852.3502147112</v>
      </c>
      <c r="D59" s="109" t="n">
        <f aca="false">D56+D58</f>
        <v>-13654.9572449348</v>
      </c>
      <c r="E59" s="109" t="n">
        <f aca="false">E56+E58</f>
        <v>-11216.798221389</v>
      </c>
      <c r="F59" s="109" t="n">
        <f aca="false">F56+F58</f>
        <v>-9895.19374503681</v>
      </c>
      <c r="G59" s="109" t="n">
        <f aca="false">G56+G58</f>
        <v>-8654.42769126747</v>
      </c>
      <c r="H59" s="109" t="n">
        <f aca="false">H56+H58</f>
        <v>-6705.40460790251</v>
      </c>
      <c r="I59" s="109" t="n">
        <f aca="false">I56+I58</f>
        <v>-2722.09188901265</v>
      </c>
      <c r="J59" s="109" t="n">
        <f aca="false">J56+J58</f>
        <v>1261.2208298772</v>
      </c>
      <c r="K59" s="109" t="n">
        <f aca="false">K56+K58</f>
        <v>5244.53354876705</v>
      </c>
      <c r="L59" s="109" t="n">
        <f aca="false">L56+L58</f>
        <v>9227.84626765691</v>
      </c>
      <c r="M59" s="109" t="n">
        <f aca="false">M56+M58</f>
        <v>11970.3929327774</v>
      </c>
      <c r="N59" s="109" t="n">
        <f aca="false">N56+N58</f>
        <v>15663.8528909461</v>
      </c>
      <c r="O59" s="109" t="n">
        <f aca="false">O56+O58</f>
        <v>14130.1128491148</v>
      </c>
      <c r="P59" s="109" t="n">
        <f aca="false">P56+P58</f>
        <v>17463.9695949071</v>
      </c>
      <c r="Q59" s="109" t="n">
        <f aca="false">Q56+Q58</f>
        <v>20797.8263406994</v>
      </c>
      <c r="R59" s="109" t="n">
        <f aca="false">R56+R58</f>
        <v>24131.6830864917</v>
      </c>
      <c r="S59" s="109" t="n">
        <f aca="false">S56+S58</f>
        <v>27465.5398322841</v>
      </c>
      <c r="T59" s="109" t="n">
        <f aca="false">T56+T58</f>
        <v>30799.3965780764</v>
      </c>
      <c r="U59" s="109" t="n">
        <f aca="false">U56+U58</f>
        <v>34133.2533238687</v>
      </c>
      <c r="V59" s="109" t="n">
        <f aca="false">V56+V58</f>
        <v>32436.590069661</v>
      </c>
      <c r="W59" s="109" t="n">
        <f aca="false">W56+W58</f>
        <v>35770.4468154534</v>
      </c>
      <c r="X59" s="109" t="n">
        <f aca="false">X56+X58</f>
        <v>38153.3902681975</v>
      </c>
      <c r="Y59" s="109" t="n">
        <f aca="false">Y56+Y58</f>
        <v>40536.3337209417</v>
      </c>
      <c r="Z59" s="109" t="n">
        <f aca="false">Z56+Z58</f>
        <v>42570.6233564666</v>
      </c>
      <c r="AA59" s="109" t="n">
        <f aca="false">AA56+AA58</f>
        <v>42392.4213919915</v>
      </c>
      <c r="AB59" s="109" t="n">
        <f aca="false">AB56+AB58</f>
        <v>44426.7110275164</v>
      </c>
      <c r="AC59" s="109" t="n">
        <f aca="false">AC56+AC58</f>
        <v>46461.0006630413</v>
      </c>
      <c r="AD59" s="109" t="n">
        <f aca="false">AD56+AD58</f>
        <v>48495.2902985662</v>
      </c>
      <c r="AE59" s="109" t="n">
        <f aca="false">AE56+AE58</f>
        <v>50529.5799340911</v>
      </c>
      <c r="AF59" s="109" t="n">
        <f aca="false">AF56+AF58</f>
        <v>52563.869569616</v>
      </c>
      <c r="AG59" s="109" t="n">
        <f aca="false">AG56+AG58</f>
        <v>54598.1592051409</v>
      </c>
      <c r="AH59" s="109" t="n">
        <f aca="false">AH56+AH58</f>
        <v>56632.4488406658</v>
      </c>
      <c r="AI59" s="109" t="n">
        <f aca="false">AI56+AI58</f>
        <v>56286.0788761907</v>
      </c>
      <c r="AJ59" s="109" t="n">
        <f aca="false">AJ56+AJ58</f>
        <v>58320.3685117156</v>
      </c>
      <c r="AK59" s="109" t="n">
        <f aca="false">AK56+AK58</f>
        <v>60354.6581472405</v>
      </c>
      <c r="AL59" s="109" t="n">
        <f aca="false">AL56+AL58</f>
        <v>62388.9477827654</v>
      </c>
      <c r="AM59" s="109" t="n">
        <f aca="false">AM56+AM58</f>
        <v>62132.3512822903</v>
      </c>
      <c r="AN59" s="109" t="n">
        <f aca="false">AN56+AN58</f>
        <v>64166.6409178152</v>
      </c>
      <c r="AO59" s="109" t="n">
        <f aca="false">AO56+AO58</f>
        <v>66200.9305533401</v>
      </c>
      <c r="AP59" s="109" t="n">
        <f aca="false">AP56+AP58</f>
        <v>68235.220188865</v>
      </c>
      <c r="AQ59" s="109" t="n">
        <f aca="false">AQ56+AQ58</f>
        <v>70269.5098243898</v>
      </c>
      <c r="AR59" s="109" t="n">
        <f aca="false">AR56+AR58</f>
        <v>72303.7994599148</v>
      </c>
      <c r="AS59" s="109" t="n">
        <f aca="false">AS56+AS58</f>
        <v>72303.7994599148</v>
      </c>
      <c r="AT59" s="109" t="n">
        <f aca="false">AT56+AT58</f>
        <v>72303.7994599148</v>
      </c>
      <c r="AU59" s="109" t="n">
        <f aca="false">AU56+AU58</f>
        <v>72303.7994599148</v>
      </c>
      <c r="AV59" s="109" t="n">
        <f aca="false">AV56+AV58</f>
        <v>72303.7994599148</v>
      </c>
      <c r="AW59" s="109" t="n">
        <f aca="false">AW56+AW58</f>
        <v>72303.7994599148</v>
      </c>
      <c r="AX59" s="109" t="n">
        <f aca="false">AX56+AX58</f>
        <v>72303.7994599148</v>
      </c>
      <c r="AY59" s="109" t="n">
        <f aca="false">AY56+AY58</f>
        <v>70003.5867398348</v>
      </c>
      <c r="AZ59" s="109" t="n">
        <f aca="false">AZ56+AZ58</f>
        <v>70003.5867398348</v>
      </c>
      <c r="BA59" s="109" t="n">
        <f aca="false">BA56+BA58</f>
        <v>70003.5867398348</v>
      </c>
      <c r="BB59" s="109" t="n">
        <f aca="false">BB56+BB58</f>
        <v>70003.5867398348</v>
      </c>
      <c r="BC59" s="109" t="n">
        <f aca="false">BC56+BC58</f>
        <v>70003.5867398348</v>
      </c>
      <c r="BD59" s="109" t="n">
        <f aca="false">BD56+BD58</f>
        <v>70003.5867398348</v>
      </c>
      <c r="BE59" s="109" t="n">
        <f aca="false">BE56+BE58</f>
        <v>70003.5867398348</v>
      </c>
      <c r="BF59" s="109" t="n">
        <f aca="false">BF56+BF58</f>
        <v>70003.5867398348</v>
      </c>
      <c r="BG59" s="109" t="n">
        <f aca="false">BG56+BG58</f>
        <v>70003.5867398348</v>
      </c>
      <c r="BH59" s="109" t="n">
        <f aca="false">BH56+BH58</f>
        <v>70003.5867398348</v>
      </c>
      <c r="BI59" s="109" t="n">
        <f aca="false">BI56+BI58</f>
        <v>70003.5867398348</v>
      </c>
      <c r="BJ59" s="109" t="n">
        <f aca="false">BJ56+BJ58</f>
        <v>70003.5867398348</v>
      </c>
      <c r="BK59" s="109" t="n">
        <f aca="false">BK56+BK58</f>
        <v>67693.7676381524</v>
      </c>
      <c r="BL59" s="109" t="n">
        <f aca="false">BL56+BL58</f>
        <v>67693.7676381524</v>
      </c>
      <c r="BM59" s="109" t="n">
        <f aca="false">BM56+BM58</f>
        <v>67693.7676381524</v>
      </c>
      <c r="BN59" s="109" t="n">
        <f aca="false">BN56+BN58</f>
        <v>67693.7676381524</v>
      </c>
      <c r="BO59" s="109" t="n">
        <f aca="false">BO56+BO58</f>
        <v>67693.7676381524</v>
      </c>
      <c r="BP59" s="109" t="n">
        <f aca="false">BP56+BP58</f>
        <v>67693.7676381524</v>
      </c>
      <c r="BQ59" s="109" t="n">
        <f aca="false">BQ56+BQ58</f>
        <v>67693.7676381524</v>
      </c>
      <c r="BR59" s="109" t="n">
        <f aca="false">BR56+BR58</f>
        <v>67693.7676381524</v>
      </c>
      <c r="BS59" s="109" t="n">
        <f aca="false">BS56+BS58</f>
        <v>67693.7676381524</v>
      </c>
      <c r="BT59" s="109" t="n">
        <f aca="false">BT56+BT58</f>
        <v>67693.7676381524</v>
      </c>
      <c r="BU59" s="109" t="n">
        <f aca="false">BU56+BU58</f>
        <v>67693.7676381524</v>
      </c>
      <c r="BV59" s="109" t="n">
        <f aca="false">BV56+BV58</f>
        <v>67693.7676381524</v>
      </c>
      <c r="BW59" s="109" t="n">
        <f aca="false">BW56+BW58</f>
        <v>65374.0539634195</v>
      </c>
      <c r="BX59" s="109" t="n">
        <f aca="false">BX56+BX58</f>
        <v>65374.0539634195</v>
      </c>
      <c r="BY59" s="109" t="n">
        <f aca="false">BY56+BY58</f>
        <v>65374.0539634195</v>
      </c>
      <c r="BZ59" s="109" t="n">
        <f aca="false">BZ56+BZ58</f>
        <v>65374.0539634195</v>
      </c>
      <c r="CA59" s="109" t="n">
        <f aca="false">CA56+CA58</f>
        <v>65374.0539634195</v>
      </c>
      <c r="CB59" s="109" t="n">
        <f aca="false">CB56+CB58</f>
        <v>65374.0539634195</v>
      </c>
      <c r="CC59" s="109" t="n">
        <f aca="false">CC56+CC58</f>
        <v>65374.0539634195</v>
      </c>
      <c r="CD59" s="109" t="n">
        <f aca="false">CD56+CD58</f>
        <v>65374.0539634195</v>
      </c>
      <c r="CE59" s="109" t="n">
        <f aca="false">CE56+CE58</f>
        <v>65374.0539634195</v>
      </c>
      <c r="CF59" s="109" t="n">
        <f aca="false">CF56+CF58</f>
        <v>65374.0539634195</v>
      </c>
      <c r="CG59" s="109" t="n">
        <f aca="false">CG56+CG58</f>
        <v>65374.0539634195</v>
      </c>
      <c r="CH59" s="109" t="n">
        <f aca="false">CH56+CH58</f>
        <v>65374.0539634195</v>
      </c>
    </row>
    <row r="60" customFormat="false" ht="13.5" hidden="false" customHeight="true" outlineLevel="0" collapsed="false">
      <c r="A60" s="6" t="s">
        <v>564</v>
      </c>
      <c r="C60" s="109" t="n">
        <f aca="false">-(C91+C98+C103+C77+C68*Hipótesis!$D$73*Hipótesis!$D$74/12)</f>
        <v>-337.151375911458</v>
      </c>
      <c r="D60" s="109" t="n">
        <f aca="false">-(D91+D98+D103+D77+D68*Hipótesis!$D$73*Hipótesis!$D$74/12)</f>
        <v>-341.266713802083</v>
      </c>
      <c r="E60" s="109" t="n">
        <f aca="false">-(E91+E98+E103+E77+E68*Hipótesis!$D$73*Hipótesis!$D$74/12)</f>
        <v>-349.856965511068</v>
      </c>
      <c r="F60" s="109" t="n">
        <f aca="false">-(F91+F98+F103+F77+F68*Hipótesis!$D$73*Hipótesis!$D$74/12)</f>
        <v>-354.629174641927</v>
      </c>
      <c r="G60" s="109" t="n">
        <f aca="false">-(G91+G98+G103+G77+G68*Hipótesis!$D$73*Hipótesis!$D$74/12)</f>
        <v>-359.104088460286</v>
      </c>
      <c r="H60" s="109" t="n">
        <f aca="false">-(H91+H98+H103+H77+H68*Hipótesis!$D$73*Hipótesis!$D$74/12)</f>
        <v>-366.304209309896</v>
      </c>
      <c r="I60" s="109" t="n">
        <f aca="false">-(I91+I98+I103+I77+I68*Hipótesis!$D$73*Hipótesis!$D$74/12)</f>
        <v>-380.837307794054</v>
      </c>
      <c r="J60" s="109" t="n">
        <f aca="false">-(J91+J98+J103+J77+J68*Hipótesis!$D$73*Hipótesis!$D$74/12)</f>
        <v>-451.717776927204</v>
      </c>
      <c r="K60" s="109" t="n">
        <f aca="false">-(K91+K98+K103+K77+K68*Hipótesis!$D$73*Hipótesis!$D$74/12)</f>
        <v>-569.94024969401</v>
      </c>
      <c r="L60" s="109" t="n">
        <f aca="false">-(L91+L98+L103+L77+L68*Hipótesis!$D$73*Hipótesis!$D$74/12)</f>
        <v>-667.671953033578</v>
      </c>
      <c r="M60" s="109" t="n">
        <f aca="false">-(M91+M98+M103+M77+M68*Hipótesis!$D$73*Hipótesis!$D$74/12)</f>
        <v>-715.542823429601</v>
      </c>
      <c r="N60" s="109" t="n">
        <f aca="false">-(N91+N98+N103+N77+N68*Hipótesis!$D$73*Hipótesis!$D$74/12)</f>
        <v>-791.884317041391</v>
      </c>
      <c r="O60" s="109" t="n">
        <f aca="false">-(O91+O98+O103+O77+O68*Hipótesis!$D$73*Hipótesis!$D$74/12)</f>
        <v>-774.983892276813</v>
      </c>
      <c r="P60" s="109" t="n">
        <f aca="false">-(P91+P98+P103+P77+P68*Hipótesis!$D$73*Hipótesis!$D$74/12)</f>
        <v>-854.097574358458</v>
      </c>
      <c r="Q60" s="109" t="n">
        <f aca="false">-(Q91+Q98+Q103+Q77+Q68*Hipótesis!$D$73*Hipótesis!$D$74/12)</f>
        <v>-933.211256440102</v>
      </c>
      <c r="R60" s="109" t="n">
        <f aca="false">-(R91+R98+R103+R77+R68*Hipótesis!$D$73*Hipótesis!$D$74/12)</f>
        <v>-1012.32493852175</v>
      </c>
      <c r="S60" s="109" t="n">
        <f aca="false">-(S91+S98+S103+S77+S68*Hipótesis!$D$73*Hipótesis!$D$74/12)</f>
        <v>-1091.43862060339</v>
      </c>
      <c r="T60" s="109" t="n">
        <f aca="false">-(T91+T98+T103+T77+T68*Hipótesis!$D$73*Hipótesis!$D$74/12)</f>
        <v>-1170.55230268504</v>
      </c>
      <c r="U60" s="109" t="n">
        <f aca="false">-(U91+U98+U103+U77+U68*Hipótesis!$D$73*Hipótesis!$D$74/12)</f>
        <v>-1249.66598476668</v>
      </c>
      <c r="V60" s="109" t="n">
        <f aca="false">-(V91+V98+V103+V77+V68*Hipótesis!$D$73*Hipótesis!$D$74/12)</f>
        <v>-1228.16926684833</v>
      </c>
      <c r="W60" s="109" t="n">
        <f aca="false">-(W91+W98+W103+W77+W68*Hipótesis!$D$73*Hipótesis!$D$74/12)</f>
        <v>-1307.28294892997</v>
      </c>
      <c r="X60" s="109" t="n">
        <f aca="false">-(X91+X98+X103+X77+X68*Hipótesis!$D$73*Hipótesis!$D$74/12)</f>
        <v>-1363.6621737444</v>
      </c>
      <c r="Y60" s="109" t="n">
        <f aca="false">-(Y91+Y98+Y103+Y77+Y68*Hipótesis!$D$73*Hipótesis!$D$74/12)</f>
        <v>-1420.04139855883</v>
      </c>
      <c r="Z60" s="109" t="n">
        <f aca="false">-(Z91+Z98+Z103+Z77+Z68*Hipótesis!$D$73*Hipótesis!$D$74/12)</f>
        <v>-1468.06016890388</v>
      </c>
      <c r="AA60" s="109" t="n">
        <f aca="false">-(AA91+AA98+AA103+AA77+AA68*Hipótesis!$D$73*Hipótesis!$D$74/12)</f>
        <v>-1471.82910724893</v>
      </c>
      <c r="AB60" s="109" t="n">
        <f aca="false">-(AB91+AB98+AB103+AB77+AB68*Hipótesis!$D$73*Hipótesis!$D$74/12)</f>
        <v>-1514.29232203842</v>
      </c>
      <c r="AC60" s="109" t="n">
        <f aca="false">-(AC91+AC98+AC103+AC77+AC68*Hipótesis!$D$73*Hipótesis!$D$74/12)</f>
        <v>-1556.75553682791</v>
      </c>
      <c r="AD60" s="109" t="n">
        <f aca="false">-(AD91+AD98+AD103+AD77+AD68*Hipótesis!$D$73*Hipótesis!$D$74/12)</f>
        <v>-1599.2187516174</v>
      </c>
      <c r="AE60" s="109" t="n">
        <f aca="false">-(AE91+AE98+AE103+AE77+AE68*Hipótesis!$D$73*Hipótesis!$D$74/12)</f>
        <v>-1641.68196640689</v>
      </c>
      <c r="AF60" s="109" t="n">
        <f aca="false">-(AF91+AF98+AF103+AF77+AF68*Hipótesis!$D$73*Hipótesis!$D$74/12)</f>
        <v>-1684.14518119638</v>
      </c>
      <c r="AG60" s="109" t="n">
        <f aca="false">-(AG91+AG98+AG103+AG77+AG68*Hipótesis!$D$73*Hipótesis!$D$74/12)</f>
        <v>-1726.60839598587</v>
      </c>
      <c r="AH60" s="109" t="n">
        <f aca="false">-(AH91+AH98+AH103+AH77+AH68*Hipótesis!$D$73*Hipótesis!$D$74/12)</f>
        <v>-1769.07161077536</v>
      </c>
      <c r="AI60" s="109" t="n">
        <f aca="false">-(AI91+AI98+AI103+AI77+AI68*Hipótesis!$D$73*Hipótesis!$D$74/12)</f>
        <v>-1763.92163356485</v>
      </c>
      <c r="AJ60" s="109" t="n">
        <f aca="false">-(AJ91+AJ98+AJ103+AJ77+AJ68*Hipótesis!$D$73*Hipótesis!$D$74/12)</f>
        <v>-1806.38484835435</v>
      </c>
      <c r="AK60" s="109" t="n">
        <f aca="false">-(AK91+AK98+AK103+AK77+AK68*Hipótesis!$D$73*Hipótesis!$D$74/12)</f>
        <v>-1848.84806314384</v>
      </c>
      <c r="AL60" s="109" t="n">
        <f aca="false">-(AL91+AL98+AL103+AL77+AL68*Hipótesis!$D$73*Hipótesis!$D$74/12)</f>
        <v>-1891.31127793333</v>
      </c>
      <c r="AM60" s="109" t="n">
        <f aca="false">-(AM91+AM98+AM103+AM77+AM68*Hipótesis!$D$73*Hipótesis!$D$74/12)</f>
        <v>-1887.95677000282</v>
      </c>
      <c r="AN60" s="109" t="n">
        <f aca="false">-(AN91+AN98+AN103+AN77+AN68*Hipótesis!$D$73*Hipótesis!$D$74/12)</f>
        <v>-1930.41998479231</v>
      </c>
      <c r="AO60" s="109" t="n">
        <f aca="false">-(AO91+AO98+AO103+AO77+AO68*Hipótesis!$D$73*Hipótesis!$D$74/12)</f>
        <v>-1972.8831995818</v>
      </c>
      <c r="AP60" s="109" t="n">
        <f aca="false">-(AP91+AP98+AP103+AP77+AP68*Hipótesis!$D$73*Hipótesis!$D$74/12)</f>
        <v>-2015.34641437129</v>
      </c>
      <c r="AQ60" s="109" t="n">
        <f aca="false">-(AQ91+AQ98+AQ103+AQ77+AQ68*Hipótesis!$D$73*Hipótesis!$D$74/12)</f>
        <v>-2057.80962916078</v>
      </c>
      <c r="AR60" s="109" t="n">
        <f aca="false">-(AR91+AR98+AR103+AR77+AR68*Hipótesis!$D$73*Hipótesis!$D$74/12)</f>
        <v>-2100.27284395027</v>
      </c>
      <c r="AS60" s="109" t="n">
        <f aca="false">-(AS91+AS98+AS103+AS77+AS68*Hipótesis!$D$73*Hipótesis!$D$74/12)</f>
        <v>-2094.71728839472</v>
      </c>
      <c r="AT60" s="109" t="n">
        <f aca="false">-(AT91+AT98+AT103+AT77+AT68*Hipótesis!$D$73*Hipótesis!$D$74/12)</f>
        <v>-2089.16173283916</v>
      </c>
      <c r="AU60" s="109" t="n">
        <f aca="false">-(AU91+AU98+AU103+AU77+AU68*Hipótesis!$D$73*Hipótesis!$D$74/12)</f>
        <v>-2083.60617728361</v>
      </c>
      <c r="AV60" s="109" t="n">
        <f aca="false">-(AV91+AV98+AV103+AV77+AV68*Hipótesis!$D$73*Hipótesis!$D$74/12)</f>
        <v>-2078.05062172805</v>
      </c>
      <c r="AW60" s="109" t="n">
        <f aca="false">-(AW91+AW98+AW103+AW77+AW68*Hipótesis!$D$73*Hipótesis!$D$74/12)</f>
        <v>-2072.49506617249</v>
      </c>
      <c r="AX60" s="109" t="n">
        <f aca="false">-(AX91+AX98+AX103+AX77+AX68*Hipótesis!$D$73*Hipótesis!$D$74/12)</f>
        <v>-2066.93951061694</v>
      </c>
      <c r="AY60" s="109" t="n">
        <f aca="false">-(AY91+AY98+AY103+AY77+AY68*Hipótesis!$D$73*Hipótesis!$D$74/12)</f>
        <v>-2015.37970065978</v>
      </c>
      <c r="AZ60" s="109" t="n">
        <f aca="false">-(AZ91+AZ98+AZ103+AZ77+AZ68*Hipótesis!$D$73*Hipótesis!$D$74/12)</f>
        <v>-2009.82414510423</v>
      </c>
      <c r="BA60" s="109" t="n">
        <f aca="false">-(BA91+BA98+BA103+BA77+BA68*Hipótesis!$D$73*Hipótesis!$D$74/12)</f>
        <v>-2004.26858954867</v>
      </c>
      <c r="BB60" s="109" t="n">
        <f aca="false">-(BB91+BB98+BB103+BB77+BB68*Hipótesis!$D$73*Hipótesis!$D$74/12)</f>
        <v>-1998.71303399312</v>
      </c>
      <c r="BC60" s="109" t="n">
        <f aca="false">-(BC91+BC98+BC103+BC77+BC68*Hipótesis!$D$73*Hipótesis!$D$74/12)</f>
        <v>-1993.15747843756</v>
      </c>
      <c r="BD60" s="109" t="n">
        <f aca="false">-(BD91+BD98+BD103+BD77+BD68*Hipótesis!$D$73*Hipótesis!$D$74/12)</f>
        <v>-1987.60192288201</v>
      </c>
      <c r="BE60" s="109" t="n">
        <f aca="false">-(BE91+BE98+BE103+BE77+BE68*Hipótesis!$D$73*Hipótesis!$D$74/12)</f>
        <v>-1982.04636732645</v>
      </c>
      <c r="BF60" s="109" t="n">
        <f aca="false">-(BF91+BF98+BF103+BF77+BF68*Hipótesis!$D$73*Hipótesis!$D$74/12)</f>
        <v>-1976.49081177089</v>
      </c>
      <c r="BG60" s="109" t="n">
        <f aca="false">-(BG91+BG98+BG103+BG77+BG68*Hipótesis!$D$73*Hipótesis!$D$74/12)</f>
        <v>-1970.93525621534</v>
      </c>
      <c r="BH60" s="109" t="n">
        <f aca="false">-(BH91+BH98+BH103+BH77+BH68*Hipótesis!$D$73*Hipótesis!$D$74/12)</f>
        <v>-1965.37970065978</v>
      </c>
      <c r="BI60" s="109" t="n">
        <f aca="false">-(BI91+BI98+BI103+BI77+BI68*Hipótesis!$D$73*Hipótesis!$D$74/12)</f>
        <v>-1959.82414510423</v>
      </c>
      <c r="BJ60" s="109" t="n">
        <f aca="false">-(BJ91+BJ98+BJ103+BJ77+BJ68*Hipótesis!$D$73*Hipótesis!$D$74/12)</f>
        <v>-1954.26858954867</v>
      </c>
      <c r="BK60" s="109" t="n">
        <f aca="false">-(BK91+BK98+BK103+BK77+BK68*Hipótesis!$D$73*Hipótesis!$D$74/12)</f>
        <v>-1902.51665195947</v>
      </c>
      <c r="BL60" s="109" t="n">
        <f aca="false">-(BL91+BL98+BL103+BL77+BL68*Hipótesis!$D$73*Hipótesis!$D$74/12)</f>
        <v>-1896.96109640391</v>
      </c>
      <c r="BM60" s="109" t="n">
        <f aca="false">-(BM91+BM98+BM103+BM77+BM68*Hipótesis!$D$73*Hipótesis!$D$74/12)</f>
        <v>-1891.40554084836</v>
      </c>
      <c r="BN60" s="109" t="n">
        <f aca="false">-(BN91+BN98+BN103+BN77+BN68*Hipótesis!$D$73*Hipótesis!$D$74/12)</f>
        <v>-1885.8499852928</v>
      </c>
      <c r="BO60" s="109" t="n">
        <f aca="false">-(BO91+BO98+BO103+BO77+BO68*Hipótesis!$D$73*Hipótesis!$D$74/12)</f>
        <v>-1880.29442973725</v>
      </c>
      <c r="BP60" s="109" t="n">
        <f aca="false">-(BP91+BP98+BP103+BP77+BP68*Hipótesis!$D$73*Hipótesis!$D$74/12)</f>
        <v>-1874.73887418169</v>
      </c>
      <c r="BQ60" s="109" t="n">
        <f aca="false">-(BQ91+BQ98+BQ103+BQ77+BQ68*Hipótesis!$D$73*Hipótesis!$D$74/12)</f>
        <v>-1869.18331862614</v>
      </c>
      <c r="BR60" s="109" t="n">
        <f aca="false">-(BR91+BR98+BR103+BR77+BR68*Hipótesis!$D$73*Hipótesis!$D$74/12)</f>
        <v>-1863.62776307058</v>
      </c>
      <c r="BS60" s="109" t="n">
        <f aca="false">-(BS91+BS98+BS103+BS77+BS68*Hipótesis!$D$73*Hipótesis!$D$74/12)</f>
        <v>-1858.07220751502</v>
      </c>
      <c r="BT60" s="109" t="n">
        <f aca="false">-(BT91+BT98+BT103+BT77+BT68*Hipótesis!$D$73*Hipótesis!$D$74/12)</f>
        <v>-1852.51665195947</v>
      </c>
      <c r="BU60" s="109" t="n">
        <f aca="false">-(BU91+BU98+BU103+BU77+BU68*Hipótesis!$D$73*Hipótesis!$D$74/12)</f>
        <v>-1846.96109640391</v>
      </c>
      <c r="BV60" s="109" t="n">
        <f aca="false">-(BV91+BV98+BV103+BV77+BV68*Hipótesis!$D$73*Hipótesis!$D$74/12)</f>
        <v>-1841.40554084836</v>
      </c>
      <c r="BW60" s="109" t="n">
        <f aca="false">-(BW91+BW98+BW103+BW77+BW68*Hipótesis!$D$73*Hipótesis!$D$74/12)</f>
        <v>-1789.45571179814</v>
      </c>
      <c r="BX60" s="109" t="n">
        <f aca="false">-(BX91+BX98+BX103+BX77+BX68*Hipótesis!$D$73*Hipótesis!$D$74/12)</f>
        <v>-1783.90015624259</v>
      </c>
      <c r="BY60" s="109" t="n">
        <f aca="false">-(BY91+BY98+BY103+BY77+BY68*Hipótesis!$D$73*Hipótesis!$D$74/12)</f>
        <v>-1778.34460068703</v>
      </c>
      <c r="BZ60" s="109" t="n">
        <f aca="false">-(BZ91+BZ98+BZ103+BZ77+BZ68*Hipótesis!$D$73*Hipótesis!$D$74/12)</f>
        <v>-1772.78904513148</v>
      </c>
      <c r="CA60" s="109" t="n">
        <f aca="false">-(CA91+CA98+CA103+CA77+CA68*Hipótesis!$D$73*Hipótesis!$D$74/12)</f>
        <v>-1767.23348957592</v>
      </c>
      <c r="CB60" s="109" t="n">
        <f aca="false">-(CB91+CB98+CB103+CB77+CB68*Hipótesis!$D$73*Hipótesis!$D$74/12)</f>
        <v>-1761.67793402037</v>
      </c>
      <c r="CC60" s="109" t="n">
        <f aca="false">-(CC91+CC98+CC103+CC77+CC68*Hipótesis!$D$73*Hipótesis!$D$74/12)</f>
        <v>-1756.12237846481</v>
      </c>
      <c r="CD60" s="109" t="n">
        <f aca="false">-(CD91+CD98+CD103+CD77+CD68*Hipótesis!$D$73*Hipótesis!$D$74/12)</f>
        <v>-1750.56682290926</v>
      </c>
      <c r="CE60" s="109" t="n">
        <f aca="false">-(CE91+CE98+CE103+CE77+CE68*Hipótesis!$D$73*Hipótesis!$D$74/12)</f>
        <v>-1745.0112673537</v>
      </c>
      <c r="CF60" s="109" t="n">
        <f aca="false">-(CF91+CF98+CF103+CF77+CF68*Hipótesis!$D$73*Hipótesis!$D$74/12)</f>
        <v>-1739.45571179814</v>
      </c>
      <c r="CG60" s="109" t="n">
        <f aca="false">-(CG91+CG98+CG103+CG77+CG68*Hipótesis!$D$73*Hipótesis!$D$74/12)</f>
        <v>-1733.90015624259</v>
      </c>
      <c r="CH60" s="109" t="n">
        <f aca="false">-(CH91+CH98+CH103+CH77+CH68*Hipótesis!$D$73*Hipótesis!$D$74/12)</f>
        <v>-1728.34460068703</v>
      </c>
    </row>
    <row r="61" customFormat="false" ht="13.5" hidden="false" customHeight="true" outlineLevel="0" collapsed="false">
      <c r="A61" s="22" t="s">
        <v>565</v>
      </c>
      <c r="C61" s="109" t="n">
        <f aca="false">C59+C60</f>
        <v>-15189.5015906227</v>
      </c>
      <c r="D61" s="109" t="n">
        <f aca="false">D59+D60</f>
        <v>-13996.2239587369</v>
      </c>
      <c r="E61" s="109" t="n">
        <f aca="false">E59+E60</f>
        <v>-11566.6551869001</v>
      </c>
      <c r="F61" s="109" t="n">
        <f aca="false">F59+F60</f>
        <v>-10249.8229196787</v>
      </c>
      <c r="G61" s="109" t="n">
        <f aca="false">G59+G60</f>
        <v>-9013.53177972775</v>
      </c>
      <c r="H61" s="109" t="n">
        <f aca="false">H59+H60</f>
        <v>-7071.70881721241</v>
      </c>
      <c r="I61" s="109" t="n">
        <f aca="false">I59+I60</f>
        <v>-3102.92919680671</v>
      </c>
      <c r="J61" s="109" t="n">
        <f aca="false">J59+J60</f>
        <v>809.503052949996</v>
      </c>
      <c r="K61" s="109" t="n">
        <f aca="false">K59+K60</f>
        <v>4674.59329907305</v>
      </c>
      <c r="L61" s="109" t="n">
        <f aca="false">L59+L60</f>
        <v>8560.17431462333</v>
      </c>
      <c r="M61" s="109" t="n">
        <f aca="false">M59+M60</f>
        <v>11254.8501093478</v>
      </c>
      <c r="N61" s="109" t="n">
        <f aca="false">N59+N60</f>
        <v>14871.9685739047</v>
      </c>
      <c r="O61" s="109" t="n">
        <f aca="false">O59+O60</f>
        <v>13355.1289568379</v>
      </c>
      <c r="P61" s="109" t="n">
        <f aca="false">P59+P60</f>
        <v>16609.8720205486</v>
      </c>
      <c r="Q61" s="109" t="n">
        <f aca="false">Q59+Q60</f>
        <v>19864.6150842593</v>
      </c>
      <c r="R61" s="109" t="n">
        <f aca="false">R59+R60</f>
        <v>23119.35814797</v>
      </c>
      <c r="S61" s="109" t="n">
        <f aca="false">S59+S60</f>
        <v>26374.1012116807</v>
      </c>
      <c r="T61" s="109" t="n">
        <f aca="false">T59+T60</f>
        <v>29628.8442753913</v>
      </c>
      <c r="U61" s="109" t="n">
        <f aca="false">U59+U60</f>
        <v>32883.587339102</v>
      </c>
      <c r="V61" s="109" t="n">
        <f aca="false">V59+V60</f>
        <v>31208.4208028127</v>
      </c>
      <c r="W61" s="109" t="n">
        <f aca="false">W59+W60</f>
        <v>34463.1638665234</v>
      </c>
      <c r="X61" s="109" t="n">
        <f aca="false">X59+X60</f>
        <v>36789.7280944531</v>
      </c>
      <c r="Y61" s="109" t="n">
        <f aca="false">Y59+Y60</f>
        <v>39116.2923223828</v>
      </c>
      <c r="Z61" s="109" t="n">
        <f aca="false">Z59+Z60</f>
        <v>41102.5631875627</v>
      </c>
      <c r="AA61" s="109" t="n">
        <f aca="false">AA59+AA60</f>
        <v>40920.5922847426</v>
      </c>
      <c r="AB61" s="109" t="n">
        <f aca="false">AB59+AB60</f>
        <v>42912.418705478</v>
      </c>
      <c r="AC61" s="109" t="n">
        <f aca="false">AC59+AC60</f>
        <v>44904.2451262134</v>
      </c>
      <c r="AD61" s="109" t="n">
        <f aca="false">AD59+AD60</f>
        <v>46896.0715469488</v>
      </c>
      <c r="AE61" s="109" t="n">
        <f aca="false">AE59+AE60</f>
        <v>48887.8979676842</v>
      </c>
      <c r="AF61" s="109" t="n">
        <f aca="false">AF59+AF60</f>
        <v>50879.7243884196</v>
      </c>
      <c r="AG61" s="109" t="n">
        <f aca="false">AG59+AG60</f>
        <v>52871.550809155</v>
      </c>
      <c r="AH61" s="109" t="n">
        <f aca="false">AH59+AH60</f>
        <v>54863.3772298904</v>
      </c>
      <c r="AI61" s="109" t="n">
        <f aca="false">AI59+AI60</f>
        <v>54522.1572426258</v>
      </c>
      <c r="AJ61" s="109" t="n">
        <f aca="false">AJ59+AJ60</f>
        <v>56513.9836633612</v>
      </c>
      <c r="AK61" s="109" t="n">
        <f aca="false">AK59+AK60</f>
        <v>58505.8100840966</v>
      </c>
      <c r="AL61" s="109" t="n">
        <f aca="false">AL59+AL60</f>
        <v>60497.636504832</v>
      </c>
      <c r="AM61" s="109" t="n">
        <f aca="false">AM59+AM60</f>
        <v>60244.3945122874</v>
      </c>
      <c r="AN61" s="109" t="n">
        <f aca="false">AN59+AN60</f>
        <v>62236.2209330228</v>
      </c>
      <c r="AO61" s="109" t="n">
        <f aca="false">AO59+AO60</f>
        <v>64228.0473537583</v>
      </c>
      <c r="AP61" s="109" t="n">
        <f aca="false">AP59+AP60</f>
        <v>66219.8737744937</v>
      </c>
      <c r="AQ61" s="109" t="n">
        <f aca="false">AQ59+AQ60</f>
        <v>68211.7001952291</v>
      </c>
      <c r="AR61" s="109" t="n">
        <f aca="false">AR59+AR60</f>
        <v>70203.5266159645</v>
      </c>
      <c r="AS61" s="109" t="n">
        <f aca="false">AS59+AS60</f>
        <v>70209.08217152</v>
      </c>
      <c r="AT61" s="109" t="n">
        <f aca="false">AT59+AT60</f>
        <v>70214.6377270756</v>
      </c>
      <c r="AU61" s="109" t="n">
        <f aca="false">AU59+AU60</f>
        <v>70220.1932826312</v>
      </c>
      <c r="AV61" s="109" t="n">
        <f aca="false">AV59+AV60</f>
        <v>70225.7488381867</v>
      </c>
      <c r="AW61" s="109" t="n">
        <f aca="false">AW59+AW60</f>
        <v>70231.3043937423</v>
      </c>
      <c r="AX61" s="109" t="n">
        <f aca="false">AX59+AX60</f>
        <v>70236.8599492978</v>
      </c>
      <c r="AY61" s="109" t="n">
        <f aca="false">AY59+AY60</f>
        <v>67988.207039175</v>
      </c>
      <c r="AZ61" s="109" t="n">
        <f aca="false">AZ59+AZ60</f>
        <v>67993.7625947305</v>
      </c>
      <c r="BA61" s="109" t="n">
        <f aca="false">BA59+BA60</f>
        <v>67999.3181502861</v>
      </c>
      <c r="BB61" s="109" t="n">
        <f aca="false">BB59+BB60</f>
        <v>68004.8737058416</v>
      </c>
      <c r="BC61" s="109" t="n">
        <f aca="false">BC59+BC60</f>
        <v>68010.4292613972</v>
      </c>
      <c r="BD61" s="109" t="n">
        <f aca="false">BD59+BD60</f>
        <v>68015.9848169527</v>
      </c>
      <c r="BE61" s="109" t="n">
        <f aca="false">BE59+BE60</f>
        <v>68021.5403725083</v>
      </c>
      <c r="BF61" s="109" t="n">
        <f aca="false">BF59+BF60</f>
        <v>68027.0959280639</v>
      </c>
      <c r="BG61" s="109" t="n">
        <f aca="false">BG59+BG60</f>
        <v>68032.6514836194</v>
      </c>
      <c r="BH61" s="109" t="n">
        <f aca="false">BH59+BH60</f>
        <v>68038.207039175</v>
      </c>
      <c r="BI61" s="109" t="n">
        <f aca="false">BI59+BI60</f>
        <v>68043.7625947305</v>
      </c>
      <c r="BJ61" s="109" t="n">
        <f aca="false">BJ59+BJ60</f>
        <v>68049.3181502861</v>
      </c>
      <c r="BK61" s="109" t="n">
        <f aca="false">BK59+BK60</f>
        <v>65791.2509861929</v>
      </c>
      <c r="BL61" s="109" t="n">
        <f aca="false">BL59+BL60</f>
        <v>65796.8065417484</v>
      </c>
      <c r="BM61" s="109" t="n">
        <f aca="false">BM59+BM60</f>
        <v>65802.362097304</v>
      </c>
      <c r="BN61" s="109" t="n">
        <f aca="false">BN59+BN60</f>
        <v>65807.9176528595</v>
      </c>
      <c r="BO61" s="109" t="n">
        <f aca="false">BO59+BO60</f>
        <v>65813.4732084151</v>
      </c>
      <c r="BP61" s="109" t="n">
        <f aca="false">BP59+BP60</f>
        <v>65819.0287639707</v>
      </c>
      <c r="BQ61" s="109" t="n">
        <f aca="false">BQ59+BQ60</f>
        <v>65824.5843195262</v>
      </c>
      <c r="BR61" s="109" t="n">
        <f aca="false">BR59+BR60</f>
        <v>65830.1398750818</v>
      </c>
      <c r="BS61" s="109" t="n">
        <f aca="false">BS59+BS60</f>
        <v>65835.6954306373</v>
      </c>
      <c r="BT61" s="109" t="n">
        <f aca="false">BT59+BT60</f>
        <v>65841.2509861929</v>
      </c>
      <c r="BU61" s="109" t="n">
        <f aca="false">BU59+BU60</f>
        <v>65846.8065417484</v>
      </c>
      <c r="BV61" s="109" t="n">
        <f aca="false">BV59+BV60</f>
        <v>65852.362097304</v>
      </c>
      <c r="BW61" s="109" t="n">
        <f aca="false">BW59+BW60</f>
        <v>63584.5982516213</v>
      </c>
      <c r="BX61" s="109" t="n">
        <f aca="false">BX59+BX60</f>
        <v>63590.1538071769</v>
      </c>
      <c r="BY61" s="109" t="n">
        <f aca="false">BY59+BY60</f>
        <v>63595.7093627325</v>
      </c>
      <c r="BZ61" s="109" t="n">
        <f aca="false">BZ59+BZ60</f>
        <v>63601.264918288</v>
      </c>
      <c r="CA61" s="109" t="n">
        <f aca="false">CA59+CA60</f>
        <v>63606.8204738436</v>
      </c>
      <c r="CB61" s="109" t="n">
        <f aca="false">CB59+CB60</f>
        <v>63612.3760293991</v>
      </c>
      <c r="CC61" s="109" t="n">
        <f aca="false">CC59+CC60</f>
        <v>63617.9315849547</v>
      </c>
      <c r="CD61" s="109" t="n">
        <f aca="false">CD59+CD60</f>
        <v>63623.4871405102</v>
      </c>
      <c r="CE61" s="109" t="n">
        <f aca="false">CE59+CE60</f>
        <v>63629.0426960658</v>
      </c>
      <c r="CF61" s="109" t="n">
        <f aca="false">CF59+CF60</f>
        <v>63634.5982516213</v>
      </c>
      <c r="CG61" s="109" t="n">
        <f aca="false">CG59+CG60</f>
        <v>63640.1538071769</v>
      </c>
      <c r="CH61" s="109" t="n">
        <f aca="false">CH59+CH60</f>
        <v>63645.7093627325</v>
      </c>
    </row>
    <row r="62" customFormat="false" ht="13.5" hidden="false" customHeight="true" outlineLevel="0" collapsed="false">
      <c r="A62" s="6" t="s">
        <v>566</v>
      </c>
      <c r="C62" s="109" t="n">
        <f aca="false">-IF(1&lt;Hipótesis!$D$89,Hipótesis!$E$87,Hipótesis!$E$88)*MAX(0,C61)</f>
        <v>-0</v>
      </c>
      <c r="D62" s="109" t="n">
        <f aca="false">-IF(1&lt;Hipótesis!$D$89,Hipótesis!$E$87,Hipótesis!$E$88)*MAX(0,D61)</f>
        <v>-0</v>
      </c>
      <c r="E62" s="109" t="n">
        <f aca="false">-IF(1&lt;Hipótesis!$D$89,Hipótesis!$E$87,Hipótesis!$E$88)*MAX(0,E61)</f>
        <v>-0</v>
      </c>
      <c r="F62" s="109" t="n">
        <f aca="false">-IF(1&lt;Hipótesis!$D$89,Hipótesis!$E$87,Hipótesis!$E$88)*MAX(0,F61)</f>
        <v>-0</v>
      </c>
      <c r="G62" s="109" t="n">
        <f aca="false">-IF(1&lt;Hipótesis!$D$89,Hipótesis!$E$87,Hipótesis!$E$88)*MAX(0,G61)</f>
        <v>-0</v>
      </c>
      <c r="H62" s="109" t="n">
        <f aca="false">-IF(1&lt;Hipótesis!$D$89,Hipótesis!$E$87,Hipótesis!$E$88)*MAX(0,H61)</f>
        <v>-0</v>
      </c>
      <c r="I62" s="109" t="n">
        <f aca="false">-IF(1&lt;Hipótesis!$D$89,Hipótesis!$E$87,Hipótesis!$E$88)*MAX(0,I61)</f>
        <v>-0</v>
      </c>
      <c r="J62" s="109" t="n">
        <f aca="false">-IF(1&lt;Hipótesis!$D$89,Hipótesis!$E$87,Hipótesis!$E$88)*MAX(0,J61)</f>
        <v>-121.425457942499</v>
      </c>
      <c r="K62" s="109" t="n">
        <f aca="false">-IF(1&lt;Hipótesis!$D$89,Hipótesis!$E$87,Hipótesis!$E$88)*MAX(0,K61)</f>
        <v>-701.188994860957</v>
      </c>
      <c r="L62" s="109" t="n">
        <f aca="false">-IF(1&lt;Hipótesis!$D$89,Hipótesis!$E$87,Hipótesis!$E$88)*MAX(0,L61)</f>
        <v>-1284.0261471935</v>
      </c>
      <c r="M62" s="109" t="n">
        <f aca="false">-IF(1&lt;Hipótesis!$D$89,Hipótesis!$E$87,Hipótesis!$E$88)*MAX(0,M61)</f>
        <v>-1688.22751640217</v>
      </c>
      <c r="N62" s="109" t="n">
        <f aca="false">-IF(1&lt;Hipótesis!$D$89,Hipótesis!$E$87,Hipótesis!$E$88)*MAX(0,N61)</f>
        <v>-2230.7952860857</v>
      </c>
      <c r="O62" s="109" t="n">
        <f aca="false">-IF(2&lt;Hipótesis!$D$89,Hipótesis!$E$87,Hipótesis!$E$88)*MAX(0,O61)</f>
        <v>-2003.26934352569</v>
      </c>
      <c r="P62" s="109" t="n">
        <f aca="false">-IF(2&lt;Hipótesis!$D$89,Hipótesis!$E$87,Hipótesis!$E$88)*MAX(0,P61)</f>
        <v>-2491.48080308229</v>
      </c>
      <c r="Q62" s="109" t="n">
        <f aca="false">-IF(2&lt;Hipótesis!$D$89,Hipótesis!$E$87,Hipótesis!$E$88)*MAX(0,Q61)</f>
        <v>-2979.69226263889</v>
      </c>
      <c r="R62" s="109" t="n">
        <f aca="false">-IF(2&lt;Hipótesis!$D$89,Hipótesis!$E$87,Hipótesis!$E$88)*MAX(0,R61)</f>
        <v>-3467.9037221955</v>
      </c>
      <c r="S62" s="109" t="n">
        <f aca="false">-IF(2&lt;Hipótesis!$D$89,Hipótesis!$E$87,Hipótesis!$E$88)*MAX(0,S61)</f>
        <v>-3956.1151817521</v>
      </c>
      <c r="T62" s="109" t="n">
        <f aca="false">-IF(2&lt;Hipótesis!$D$89,Hipótesis!$E$87,Hipótesis!$E$88)*MAX(0,T61)</f>
        <v>-4444.3266413087</v>
      </c>
      <c r="U62" s="109" t="n">
        <f aca="false">-IF(2&lt;Hipótesis!$D$89,Hipótesis!$E$87,Hipótesis!$E$88)*MAX(0,U61)</f>
        <v>-4932.5381008653</v>
      </c>
      <c r="V62" s="109" t="n">
        <f aca="false">-IF(2&lt;Hipótesis!$D$89,Hipótesis!$E$87,Hipótesis!$E$88)*MAX(0,V61)</f>
        <v>-4681.26312042191</v>
      </c>
      <c r="W62" s="109" t="n">
        <f aca="false">-IF(2&lt;Hipótesis!$D$89,Hipótesis!$E$87,Hipótesis!$E$88)*MAX(0,W61)</f>
        <v>-5169.47457997851</v>
      </c>
      <c r="X62" s="109" t="n">
        <f aca="false">-IF(2&lt;Hipótesis!$D$89,Hipótesis!$E$87,Hipótesis!$E$88)*MAX(0,X61)</f>
        <v>-5518.45921416797</v>
      </c>
      <c r="Y62" s="109" t="n">
        <f aca="false">-IF(2&lt;Hipótesis!$D$89,Hipótesis!$E$87,Hipótesis!$E$88)*MAX(0,Y61)</f>
        <v>-5867.44384835742</v>
      </c>
      <c r="Z62" s="109" t="n">
        <f aca="false">-IF(2&lt;Hipótesis!$D$89,Hipótesis!$E$87,Hipótesis!$E$88)*MAX(0,Z61)</f>
        <v>-6165.3844781344</v>
      </c>
      <c r="AA62" s="109" t="n">
        <f aca="false">-IF(3&lt;Hipótesis!$D$89,Hipótesis!$E$87,Hipótesis!$E$88)*MAX(0,AA61)</f>
        <v>-6138.08884271138</v>
      </c>
      <c r="AB62" s="109" t="n">
        <f aca="false">-IF(3&lt;Hipótesis!$D$89,Hipótesis!$E$87,Hipótesis!$E$88)*MAX(0,AB61)</f>
        <v>-6436.86280582169</v>
      </c>
      <c r="AC62" s="109" t="n">
        <f aca="false">-IF(3&lt;Hipótesis!$D$89,Hipótesis!$E$87,Hipótesis!$E$88)*MAX(0,AC61)</f>
        <v>-6735.63676893201</v>
      </c>
      <c r="AD62" s="109" t="n">
        <f aca="false">-IF(3&lt;Hipótesis!$D$89,Hipótesis!$E$87,Hipótesis!$E$88)*MAX(0,AD61)</f>
        <v>-7034.41073204231</v>
      </c>
      <c r="AE62" s="109" t="n">
        <f aca="false">-IF(3&lt;Hipótesis!$D$89,Hipótesis!$E$87,Hipótesis!$E$88)*MAX(0,AE61)</f>
        <v>-7333.18469515263</v>
      </c>
      <c r="AF62" s="109" t="n">
        <f aca="false">-IF(3&lt;Hipótesis!$D$89,Hipótesis!$E$87,Hipótesis!$E$88)*MAX(0,AF61)</f>
        <v>-7631.95865826294</v>
      </c>
      <c r="AG62" s="109" t="n">
        <f aca="false">-IF(3&lt;Hipótesis!$D$89,Hipótesis!$E$87,Hipótesis!$E$88)*MAX(0,AG61)</f>
        <v>-7930.73262137325</v>
      </c>
      <c r="AH62" s="109" t="n">
        <f aca="false">-IF(3&lt;Hipótesis!$D$89,Hipótesis!$E$87,Hipótesis!$E$88)*MAX(0,AH61)</f>
        <v>-8229.50658448356</v>
      </c>
      <c r="AI62" s="109" t="n">
        <f aca="false">-IF(3&lt;Hipótesis!$D$89,Hipótesis!$E$87,Hipótesis!$E$88)*MAX(0,AI61)</f>
        <v>-8178.32358639387</v>
      </c>
      <c r="AJ62" s="109" t="n">
        <f aca="false">-IF(3&lt;Hipótesis!$D$89,Hipótesis!$E$87,Hipótesis!$E$88)*MAX(0,AJ61)</f>
        <v>-8477.09754950418</v>
      </c>
      <c r="AK62" s="109" t="n">
        <f aca="false">-IF(3&lt;Hipótesis!$D$89,Hipótesis!$E$87,Hipótesis!$E$88)*MAX(0,AK61)</f>
        <v>-8775.87151261449</v>
      </c>
      <c r="AL62" s="109" t="n">
        <f aca="false">-IF(3&lt;Hipótesis!$D$89,Hipótesis!$E$87,Hipótesis!$E$88)*MAX(0,AL61)</f>
        <v>-9074.64547572481</v>
      </c>
      <c r="AM62" s="109" t="n">
        <f aca="false">-IF(4&lt;Hipótesis!$D$89,Hipótesis!$E$87,Hipótesis!$E$88)*MAX(0,AM61)</f>
        <v>-15061.0986280719</v>
      </c>
      <c r="AN62" s="109" t="n">
        <f aca="false">-IF(4&lt;Hipótesis!$D$89,Hipótesis!$E$87,Hipótesis!$E$88)*MAX(0,AN61)</f>
        <v>-15559.0552332557</v>
      </c>
      <c r="AO62" s="109" t="n">
        <f aca="false">-IF(4&lt;Hipótesis!$D$89,Hipótesis!$E$87,Hipótesis!$E$88)*MAX(0,AO61)</f>
        <v>-16057.0118384396</v>
      </c>
      <c r="AP62" s="109" t="n">
        <f aca="false">-IF(4&lt;Hipótesis!$D$89,Hipótesis!$E$87,Hipótesis!$E$88)*MAX(0,AP61)</f>
        <v>-16554.9684436234</v>
      </c>
      <c r="AQ62" s="109" t="n">
        <f aca="false">-IF(4&lt;Hipótesis!$D$89,Hipótesis!$E$87,Hipótesis!$E$88)*MAX(0,AQ61)</f>
        <v>-17052.9250488073</v>
      </c>
      <c r="AR62" s="109" t="n">
        <f aca="false">-IF(4&lt;Hipótesis!$D$89,Hipótesis!$E$87,Hipótesis!$E$88)*MAX(0,AR61)</f>
        <v>-17550.8816539911</v>
      </c>
      <c r="AS62" s="109" t="n">
        <f aca="false">-IF(4&lt;Hipótesis!$D$89,Hipótesis!$E$87,Hipótesis!$E$88)*MAX(0,AS61)</f>
        <v>-17552.27054288</v>
      </c>
      <c r="AT62" s="109" t="n">
        <f aca="false">-IF(4&lt;Hipótesis!$D$89,Hipótesis!$E$87,Hipótesis!$E$88)*MAX(0,AT61)</f>
        <v>-17553.6594317689</v>
      </c>
      <c r="AU62" s="109" t="n">
        <f aca="false">-IF(4&lt;Hipótesis!$D$89,Hipótesis!$E$87,Hipótesis!$E$88)*MAX(0,AU61)</f>
        <v>-17555.0483206578</v>
      </c>
      <c r="AV62" s="109" t="n">
        <f aca="false">-IF(4&lt;Hipótesis!$D$89,Hipótesis!$E$87,Hipótesis!$E$88)*MAX(0,AV61)</f>
        <v>-17556.4372095467</v>
      </c>
      <c r="AW62" s="109" t="n">
        <f aca="false">-IF(4&lt;Hipótesis!$D$89,Hipótesis!$E$87,Hipótesis!$E$88)*MAX(0,AW61)</f>
        <v>-17557.8260984356</v>
      </c>
      <c r="AX62" s="109" t="n">
        <f aca="false">-IF(4&lt;Hipótesis!$D$89,Hipótesis!$E$87,Hipótesis!$E$88)*MAX(0,AX61)</f>
        <v>-17559.2149873245</v>
      </c>
      <c r="AY62" s="109" t="n">
        <f aca="false">-IF(5&lt;Hipótesis!$D$89,Hipótesis!$E$87,Hipótesis!$E$88)*MAX(0,AY61)</f>
        <v>-16997.0517597937</v>
      </c>
      <c r="AZ62" s="109" t="n">
        <f aca="false">-IF(5&lt;Hipótesis!$D$89,Hipótesis!$E$87,Hipótesis!$E$88)*MAX(0,AZ61)</f>
        <v>-16998.4406486826</v>
      </c>
      <c r="BA62" s="109" t="n">
        <f aca="false">-IF(5&lt;Hipótesis!$D$89,Hipótesis!$E$87,Hipótesis!$E$88)*MAX(0,BA61)</f>
        <v>-16999.8295375715</v>
      </c>
      <c r="BB62" s="109" t="n">
        <f aca="false">-IF(5&lt;Hipótesis!$D$89,Hipótesis!$E$87,Hipótesis!$E$88)*MAX(0,BB61)</f>
        <v>-17001.2184264604</v>
      </c>
      <c r="BC62" s="109" t="n">
        <f aca="false">-IF(5&lt;Hipótesis!$D$89,Hipótesis!$E$87,Hipótesis!$E$88)*MAX(0,BC61)</f>
        <v>-17002.6073153493</v>
      </c>
      <c r="BD62" s="109" t="n">
        <f aca="false">-IF(5&lt;Hipótesis!$D$89,Hipótesis!$E$87,Hipótesis!$E$88)*MAX(0,BD61)</f>
        <v>-17003.9962042382</v>
      </c>
      <c r="BE62" s="109" t="n">
        <f aca="false">-IF(5&lt;Hipótesis!$D$89,Hipótesis!$E$87,Hipótesis!$E$88)*MAX(0,BE61)</f>
        <v>-17005.3850931271</v>
      </c>
      <c r="BF62" s="109" t="n">
        <f aca="false">-IF(5&lt;Hipótesis!$D$89,Hipótesis!$E$87,Hipótesis!$E$88)*MAX(0,BF61)</f>
        <v>-17006.773982016</v>
      </c>
      <c r="BG62" s="109" t="n">
        <f aca="false">-IF(5&lt;Hipótesis!$D$89,Hipótesis!$E$87,Hipótesis!$E$88)*MAX(0,BG61)</f>
        <v>-17008.1628709049</v>
      </c>
      <c r="BH62" s="109" t="n">
        <f aca="false">-IF(5&lt;Hipótesis!$D$89,Hipótesis!$E$87,Hipótesis!$E$88)*MAX(0,BH61)</f>
        <v>-17009.5517597937</v>
      </c>
      <c r="BI62" s="109" t="n">
        <f aca="false">-IF(5&lt;Hipótesis!$D$89,Hipótesis!$E$87,Hipótesis!$E$88)*MAX(0,BI61)</f>
        <v>-17010.9406486826</v>
      </c>
      <c r="BJ62" s="109" t="n">
        <f aca="false">-IF(5&lt;Hipótesis!$D$89,Hipótesis!$E$87,Hipótesis!$E$88)*MAX(0,BJ61)</f>
        <v>-17012.3295375715</v>
      </c>
      <c r="BK62" s="109" t="n">
        <f aca="false">-IF(6&lt;Hipótesis!$D$89,Hipótesis!$E$87,Hipótesis!$E$88)*MAX(0,BK61)</f>
        <v>-16447.8127465482</v>
      </c>
      <c r="BL62" s="109" t="n">
        <f aca="false">-IF(6&lt;Hipótesis!$D$89,Hipótesis!$E$87,Hipótesis!$E$88)*MAX(0,BL61)</f>
        <v>-16449.2016354371</v>
      </c>
      <c r="BM62" s="109" t="n">
        <f aca="false">-IF(6&lt;Hipótesis!$D$89,Hipótesis!$E$87,Hipótesis!$E$88)*MAX(0,BM61)</f>
        <v>-16450.590524326</v>
      </c>
      <c r="BN62" s="109" t="n">
        <f aca="false">-IF(6&lt;Hipótesis!$D$89,Hipótesis!$E$87,Hipótesis!$E$88)*MAX(0,BN61)</f>
        <v>-16451.9794132149</v>
      </c>
      <c r="BO62" s="109" t="n">
        <f aca="false">-IF(6&lt;Hipótesis!$D$89,Hipótesis!$E$87,Hipótesis!$E$88)*MAX(0,BO61)</f>
        <v>-16453.3683021038</v>
      </c>
      <c r="BP62" s="109" t="n">
        <f aca="false">-IF(6&lt;Hipótesis!$D$89,Hipótesis!$E$87,Hipótesis!$E$88)*MAX(0,BP61)</f>
        <v>-16454.7571909927</v>
      </c>
      <c r="BQ62" s="109" t="n">
        <f aca="false">-IF(6&lt;Hipótesis!$D$89,Hipótesis!$E$87,Hipótesis!$E$88)*MAX(0,BQ61)</f>
        <v>-16456.1460798816</v>
      </c>
      <c r="BR62" s="109" t="n">
        <f aca="false">-IF(6&lt;Hipótesis!$D$89,Hipótesis!$E$87,Hipótesis!$E$88)*MAX(0,BR61)</f>
        <v>-16457.5349687704</v>
      </c>
      <c r="BS62" s="109" t="n">
        <f aca="false">-IF(6&lt;Hipótesis!$D$89,Hipótesis!$E$87,Hipótesis!$E$88)*MAX(0,BS61)</f>
        <v>-16458.9238576593</v>
      </c>
      <c r="BT62" s="109" t="n">
        <f aca="false">-IF(6&lt;Hipótesis!$D$89,Hipótesis!$E$87,Hipótesis!$E$88)*MAX(0,BT61)</f>
        <v>-16460.3127465482</v>
      </c>
      <c r="BU62" s="109" t="n">
        <f aca="false">-IF(6&lt;Hipótesis!$D$89,Hipótesis!$E$87,Hipótesis!$E$88)*MAX(0,BU61)</f>
        <v>-16461.7016354371</v>
      </c>
      <c r="BV62" s="109" t="n">
        <f aca="false">-IF(6&lt;Hipótesis!$D$89,Hipótesis!$E$87,Hipótesis!$E$88)*MAX(0,BV61)</f>
        <v>-16463.090524326</v>
      </c>
      <c r="BW62" s="109" t="n">
        <f aca="false">-IF(7&lt;Hipótesis!$D$89,Hipótesis!$E$87,Hipótesis!$E$88)*MAX(0,BW61)</f>
        <v>-15896.1495629053</v>
      </c>
      <c r="BX62" s="109" t="n">
        <f aca="false">-IF(7&lt;Hipótesis!$D$89,Hipótesis!$E$87,Hipótesis!$E$88)*MAX(0,BX61)</f>
        <v>-15897.5384517942</v>
      </c>
      <c r="BY62" s="109" t="n">
        <f aca="false">-IF(7&lt;Hipótesis!$D$89,Hipótesis!$E$87,Hipótesis!$E$88)*MAX(0,BY61)</f>
        <v>-15898.9273406831</v>
      </c>
      <c r="BZ62" s="109" t="n">
        <f aca="false">-IF(7&lt;Hipótesis!$D$89,Hipótesis!$E$87,Hipótesis!$E$88)*MAX(0,BZ61)</f>
        <v>-15900.316229572</v>
      </c>
      <c r="CA62" s="109" t="n">
        <f aca="false">-IF(7&lt;Hipótesis!$D$89,Hipótesis!$E$87,Hipótesis!$E$88)*MAX(0,CA61)</f>
        <v>-15901.7051184609</v>
      </c>
      <c r="CB62" s="109" t="n">
        <f aca="false">-IF(7&lt;Hipótesis!$D$89,Hipótesis!$E$87,Hipótesis!$E$88)*MAX(0,CB61)</f>
        <v>-15903.0940073498</v>
      </c>
      <c r="CC62" s="109" t="n">
        <f aca="false">-IF(7&lt;Hipótesis!$D$89,Hipótesis!$E$87,Hipótesis!$E$88)*MAX(0,CC61)</f>
        <v>-15904.4828962387</v>
      </c>
      <c r="CD62" s="109" t="n">
        <f aca="false">-IF(7&lt;Hipótesis!$D$89,Hipótesis!$E$87,Hipótesis!$E$88)*MAX(0,CD61)</f>
        <v>-15905.8717851276</v>
      </c>
      <c r="CE62" s="109" t="n">
        <f aca="false">-IF(7&lt;Hipótesis!$D$89,Hipótesis!$E$87,Hipótesis!$E$88)*MAX(0,CE61)</f>
        <v>-15907.2606740164</v>
      </c>
      <c r="CF62" s="109" t="n">
        <f aca="false">-IF(7&lt;Hipótesis!$D$89,Hipótesis!$E$87,Hipótesis!$E$88)*MAX(0,CF61)</f>
        <v>-15908.6495629053</v>
      </c>
      <c r="CG62" s="109" t="n">
        <f aca="false">-IF(7&lt;Hipótesis!$D$89,Hipótesis!$E$87,Hipótesis!$E$88)*MAX(0,CG61)</f>
        <v>-15910.0384517942</v>
      </c>
      <c r="CH62" s="109" t="n">
        <f aca="false">-IF(7&lt;Hipótesis!$D$89,Hipótesis!$E$87,Hipótesis!$E$88)*MAX(0,CH61)</f>
        <v>-15911.4273406831</v>
      </c>
    </row>
    <row r="63" customFormat="false" ht="13.5" hidden="false" customHeight="true" outlineLevel="0" collapsed="false">
      <c r="A63" s="22" t="s">
        <v>567</v>
      </c>
      <c r="C63" s="109" t="n">
        <f aca="false">C61+C62</f>
        <v>-15189.5015906227</v>
      </c>
      <c r="D63" s="109" t="n">
        <f aca="false">D61+D62</f>
        <v>-13996.2239587369</v>
      </c>
      <c r="E63" s="109" t="n">
        <f aca="false">E61+E62</f>
        <v>-11566.6551869001</v>
      </c>
      <c r="F63" s="109" t="n">
        <f aca="false">F61+F62</f>
        <v>-10249.8229196787</v>
      </c>
      <c r="G63" s="109" t="n">
        <f aca="false">G61+G62</f>
        <v>-9013.53177972775</v>
      </c>
      <c r="H63" s="109" t="n">
        <f aca="false">H61+H62</f>
        <v>-7071.70881721241</v>
      </c>
      <c r="I63" s="109" t="n">
        <f aca="false">I61+I62</f>
        <v>-3102.92919680671</v>
      </c>
      <c r="J63" s="109" t="n">
        <f aca="false">J61+J62</f>
        <v>688.077595007497</v>
      </c>
      <c r="K63" s="109" t="n">
        <f aca="false">K61+K62</f>
        <v>3973.40430421209</v>
      </c>
      <c r="L63" s="109" t="n">
        <f aca="false">L61+L62</f>
        <v>7276.14816742983</v>
      </c>
      <c r="M63" s="109" t="n">
        <f aca="false">M61+M62</f>
        <v>9566.62259294564</v>
      </c>
      <c r="N63" s="109" t="n">
        <f aca="false">N61+N62</f>
        <v>12641.173287819</v>
      </c>
      <c r="O63" s="109" t="n">
        <f aca="false">O61+O62</f>
        <v>11351.8596133123</v>
      </c>
      <c r="P63" s="109" t="n">
        <f aca="false">P61+P62</f>
        <v>14118.3912174663</v>
      </c>
      <c r="Q63" s="109" t="n">
        <f aca="false">Q61+Q62</f>
        <v>16884.9228216204</v>
      </c>
      <c r="R63" s="109" t="n">
        <f aca="false">R61+R62</f>
        <v>19651.4544257745</v>
      </c>
      <c r="S63" s="109" t="n">
        <f aca="false">S61+S62</f>
        <v>22417.9860299286</v>
      </c>
      <c r="T63" s="109" t="n">
        <f aca="false">T61+T62</f>
        <v>25184.5176340826</v>
      </c>
      <c r="U63" s="109" t="n">
        <f aca="false">U61+U62</f>
        <v>27951.0492382367</v>
      </c>
      <c r="V63" s="109" t="n">
        <f aca="false">V61+V62</f>
        <v>26527.1576823908</v>
      </c>
      <c r="W63" s="109" t="n">
        <f aca="false">W61+W62</f>
        <v>29293.6892865449</v>
      </c>
      <c r="X63" s="109" t="n">
        <f aca="false">X61+X62</f>
        <v>31271.2688802851</v>
      </c>
      <c r="Y63" s="109" t="n">
        <f aca="false">Y61+Y62</f>
        <v>33248.8484740254</v>
      </c>
      <c r="Z63" s="109" t="n">
        <f aca="false">Z61+Z62</f>
        <v>34937.1787094283</v>
      </c>
      <c r="AA63" s="109" t="n">
        <f aca="false">AA61+AA62</f>
        <v>34782.5034420312</v>
      </c>
      <c r="AB63" s="109" t="n">
        <f aca="false">AB61+AB62</f>
        <v>36475.5558996563</v>
      </c>
      <c r="AC63" s="109" t="n">
        <f aca="false">AC61+AC62</f>
        <v>38168.6083572814</v>
      </c>
      <c r="AD63" s="109" t="n">
        <f aca="false">AD61+AD62</f>
        <v>39861.6608149065</v>
      </c>
      <c r="AE63" s="109" t="n">
        <f aca="false">AE61+AE62</f>
        <v>41554.7132725316</v>
      </c>
      <c r="AF63" s="109" t="n">
        <f aca="false">AF61+AF62</f>
        <v>43247.7657301566</v>
      </c>
      <c r="AG63" s="109" t="n">
        <f aca="false">AG61+AG62</f>
        <v>44940.8181877818</v>
      </c>
      <c r="AH63" s="109" t="n">
        <f aca="false">AH61+AH62</f>
        <v>46633.8706454068</v>
      </c>
      <c r="AI63" s="109" t="n">
        <f aca="false">AI61+AI62</f>
        <v>46343.8336562319</v>
      </c>
      <c r="AJ63" s="109" t="n">
        <f aca="false">AJ61+AJ62</f>
        <v>48036.886113857</v>
      </c>
      <c r="AK63" s="109" t="n">
        <f aca="false">AK61+AK62</f>
        <v>49729.9385714821</v>
      </c>
      <c r="AL63" s="109" t="n">
        <f aca="false">AL61+AL62</f>
        <v>51422.9910291072</v>
      </c>
      <c r="AM63" s="109" t="n">
        <f aca="false">AM61+AM62</f>
        <v>45183.2958842156</v>
      </c>
      <c r="AN63" s="109" t="n">
        <f aca="false">AN61+AN62</f>
        <v>46677.1656997671</v>
      </c>
      <c r="AO63" s="109" t="n">
        <f aca="false">AO61+AO62</f>
        <v>48171.0355153187</v>
      </c>
      <c r="AP63" s="109" t="n">
        <f aca="false">AP61+AP62</f>
        <v>49664.9053308703</v>
      </c>
      <c r="AQ63" s="109" t="n">
        <f aca="false">AQ61+AQ62</f>
        <v>51158.7751464218</v>
      </c>
      <c r="AR63" s="109" t="n">
        <f aca="false">AR61+AR62</f>
        <v>52652.6449619734</v>
      </c>
      <c r="AS63" s="109" t="n">
        <f aca="false">AS61+AS62</f>
        <v>52656.81162864</v>
      </c>
      <c r="AT63" s="109" t="n">
        <f aca="false">AT61+AT62</f>
        <v>52660.9782953067</v>
      </c>
      <c r="AU63" s="109" t="n">
        <f aca="false">AU61+AU62</f>
        <v>52665.1449619734</v>
      </c>
      <c r="AV63" s="109" t="n">
        <f aca="false">AV61+AV62</f>
        <v>52669.31162864</v>
      </c>
      <c r="AW63" s="109" t="n">
        <f aca="false">AW61+AW62</f>
        <v>52673.4782953067</v>
      </c>
      <c r="AX63" s="109" t="n">
        <f aca="false">AX61+AX62</f>
        <v>52677.6449619734</v>
      </c>
      <c r="AY63" s="109" t="n">
        <f aca="false">AY61+AY62</f>
        <v>50991.1552793812</v>
      </c>
      <c r="AZ63" s="109" t="n">
        <f aca="false">AZ61+AZ62</f>
        <v>50995.3219460479</v>
      </c>
      <c r="BA63" s="109" t="n">
        <f aca="false">BA61+BA62</f>
        <v>50999.4886127146</v>
      </c>
      <c r="BB63" s="109" t="n">
        <f aca="false">BB61+BB62</f>
        <v>51003.6552793812</v>
      </c>
      <c r="BC63" s="109" t="n">
        <f aca="false">BC61+BC62</f>
        <v>51007.8219460479</v>
      </c>
      <c r="BD63" s="109" t="n">
        <f aca="false">BD61+BD62</f>
        <v>51011.9886127146</v>
      </c>
      <c r="BE63" s="109" t="n">
        <f aca="false">BE61+BE62</f>
        <v>51016.1552793812</v>
      </c>
      <c r="BF63" s="109" t="n">
        <f aca="false">BF61+BF62</f>
        <v>51020.3219460479</v>
      </c>
      <c r="BG63" s="109" t="n">
        <f aca="false">BG61+BG62</f>
        <v>51024.4886127146</v>
      </c>
      <c r="BH63" s="109" t="n">
        <f aca="false">BH61+BH62</f>
        <v>51028.6552793812</v>
      </c>
      <c r="BI63" s="109" t="n">
        <f aca="false">BI61+BI62</f>
        <v>51032.8219460479</v>
      </c>
      <c r="BJ63" s="109" t="n">
        <f aca="false">BJ61+BJ62</f>
        <v>51036.9886127146</v>
      </c>
      <c r="BK63" s="109" t="n">
        <f aca="false">BK61+BK62</f>
        <v>49343.4382396447</v>
      </c>
      <c r="BL63" s="109" t="n">
        <f aca="false">BL61+BL62</f>
        <v>49347.6049063113</v>
      </c>
      <c r="BM63" s="109" t="n">
        <f aca="false">BM61+BM62</f>
        <v>49351.771572978</v>
      </c>
      <c r="BN63" s="109" t="n">
        <f aca="false">BN61+BN62</f>
        <v>49355.9382396447</v>
      </c>
      <c r="BO63" s="109" t="n">
        <f aca="false">BO61+BO62</f>
        <v>49360.1049063113</v>
      </c>
      <c r="BP63" s="109" t="n">
        <f aca="false">BP61+BP62</f>
        <v>49364.271572978</v>
      </c>
      <c r="BQ63" s="109" t="n">
        <f aca="false">BQ61+BQ62</f>
        <v>49368.4382396447</v>
      </c>
      <c r="BR63" s="109" t="n">
        <f aca="false">BR61+BR62</f>
        <v>49372.6049063113</v>
      </c>
      <c r="BS63" s="109" t="n">
        <f aca="false">BS61+BS62</f>
        <v>49376.771572978</v>
      </c>
      <c r="BT63" s="109" t="n">
        <f aca="false">BT61+BT62</f>
        <v>49380.9382396447</v>
      </c>
      <c r="BU63" s="109" t="n">
        <f aca="false">BU61+BU62</f>
        <v>49385.1049063113</v>
      </c>
      <c r="BV63" s="109" t="n">
        <f aca="false">BV61+BV62</f>
        <v>49389.271572978</v>
      </c>
      <c r="BW63" s="109" t="n">
        <f aca="false">BW61+BW62</f>
        <v>47688.448688716</v>
      </c>
      <c r="BX63" s="109" t="n">
        <f aca="false">BX61+BX62</f>
        <v>47692.6153553827</v>
      </c>
      <c r="BY63" s="109" t="n">
        <f aca="false">BY61+BY62</f>
        <v>47696.7820220493</v>
      </c>
      <c r="BZ63" s="109" t="n">
        <f aca="false">BZ61+BZ62</f>
        <v>47700.948688716</v>
      </c>
      <c r="CA63" s="109" t="n">
        <f aca="false">CA61+CA62</f>
        <v>47705.1153553827</v>
      </c>
      <c r="CB63" s="109" t="n">
        <f aca="false">CB61+CB62</f>
        <v>47709.2820220493</v>
      </c>
      <c r="CC63" s="109" t="n">
        <f aca="false">CC61+CC62</f>
        <v>47713.448688716</v>
      </c>
      <c r="CD63" s="109" t="n">
        <f aca="false">CD61+CD62</f>
        <v>47717.6153553827</v>
      </c>
      <c r="CE63" s="109" t="n">
        <f aca="false">CE61+CE62</f>
        <v>47721.7820220493</v>
      </c>
      <c r="CF63" s="109" t="n">
        <f aca="false">CF61+CF62</f>
        <v>47725.948688716</v>
      </c>
      <c r="CG63" s="109" t="n">
        <f aca="false">CG61+CG62</f>
        <v>47730.1153553827</v>
      </c>
      <c r="CH63" s="109" t="n">
        <f aca="false">CH61+CH62</f>
        <v>47734.2820220493</v>
      </c>
    </row>
    <row r="64" customFormat="false" ht="13.5" hidden="false" customHeight="true" outlineLevel="0" collapsed="false"/>
    <row r="65" customFormat="false" ht="12.75" hidden="false" customHeight="true" outlineLevel="0" collapsed="false">
      <c r="A65" s="9" t="s">
        <v>568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  <c r="CD65" s="9"/>
      <c r="CE65" s="9"/>
      <c r="CF65" s="9"/>
      <c r="CG65" s="9"/>
      <c r="CH65" s="9"/>
    </row>
    <row r="66" customFormat="false" ht="13.5" hidden="false" customHeight="true" outlineLevel="0" collapsed="false">
      <c r="A66" s="6" t="s">
        <v>561</v>
      </c>
      <c r="C66" s="109" t="n">
        <f aca="false">C56</f>
        <v>-13335.4454528065</v>
      </c>
      <c r="D66" s="109" t="n">
        <f aca="false">D56</f>
        <v>-12138.05248303</v>
      </c>
      <c r="E66" s="109" t="n">
        <f aca="false">E56</f>
        <v>-9699.89345948428</v>
      </c>
      <c r="F66" s="109" t="n">
        <f aca="false">F56</f>
        <v>-8378.28898313205</v>
      </c>
      <c r="G66" s="109" t="n">
        <f aca="false">G56</f>
        <v>-7137.5229293627</v>
      </c>
      <c r="H66" s="109" t="n">
        <f aca="false">H56</f>
        <v>-5188.49984599775</v>
      </c>
      <c r="I66" s="109" t="n">
        <f aca="false">I56</f>
        <v>-1205.18712710789</v>
      </c>
      <c r="J66" s="109" t="n">
        <f aca="false">J56</f>
        <v>2778.12559178196</v>
      </c>
      <c r="K66" s="109" t="n">
        <f aca="false">K56</f>
        <v>6761.43831067182</v>
      </c>
      <c r="L66" s="109" t="n">
        <f aca="false">L56</f>
        <v>10744.7510295617</v>
      </c>
      <c r="M66" s="109" t="n">
        <f aca="false">M56</f>
        <v>13487.2976946822</v>
      </c>
      <c r="N66" s="109" t="n">
        <f aca="false">N56</f>
        <v>17180.7576528508</v>
      </c>
      <c r="O66" s="109" t="n">
        <f aca="false">O56</f>
        <v>15647.0176110195</v>
      </c>
      <c r="P66" s="109" t="n">
        <f aca="false">P56</f>
        <v>18980.8743568118</v>
      </c>
      <c r="Q66" s="109" t="n">
        <f aca="false">Q56</f>
        <v>22314.7311026042</v>
      </c>
      <c r="R66" s="109" t="n">
        <f aca="false">R56</f>
        <v>25648.5878483965</v>
      </c>
      <c r="S66" s="109" t="n">
        <f aca="false">S56</f>
        <v>28982.4445941888</v>
      </c>
      <c r="T66" s="109" t="n">
        <f aca="false">T56</f>
        <v>32316.3013399811</v>
      </c>
      <c r="U66" s="109" t="n">
        <f aca="false">U56</f>
        <v>35650.1580857735</v>
      </c>
      <c r="V66" s="109" t="n">
        <f aca="false">V56</f>
        <v>33953.4948315658</v>
      </c>
      <c r="W66" s="109" t="n">
        <f aca="false">W56</f>
        <v>37287.3515773581</v>
      </c>
      <c r="X66" s="109" t="n">
        <f aca="false">X56</f>
        <v>39670.2950301023</v>
      </c>
      <c r="Y66" s="109" t="n">
        <f aca="false">Y56</f>
        <v>42053.2384828464</v>
      </c>
      <c r="Z66" s="109" t="n">
        <f aca="false">Z56</f>
        <v>44087.5281183713</v>
      </c>
      <c r="AA66" s="109" t="n">
        <f aca="false">AA56</f>
        <v>43909.3261538963</v>
      </c>
      <c r="AB66" s="109" t="n">
        <f aca="false">AB56</f>
        <v>45943.6157894211</v>
      </c>
      <c r="AC66" s="109" t="n">
        <f aca="false">AC56</f>
        <v>47977.905424946</v>
      </c>
      <c r="AD66" s="109" t="n">
        <f aca="false">AD56</f>
        <v>50012.1950604709</v>
      </c>
      <c r="AE66" s="109" t="n">
        <f aca="false">AE56</f>
        <v>52046.4846959958</v>
      </c>
      <c r="AF66" s="109" t="n">
        <f aca="false">AF56</f>
        <v>54080.7743315207</v>
      </c>
      <c r="AG66" s="109" t="n">
        <f aca="false">AG56</f>
        <v>56115.0639670456</v>
      </c>
      <c r="AH66" s="109" t="n">
        <f aca="false">AH56</f>
        <v>58149.3536025705</v>
      </c>
      <c r="AI66" s="109" t="n">
        <f aca="false">AI56</f>
        <v>57802.9836380954</v>
      </c>
      <c r="AJ66" s="109" t="n">
        <f aca="false">AJ56</f>
        <v>59837.2732736203</v>
      </c>
      <c r="AK66" s="109" t="n">
        <f aca="false">AK56</f>
        <v>61871.5629091452</v>
      </c>
      <c r="AL66" s="109" t="n">
        <f aca="false">AL56</f>
        <v>63905.8525446701</v>
      </c>
      <c r="AM66" s="109" t="n">
        <f aca="false">AM56</f>
        <v>63649.256044195</v>
      </c>
      <c r="AN66" s="109" t="n">
        <f aca="false">AN56</f>
        <v>65683.5456797199</v>
      </c>
      <c r="AO66" s="109" t="n">
        <f aca="false">AO56</f>
        <v>67717.8353152448</v>
      </c>
      <c r="AP66" s="109" t="n">
        <f aca="false">AP56</f>
        <v>69752.1249507697</v>
      </c>
      <c r="AQ66" s="109" t="n">
        <f aca="false">AQ56</f>
        <v>71786.4145862946</v>
      </c>
      <c r="AR66" s="109" t="n">
        <f aca="false">AR56</f>
        <v>73820.7042218195</v>
      </c>
      <c r="AS66" s="109" t="n">
        <f aca="false">AS56</f>
        <v>73820.7042218195</v>
      </c>
      <c r="AT66" s="109" t="n">
        <f aca="false">AT56</f>
        <v>73820.7042218195</v>
      </c>
      <c r="AU66" s="109" t="n">
        <f aca="false">AU56</f>
        <v>73820.7042218195</v>
      </c>
      <c r="AV66" s="109" t="n">
        <f aca="false">AV56</f>
        <v>73820.7042218195</v>
      </c>
      <c r="AW66" s="109" t="n">
        <f aca="false">AW56</f>
        <v>73820.7042218195</v>
      </c>
      <c r="AX66" s="109" t="n">
        <f aca="false">AX56</f>
        <v>73820.7042218195</v>
      </c>
      <c r="AY66" s="109" t="n">
        <f aca="false">AY56</f>
        <v>71520.4915017395</v>
      </c>
      <c r="AZ66" s="109" t="n">
        <f aca="false">AZ56</f>
        <v>71520.4915017395</v>
      </c>
      <c r="BA66" s="109" t="n">
        <f aca="false">BA56</f>
        <v>71520.4915017395</v>
      </c>
      <c r="BB66" s="109" t="n">
        <f aca="false">BB56</f>
        <v>71520.4915017395</v>
      </c>
      <c r="BC66" s="109" t="n">
        <f aca="false">BC56</f>
        <v>71520.4915017395</v>
      </c>
      <c r="BD66" s="109" t="n">
        <f aca="false">BD56</f>
        <v>71520.4915017395</v>
      </c>
      <c r="BE66" s="109" t="n">
        <f aca="false">BE56</f>
        <v>71520.4915017395</v>
      </c>
      <c r="BF66" s="109" t="n">
        <f aca="false">BF56</f>
        <v>71520.4915017395</v>
      </c>
      <c r="BG66" s="109" t="n">
        <f aca="false">BG56</f>
        <v>71520.4915017395</v>
      </c>
      <c r="BH66" s="109" t="n">
        <f aca="false">BH56</f>
        <v>71520.4915017395</v>
      </c>
      <c r="BI66" s="109" t="n">
        <f aca="false">BI56</f>
        <v>71520.4915017395</v>
      </c>
      <c r="BJ66" s="109" t="n">
        <f aca="false">BJ56</f>
        <v>71520.4915017395</v>
      </c>
      <c r="BK66" s="109" t="n">
        <f aca="false">BK56</f>
        <v>69210.6724000571</v>
      </c>
      <c r="BL66" s="109" t="n">
        <f aca="false">BL56</f>
        <v>69210.6724000571</v>
      </c>
      <c r="BM66" s="109" t="n">
        <f aca="false">BM56</f>
        <v>69210.6724000571</v>
      </c>
      <c r="BN66" s="109" t="n">
        <f aca="false">BN56</f>
        <v>69210.6724000571</v>
      </c>
      <c r="BO66" s="109" t="n">
        <f aca="false">BO56</f>
        <v>69210.6724000571</v>
      </c>
      <c r="BP66" s="109" t="n">
        <f aca="false">BP56</f>
        <v>69210.6724000571</v>
      </c>
      <c r="BQ66" s="109" t="n">
        <f aca="false">BQ56</f>
        <v>69210.6724000571</v>
      </c>
      <c r="BR66" s="109" t="n">
        <f aca="false">BR56</f>
        <v>69210.6724000571</v>
      </c>
      <c r="BS66" s="109" t="n">
        <f aca="false">BS56</f>
        <v>69210.6724000571</v>
      </c>
      <c r="BT66" s="109" t="n">
        <f aca="false">BT56</f>
        <v>69210.6724000571</v>
      </c>
      <c r="BU66" s="109" t="n">
        <f aca="false">BU56</f>
        <v>69210.6724000571</v>
      </c>
      <c r="BV66" s="109" t="n">
        <f aca="false">BV56</f>
        <v>69210.6724000571</v>
      </c>
      <c r="BW66" s="109" t="n">
        <f aca="false">BW56</f>
        <v>66890.9587253243</v>
      </c>
      <c r="BX66" s="109" t="n">
        <f aca="false">BX56</f>
        <v>66890.9587253243</v>
      </c>
      <c r="BY66" s="109" t="n">
        <f aca="false">BY56</f>
        <v>66890.9587253243</v>
      </c>
      <c r="BZ66" s="109" t="n">
        <f aca="false">BZ56</f>
        <v>66890.9587253243</v>
      </c>
      <c r="CA66" s="109" t="n">
        <f aca="false">CA56</f>
        <v>66890.9587253243</v>
      </c>
      <c r="CB66" s="109" t="n">
        <f aca="false">CB56</f>
        <v>66890.9587253243</v>
      </c>
      <c r="CC66" s="109" t="n">
        <f aca="false">CC56</f>
        <v>66890.9587253243</v>
      </c>
      <c r="CD66" s="109" t="n">
        <f aca="false">CD56</f>
        <v>66890.9587253243</v>
      </c>
      <c r="CE66" s="109" t="n">
        <f aca="false">CE56</f>
        <v>66890.9587253243</v>
      </c>
      <c r="CF66" s="109" t="n">
        <f aca="false">CF56</f>
        <v>66890.9587253243</v>
      </c>
      <c r="CG66" s="109" t="n">
        <f aca="false">CG56</f>
        <v>66890.9587253243</v>
      </c>
      <c r="CH66" s="109" t="n">
        <f aca="false">CH56</f>
        <v>66890.9587253243</v>
      </c>
    </row>
    <row r="67" customFormat="false" ht="13.5" hidden="false" customHeight="true" outlineLevel="0" collapsed="false">
      <c r="A67" s="6" t="s">
        <v>569</v>
      </c>
      <c r="C67" s="109" t="n">
        <f aca="false">C62</f>
        <v>-0</v>
      </c>
      <c r="D67" s="109" t="n">
        <f aca="false">D62</f>
        <v>-0</v>
      </c>
      <c r="E67" s="109" t="n">
        <f aca="false">E62</f>
        <v>-0</v>
      </c>
      <c r="F67" s="109" t="n">
        <f aca="false">F62</f>
        <v>-0</v>
      </c>
      <c r="G67" s="109" t="n">
        <f aca="false">G62</f>
        <v>-0</v>
      </c>
      <c r="H67" s="109" t="n">
        <f aca="false">H62</f>
        <v>-0</v>
      </c>
      <c r="I67" s="109" t="n">
        <f aca="false">I62</f>
        <v>-0</v>
      </c>
      <c r="J67" s="109" t="n">
        <f aca="false">J62</f>
        <v>-121.425457942499</v>
      </c>
      <c r="K67" s="109" t="n">
        <f aca="false">K62</f>
        <v>-701.188994860957</v>
      </c>
      <c r="L67" s="109" t="n">
        <f aca="false">L62</f>
        <v>-1284.0261471935</v>
      </c>
      <c r="M67" s="109" t="n">
        <f aca="false">M62</f>
        <v>-1688.22751640217</v>
      </c>
      <c r="N67" s="109" t="n">
        <f aca="false">N62</f>
        <v>-2230.7952860857</v>
      </c>
      <c r="O67" s="109" t="n">
        <f aca="false">O62</f>
        <v>-2003.26934352569</v>
      </c>
      <c r="P67" s="109" t="n">
        <f aca="false">P62</f>
        <v>-2491.48080308229</v>
      </c>
      <c r="Q67" s="109" t="n">
        <f aca="false">Q62</f>
        <v>-2979.69226263889</v>
      </c>
      <c r="R67" s="109" t="n">
        <f aca="false">R62</f>
        <v>-3467.9037221955</v>
      </c>
      <c r="S67" s="109" t="n">
        <f aca="false">S62</f>
        <v>-3956.1151817521</v>
      </c>
      <c r="T67" s="109" t="n">
        <f aca="false">T62</f>
        <v>-4444.3266413087</v>
      </c>
      <c r="U67" s="109" t="n">
        <f aca="false">U62</f>
        <v>-4932.5381008653</v>
      </c>
      <c r="V67" s="109" t="n">
        <f aca="false">V62</f>
        <v>-4681.26312042191</v>
      </c>
      <c r="W67" s="109" t="n">
        <f aca="false">W62</f>
        <v>-5169.47457997851</v>
      </c>
      <c r="X67" s="109" t="n">
        <f aca="false">X62</f>
        <v>-5518.45921416797</v>
      </c>
      <c r="Y67" s="109" t="n">
        <f aca="false">Y62</f>
        <v>-5867.44384835742</v>
      </c>
      <c r="Z67" s="109" t="n">
        <f aca="false">Z62</f>
        <v>-6165.3844781344</v>
      </c>
      <c r="AA67" s="109" t="n">
        <f aca="false">AA62</f>
        <v>-6138.08884271138</v>
      </c>
      <c r="AB67" s="109" t="n">
        <f aca="false">AB62</f>
        <v>-6436.86280582169</v>
      </c>
      <c r="AC67" s="109" t="n">
        <f aca="false">AC62</f>
        <v>-6735.63676893201</v>
      </c>
      <c r="AD67" s="109" t="n">
        <f aca="false">AD62</f>
        <v>-7034.41073204231</v>
      </c>
      <c r="AE67" s="109" t="n">
        <f aca="false">AE62</f>
        <v>-7333.18469515263</v>
      </c>
      <c r="AF67" s="109" t="n">
        <f aca="false">AF62</f>
        <v>-7631.95865826294</v>
      </c>
      <c r="AG67" s="109" t="n">
        <f aca="false">AG62</f>
        <v>-7930.73262137325</v>
      </c>
      <c r="AH67" s="109" t="n">
        <f aca="false">AH62</f>
        <v>-8229.50658448356</v>
      </c>
      <c r="AI67" s="109" t="n">
        <f aca="false">AI62</f>
        <v>-8178.32358639387</v>
      </c>
      <c r="AJ67" s="109" t="n">
        <f aca="false">AJ62</f>
        <v>-8477.09754950418</v>
      </c>
      <c r="AK67" s="109" t="n">
        <f aca="false">AK62</f>
        <v>-8775.87151261449</v>
      </c>
      <c r="AL67" s="109" t="n">
        <f aca="false">AL62</f>
        <v>-9074.64547572481</v>
      </c>
      <c r="AM67" s="109" t="n">
        <f aca="false">AM62</f>
        <v>-15061.0986280719</v>
      </c>
      <c r="AN67" s="109" t="n">
        <f aca="false">AN62</f>
        <v>-15559.0552332557</v>
      </c>
      <c r="AO67" s="109" t="n">
        <f aca="false">AO62</f>
        <v>-16057.0118384396</v>
      </c>
      <c r="AP67" s="109" t="n">
        <f aca="false">AP62</f>
        <v>-16554.9684436234</v>
      </c>
      <c r="AQ67" s="109" t="n">
        <f aca="false">AQ62</f>
        <v>-17052.9250488073</v>
      </c>
      <c r="AR67" s="109" t="n">
        <f aca="false">AR62</f>
        <v>-17550.8816539911</v>
      </c>
      <c r="AS67" s="109" t="n">
        <f aca="false">AS62</f>
        <v>-17552.27054288</v>
      </c>
      <c r="AT67" s="109" t="n">
        <f aca="false">AT62</f>
        <v>-17553.6594317689</v>
      </c>
      <c r="AU67" s="109" t="n">
        <f aca="false">AU62</f>
        <v>-17555.0483206578</v>
      </c>
      <c r="AV67" s="109" t="n">
        <f aca="false">AV62</f>
        <v>-17556.4372095467</v>
      </c>
      <c r="AW67" s="109" t="n">
        <f aca="false">AW62</f>
        <v>-17557.8260984356</v>
      </c>
      <c r="AX67" s="109" t="n">
        <f aca="false">AX62</f>
        <v>-17559.2149873245</v>
      </c>
      <c r="AY67" s="109" t="n">
        <f aca="false">AY62</f>
        <v>-16997.0517597937</v>
      </c>
      <c r="AZ67" s="109" t="n">
        <f aca="false">AZ62</f>
        <v>-16998.4406486826</v>
      </c>
      <c r="BA67" s="109" t="n">
        <f aca="false">BA62</f>
        <v>-16999.8295375715</v>
      </c>
      <c r="BB67" s="109" t="n">
        <f aca="false">BB62</f>
        <v>-17001.2184264604</v>
      </c>
      <c r="BC67" s="109" t="n">
        <f aca="false">BC62</f>
        <v>-17002.6073153493</v>
      </c>
      <c r="BD67" s="109" t="n">
        <f aca="false">BD62</f>
        <v>-17003.9962042382</v>
      </c>
      <c r="BE67" s="109" t="n">
        <f aca="false">BE62</f>
        <v>-17005.3850931271</v>
      </c>
      <c r="BF67" s="109" t="n">
        <f aca="false">BF62</f>
        <v>-17006.773982016</v>
      </c>
      <c r="BG67" s="109" t="n">
        <f aca="false">BG62</f>
        <v>-17008.1628709049</v>
      </c>
      <c r="BH67" s="109" t="n">
        <f aca="false">BH62</f>
        <v>-17009.5517597937</v>
      </c>
      <c r="BI67" s="109" t="n">
        <f aca="false">BI62</f>
        <v>-17010.9406486826</v>
      </c>
      <c r="BJ67" s="109" t="n">
        <f aca="false">BJ62</f>
        <v>-17012.3295375715</v>
      </c>
      <c r="BK67" s="109" t="n">
        <f aca="false">BK62</f>
        <v>-16447.8127465482</v>
      </c>
      <c r="BL67" s="109" t="n">
        <f aca="false">BL62</f>
        <v>-16449.2016354371</v>
      </c>
      <c r="BM67" s="109" t="n">
        <f aca="false">BM62</f>
        <v>-16450.590524326</v>
      </c>
      <c r="BN67" s="109" t="n">
        <f aca="false">BN62</f>
        <v>-16451.9794132149</v>
      </c>
      <c r="BO67" s="109" t="n">
        <f aca="false">BO62</f>
        <v>-16453.3683021038</v>
      </c>
      <c r="BP67" s="109" t="n">
        <f aca="false">BP62</f>
        <v>-16454.7571909927</v>
      </c>
      <c r="BQ67" s="109" t="n">
        <f aca="false">BQ62</f>
        <v>-16456.1460798816</v>
      </c>
      <c r="BR67" s="109" t="n">
        <f aca="false">BR62</f>
        <v>-16457.5349687704</v>
      </c>
      <c r="BS67" s="109" t="n">
        <f aca="false">BS62</f>
        <v>-16458.9238576593</v>
      </c>
      <c r="BT67" s="109" t="n">
        <f aca="false">BT62</f>
        <v>-16460.3127465482</v>
      </c>
      <c r="BU67" s="109" t="n">
        <f aca="false">BU62</f>
        <v>-16461.7016354371</v>
      </c>
      <c r="BV67" s="109" t="n">
        <f aca="false">BV62</f>
        <v>-16463.090524326</v>
      </c>
      <c r="BW67" s="109" t="n">
        <f aca="false">BW62</f>
        <v>-15896.1495629053</v>
      </c>
      <c r="BX67" s="109" t="n">
        <f aca="false">BX62</f>
        <v>-15897.5384517942</v>
      </c>
      <c r="BY67" s="109" t="n">
        <f aca="false">BY62</f>
        <v>-15898.9273406831</v>
      </c>
      <c r="BZ67" s="109" t="n">
        <f aca="false">BZ62</f>
        <v>-15900.316229572</v>
      </c>
      <c r="CA67" s="109" t="n">
        <f aca="false">CA62</f>
        <v>-15901.7051184609</v>
      </c>
      <c r="CB67" s="109" t="n">
        <f aca="false">CB62</f>
        <v>-15903.0940073498</v>
      </c>
      <c r="CC67" s="109" t="n">
        <f aca="false">CC62</f>
        <v>-15904.4828962387</v>
      </c>
      <c r="CD67" s="109" t="n">
        <f aca="false">CD62</f>
        <v>-15905.8717851276</v>
      </c>
      <c r="CE67" s="109" t="n">
        <f aca="false">CE62</f>
        <v>-15907.2606740164</v>
      </c>
      <c r="CF67" s="109" t="n">
        <f aca="false">CF62</f>
        <v>-15908.6495629053</v>
      </c>
      <c r="CG67" s="109" t="n">
        <f aca="false">CG62</f>
        <v>-15910.0384517942</v>
      </c>
      <c r="CH67" s="109" t="n">
        <f aca="false">CH62</f>
        <v>-15911.4273406831</v>
      </c>
    </row>
    <row r="68" customFormat="false" ht="13.5" hidden="false" customHeight="true" outlineLevel="0" collapsed="false">
      <c r="A68" s="6" t="s">
        <v>570</v>
      </c>
      <c r="C68" s="110" t="n">
        <f aca="false">C38*Hipótesis!$E$66/30</f>
        <v>1018.1446875</v>
      </c>
      <c r="D68" s="110" t="n">
        <f aca="false">D38*Hipótesis!$E$66/30</f>
        <v>2115.568125</v>
      </c>
      <c r="E68" s="110" t="n">
        <f aca="false">E38*Hipótesis!$E$66/30</f>
        <v>4406.3019140625</v>
      </c>
      <c r="F68" s="110" t="n">
        <f aca="false">F38*Hipótesis!$E$66/30</f>
        <v>5678.891015625</v>
      </c>
      <c r="G68" s="110" t="n">
        <f aca="false">G38*Hipótesis!$E$66/30</f>
        <v>6872.2013671875</v>
      </c>
      <c r="H68" s="110" t="n">
        <f aca="false">H38*Hipótesis!$E$66/30</f>
        <v>8792.23359375</v>
      </c>
      <c r="I68" s="110" t="n">
        <f aca="false">I38*Hipótesis!$E$66/30</f>
        <v>12667.7265228587</v>
      </c>
      <c r="J68" s="110" t="n">
        <f aca="false">J38*Hipótesis!$E$66/30</f>
        <v>16543.2194519675</v>
      </c>
      <c r="K68" s="110" t="n">
        <f aca="false">K38*Hipótesis!$E$66/30</f>
        <v>20418.7123810762</v>
      </c>
      <c r="L68" s="110" t="n">
        <f aca="false">L38*Hipótesis!$E$66/30</f>
        <v>24294.205310185</v>
      </c>
      <c r="M68" s="110" t="n">
        <f aca="false">M38*Hipótesis!$E$66/30</f>
        <v>26976.3878877312</v>
      </c>
      <c r="N68" s="110" t="n">
        <f aca="false">N38*Hipótesis!$E$66/30</f>
        <v>30649.5548402775</v>
      </c>
      <c r="O68" s="110" t="n">
        <f aca="false">O38*Hipótesis!$E$66/30</f>
        <v>34322.7217928237</v>
      </c>
      <c r="P68" s="110" t="n">
        <f aca="false">P38*Hipótesis!$E$66/30</f>
        <v>37639.13437037</v>
      </c>
      <c r="Q68" s="110" t="n">
        <f aca="false">Q38*Hipótesis!$E$66/30</f>
        <v>40955.5469479162</v>
      </c>
      <c r="R68" s="110" t="n">
        <f aca="false">R38*Hipótesis!$E$66/30</f>
        <v>44271.9595254624</v>
      </c>
      <c r="S68" s="110" t="n">
        <f aca="false">S38*Hipótesis!$E$66/30</f>
        <v>47588.3721030087</v>
      </c>
      <c r="T68" s="110" t="n">
        <f aca="false">T38*Hipótesis!$E$66/30</f>
        <v>50904.7846805549</v>
      </c>
      <c r="U68" s="110" t="n">
        <f aca="false">U38*Hipótesis!$E$66/30</f>
        <v>54221.1972581012</v>
      </c>
      <c r="V68" s="110" t="n">
        <f aca="false">V38*Hipótesis!$E$66/30</f>
        <v>57537.6098356474</v>
      </c>
      <c r="W68" s="110" t="n">
        <f aca="false">W38*Hipótesis!$E$66/30</f>
        <v>60854.0224131937</v>
      </c>
      <c r="X68" s="110" t="n">
        <f aca="false">X38*Hipótesis!$E$66/30</f>
        <v>63179.4506157399</v>
      </c>
      <c r="Y68" s="110" t="n">
        <f aca="false">Y38*Hipótesis!$E$66/30</f>
        <v>65504.8788182861</v>
      </c>
      <c r="Z68" s="110" t="n">
        <f aca="false">Z38*Hipótesis!$E$66/30</f>
        <v>67460.3395208324</v>
      </c>
      <c r="AA68" s="110" t="n">
        <f aca="false">AA38*Hipótesis!$E$66/30</f>
        <v>69415.8002233786</v>
      </c>
      <c r="AB68" s="110" t="n">
        <f aca="false">AB38*Hipótesis!$E$66/30</f>
        <v>71371.2609259249</v>
      </c>
      <c r="AC68" s="110" t="n">
        <f aca="false">AC38*Hipótesis!$E$66/30</f>
        <v>73326.7216284711</v>
      </c>
      <c r="AD68" s="110" t="n">
        <f aca="false">AD38*Hipótesis!$E$66/30</f>
        <v>75282.1823310174</v>
      </c>
      <c r="AE68" s="110" t="n">
        <f aca="false">AE38*Hipótesis!$E$66/30</f>
        <v>77237.6430335636</v>
      </c>
      <c r="AF68" s="110" t="n">
        <f aca="false">AF38*Hipótesis!$E$66/30</f>
        <v>79193.1037361098</v>
      </c>
      <c r="AG68" s="110" t="n">
        <f aca="false">AG38*Hipótesis!$E$66/30</f>
        <v>81148.5644386561</v>
      </c>
      <c r="AH68" s="110" t="n">
        <f aca="false">AH38*Hipótesis!$E$66/30</f>
        <v>83104.0251412023</v>
      </c>
      <c r="AI68" s="110" t="n">
        <f aca="false">AI38*Hipótesis!$E$66/30</f>
        <v>85059.4858437486</v>
      </c>
      <c r="AJ68" s="110" t="n">
        <f aca="false">AJ38*Hipótesis!$E$66/30</f>
        <v>87014.9465462948</v>
      </c>
      <c r="AK68" s="110" t="n">
        <f aca="false">AK38*Hipótesis!$E$66/30</f>
        <v>88970.4072488411</v>
      </c>
      <c r="AL68" s="110" t="n">
        <f aca="false">AL38*Hipótesis!$E$66/30</f>
        <v>90925.8679513873</v>
      </c>
      <c r="AM68" s="110" t="n">
        <f aca="false">AM38*Hipótesis!$E$66/30</f>
        <v>92881.3286539335</v>
      </c>
      <c r="AN68" s="110" t="n">
        <f aca="false">AN38*Hipótesis!$E$66/30</f>
        <v>94836.7893564798</v>
      </c>
      <c r="AO68" s="110" t="n">
        <f aca="false">AO38*Hipótesis!$E$66/30</f>
        <v>96792.2500590261</v>
      </c>
      <c r="AP68" s="110" t="n">
        <f aca="false">AP38*Hipótesis!$E$66/30</f>
        <v>98747.7107615723</v>
      </c>
      <c r="AQ68" s="110" t="n">
        <f aca="false">AQ38*Hipótesis!$E$66/30</f>
        <v>100703.171464119</v>
      </c>
      <c r="AR68" s="110" t="n">
        <f aca="false">AR38*Hipótesis!$E$66/30</f>
        <v>102658.632166665</v>
      </c>
      <c r="AS68" s="110" t="n">
        <f aca="false">AS38*Hipótesis!$E$66/30</f>
        <v>102658.632166665</v>
      </c>
      <c r="AT68" s="110" t="n">
        <f aca="false">AT38*Hipótesis!$E$66/30</f>
        <v>102658.632166665</v>
      </c>
      <c r="AU68" s="110" t="n">
        <f aca="false">AU38*Hipótesis!$E$66/30</f>
        <v>102658.632166665</v>
      </c>
      <c r="AV68" s="110" t="n">
        <f aca="false">AV38*Hipótesis!$E$66/30</f>
        <v>102658.632166665</v>
      </c>
      <c r="AW68" s="110" t="n">
        <f aca="false">AW38*Hipótesis!$E$66/30</f>
        <v>102658.632166665</v>
      </c>
      <c r="AX68" s="110" t="n">
        <f aca="false">AX38*Hipótesis!$E$66/30</f>
        <v>102658.632166665</v>
      </c>
      <c r="AY68" s="110" t="n">
        <f aca="false">AY38*Hipótesis!$E$66/30</f>
        <v>102658.632166665</v>
      </c>
      <c r="AZ68" s="110" t="n">
        <f aca="false">AZ38*Hipótesis!$E$66/30</f>
        <v>102658.632166665</v>
      </c>
      <c r="BA68" s="110" t="n">
        <f aca="false">BA38*Hipótesis!$E$66/30</f>
        <v>102658.632166665</v>
      </c>
      <c r="BB68" s="110" t="n">
        <f aca="false">BB38*Hipótesis!$E$66/30</f>
        <v>102658.632166665</v>
      </c>
      <c r="BC68" s="110" t="n">
        <f aca="false">BC38*Hipótesis!$E$66/30</f>
        <v>102658.632166665</v>
      </c>
      <c r="BD68" s="110" t="n">
        <f aca="false">BD38*Hipótesis!$E$66/30</f>
        <v>102658.632166665</v>
      </c>
      <c r="BE68" s="110" t="n">
        <f aca="false">BE38*Hipótesis!$E$66/30</f>
        <v>102658.632166665</v>
      </c>
      <c r="BF68" s="110" t="n">
        <f aca="false">BF38*Hipótesis!$E$66/30</f>
        <v>102658.632166665</v>
      </c>
      <c r="BG68" s="110" t="n">
        <f aca="false">BG38*Hipótesis!$E$66/30</f>
        <v>102658.632166665</v>
      </c>
      <c r="BH68" s="110" t="n">
        <f aca="false">BH38*Hipótesis!$E$66/30</f>
        <v>102658.632166665</v>
      </c>
      <c r="BI68" s="110" t="n">
        <f aca="false">BI38*Hipótesis!$E$66/30</f>
        <v>102658.632166665</v>
      </c>
      <c r="BJ68" s="110" t="n">
        <f aca="false">BJ38*Hipótesis!$E$66/30</f>
        <v>102658.632166665</v>
      </c>
      <c r="BK68" s="110" t="n">
        <f aca="false">BK38*Hipótesis!$E$66/30</f>
        <v>102658.632166665</v>
      </c>
      <c r="BL68" s="110" t="n">
        <f aca="false">BL38*Hipótesis!$E$66/30</f>
        <v>102658.632166665</v>
      </c>
      <c r="BM68" s="110" t="n">
        <f aca="false">BM38*Hipótesis!$E$66/30</f>
        <v>102658.632166665</v>
      </c>
      <c r="BN68" s="110" t="n">
        <f aca="false">BN38*Hipótesis!$E$66/30</f>
        <v>102658.632166665</v>
      </c>
      <c r="BO68" s="110" t="n">
        <f aca="false">BO38*Hipótesis!$E$66/30</f>
        <v>102658.632166665</v>
      </c>
      <c r="BP68" s="110" t="n">
        <f aca="false">BP38*Hipótesis!$E$66/30</f>
        <v>102658.632166665</v>
      </c>
      <c r="BQ68" s="110" t="n">
        <f aca="false">BQ38*Hipótesis!$E$66/30</f>
        <v>102658.632166665</v>
      </c>
      <c r="BR68" s="110" t="n">
        <f aca="false">BR38*Hipótesis!$E$66/30</f>
        <v>102658.632166665</v>
      </c>
      <c r="BS68" s="110" t="n">
        <f aca="false">BS38*Hipótesis!$E$66/30</f>
        <v>102658.632166665</v>
      </c>
      <c r="BT68" s="110" t="n">
        <f aca="false">BT38*Hipótesis!$E$66/30</f>
        <v>102658.632166665</v>
      </c>
      <c r="BU68" s="110" t="n">
        <f aca="false">BU38*Hipótesis!$E$66/30</f>
        <v>102658.632166665</v>
      </c>
      <c r="BV68" s="110" t="n">
        <f aca="false">BV38*Hipótesis!$E$66/30</f>
        <v>102658.632166665</v>
      </c>
      <c r="BW68" s="110" t="n">
        <f aca="false">BW38*Hipótesis!$E$66/30</f>
        <v>102658.632166665</v>
      </c>
      <c r="BX68" s="110" t="n">
        <f aca="false">BX38*Hipótesis!$E$66/30</f>
        <v>102658.632166665</v>
      </c>
      <c r="BY68" s="110" t="n">
        <f aca="false">BY38*Hipótesis!$E$66/30</f>
        <v>102658.632166665</v>
      </c>
      <c r="BZ68" s="110" t="n">
        <f aca="false">BZ38*Hipótesis!$E$66/30</f>
        <v>102658.632166665</v>
      </c>
      <c r="CA68" s="110" t="n">
        <f aca="false">CA38*Hipótesis!$E$66/30</f>
        <v>102658.632166665</v>
      </c>
      <c r="CB68" s="110" t="n">
        <f aca="false">CB38*Hipótesis!$E$66/30</f>
        <v>102658.632166665</v>
      </c>
      <c r="CC68" s="110" t="n">
        <f aca="false">CC38*Hipótesis!$E$66/30</f>
        <v>102658.632166665</v>
      </c>
      <c r="CD68" s="110" t="n">
        <f aca="false">CD38*Hipótesis!$E$66/30</f>
        <v>102658.632166665</v>
      </c>
      <c r="CE68" s="110" t="n">
        <f aca="false">CE38*Hipótesis!$E$66/30</f>
        <v>102658.632166665</v>
      </c>
      <c r="CF68" s="110" t="n">
        <f aca="false">CF38*Hipótesis!$E$66/30</f>
        <v>102658.632166665</v>
      </c>
      <c r="CG68" s="110" t="n">
        <f aca="false">CG38*Hipótesis!$E$66/30</f>
        <v>102658.632166665</v>
      </c>
      <c r="CH68" s="110" t="n">
        <f aca="false">CH38*Hipótesis!$E$66/30</f>
        <v>102658.632166665</v>
      </c>
    </row>
    <row r="69" customFormat="false" ht="13.5" hidden="false" customHeight="true" outlineLevel="0" collapsed="false">
      <c r="A69" s="6" t="s">
        <v>571</v>
      </c>
      <c r="C69" s="110" t="n">
        <f aca="false">-C39*Hipótesis!$E$67/30</f>
        <v>119.34375</v>
      </c>
      <c r="D69" s="110" t="n">
        <f aca="false">-D39*Hipótesis!$E$67/30</f>
        <v>257.168602941176</v>
      </c>
      <c r="E69" s="110" t="n">
        <f aca="false">-E39*Hipótesis!$E$67/30</f>
        <v>638.428776354292</v>
      </c>
      <c r="F69" s="110" t="n">
        <f aca="false">-F39*Hipótesis!$E$67/30</f>
        <v>900.345199767407</v>
      </c>
      <c r="G69" s="110" t="n">
        <f aca="false">-G39*Hipótesis!$E$67/30</f>
        <v>1143.78052023935</v>
      </c>
      <c r="H69" s="110" t="n">
        <f aca="false">-H39*Hipótesis!$E$67/30</f>
        <v>1598.97847857893</v>
      </c>
      <c r="I69" s="110" t="n">
        <f aca="false">-I39*Hipótesis!$E$67/30</f>
        <v>2452.90075984419</v>
      </c>
      <c r="J69" s="110" t="n">
        <f aca="false">-J39*Hipótesis!$E$67/30</f>
        <v>3306.82304110945</v>
      </c>
      <c r="K69" s="110" t="n">
        <f aca="false">-K39*Hipótesis!$E$67/30</f>
        <v>4160.74532237472</v>
      </c>
      <c r="L69" s="110" t="n">
        <f aca="false">-L39*Hipótesis!$E$67/30</f>
        <v>5014.66760363998</v>
      </c>
      <c r="M69" s="110" t="n">
        <f aca="false">-M39*Hipótesis!$E$67/30</f>
        <v>5625.1545644333</v>
      </c>
      <c r="N69" s="110" t="n">
        <f aca="false">-N39*Hipótesis!$E$67/30</f>
        <v>6543.65990757957</v>
      </c>
      <c r="O69" s="110" t="n">
        <f aca="false">-O39*Hipótesis!$E$67/30</f>
        <v>7462.16525072583</v>
      </c>
      <c r="P69" s="110" t="n">
        <f aca="false">-P39*Hipótesis!$E$67/30</f>
        <v>8292.11530894562</v>
      </c>
      <c r="Q69" s="110" t="n">
        <f aca="false">-Q39*Hipótesis!$E$67/30</f>
        <v>9122.06536716542</v>
      </c>
      <c r="R69" s="110" t="n">
        <f aca="false">-R39*Hipótesis!$E$67/30</f>
        <v>9952.01542538521</v>
      </c>
      <c r="S69" s="110" t="n">
        <f aca="false">-S39*Hipótesis!$E$67/30</f>
        <v>10781.965483605</v>
      </c>
      <c r="T69" s="110" t="n">
        <f aca="false">-T39*Hipótesis!$E$67/30</f>
        <v>11611.9155418248</v>
      </c>
      <c r="U69" s="110" t="n">
        <f aca="false">-U39*Hipótesis!$E$67/30</f>
        <v>12441.8656000446</v>
      </c>
      <c r="V69" s="110" t="n">
        <f aca="false">-V39*Hipótesis!$E$67/30</f>
        <v>13271.8156582644</v>
      </c>
      <c r="W69" s="110" t="n">
        <f aca="false">-W39*Hipótesis!$E$67/30</f>
        <v>14101.7657164842</v>
      </c>
      <c r="X69" s="110" t="n">
        <f aca="false">-X39*Hipótesis!$E$67/30</f>
        <v>14623.697392351</v>
      </c>
      <c r="Y69" s="110" t="n">
        <f aca="false">-Y39*Hipótesis!$E$67/30</f>
        <v>15145.6290682179</v>
      </c>
      <c r="Z69" s="110" t="n">
        <f aca="false">-Z39*Hipótesis!$E$67/30</f>
        <v>15544.3533911436</v>
      </c>
      <c r="AA69" s="110" t="n">
        <f aca="false">-AA39*Hipótesis!$E$67/30</f>
        <v>15943.0777140692</v>
      </c>
      <c r="AB69" s="110" t="n">
        <f aca="false">-AB39*Hipótesis!$E$67/30</f>
        <v>16341.8020369949</v>
      </c>
      <c r="AC69" s="110" t="n">
        <f aca="false">-AC39*Hipótesis!$E$67/30</f>
        <v>16740.5263599206</v>
      </c>
      <c r="AD69" s="110" t="n">
        <f aca="false">-AD39*Hipótesis!$E$67/30</f>
        <v>17139.2506828463</v>
      </c>
      <c r="AE69" s="110" t="n">
        <f aca="false">-AE39*Hipótesis!$E$67/30</f>
        <v>17537.9750057719</v>
      </c>
      <c r="AF69" s="110" t="n">
        <f aca="false">-AF39*Hipótesis!$E$67/30</f>
        <v>17936.6993286976</v>
      </c>
      <c r="AG69" s="110" t="n">
        <f aca="false">-AG39*Hipótesis!$E$67/30</f>
        <v>18335.4236516233</v>
      </c>
      <c r="AH69" s="110" t="n">
        <f aca="false">-AH39*Hipótesis!$E$67/30</f>
        <v>18734.147974549</v>
      </c>
      <c r="AI69" s="110" t="n">
        <f aca="false">-AI39*Hipótesis!$E$67/30</f>
        <v>19132.8722974746</v>
      </c>
      <c r="AJ69" s="110" t="n">
        <f aca="false">-AJ39*Hipótesis!$E$67/30</f>
        <v>19531.5966204003</v>
      </c>
      <c r="AK69" s="110" t="n">
        <f aca="false">-AK39*Hipótesis!$E$67/30</f>
        <v>19930.320943326</v>
      </c>
      <c r="AL69" s="110" t="n">
        <f aca="false">-AL39*Hipótesis!$E$67/30</f>
        <v>20329.0452662517</v>
      </c>
      <c r="AM69" s="110" t="n">
        <f aca="false">-AM39*Hipótesis!$E$67/30</f>
        <v>20727.7695891773</v>
      </c>
      <c r="AN69" s="110" t="n">
        <f aca="false">-AN39*Hipótesis!$E$67/30</f>
        <v>21126.493912103</v>
      </c>
      <c r="AO69" s="110" t="n">
        <f aca="false">-AO39*Hipótesis!$E$67/30</f>
        <v>21525.2182350287</v>
      </c>
      <c r="AP69" s="110" t="n">
        <f aca="false">-AP39*Hipótesis!$E$67/30</f>
        <v>21923.9425579544</v>
      </c>
      <c r="AQ69" s="110" t="n">
        <f aca="false">-AQ39*Hipótesis!$E$67/30</f>
        <v>22322.66688088</v>
      </c>
      <c r="AR69" s="110" t="n">
        <f aca="false">-AR39*Hipótesis!$E$67/30</f>
        <v>22721.3912038057</v>
      </c>
      <c r="AS69" s="110" t="n">
        <f aca="false">-AS39*Hipótesis!$E$67/30</f>
        <v>22721.3912038057</v>
      </c>
      <c r="AT69" s="110" t="n">
        <f aca="false">-AT39*Hipótesis!$E$67/30</f>
        <v>22721.3912038057</v>
      </c>
      <c r="AU69" s="110" t="n">
        <f aca="false">-AU39*Hipótesis!$E$67/30</f>
        <v>22721.3912038057</v>
      </c>
      <c r="AV69" s="110" t="n">
        <f aca="false">-AV39*Hipótesis!$E$67/30</f>
        <v>22721.3912038057</v>
      </c>
      <c r="AW69" s="110" t="n">
        <f aca="false">-AW39*Hipótesis!$E$67/30</f>
        <v>22721.3912038057</v>
      </c>
      <c r="AX69" s="110" t="n">
        <f aca="false">-AX39*Hipótesis!$E$67/30</f>
        <v>22721.3912038057</v>
      </c>
      <c r="AY69" s="110" t="n">
        <f aca="false">-AY39*Hipótesis!$E$67/30</f>
        <v>22721.3912038057</v>
      </c>
      <c r="AZ69" s="110" t="n">
        <f aca="false">-AZ39*Hipótesis!$E$67/30</f>
        <v>22721.3912038057</v>
      </c>
      <c r="BA69" s="110" t="n">
        <f aca="false">-BA39*Hipótesis!$E$67/30</f>
        <v>22721.3912038057</v>
      </c>
      <c r="BB69" s="110" t="n">
        <f aca="false">-BB39*Hipótesis!$E$67/30</f>
        <v>22721.3912038057</v>
      </c>
      <c r="BC69" s="110" t="n">
        <f aca="false">-BC39*Hipótesis!$E$67/30</f>
        <v>22721.3912038057</v>
      </c>
      <c r="BD69" s="110" t="n">
        <f aca="false">-BD39*Hipótesis!$E$67/30</f>
        <v>22721.3912038057</v>
      </c>
      <c r="BE69" s="110" t="n">
        <f aca="false">-BE39*Hipótesis!$E$67/30</f>
        <v>22721.3912038057</v>
      </c>
      <c r="BF69" s="110" t="n">
        <f aca="false">-BF39*Hipótesis!$E$67/30</f>
        <v>22721.3912038057</v>
      </c>
      <c r="BG69" s="110" t="n">
        <f aca="false">-BG39*Hipótesis!$E$67/30</f>
        <v>22721.3912038057</v>
      </c>
      <c r="BH69" s="110" t="n">
        <f aca="false">-BH39*Hipótesis!$E$67/30</f>
        <v>22721.3912038057</v>
      </c>
      <c r="BI69" s="110" t="n">
        <f aca="false">-BI39*Hipótesis!$E$67/30</f>
        <v>22721.3912038057</v>
      </c>
      <c r="BJ69" s="110" t="n">
        <f aca="false">-BJ39*Hipótesis!$E$67/30</f>
        <v>22721.3912038057</v>
      </c>
      <c r="BK69" s="110" t="n">
        <f aca="false">-BK39*Hipótesis!$E$67/30</f>
        <v>22721.3912038057</v>
      </c>
      <c r="BL69" s="110" t="n">
        <f aca="false">-BL39*Hipótesis!$E$67/30</f>
        <v>22721.3912038057</v>
      </c>
      <c r="BM69" s="110" t="n">
        <f aca="false">-BM39*Hipótesis!$E$67/30</f>
        <v>22721.3912038057</v>
      </c>
      <c r="BN69" s="110" t="n">
        <f aca="false">-BN39*Hipótesis!$E$67/30</f>
        <v>22721.3912038057</v>
      </c>
      <c r="BO69" s="110" t="n">
        <f aca="false">-BO39*Hipótesis!$E$67/30</f>
        <v>22721.3912038057</v>
      </c>
      <c r="BP69" s="110" t="n">
        <f aca="false">-BP39*Hipótesis!$E$67/30</f>
        <v>22721.3912038057</v>
      </c>
      <c r="BQ69" s="110" t="n">
        <f aca="false">-BQ39*Hipótesis!$E$67/30</f>
        <v>22721.3912038057</v>
      </c>
      <c r="BR69" s="110" t="n">
        <f aca="false">-BR39*Hipótesis!$E$67/30</f>
        <v>22721.3912038057</v>
      </c>
      <c r="BS69" s="110" t="n">
        <f aca="false">-BS39*Hipótesis!$E$67/30</f>
        <v>22721.3912038057</v>
      </c>
      <c r="BT69" s="110" t="n">
        <f aca="false">-BT39*Hipótesis!$E$67/30</f>
        <v>22721.3912038057</v>
      </c>
      <c r="BU69" s="110" t="n">
        <f aca="false">-BU39*Hipótesis!$E$67/30</f>
        <v>22721.3912038057</v>
      </c>
      <c r="BV69" s="110" t="n">
        <f aca="false">-BV39*Hipótesis!$E$67/30</f>
        <v>22721.3912038057</v>
      </c>
      <c r="BW69" s="110" t="n">
        <f aca="false">-BW39*Hipótesis!$E$67/30</f>
        <v>22721.3912038057</v>
      </c>
      <c r="BX69" s="110" t="n">
        <f aca="false">-BX39*Hipótesis!$E$67/30</f>
        <v>22721.3912038057</v>
      </c>
      <c r="BY69" s="110" t="n">
        <f aca="false">-BY39*Hipótesis!$E$67/30</f>
        <v>22721.3912038057</v>
      </c>
      <c r="BZ69" s="110" t="n">
        <f aca="false">-BZ39*Hipótesis!$E$67/30</f>
        <v>22721.3912038057</v>
      </c>
      <c r="CA69" s="110" t="n">
        <f aca="false">-CA39*Hipótesis!$E$67/30</f>
        <v>22721.3912038057</v>
      </c>
      <c r="CB69" s="110" t="n">
        <f aca="false">-CB39*Hipótesis!$E$67/30</f>
        <v>22721.3912038057</v>
      </c>
      <c r="CC69" s="110" t="n">
        <f aca="false">-CC39*Hipótesis!$E$67/30</f>
        <v>22721.3912038057</v>
      </c>
      <c r="CD69" s="110" t="n">
        <f aca="false">-CD39*Hipótesis!$E$67/30</f>
        <v>22721.3912038057</v>
      </c>
      <c r="CE69" s="110" t="n">
        <f aca="false">-CE39*Hipótesis!$E$67/30</f>
        <v>22721.3912038057</v>
      </c>
      <c r="CF69" s="110" t="n">
        <f aca="false">-CF39*Hipótesis!$E$67/30</f>
        <v>22721.3912038057</v>
      </c>
      <c r="CG69" s="110" t="n">
        <f aca="false">-CG39*Hipótesis!$E$67/30</f>
        <v>22721.3912038057</v>
      </c>
      <c r="CH69" s="110" t="n">
        <f aca="false">-CH39*Hipótesis!$E$67/30</f>
        <v>22721.3912038057</v>
      </c>
    </row>
    <row r="70" customFormat="false" ht="13.5" hidden="false" customHeight="true" outlineLevel="0" collapsed="false">
      <c r="A70" s="22" t="s">
        <v>572</v>
      </c>
      <c r="C70" s="110" t="n">
        <f aca="false">C68*(1-Hipótesis!$D$73)-C69</f>
        <v>287.914125</v>
      </c>
      <c r="D70" s="110" t="n">
        <f aca="false">D68*(1-Hipótesis!$D$73)-D69</f>
        <v>589.058647058824</v>
      </c>
      <c r="E70" s="110" t="n">
        <f aca="false">E68*(1-Hipótesis!$D$73)-E69</f>
        <v>1124.09198927071</v>
      </c>
      <c r="F70" s="110" t="n">
        <f aca="false">F68*(1-Hipótesis!$D$73)-F69</f>
        <v>1371.21120648259</v>
      </c>
      <c r="G70" s="110" t="n">
        <f aca="false">G68*(1-Hipótesis!$D$73)-G69</f>
        <v>1605.10002663565</v>
      </c>
      <c r="H70" s="110" t="n">
        <f aca="false">H68*(1-Hipótesis!$D$73)-H69</f>
        <v>1917.91495892107</v>
      </c>
      <c r="I70" s="110" t="n">
        <f aca="false">I68*(1-Hipótesis!$D$73)-I69</f>
        <v>2614.18984929931</v>
      </c>
      <c r="J70" s="110" t="n">
        <f aca="false">J68*(1-Hipótesis!$D$73)-J69</f>
        <v>3310.46473967754</v>
      </c>
      <c r="K70" s="110" t="n">
        <f aca="false">K68*(1-Hipótesis!$D$73)-K69</f>
        <v>4006.73963005578</v>
      </c>
      <c r="L70" s="110" t="n">
        <f aca="false">L68*(1-Hipótesis!$D$73)-L69</f>
        <v>4703.01452043401</v>
      </c>
      <c r="M70" s="110" t="n">
        <f aca="false">M68*(1-Hipótesis!$D$73)-M69</f>
        <v>5165.40059065919</v>
      </c>
      <c r="N70" s="110" t="n">
        <f aca="false">N68*(1-Hipótesis!$D$73)-N69</f>
        <v>5716.16202853142</v>
      </c>
      <c r="O70" s="110" t="n">
        <f aca="false">O68*(1-Hipótesis!$D$73)-O69</f>
        <v>6266.92346640366</v>
      </c>
      <c r="P70" s="110" t="n">
        <f aca="false">P68*(1-Hipótesis!$D$73)-P69</f>
        <v>6763.53843920236</v>
      </c>
      <c r="Q70" s="110" t="n">
        <f aca="false">Q68*(1-Hipótesis!$D$73)-Q69</f>
        <v>7260.15341200106</v>
      </c>
      <c r="R70" s="110" t="n">
        <f aca="false">R68*(1-Hipótesis!$D$73)-R69</f>
        <v>7756.76838479976</v>
      </c>
      <c r="S70" s="110" t="n">
        <f aca="false">S68*(1-Hipótesis!$D$73)-S69</f>
        <v>8253.38335759847</v>
      </c>
      <c r="T70" s="110" t="n">
        <f aca="false">T68*(1-Hipótesis!$D$73)-T69</f>
        <v>8749.99833039717</v>
      </c>
      <c r="U70" s="110" t="n">
        <f aca="false">U68*(1-Hipótesis!$D$73)-U69</f>
        <v>9246.61330319588</v>
      </c>
      <c r="V70" s="110" t="n">
        <f aca="false">V68*(1-Hipótesis!$D$73)-V69</f>
        <v>9743.22827599458</v>
      </c>
      <c r="W70" s="110" t="n">
        <f aca="false">W68*(1-Hipótesis!$D$73)-W69</f>
        <v>10239.8432487933</v>
      </c>
      <c r="X70" s="110" t="n">
        <f aca="false">X68*(1-Hipótesis!$D$73)-X69</f>
        <v>10648.0828539449</v>
      </c>
      <c r="Y70" s="110" t="n">
        <f aca="false">Y68*(1-Hipótesis!$D$73)-Y69</f>
        <v>11056.3224590966</v>
      </c>
      <c r="Z70" s="110" t="n">
        <f aca="false">Z68*(1-Hipótesis!$D$73)-Z69</f>
        <v>11439.7824171894</v>
      </c>
      <c r="AA70" s="110" t="n">
        <f aca="false">AA68*(1-Hipótesis!$D$73)-AA69</f>
        <v>11823.2423752822</v>
      </c>
      <c r="AB70" s="110" t="n">
        <f aca="false">AB68*(1-Hipótesis!$D$73)-AB69</f>
        <v>12206.702333375</v>
      </c>
      <c r="AC70" s="110" t="n">
        <f aca="false">AC68*(1-Hipótesis!$D$73)-AC69</f>
        <v>12590.1622914679</v>
      </c>
      <c r="AD70" s="110" t="n">
        <f aca="false">AD68*(1-Hipótesis!$D$73)-AD69</f>
        <v>12973.6222495607</v>
      </c>
      <c r="AE70" s="110" t="n">
        <f aca="false">AE68*(1-Hipótesis!$D$73)-AE69</f>
        <v>13357.0822076535</v>
      </c>
      <c r="AF70" s="110" t="n">
        <f aca="false">AF68*(1-Hipótesis!$D$73)-AF69</f>
        <v>13740.5421657463</v>
      </c>
      <c r="AG70" s="110" t="n">
        <f aca="false">AG68*(1-Hipótesis!$D$73)-AG69</f>
        <v>14124.0021238392</v>
      </c>
      <c r="AH70" s="110" t="n">
        <f aca="false">AH68*(1-Hipótesis!$D$73)-AH69</f>
        <v>14507.462081932</v>
      </c>
      <c r="AI70" s="110" t="n">
        <f aca="false">AI68*(1-Hipótesis!$D$73)-AI69</f>
        <v>14890.9220400248</v>
      </c>
      <c r="AJ70" s="110" t="n">
        <f aca="false">AJ68*(1-Hipótesis!$D$73)-AJ69</f>
        <v>15274.3819981176</v>
      </c>
      <c r="AK70" s="110" t="n">
        <f aca="false">AK68*(1-Hipótesis!$D$73)-AK69</f>
        <v>15657.8419562104</v>
      </c>
      <c r="AL70" s="110" t="n">
        <f aca="false">AL68*(1-Hipótesis!$D$73)-AL69</f>
        <v>16041.3019143033</v>
      </c>
      <c r="AM70" s="110" t="n">
        <f aca="false">AM68*(1-Hipótesis!$D$73)-AM69</f>
        <v>16424.7618723961</v>
      </c>
      <c r="AN70" s="110" t="n">
        <f aca="false">AN68*(1-Hipótesis!$D$73)-AN69</f>
        <v>16808.2218304889</v>
      </c>
      <c r="AO70" s="110" t="n">
        <f aca="false">AO68*(1-Hipótesis!$D$73)-AO69</f>
        <v>17191.6817885817</v>
      </c>
      <c r="AP70" s="110" t="n">
        <f aca="false">AP68*(1-Hipótesis!$D$73)-AP69</f>
        <v>17575.1417466745</v>
      </c>
      <c r="AQ70" s="110" t="n">
        <f aca="false">AQ68*(1-Hipótesis!$D$73)-AQ69</f>
        <v>17958.6017047674</v>
      </c>
      <c r="AR70" s="110" t="n">
        <f aca="false">AR68*(1-Hipótesis!$D$73)-AR69</f>
        <v>18342.0616628602</v>
      </c>
      <c r="AS70" s="110" t="n">
        <f aca="false">AS68*(1-Hipótesis!$D$73)-AS69</f>
        <v>18342.0616628602</v>
      </c>
      <c r="AT70" s="110" t="n">
        <f aca="false">AT68*(1-Hipótesis!$D$73)-AT69</f>
        <v>18342.0616628602</v>
      </c>
      <c r="AU70" s="110" t="n">
        <f aca="false">AU68*(1-Hipótesis!$D$73)-AU69</f>
        <v>18342.0616628602</v>
      </c>
      <c r="AV70" s="110" t="n">
        <f aca="false">AV68*(1-Hipótesis!$D$73)-AV69</f>
        <v>18342.0616628602</v>
      </c>
      <c r="AW70" s="110" t="n">
        <f aca="false">AW68*(1-Hipótesis!$D$73)-AW69</f>
        <v>18342.0616628602</v>
      </c>
      <c r="AX70" s="110" t="n">
        <f aca="false">AX68*(1-Hipótesis!$D$73)-AX69</f>
        <v>18342.0616628602</v>
      </c>
      <c r="AY70" s="110" t="n">
        <f aca="false">AY68*(1-Hipótesis!$D$73)-AY69</f>
        <v>18342.0616628602</v>
      </c>
      <c r="AZ70" s="110" t="n">
        <f aca="false">AZ68*(1-Hipótesis!$D$73)-AZ69</f>
        <v>18342.0616628602</v>
      </c>
      <c r="BA70" s="110" t="n">
        <f aca="false">BA68*(1-Hipótesis!$D$73)-BA69</f>
        <v>18342.0616628602</v>
      </c>
      <c r="BB70" s="110" t="n">
        <f aca="false">BB68*(1-Hipótesis!$D$73)-BB69</f>
        <v>18342.0616628602</v>
      </c>
      <c r="BC70" s="110" t="n">
        <f aca="false">BC68*(1-Hipótesis!$D$73)-BC69</f>
        <v>18342.0616628602</v>
      </c>
      <c r="BD70" s="110" t="n">
        <f aca="false">BD68*(1-Hipótesis!$D$73)-BD69</f>
        <v>18342.0616628602</v>
      </c>
      <c r="BE70" s="110" t="n">
        <f aca="false">BE68*(1-Hipótesis!$D$73)-BE69</f>
        <v>18342.0616628602</v>
      </c>
      <c r="BF70" s="110" t="n">
        <f aca="false">BF68*(1-Hipótesis!$D$73)-BF69</f>
        <v>18342.0616628602</v>
      </c>
      <c r="BG70" s="110" t="n">
        <f aca="false">BG68*(1-Hipótesis!$D$73)-BG69</f>
        <v>18342.0616628602</v>
      </c>
      <c r="BH70" s="110" t="n">
        <f aca="false">BH68*(1-Hipótesis!$D$73)-BH69</f>
        <v>18342.0616628602</v>
      </c>
      <c r="BI70" s="110" t="n">
        <f aca="false">BI68*(1-Hipótesis!$D$73)-BI69</f>
        <v>18342.0616628602</v>
      </c>
      <c r="BJ70" s="110" t="n">
        <f aca="false">BJ68*(1-Hipótesis!$D$73)-BJ69</f>
        <v>18342.0616628602</v>
      </c>
      <c r="BK70" s="110" t="n">
        <f aca="false">BK68*(1-Hipótesis!$D$73)-BK69</f>
        <v>18342.0616628602</v>
      </c>
      <c r="BL70" s="110" t="n">
        <f aca="false">BL68*(1-Hipótesis!$D$73)-BL69</f>
        <v>18342.0616628602</v>
      </c>
      <c r="BM70" s="110" t="n">
        <f aca="false">BM68*(1-Hipótesis!$D$73)-BM69</f>
        <v>18342.0616628602</v>
      </c>
      <c r="BN70" s="110" t="n">
        <f aca="false">BN68*(1-Hipótesis!$D$73)-BN69</f>
        <v>18342.0616628602</v>
      </c>
      <c r="BO70" s="110" t="n">
        <f aca="false">BO68*(1-Hipótesis!$D$73)-BO69</f>
        <v>18342.0616628602</v>
      </c>
      <c r="BP70" s="110" t="n">
        <f aca="false">BP68*(1-Hipótesis!$D$73)-BP69</f>
        <v>18342.0616628602</v>
      </c>
      <c r="BQ70" s="110" t="n">
        <f aca="false">BQ68*(1-Hipótesis!$D$73)-BQ69</f>
        <v>18342.0616628602</v>
      </c>
      <c r="BR70" s="110" t="n">
        <f aca="false">BR68*(1-Hipótesis!$D$73)-BR69</f>
        <v>18342.0616628602</v>
      </c>
      <c r="BS70" s="110" t="n">
        <f aca="false">BS68*(1-Hipótesis!$D$73)-BS69</f>
        <v>18342.0616628602</v>
      </c>
      <c r="BT70" s="110" t="n">
        <f aca="false">BT68*(1-Hipótesis!$D$73)-BT69</f>
        <v>18342.0616628602</v>
      </c>
      <c r="BU70" s="110" t="n">
        <f aca="false">BU68*(1-Hipótesis!$D$73)-BU69</f>
        <v>18342.0616628602</v>
      </c>
      <c r="BV70" s="110" t="n">
        <f aca="false">BV68*(1-Hipótesis!$D$73)-BV69</f>
        <v>18342.0616628602</v>
      </c>
      <c r="BW70" s="110" t="n">
        <f aca="false">BW68*(1-Hipótesis!$D$73)-BW69</f>
        <v>18342.0616628602</v>
      </c>
      <c r="BX70" s="110" t="n">
        <f aca="false">BX68*(1-Hipótesis!$D$73)-BX69</f>
        <v>18342.0616628602</v>
      </c>
      <c r="BY70" s="110" t="n">
        <f aca="false">BY68*(1-Hipótesis!$D$73)-BY69</f>
        <v>18342.0616628602</v>
      </c>
      <c r="BZ70" s="110" t="n">
        <f aca="false">BZ68*(1-Hipótesis!$D$73)-BZ69</f>
        <v>18342.0616628602</v>
      </c>
      <c r="CA70" s="110" t="n">
        <f aca="false">CA68*(1-Hipótesis!$D$73)-CA69</f>
        <v>18342.0616628602</v>
      </c>
      <c r="CB70" s="110" t="n">
        <f aca="false">CB68*(1-Hipótesis!$D$73)-CB69</f>
        <v>18342.0616628602</v>
      </c>
      <c r="CC70" s="110" t="n">
        <f aca="false">CC68*(1-Hipótesis!$D$73)-CC69</f>
        <v>18342.0616628602</v>
      </c>
      <c r="CD70" s="110" t="n">
        <f aca="false">CD68*(1-Hipótesis!$D$73)-CD69</f>
        <v>18342.0616628602</v>
      </c>
      <c r="CE70" s="110" t="n">
        <f aca="false">CE68*(1-Hipótesis!$D$73)-CE69</f>
        <v>18342.0616628602</v>
      </c>
      <c r="CF70" s="110" t="n">
        <f aca="false">CF68*(1-Hipótesis!$D$73)-CF69</f>
        <v>18342.0616628602</v>
      </c>
      <c r="CG70" s="110" t="n">
        <f aca="false">CG68*(1-Hipótesis!$D$73)-CG69</f>
        <v>18342.0616628602</v>
      </c>
      <c r="CH70" s="110" t="n">
        <f aca="false">CH68*(1-Hipótesis!$D$73)-CH69</f>
        <v>18342.0616628602</v>
      </c>
    </row>
    <row r="71" customFormat="false" ht="13.5" hidden="false" customHeight="true" outlineLevel="0" collapsed="false">
      <c r="A71" s="6" t="s">
        <v>573</v>
      </c>
      <c r="C71" s="109" t="n">
        <f aca="false">-C70</f>
        <v>-287.914125</v>
      </c>
      <c r="D71" s="109" t="n">
        <f aca="false">-(D70-C70)</f>
        <v>-301.144522058824</v>
      </c>
      <c r="E71" s="109" t="n">
        <f aca="false">-(E70-D70)</f>
        <v>-535.033342211884</v>
      </c>
      <c r="F71" s="109" t="n">
        <f aca="false">-(F70-E70)</f>
        <v>-247.119217211885</v>
      </c>
      <c r="G71" s="109" t="n">
        <f aca="false">-(G70-F70)</f>
        <v>-233.888820153062</v>
      </c>
      <c r="H71" s="109" t="n">
        <f aca="false">-(H70-G70)</f>
        <v>-312.814932285414</v>
      </c>
      <c r="I71" s="109" t="n">
        <f aca="false">-(I70-H70)</f>
        <v>-696.274890378238</v>
      </c>
      <c r="J71" s="109" t="n">
        <f aca="false">-(J70-I70)</f>
        <v>-696.274890378234</v>
      </c>
      <c r="K71" s="109" t="n">
        <f aca="false">-(K70-J70)</f>
        <v>-696.274890378236</v>
      </c>
      <c r="L71" s="109" t="n">
        <f aca="false">-(L70-K70)</f>
        <v>-696.274890378236</v>
      </c>
      <c r="M71" s="109" t="n">
        <f aca="false">-(M70-L70)</f>
        <v>-462.386070225173</v>
      </c>
      <c r="N71" s="109" t="n">
        <f aca="false">-(N70-M70)</f>
        <v>-550.761437872236</v>
      </c>
      <c r="O71" s="109" t="n">
        <f aca="false">-(O70-N70)</f>
        <v>-550.761437872234</v>
      </c>
      <c r="P71" s="109" t="n">
        <f aca="false">-(P70-O70)</f>
        <v>-496.614972798706</v>
      </c>
      <c r="Q71" s="109" t="n">
        <f aca="false">-(Q70-P70)</f>
        <v>-496.614972798699</v>
      </c>
      <c r="R71" s="109" t="n">
        <f aca="false">-(R70-Q70)</f>
        <v>-496.614972798703</v>
      </c>
      <c r="S71" s="109" t="n">
        <f aca="false">-(S70-R70)</f>
        <v>-496.61497279871</v>
      </c>
      <c r="T71" s="109" t="n">
        <f aca="false">-(T70-S70)</f>
        <v>-496.614972798698</v>
      </c>
      <c r="U71" s="109" t="n">
        <f aca="false">-(U70-T70)</f>
        <v>-496.61497279871</v>
      </c>
      <c r="V71" s="109" t="n">
        <f aca="false">-(V70-U70)</f>
        <v>-496.614972798701</v>
      </c>
      <c r="W71" s="109" t="n">
        <f aca="false">-(W70-V70)</f>
        <v>-496.614972798709</v>
      </c>
      <c r="X71" s="109" t="n">
        <f aca="false">-(X70-W70)</f>
        <v>-408.239605151639</v>
      </c>
      <c r="Y71" s="109" t="n">
        <f aca="false">-(Y70-X70)</f>
        <v>-408.239605151643</v>
      </c>
      <c r="Z71" s="109" t="n">
        <f aca="false">-(Z70-Y70)</f>
        <v>-383.45995809283</v>
      </c>
      <c r="AA71" s="109" t="n">
        <f aca="false">-(AA70-Z70)</f>
        <v>-383.459958092824</v>
      </c>
      <c r="AB71" s="109" t="n">
        <f aca="false">-(AB70-AA70)</f>
        <v>-383.459958092812</v>
      </c>
      <c r="AC71" s="109" t="n">
        <f aca="false">-(AC70-AB70)</f>
        <v>-383.459958092828</v>
      </c>
      <c r="AD71" s="109" t="n">
        <f aca="false">-(AD70-AC70)</f>
        <v>-383.459958092823</v>
      </c>
      <c r="AE71" s="109" t="n">
        <f aca="false">-(AE70-AD70)</f>
        <v>-383.459958092826</v>
      </c>
      <c r="AF71" s="109" t="n">
        <f aca="false">-(AF70-AE70)</f>
        <v>-383.459958092812</v>
      </c>
      <c r="AG71" s="109" t="n">
        <f aca="false">-(AG70-AF70)</f>
        <v>-383.459958092826</v>
      </c>
      <c r="AH71" s="109" t="n">
        <f aca="false">-(AH70-AG70)</f>
        <v>-383.459958092823</v>
      </c>
      <c r="AI71" s="109" t="n">
        <f aca="false">-(AI70-AH70)</f>
        <v>-383.459958092823</v>
      </c>
      <c r="AJ71" s="109" t="n">
        <f aca="false">-(AJ70-AI70)</f>
        <v>-383.459958092815</v>
      </c>
      <c r="AK71" s="109" t="n">
        <f aca="false">-(AK70-AJ70)</f>
        <v>-383.459958092823</v>
      </c>
      <c r="AL71" s="109" t="n">
        <f aca="false">-(AL70-AK70)</f>
        <v>-383.459958092826</v>
      </c>
      <c r="AM71" s="109" t="n">
        <f aca="false">-(AM70-AL70)</f>
        <v>-383.459958092815</v>
      </c>
      <c r="AN71" s="109" t="n">
        <f aca="false">-(AN70-AM70)</f>
        <v>-383.45995809283</v>
      </c>
      <c r="AO71" s="109" t="n">
        <f aca="false">-(AO70-AN70)</f>
        <v>-383.459958092819</v>
      </c>
      <c r="AP71" s="109" t="n">
        <f aca="false">-(AP70-AO70)</f>
        <v>-383.459958092823</v>
      </c>
      <c r="AQ71" s="109" t="n">
        <f aca="false">-(AQ70-AP70)</f>
        <v>-383.459958092815</v>
      </c>
      <c r="AR71" s="109" t="n">
        <f aca="false">-(AR70-AQ70)</f>
        <v>-383.459958092833</v>
      </c>
      <c r="AS71" s="109" t="n">
        <f aca="false">-(AS70-AR70)</f>
        <v>-0</v>
      </c>
      <c r="AT71" s="109" t="n">
        <f aca="false">-(AT70-AS70)</f>
        <v>-0</v>
      </c>
      <c r="AU71" s="109" t="n">
        <f aca="false">-(AU70-AT70)</f>
        <v>-0</v>
      </c>
      <c r="AV71" s="109" t="n">
        <f aca="false">-(AV70-AU70)</f>
        <v>-0</v>
      </c>
      <c r="AW71" s="109" t="n">
        <f aca="false">-(AW70-AV70)</f>
        <v>-0</v>
      </c>
      <c r="AX71" s="109" t="n">
        <f aca="false">-(AX70-AW70)</f>
        <v>-0</v>
      </c>
      <c r="AY71" s="109" t="n">
        <f aca="false">-(AY70-AX70)</f>
        <v>-0</v>
      </c>
      <c r="AZ71" s="109" t="n">
        <f aca="false">-(AZ70-AY70)</f>
        <v>-0</v>
      </c>
      <c r="BA71" s="109" t="n">
        <f aca="false">-(BA70-AZ70)</f>
        <v>-0</v>
      </c>
      <c r="BB71" s="109" t="n">
        <f aca="false">-(BB70-BA70)</f>
        <v>-0</v>
      </c>
      <c r="BC71" s="109" t="n">
        <f aca="false">-(BC70-BB70)</f>
        <v>-0</v>
      </c>
      <c r="BD71" s="109" t="n">
        <f aca="false">-(BD70-BC70)</f>
        <v>-0</v>
      </c>
      <c r="BE71" s="109" t="n">
        <f aca="false">-(BE70-BD70)</f>
        <v>-0</v>
      </c>
      <c r="BF71" s="109" t="n">
        <f aca="false">-(BF70-BE70)</f>
        <v>-0</v>
      </c>
      <c r="BG71" s="109" t="n">
        <f aca="false">-(BG70-BF70)</f>
        <v>-0</v>
      </c>
      <c r="BH71" s="109" t="n">
        <f aca="false">-(BH70-BG70)</f>
        <v>-0</v>
      </c>
      <c r="BI71" s="109" t="n">
        <f aca="false">-(BI70-BH70)</f>
        <v>-0</v>
      </c>
      <c r="BJ71" s="109" t="n">
        <f aca="false">-(BJ70-BI70)</f>
        <v>-0</v>
      </c>
      <c r="BK71" s="109" t="n">
        <f aca="false">-(BK70-BJ70)</f>
        <v>-0</v>
      </c>
      <c r="BL71" s="109" t="n">
        <f aca="false">-(BL70-BK70)</f>
        <v>-0</v>
      </c>
      <c r="BM71" s="109" t="n">
        <f aca="false">-(BM70-BL70)</f>
        <v>-0</v>
      </c>
      <c r="BN71" s="109" t="n">
        <f aca="false">-(BN70-BM70)</f>
        <v>-0</v>
      </c>
      <c r="BO71" s="109" t="n">
        <f aca="false">-(BO70-BN70)</f>
        <v>-0</v>
      </c>
      <c r="BP71" s="109" t="n">
        <f aca="false">-(BP70-BO70)</f>
        <v>-0</v>
      </c>
      <c r="BQ71" s="109" t="n">
        <f aca="false">-(BQ70-BP70)</f>
        <v>-0</v>
      </c>
      <c r="BR71" s="109" t="n">
        <f aca="false">-(BR70-BQ70)</f>
        <v>-0</v>
      </c>
      <c r="BS71" s="109" t="n">
        <f aca="false">-(BS70-BR70)</f>
        <v>-0</v>
      </c>
      <c r="BT71" s="109" t="n">
        <f aca="false">-(BT70-BS70)</f>
        <v>-0</v>
      </c>
      <c r="BU71" s="109" t="n">
        <f aca="false">-(BU70-BT70)</f>
        <v>-0</v>
      </c>
      <c r="BV71" s="109" t="n">
        <f aca="false">-(BV70-BU70)</f>
        <v>-0</v>
      </c>
      <c r="BW71" s="109" t="n">
        <f aca="false">-(BW70-BV70)</f>
        <v>-0</v>
      </c>
      <c r="BX71" s="109" t="n">
        <f aca="false">-(BX70-BW70)</f>
        <v>-0</v>
      </c>
      <c r="BY71" s="109" t="n">
        <f aca="false">-(BY70-BX70)</f>
        <v>-0</v>
      </c>
      <c r="BZ71" s="109" t="n">
        <f aca="false">-(BZ70-BY70)</f>
        <v>-0</v>
      </c>
      <c r="CA71" s="109" t="n">
        <f aca="false">-(CA70-BZ70)</f>
        <v>-0</v>
      </c>
      <c r="CB71" s="109" t="n">
        <f aca="false">-(CB70-CA70)</f>
        <v>-0</v>
      </c>
      <c r="CC71" s="109" t="n">
        <f aca="false">-(CC70-CB70)</f>
        <v>-0</v>
      </c>
      <c r="CD71" s="109" t="n">
        <f aca="false">-(CD70-CC70)</f>
        <v>-0</v>
      </c>
      <c r="CE71" s="109" t="n">
        <f aca="false">-(CE70-CD70)</f>
        <v>-0</v>
      </c>
      <c r="CF71" s="109" t="n">
        <f aca="false">-(CF70-CE70)</f>
        <v>-0</v>
      </c>
      <c r="CG71" s="109" t="n">
        <f aca="false">-(CG70-CF70)</f>
        <v>-0</v>
      </c>
      <c r="CH71" s="109" t="n">
        <f aca="false">-(CH70-CG70)</f>
        <v>-0</v>
      </c>
    </row>
    <row r="72" customFormat="false" ht="13.5" hidden="false" customHeight="true" outlineLevel="0" collapsed="false">
      <c r="A72" s="6" t="s">
        <v>574</v>
      </c>
      <c r="C72" s="109" t="n">
        <f aca="false">-CAPEX!$G$22*CAPEX!$C$29</f>
        <v>-38226</v>
      </c>
      <c r="D72" s="109" t="n">
        <f aca="false">-CAPEX!$G$22*CAPEX!$D$29</f>
        <v>-17838.8</v>
      </c>
      <c r="E72" s="109" t="n">
        <f aca="false">-CAPEX!$G$22*CAPEX!$E$29</f>
        <v>-12742</v>
      </c>
      <c r="F72" s="109" t="n">
        <f aca="false">-CAPEX!$G$22*CAPEX!$F$29</f>
        <v>-11467.8</v>
      </c>
      <c r="G72" s="109" t="n">
        <f aca="false">-CAPEX!$G$22*CAPEX!$G$29</f>
        <v>-10193.6</v>
      </c>
      <c r="H72" s="109" t="n">
        <f aca="false">-CAPEX!$G$22*CAPEX!$H$29</f>
        <v>-8919.4</v>
      </c>
      <c r="I72" s="109" t="n">
        <f aca="false">-CAPEX!$G$22*CAPEX!$I$29</f>
        <v>-7645.2</v>
      </c>
      <c r="J72" s="109" t="n">
        <f aca="false">-CAPEX!$G$22*CAPEX!$J$29</f>
        <v>-6371</v>
      </c>
      <c r="K72" s="109" t="n">
        <f aca="false">-CAPEX!$G$22*CAPEX!$K$29</f>
        <v>-5096.8</v>
      </c>
      <c r="L72" s="109" t="n">
        <f aca="false">-CAPEX!$G$22*CAPEX!$L$29</f>
        <v>-3822.6</v>
      </c>
      <c r="M72" s="109" t="n">
        <f aca="false">-CAPEX!$G$22*CAPEX!$M$29</f>
        <v>-2548.4</v>
      </c>
      <c r="N72" s="109" t="n">
        <f aca="false">-CAPEX!$G$22*CAPEX!$N$29</f>
        <v>-2548.4</v>
      </c>
      <c r="O72" s="109" t="n">
        <f aca="false">0</f>
        <v>0</v>
      </c>
      <c r="P72" s="109" t="n">
        <f aca="false">0</f>
        <v>0</v>
      </c>
      <c r="Q72" s="109" t="n">
        <f aca="false">0</f>
        <v>0</v>
      </c>
      <c r="R72" s="109" t="n">
        <f aca="false">0</f>
        <v>0</v>
      </c>
      <c r="S72" s="109" t="n">
        <f aca="false">0</f>
        <v>0</v>
      </c>
      <c r="T72" s="109" t="n">
        <f aca="false">0</f>
        <v>0</v>
      </c>
      <c r="U72" s="109" t="n">
        <f aca="false">0</f>
        <v>0</v>
      </c>
      <c r="V72" s="109" t="n">
        <f aca="false">0</f>
        <v>0</v>
      </c>
      <c r="W72" s="109" t="n">
        <f aca="false">0</f>
        <v>0</v>
      </c>
      <c r="X72" s="109" t="n">
        <f aca="false">0</f>
        <v>0</v>
      </c>
      <c r="Y72" s="109" t="n">
        <f aca="false">0</f>
        <v>0</v>
      </c>
      <c r="Z72" s="109" t="n">
        <f aca="false">0</f>
        <v>0</v>
      </c>
      <c r="AA72" s="109" t="n">
        <f aca="false">0</f>
        <v>0</v>
      </c>
      <c r="AB72" s="109" t="n">
        <f aca="false">0</f>
        <v>0</v>
      </c>
      <c r="AC72" s="109" t="n">
        <f aca="false">0</f>
        <v>0</v>
      </c>
      <c r="AD72" s="109" t="n">
        <f aca="false">0</f>
        <v>0</v>
      </c>
      <c r="AE72" s="109" t="n">
        <f aca="false">0</f>
        <v>0</v>
      </c>
      <c r="AF72" s="109" t="n">
        <f aca="false">0</f>
        <v>0</v>
      </c>
      <c r="AG72" s="109" t="n">
        <f aca="false">0</f>
        <v>0</v>
      </c>
      <c r="AH72" s="109" t="n">
        <f aca="false">0</f>
        <v>0</v>
      </c>
      <c r="AI72" s="109" t="n">
        <f aca="false">0</f>
        <v>0</v>
      </c>
      <c r="AJ72" s="109" t="n">
        <f aca="false">0</f>
        <v>0</v>
      </c>
      <c r="AK72" s="109" t="n">
        <f aca="false">0</f>
        <v>0</v>
      </c>
      <c r="AL72" s="109" t="n">
        <f aca="false">0</f>
        <v>0</v>
      </c>
      <c r="AM72" s="109" t="n">
        <f aca="false">0</f>
        <v>0</v>
      </c>
      <c r="AN72" s="109" t="n">
        <f aca="false">0</f>
        <v>0</v>
      </c>
      <c r="AO72" s="109" t="n">
        <f aca="false">0</f>
        <v>0</v>
      </c>
      <c r="AP72" s="109" t="n">
        <f aca="false">0</f>
        <v>0</v>
      </c>
      <c r="AQ72" s="109" t="n">
        <f aca="false">0</f>
        <v>0</v>
      </c>
      <c r="AR72" s="109" t="n">
        <f aca="false">0</f>
        <v>0</v>
      </c>
      <c r="AS72" s="109" t="n">
        <f aca="false">0</f>
        <v>0</v>
      </c>
      <c r="AT72" s="109" t="n">
        <f aca="false">0</f>
        <v>0</v>
      </c>
      <c r="AU72" s="109" t="n">
        <f aca="false">0</f>
        <v>0</v>
      </c>
      <c r="AV72" s="109" t="n">
        <f aca="false">0</f>
        <v>0</v>
      </c>
      <c r="AW72" s="109" t="n">
        <f aca="false">0</f>
        <v>0</v>
      </c>
      <c r="AX72" s="109" t="n">
        <f aca="false">0</f>
        <v>0</v>
      </c>
      <c r="AY72" s="109" t="n">
        <f aca="false">0</f>
        <v>0</v>
      </c>
      <c r="AZ72" s="109" t="n">
        <f aca="false">0</f>
        <v>0</v>
      </c>
      <c r="BA72" s="109" t="n">
        <f aca="false">0</f>
        <v>0</v>
      </c>
      <c r="BB72" s="109" t="n">
        <f aca="false">0</f>
        <v>0</v>
      </c>
      <c r="BC72" s="109" t="n">
        <f aca="false">0</f>
        <v>0</v>
      </c>
      <c r="BD72" s="109" t="n">
        <f aca="false">0</f>
        <v>0</v>
      </c>
      <c r="BE72" s="109" t="n">
        <f aca="false">0</f>
        <v>0</v>
      </c>
      <c r="BF72" s="109" t="n">
        <f aca="false">0</f>
        <v>0</v>
      </c>
      <c r="BG72" s="109" t="n">
        <f aca="false">0</f>
        <v>0</v>
      </c>
      <c r="BH72" s="109" t="n">
        <f aca="false">0</f>
        <v>0</v>
      </c>
      <c r="BI72" s="109" t="n">
        <f aca="false">0</f>
        <v>0</v>
      </c>
      <c r="BJ72" s="109" t="n">
        <f aca="false">0</f>
        <v>0</v>
      </c>
      <c r="BK72" s="109" t="n">
        <f aca="false">0</f>
        <v>0</v>
      </c>
      <c r="BL72" s="109" t="n">
        <f aca="false">0</f>
        <v>0</v>
      </c>
      <c r="BM72" s="109" t="n">
        <f aca="false">0</f>
        <v>0</v>
      </c>
      <c r="BN72" s="109" t="n">
        <f aca="false">0</f>
        <v>0</v>
      </c>
      <c r="BO72" s="109" t="n">
        <f aca="false">0</f>
        <v>0</v>
      </c>
      <c r="BP72" s="109" t="n">
        <f aca="false">0</f>
        <v>0</v>
      </c>
      <c r="BQ72" s="109" t="n">
        <f aca="false">0</f>
        <v>0</v>
      </c>
      <c r="BR72" s="109" t="n">
        <f aca="false">0</f>
        <v>0</v>
      </c>
      <c r="BS72" s="109" t="n">
        <f aca="false">0</f>
        <v>0</v>
      </c>
      <c r="BT72" s="109" t="n">
        <f aca="false">0</f>
        <v>0</v>
      </c>
      <c r="BU72" s="109" t="n">
        <f aca="false">0</f>
        <v>0</v>
      </c>
      <c r="BV72" s="109" t="n">
        <f aca="false">0</f>
        <v>0</v>
      </c>
      <c r="BW72" s="109" t="n">
        <f aca="false">0</f>
        <v>0</v>
      </c>
      <c r="BX72" s="109" t="n">
        <f aca="false">0</f>
        <v>0</v>
      </c>
      <c r="BY72" s="109" t="n">
        <f aca="false">0</f>
        <v>0</v>
      </c>
      <c r="BZ72" s="109" t="n">
        <f aca="false">0</f>
        <v>0</v>
      </c>
      <c r="CA72" s="109" t="n">
        <f aca="false">0</f>
        <v>0</v>
      </c>
      <c r="CB72" s="109" t="n">
        <f aca="false">0</f>
        <v>0</v>
      </c>
      <c r="CC72" s="109" t="n">
        <f aca="false">0</f>
        <v>0</v>
      </c>
      <c r="CD72" s="109" t="n">
        <f aca="false">0</f>
        <v>0</v>
      </c>
      <c r="CE72" s="109" t="n">
        <f aca="false">0</f>
        <v>0</v>
      </c>
      <c r="CF72" s="109" t="n">
        <f aca="false">0</f>
        <v>0</v>
      </c>
      <c r="CG72" s="109" t="n">
        <f aca="false">0</f>
        <v>0</v>
      </c>
      <c r="CH72" s="109" t="n">
        <f aca="false">0</f>
        <v>0</v>
      </c>
    </row>
    <row r="73" customFormat="false" ht="13.5" hidden="false" customHeight="true" outlineLevel="0" collapsed="false">
      <c r="A73" s="6" t="s">
        <v>575</v>
      </c>
      <c r="C73" s="109" t="n">
        <f aca="false">-C36*Hipótesis!$D$68</f>
        <v>-27.150525</v>
      </c>
      <c r="D73" s="109" t="n">
        <f aca="false">-D36*Hipótesis!$D$68</f>
        <v>-56.41515</v>
      </c>
      <c r="E73" s="109" t="n">
        <f aca="false">-E36*Hipótesis!$D$68</f>
        <v>-117.501384375</v>
      </c>
      <c r="F73" s="109" t="n">
        <f aca="false">-F36*Hipótesis!$D$68</f>
        <v>-151.43709375</v>
      </c>
      <c r="G73" s="109" t="n">
        <f aca="false">-G36*Hipótesis!$D$68</f>
        <v>-183.258703125</v>
      </c>
      <c r="H73" s="109" t="n">
        <f aca="false">-H36*Hipótesis!$D$68</f>
        <v>-234.4595625</v>
      </c>
      <c r="I73" s="109" t="n">
        <f aca="false">-I36*Hipótesis!$D$68</f>
        <v>-337.806040609567</v>
      </c>
      <c r="J73" s="109" t="n">
        <f aca="false">-J36*Hipótesis!$D$68</f>
        <v>-441.152518719133</v>
      </c>
      <c r="K73" s="109" t="n">
        <f aca="false">-K36*Hipótesis!$D$68</f>
        <v>-544.4989968287</v>
      </c>
      <c r="L73" s="109" t="n">
        <f aca="false">-L36*Hipótesis!$D$68</f>
        <v>-647.845474938266</v>
      </c>
      <c r="M73" s="109" t="n">
        <f aca="false">-M36*Hipótesis!$D$68</f>
        <v>-719.370343672833</v>
      </c>
      <c r="N73" s="109" t="n">
        <f aca="false">-N36*Hipótesis!$D$68</f>
        <v>-817.321462407399</v>
      </c>
      <c r="O73" s="109" t="n">
        <f aca="false">-O36*Hipótesis!$D$68</f>
        <v>-915.272581141966</v>
      </c>
      <c r="P73" s="109" t="n">
        <f aca="false">-P36*Hipótesis!$D$68</f>
        <v>-1003.71024987653</v>
      </c>
      <c r="Q73" s="109" t="n">
        <f aca="false">-Q36*Hipótesis!$D$68</f>
        <v>-1092.1479186111</v>
      </c>
      <c r="R73" s="109" t="n">
        <f aca="false">-R36*Hipótesis!$D$68</f>
        <v>-1180.58558734567</v>
      </c>
      <c r="S73" s="109" t="n">
        <f aca="false">-S36*Hipótesis!$D$68</f>
        <v>-1269.02325608023</v>
      </c>
      <c r="T73" s="109" t="n">
        <f aca="false">-T36*Hipótesis!$D$68</f>
        <v>-1357.4609248148</v>
      </c>
      <c r="U73" s="109" t="n">
        <f aca="false">-U36*Hipótesis!$D$68</f>
        <v>-1445.89859354936</v>
      </c>
      <c r="V73" s="109" t="n">
        <f aca="false">-V36*Hipótesis!$D$68</f>
        <v>-1534.33626228393</v>
      </c>
      <c r="W73" s="109" t="n">
        <f aca="false">-W36*Hipótesis!$D$68</f>
        <v>-1622.7739310185</v>
      </c>
      <c r="X73" s="109" t="n">
        <f aca="false">-X36*Hipótesis!$D$68</f>
        <v>-1684.78534975306</v>
      </c>
      <c r="Y73" s="109" t="n">
        <f aca="false">-Y36*Hipótesis!$D$68</f>
        <v>-1746.79676848763</v>
      </c>
      <c r="Z73" s="109" t="n">
        <f aca="false">-Z36*Hipótesis!$D$68</f>
        <v>-1798.9423872222</v>
      </c>
      <c r="AA73" s="109" t="n">
        <f aca="false">-AA36*Hipótesis!$D$68</f>
        <v>-1851.08800595676</v>
      </c>
      <c r="AB73" s="109" t="n">
        <f aca="false">-AB36*Hipótesis!$D$68</f>
        <v>-1903.23362469133</v>
      </c>
      <c r="AC73" s="109" t="n">
        <f aca="false">-AC36*Hipótesis!$D$68</f>
        <v>-1955.3792434259</v>
      </c>
      <c r="AD73" s="109" t="n">
        <f aca="false">-AD36*Hipótesis!$D$68</f>
        <v>-2007.52486216046</v>
      </c>
      <c r="AE73" s="109" t="n">
        <f aca="false">-AE36*Hipótesis!$D$68</f>
        <v>-2059.67048089503</v>
      </c>
      <c r="AF73" s="109" t="n">
        <f aca="false">-AF36*Hipótesis!$D$68</f>
        <v>-2111.8160996296</v>
      </c>
      <c r="AG73" s="109" t="n">
        <f aca="false">-AG36*Hipótesis!$D$68</f>
        <v>-2163.96171836416</v>
      </c>
      <c r="AH73" s="109" t="n">
        <f aca="false">-AH36*Hipótesis!$D$68</f>
        <v>-2216.10733709873</v>
      </c>
      <c r="AI73" s="109" t="n">
        <f aca="false">-AI36*Hipótesis!$D$68</f>
        <v>-2268.2529558333</v>
      </c>
      <c r="AJ73" s="109" t="n">
        <f aca="false">-AJ36*Hipótesis!$D$68</f>
        <v>-2320.39857456786</v>
      </c>
      <c r="AK73" s="109" t="n">
        <f aca="false">-AK36*Hipótesis!$D$68</f>
        <v>-2372.54419330243</v>
      </c>
      <c r="AL73" s="109" t="n">
        <f aca="false">-AL36*Hipótesis!$D$68</f>
        <v>-2424.68981203699</v>
      </c>
      <c r="AM73" s="109" t="n">
        <f aca="false">-AM36*Hipótesis!$D$68</f>
        <v>-2476.83543077156</v>
      </c>
      <c r="AN73" s="109" t="n">
        <f aca="false">-AN36*Hipótesis!$D$68</f>
        <v>-2528.98104950613</v>
      </c>
      <c r="AO73" s="109" t="n">
        <f aca="false">-AO36*Hipótesis!$D$68</f>
        <v>-2581.12666824069</v>
      </c>
      <c r="AP73" s="109" t="n">
        <f aca="false">-AP36*Hipótesis!$D$68</f>
        <v>-2633.27228697526</v>
      </c>
      <c r="AQ73" s="109" t="n">
        <f aca="false">-AQ36*Hipótesis!$D$68</f>
        <v>-2685.41790570983</v>
      </c>
      <c r="AR73" s="109" t="n">
        <f aca="false">-AR36*Hipótesis!$D$68</f>
        <v>-2737.56352444439</v>
      </c>
      <c r="AS73" s="109" t="n">
        <f aca="false">-AS36*Hipótesis!$D$68</f>
        <v>-2737.56352444439</v>
      </c>
      <c r="AT73" s="109" t="n">
        <f aca="false">-AT36*Hipótesis!$D$68</f>
        <v>-2737.56352444439</v>
      </c>
      <c r="AU73" s="109" t="n">
        <f aca="false">-AU36*Hipótesis!$D$68</f>
        <v>-2737.56352444439</v>
      </c>
      <c r="AV73" s="109" t="n">
        <f aca="false">-AV36*Hipótesis!$D$68</f>
        <v>-2737.56352444439</v>
      </c>
      <c r="AW73" s="109" t="n">
        <f aca="false">-AW36*Hipótesis!$D$68</f>
        <v>-2737.56352444439</v>
      </c>
      <c r="AX73" s="109" t="n">
        <f aca="false">-AX36*Hipótesis!$D$68</f>
        <v>-2737.56352444439</v>
      </c>
      <c r="AY73" s="109" t="n">
        <f aca="false">-AY36*Hipótesis!$D$68</f>
        <v>-2737.56352444439</v>
      </c>
      <c r="AZ73" s="109" t="n">
        <f aca="false">-AZ36*Hipótesis!$D$68</f>
        <v>-2737.56352444439</v>
      </c>
      <c r="BA73" s="109" t="n">
        <f aca="false">-BA36*Hipótesis!$D$68</f>
        <v>-2737.56352444439</v>
      </c>
      <c r="BB73" s="109" t="n">
        <f aca="false">-BB36*Hipótesis!$D$68</f>
        <v>-2737.56352444439</v>
      </c>
      <c r="BC73" s="109" t="n">
        <f aca="false">-BC36*Hipótesis!$D$68</f>
        <v>-2737.56352444439</v>
      </c>
      <c r="BD73" s="109" t="n">
        <f aca="false">-BD36*Hipótesis!$D$68</f>
        <v>-2737.56352444439</v>
      </c>
      <c r="BE73" s="109" t="n">
        <f aca="false">-BE36*Hipótesis!$D$68</f>
        <v>-2737.56352444439</v>
      </c>
      <c r="BF73" s="109" t="n">
        <f aca="false">-BF36*Hipótesis!$D$68</f>
        <v>-2737.56352444439</v>
      </c>
      <c r="BG73" s="109" t="n">
        <f aca="false">-BG36*Hipótesis!$D$68</f>
        <v>-2737.56352444439</v>
      </c>
      <c r="BH73" s="109" t="n">
        <f aca="false">-BH36*Hipótesis!$D$68</f>
        <v>-2737.56352444439</v>
      </c>
      <c r="BI73" s="109" t="n">
        <f aca="false">-BI36*Hipótesis!$D$68</f>
        <v>-2737.56352444439</v>
      </c>
      <c r="BJ73" s="109" t="n">
        <f aca="false">-BJ36*Hipótesis!$D$68</f>
        <v>-2737.56352444439</v>
      </c>
      <c r="BK73" s="109" t="n">
        <f aca="false">-BK36*Hipótesis!$D$68</f>
        <v>-2737.56352444439</v>
      </c>
      <c r="BL73" s="109" t="n">
        <f aca="false">-BL36*Hipótesis!$D$68</f>
        <v>-2737.56352444439</v>
      </c>
      <c r="BM73" s="109" t="n">
        <f aca="false">-BM36*Hipótesis!$D$68</f>
        <v>-2737.56352444439</v>
      </c>
      <c r="BN73" s="109" t="n">
        <f aca="false">-BN36*Hipótesis!$D$68</f>
        <v>-2737.56352444439</v>
      </c>
      <c r="BO73" s="109" t="n">
        <f aca="false">-BO36*Hipótesis!$D$68</f>
        <v>-2737.56352444439</v>
      </c>
      <c r="BP73" s="109" t="n">
        <f aca="false">-BP36*Hipótesis!$D$68</f>
        <v>-2737.56352444439</v>
      </c>
      <c r="BQ73" s="109" t="n">
        <f aca="false">-BQ36*Hipótesis!$D$68</f>
        <v>-2737.56352444439</v>
      </c>
      <c r="BR73" s="109" t="n">
        <f aca="false">-BR36*Hipótesis!$D$68</f>
        <v>-2737.56352444439</v>
      </c>
      <c r="BS73" s="109" t="n">
        <f aca="false">-BS36*Hipótesis!$D$68</f>
        <v>-2737.56352444439</v>
      </c>
      <c r="BT73" s="109" t="n">
        <f aca="false">-BT36*Hipótesis!$D$68</f>
        <v>-2737.56352444439</v>
      </c>
      <c r="BU73" s="109" t="n">
        <f aca="false">-BU36*Hipótesis!$D$68</f>
        <v>-2737.56352444439</v>
      </c>
      <c r="BV73" s="109" t="n">
        <f aca="false">-BV36*Hipótesis!$D$68</f>
        <v>-2737.56352444439</v>
      </c>
      <c r="BW73" s="109" t="n">
        <f aca="false">-BW36*Hipótesis!$D$68</f>
        <v>-2737.56352444439</v>
      </c>
      <c r="BX73" s="109" t="n">
        <f aca="false">-BX36*Hipótesis!$D$68</f>
        <v>-2737.56352444439</v>
      </c>
      <c r="BY73" s="109" t="n">
        <f aca="false">-BY36*Hipótesis!$D$68</f>
        <v>-2737.56352444439</v>
      </c>
      <c r="BZ73" s="109" t="n">
        <f aca="false">-BZ36*Hipótesis!$D$68</f>
        <v>-2737.56352444439</v>
      </c>
      <c r="CA73" s="109" t="n">
        <f aca="false">-CA36*Hipótesis!$D$68</f>
        <v>-2737.56352444439</v>
      </c>
      <c r="CB73" s="109" t="n">
        <f aca="false">-CB36*Hipótesis!$D$68</f>
        <v>-2737.56352444439</v>
      </c>
      <c r="CC73" s="109" t="n">
        <f aca="false">-CC36*Hipótesis!$D$68</f>
        <v>-2737.56352444439</v>
      </c>
      <c r="CD73" s="109" t="n">
        <f aca="false">-CD36*Hipótesis!$D$68</f>
        <v>-2737.56352444439</v>
      </c>
      <c r="CE73" s="109" t="n">
        <f aca="false">-CE36*Hipótesis!$D$68</f>
        <v>-2737.56352444439</v>
      </c>
      <c r="CF73" s="109" t="n">
        <f aca="false">-CF36*Hipótesis!$D$68</f>
        <v>-2737.56352444439</v>
      </c>
      <c r="CG73" s="109" t="n">
        <f aca="false">-CG36*Hipótesis!$D$68</f>
        <v>-2737.56352444439</v>
      </c>
      <c r="CH73" s="109" t="n">
        <f aca="false">-CH36*Hipótesis!$D$68</f>
        <v>-2737.56352444439</v>
      </c>
    </row>
    <row r="74" customFormat="false" ht="13.5" hidden="false" customHeight="true" outlineLevel="0" collapsed="false">
      <c r="A74" s="22" t="s">
        <v>576</v>
      </c>
      <c r="C74" s="109" t="n">
        <f aca="false">C66+C67+C71+C72+C73</f>
        <v>-51876.5101028065</v>
      </c>
      <c r="D74" s="109" t="n">
        <f aca="false">D66+D67+D71+D72+D73</f>
        <v>-30334.4121550889</v>
      </c>
      <c r="E74" s="109" t="n">
        <f aca="false">E66+E67+E71+E72+E73</f>
        <v>-23094.4281860712</v>
      </c>
      <c r="F74" s="109" t="n">
        <f aca="false">F66+F67+F71+F72+F73</f>
        <v>-20244.6452940939</v>
      </c>
      <c r="G74" s="109" t="n">
        <f aca="false">G66+G67+G71+G72+G73</f>
        <v>-17748.2704526408</v>
      </c>
      <c r="H74" s="109" t="n">
        <f aca="false">H66+H67+H71+H72+H73</f>
        <v>-14655.1743407832</v>
      </c>
      <c r="I74" s="109" t="n">
        <f aca="false">I66+I67+I71+I72+I73</f>
        <v>-9884.4680580957</v>
      </c>
      <c r="J74" s="109" t="n">
        <f aca="false">J66+J67+J71+J72+J73</f>
        <v>-4851.72727525791</v>
      </c>
      <c r="K74" s="109" t="n">
        <f aca="false">K66+K67+K71+K72+K73</f>
        <v>-277.324571396076</v>
      </c>
      <c r="L74" s="109" t="n">
        <f aca="false">L66+L67+L71+L72+L73</f>
        <v>4294.00451705167</v>
      </c>
      <c r="M74" s="109" t="n">
        <f aca="false">M66+M67+M71+M72+M73</f>
        <v>8068.913764382</v>
      </c>
      <c r="N74" s="109" t="n">
        <f aca="false">N66+N67+N71+N72+N73</f>
        <v>11033.4794664855</v>
      </c>
      <c r="O74" s="109" t="n">
        <f aca="false">O66+O67+O71+O72+O73</f>
        <v>12177.7142484796</v>
      </c>
      <c r="P74" s="109" t="n">
        <f aca="false">P66+P67+P71+P72+P73</f>
        <v>14989.0683310543</v>
      </c>
      <c r="Q74" s="109" t="n">
        <f aca="false">Q66+Q67+Q71+Q72+Q73</f>
        <v>17746.2759485555</v>
      </c>
      <c r="R74" s="109" t="n">
        <f aca="false">R66+R67+R71+R72+R73</f>
        <v>20503.4835660566</v>
      </c>
      <c r="S74" s="109" t="n">
        <f aca="false">S66+S67+S71+S72+S73</f>
        <v>23260.6911835578</v>
      </c>
      <c r="T74" s="109" t="n">
        <f aca="false">T66+T67+T71+T72+T73</f>
        <v>26017.8988010589</v>
      </c>
      <c r="U74" s="109" t="n">
        <f aca="false">U66+U67+U71+U72+U73</f>
        <v>28775.1064185601</v>
      </c>
      <c r="V74" s="109" t="n">
        <f aca="false">V66+V67+V71+V72+V73</f>
        <v>27241.2804760613</v>
      </c>
      <c r="W74" s="109" t="n">
        <f aca="false">W66+W67+W71+W72+W73</f>
        <v>29998.4880935624</v>
      </c>
      <c r="X74" s="109" t="n">
        <f aca="false">X66+X67+X71+X72+X73</f>
        <v>32058.8108610296</v>
      </c>
      <c r="Y74" s="109" t="n">
        <f aca="false">Y66+Y67+Y71+Y72+Y73</f>
        <v>34030.7582608497</v>
      </c>
      <c r="Z74" s="109" t="n">
        <f aca="false">Z66+Z67+Z71+Z72+Z73</f>
        <v>35739.7412949219</v>
      </c>
      <c r="AA74" s="109" t="n">
        <f aca="false">AA66+AA67+AA71+AA72+AA73</f>
        <v>35536.6893471353</v>
      </c>
      <c r="AB74" s="109" t="n">
        <f aca="false">AB66+AB67+AB71+AB72+AB73</f>
        <v>37220.0594008153</v>
      </c>
      <c r="AC74" s="109" t="n">
        <f aca="false">AC66+AC67+AC71+AC72+AC73</f>
        <v>38903.4294544953</v>
      </c>
      <c r="AD74" s="109" t="n">
        <f aca="false">AD66+AD67+AD71+AD72+AD73</f>
        <v>40586.7995081753</v>
      </c>
      <c r="AE74" s="109" t="n">
        <f aca="false">AE66+AE67+AE71+AE72+AE73</f>
        <v>42270.1695618554</v>
      </c>
      <c r="AF74" s="109" t="n">
        <f aca="false">AF66+AF67+AF71+AF72+AF73</f>
        <v>43953.5396155354</v>
      </c>
      <c r="AG74" s="109" t="n">
        <f aca="false">AG66+AG67+AG71+AG72+AG73</f>
        <v>45636.9096692154</v>
      </c>
      <c r="AH74" s="109" t="n">
        <f aca="false">AH66+AH67+AH71+AH72+AH73</f>
        <v>47320.2797228954</v>
      </c>
      <c r="AI74" s="109" t="n">
        <f aca="false">AI66+AI67+AI71+AI72+AI73</f>
        <v>46972.9471377754</v>
      </c>
      <c r="AJ74" s="109" t="n">
        <f aca="false">AJ66+AJ67+AJ71+AJ72+AJ73</f>
        <v>48656.3171914555</v>
      </c>
      <c r="AK74" s="109" t="n">
        <f aca="false">AK66+AK67+AK71+AK72+AK73</f>
        <v>50339.6872451355</v>
      </c>
      <c r="AL74" s="109" t="n">
        <f aca="false">AL66+AL67+AL71+AL72+AL73</f>
        <v>52023.0572988155</v>
      </c>
      <c r="AM74" s="109" t="n">
        <f aca="false">AM66+AM67+AM71+AM72+AM73</f>
        <v>45727.8620272588</v>
      </c>
      <c r="AN74" s="109" t="n">
        <f aca="false">AN66+AN67+AN71+AN72+AN73</f>
        <v>47212.0494388652</v>
      </c>
      <c r="AO74" s="109" t="n">
        <f aca="false">AO66+AO67+AO71+AO72+AO73</f>
        <v>48696.2368504717</v>
      </c>
      <c r="AP74" s="109" t="n">
        <f aca="false">AP66+AP67+AP71+AP72+AP73</f>
        <v>50180.4242620782</v>
      </c>
      <c r="AQ74" s="109" t="n">
        <f aca="false">AQ66+AQ67+AQ71+AQ72+AQ73</f>
        <v>51664.6116736847</v>
      </c>
      <c r="AR74" s="109" t="n">
        <f aca="false">AR66+AR67+AR71+AR72+AR73</f>
        <v>53148.7990852912</v>
      </c>
      <c r="AS74" s="109" t="n">
        <f aca="false">AS66+AS67+AS71+AS72+AS73</f>
        <v>53530.8701544951</v>
      </c>
      <c r="AT74" s="109" t="n">
        <f aca="false">AT66+AT67+AT71+AT72+AT73</f>
        <v>53529.4812656062</v>
      </c>
      <c r="AU74" s="109" t="n">
        <f aca="false">AU66+AU67+AU71+AU72+AU73</f>
        <v>53528.0923767173</v>
      </c>
      <c r="AV74" s="109" t="n">
        <f aca="false">AV66+AV67+AV71+AV72+AV73</f>
        <v>53526.7034878285</v>
      </c>
      <c r="AW74" s="109" t="n">
        <f aca="false">AW66+AW67+AW71+AW72+AW73</f>
        <v>53525.3145989396</v>
      </c>
      <c r="AX74" s="109" t="n">
        <f aca="false">AX66+AX67+AX71+AX72+AX73</f>
        <v>53523.9257100507</v>
      </c>
      <c r="AY74" s="109" t="n">
        <f aca="false">AY66+AY67+AY71+AY72+AY73</f>
        <v>51785.8762175014</v>
      </c>
      <c r="AZ74" s="109" t="n">
        <f aca="false">AZ66+AZ67+AZ71+AZ72+AZ73</f>
        <v>51784.4873286125</v>
      </c>
      <c r="BA74" s="109" t="n">
        <f aca="false">BA66+BA67+BA71+BA72+BA73</f>
        <v>51783.0984397236</v>
      </c>
      <c r="BB74" s="109" t="n">
        <f aca="false">BB66+BB67+BB71+BB72+BB73</f>
        <v>51781.7095508347</v>
      </c>
      <c r="BC74" s="109" t="n">
        <f aca="false">BC66+BC67+BC71+BC72+BC73</f>
        <v>51780.3206619458</v>
      </c>
      <c r="BD74" s="109" t="n">
        <f aca="false">BD66+BD67+BD71+BD72+BD73</f>
        <v>51778.9317730569</v>
      </c>
      <c r="BE74" s="109" t="n">
        <f aca="false">BE66+BE67+BE71+BE72+BE73</f>
        <v>51777.5428841681</v>
      </c>
      <c r="BF74" s="109" t="n">
        <f aca="false">BF66+BF67+BF71+BF72+BF73</f>
        <v>51776.1539952792</v>
      </c>
      <c r="BG74" s="109" t="n">
        <f aca="false">BG66+BG67+BG71+BG72+BG73</f>
        <v>51774.7651063903</v>
      </c>
      <c r="BH74" s="109" t="n">
        <f aca="false">BH66+BH67+BH71+BH72+BH73</f>
        <v>51773.3762175014</v>
      </c>
      <c r="BI74" s="109" t="n">
        <f aca="false">BI66+BI67+BI71+BI72+BI73</f>
        <v>51771.9873286125</v>
      </c>
      <c r="BJ74" s="109" t="n">
        <f aca="false">BJ66+BJ67+BJ71+BJ72+BJ73</f>
        <v>51770.5984397236</v>
      </c>
      <c r="BK74" s="109" t="n">
        <f aca="false">BK66+BK67+BK71+BK72+BK73</f>
        <v>50025.2961290645</v>
      </c>
      <c r="BL74" s="109" t="n">
        <f aca="false">BL66+BL67+BL71+BL72+BL73</f>
        <v>50023.9072401756</v>
      </c>
      <c r="BM74" s="109" t="n">
        <f aca="false">BM66+BM67+BM71+BM72+BM73</f>
        <v>50022.5183512867</v>
      </c>
      <c r="BN74" s="109" t="n">
        <f aca="false">BN66+BN67+BN71+BN72+BN73</f>
        <v>50021.1294623978</v>
      </c>
      <c r="BO74" s="109" t="n">
        <f aca="false">BO66+BO67+BO71+BO72+BO73</f>
        <v>50019.740573509</v>
      </c>
      <c r="BP74" s="109" t="n">
        <f aca="false">BP66+BP67+BP71+BP72+BP73</f>
        <v>50018.3516846201</v>
      </c>
      <c r="BQ74" s="109" t="n">
        <f aca="false">BQ66+BQ67+BQ71+BQ72+BQ73</f>
        <v>50016.9627957312</v>
      </c>
      <c r="BR74" s="109" t="n">
        <f aca="false">BR66+BR67+BR71+BR72+BR73</f>
        <v>50015.5739068423</v>
      </c>
      <c r="BS74" s="109" t="n">
        <f aca="false">BS66+BS67+BS71+BS72+BS73</f>
        <v>50014.1850179534</v>
      </c>
      <c r="BT74" s="109" t="n">
        <f aca="false">BT66+BT67+BT71+BT72+BT73</f>
        <v>50012.7961290645</v>
      </c>
      <c r="BU74" s="109" t="n">
        <f aca="false">BU66+BU67+BU71+BU72+BU73</f>
        <v>50011.4072401756</v>
      </c>
      <c r="BV74" s="109" t="n">
        <f aca="false">BV66+BV67+BV71+BV72+BV73</f>
        <v>50010.0183512867</v>
      </c>
      <c r="BW74" s="109" t="n">
        <f aca="false">BW66+BW67+BW71+BW72+BW73</f>
        <v>48257.2456379745</v>
      </c>
      <c r="BX74" s="109" t="n">
        <f aca="false">BX66+BX67+BX71+BX72+BX73</f>
        <v>48255.8567490856</v>
      </c>
      <c r="BY74" s="109" t="n">
        <f aca="false">BY66+BY67+BY71+BY72+BY73</f>
        <v>48254.4678601967</v>
      </c>
      <c r="BZ74" s="109" t="n">
        <f aca="false">BZ66+BZ67+BZ71+BZ72+BZ73</f>
        <v>48253.0789713079</v>
      </c>
      <c r="CA74" s="109" t="n">
        <f aca="false">CA66+CA67+CA71+CA72+CA73</f>
        <v>48251.690082419</v>
      </c>
      <c r="CB74" s="109" t="n">
        <f aca="false">CB66+CB67+CB71+CB72+CB73</f>
        <v>48250.3011935301</v>
      </c>
      <c r="CC74" s="109" t="n">
        <f aca="false">CC66+CC67+CC71+CC72+CC73</f>
        <v>48248.9123046412</v>
      </c>
      <c r="CD74" s="109" t="n">
        <f aca="false">CD66+CD67+CD71+CD72+CD73</f>
        <v>48247.5234157523</v>
      </c>
      <c r="CE74" s="109" t="n">
        <f aca="false">CE66+CE67+CE71+CE72+CE73</f>
        <v>48246.1345268634</v>
      </c>
      <c r="CF74" s="109" t="n">
        <f aca="false">CF66+CF67+CF71+CF72+CF73</f>
        <v>48244.7456379745</v>
      </c>
      <c r="CG74" s="109" t="n">
        <f aca="false">CG66+CG67+CG71+CG72+CG73</f>
        <v>48243.3567490856</v>
      </c>
      <c r="CH74" s="109" t="n">
        <f aca="false">CH66+CH67+CH71+CH72+CH73</f>
        <v>48241.9678601967</v>
      </c>
    </row>
    <row r="75" customFormat="false" ht="13.5" hidden="false" customHeight="true" outlineLevel="0" collapsed="false">
      <c r="A75" s="6" t="s">
        <v>577</v>
      </c>
      <c r="C75" s="109" t="n">
        <f aca="false">Hipótesis!$D$122</f>
        <v>200000</v>
      </c>
      <c r="D75" s="109" t="n">
        <f aca="false">0</f>
        <v>0</v>
      </c>
      <c r="E75" s="109" t="n">
        <f aca="false">0</f>
        <v>0</v>
      </c>
      <c r="F75" s="109" t="n">
        <f aca="false">0</f>
        <v>0</v>
      </c>
      <c r="G75" s="109" t="n">
        <f aca="false">0</f>
        <v>0</v>
      </c>
      <c r="H75" s="109" t="n">
        <f aca="false">0</f>
        <v>0</v>
      </c>
      <c r="I75" s="109" t="n">
        <f aca="false">0</f>
        <v>0</v>
      </c>
      <c r="J75" s="109" t="n">
        <f aca="false">0</f>
        <v>0</v>
      </c>
      <c r="K75" s="109" t="n">
        <f aca="false">0</f>
        <v>0</v>
      </c>
      <c r="L75" s="109" t="n">
        <f aca="false">0</f>
        <v>0</v>
      </c>
      <c r="M75" s="109" t="n">
        <f aca="false">0</f>
        <v>0</v>
      </c>
      <c r="N75" s="109" t="n">
        <f aca="false">0</f>
        <v>0</v>
      </c>
      <c r="O75" s="109" t="n">
        <f aca="false">0</f>
        <v>0</v>
      </c>
      <c r="P75" s="109" t="n">
        <f aca="false">0</f>
        <v>0</v>
      </c>
      <c r="Q75" s="109" t="n">
        <f aca="false">0</f>
        <v>0</v>
      </c>
      <c r="R75" s="109" t="n">
        <f aca="false">0</f>
        <v>0</v>
      </c>
      <c r="S75" s="109" t="n">
        <f aca="false">0</f>
        <v>0</v>
      </c>
      <c r="T75" s="109" t="n">
        <f aca="false">0</f>
        <v>0</v>
      </c>
      <c r="U75" s="109" t="n">
        <f aca="false">0</f>
        <v>0</v>
      </c>
      <c r="V75" s="109" t="n">
        <f aca="false">0</f>
        <v>0</v>
      </c>
      <c r="W75" s="109" t="n">
        <f aca="false">0</f>
        <v>0</v>
      </c>
      <c r="X75" s="109" t="n">
        <f aca="false">0</f>
        <v>0</v>
      </c>
      <c r="Y75" s="109" t="n">
        <f aca="false">0</f>
        <v>0</v>
      </c>
      <c r="Z75" s="109" t="n">
        <f aca="false">0</f>
        <v>0</v>
      </c>
      <c r="AA75" s="109" t="n">
        <f aca="false">0</f>
        <v>0</v>
      </c>
      <c r="AB75" s="109" t="n">
        <f aca="false">0</f>
        <v>0</v>
      </c>
      <c r="AC75" s="109" t="n">
        <f aca="false">0</f>
        <v>0</v>
      </c>
      <c r="AD75" s="109" t="n">
        <f aca="false">0</f>
        <v>0</v>
      </c>
      <c r="AE75" s="109" t="n">
        <f aca="false">0</f>
        <v>0</v>
      </c>
      <c r="AF75" s="109" t="n">
        <f aca="false">0</f>
        <v>0</v>
      </c>
      <c r="AG75" s="109" t="n">
        <f aca="false">0</f>
        <v>0</v>
      </c>
      <c r="AH75" s="109" t="n">
        <f aca="false">0</f>
        <v>0</v>
      </c>
      <c r="AI75" s="109" t="n">
        <f aca="false">0</f>
        <v>0</v>
      </c>
      <c r="AJ75" s="109" t="n">
        <f aca="false">0</f>
        <v>0</v>
      </c>
      <c r="AK75" s="109" t="n">
        <f aca="false">0</f>
        <v>0</v>
      </c>
      <c r="AL75" s="109" t="n">
        <f aca="false">0</f>
        <v>0</v>
      </c>
      <c r="AM75" s="109" t="n">
        <f aca="false">0</f>
        <v>0</v>
      </c>
      <c r="AN75" s="109" t="n">
        <f aca="false">0</f>
        <v>0</v>
      </c>
      <c r="AO75" s="109" t="n">
        <f aca="false">0</f>
        <v>0</v>
      </c>
      <c r="AP75" s="109" t="n">
        <f aca="false">0</f>
        <v>0</v>
      </c>
      <c r="AQ75" s="109" t="n">
        <f aca="false">0</f>
        <v>0</v>
      </c>
      <c r="AR75" s="109" t="n">
        <f aca="false">0</f>
        <v>0</v>
      </c>
      <c r="AS75" s="109" t="n">
        <f aca="false">0</f>
        <v>0</v>
      </c>
      <c r="AT75" s="109" t="n">
        <f aca="false">0</f>
        <v>0</v>
      </c>
      <c r="AU75" s="109" t="n">
        <f aca="false">0</f>
        <v>0</v>
      </c>
      <c r="AV75" s="109" t="n">
        <f aca="false">0</f>
        <v>0</v>
      </c>
      <c r="AW75" s="109" t="n">
        <f aca="false">0</f>
        <v>0</v>
      </c>
      <c r="AX75" s="109" t="n">
        <f aca="false">0</f>
        <v>0</v>
      </c>
      <c r="AY75" s="109" t="n">
        <f aca="false">0</f>
        <v>0</v>
      </c>
      <c r="AZ75" s="109" t="n">
        <f aca="false">0</f>
        <v>0</v>
      </c>
      <c r="BA75" s="109" t="n">
        <f aca="false">0</f>
        <v>0</v>
      </c>
      <c r="BB75" s="109" t="n">
        <f aca="false">0</f>
        <v>0</v>
      </c>
      <c r="BC75" s="109" t="n">
        <f aca="false">0</f>
        <v>0</v>
      </c>
      <c r="BD75" s="109" t="n">
        <f aca="false">0</f>
        <v>0</v>
      </c>
      <c r="BE75" s="109" t="n">
        <f aca="false">0</f>
        <v>0</v>
      </c>
      <c r="BF75" s="109" t="n">
        <f aca="false">0</f>
        <v>0</v>
      </c>
      <c r="BG75" s="109" t="n">
        <f aca="false">0</f>
        <v>0</v>
      </c>
      <c r="BH75" s="109" t="n">
        <f aca="false">0</f>
        <v>0</v>
      </c>
      <c r="BI75" s="109" t="n">
        <f aca="false">0</f>
        <v>0</v>
      </c>
      <c r="BJ75" s="109" t="n">
        <f aca="false">0</f>
        <v>0</v>
      </c>
      <c r="BK75" s="109" t="n">
        <f aca="false">0</f>
        <v>0</v>
      </c>
      <c r="BL75" s="109" t="n">
        <f aca="false">0</f>
        <v>0</v>
      </c>
      <c r="BM75" s="109" t="n">
        <f aca="false">0</f>
        <v>0</v>
      </c>
      <c r="BN75" s="109" t="n">
        <f aca="false">0</f>
        <v>0</v>
      </c>
      <c r="BO75" s="109" t="n">
        <f aca="false">0</f>
        <v>0</v>
      </c>
      <c r="BP75" s="109" t="n">
        <f aca="false">0</f>
        <v>0</v>
      </c>
      <c r="BQ75" s="109" t="n">
        <f aca="false">0</f>
        <v>0</v>
      </c>
      <c r="BR75" s="109" t="n">
        <f aca="false">0</f>
        <v>0</v>
      </c>
      <c r="BS75" s="109" t="n">
        <f aca="false">0</f>
        <v>0</v>
      </c>
      <c r="BT75" s="109" t="n">
        <f aca="false">0</f>
        <v>0</v>
      </c>
      <c r="BU75" s="109" t="n">
        <f aca="false">0</f>
        <v>0</v>
      </c>
      <c r="BV75" s="109" t="n">
        <f aca="false">0</f>
        <v>0</v>
      </c>
      <c r="BW75" s="109" t="n">
        <f aca="false">0</f>
        <v>0</v>
      </c>
      <c r="BX75" s="109" t="n">
        <f aca="false">0</f>
        <v>0</v>
      </c>
      <c r="BY75" s="109" t="n">
        <f aca="false">0</f>
        <v>0</v>
      </c>
      <c r="BZ75" s="109" t="n">
        <f aca="false">0</f>
        <v>0</v>
      </c>
      <c r="CA75" s="109" t="n">
        <f aca="false">0</f>
        <v>0</v>
      </c>
      <c r="CB75" s="109" t="n">
        <f aca="false">0</f>
        <v>0</v>
      </c>
      <c r="CC75" s="109" t="n">
        <f aca="false">0</f>
        <v>0</v>
      </c>
      <c r="CD75" s="109" t="n">
        <f aca="false">0</f>
        <v>0</v>
      </c>
      <c r="CE75" s="109" t="n">
        <f aca="false">0</f>
        <v>0</v>
      </c>
      <c r="CF75" s="109" t="n">
        <f aca="false">0</f>
        <v>0</v>
      </c>
      <c r="CG75" s="109" t="n">
        <f aca="false">0</f>
        <v>0</v>
      </c>
      <c r="CH75" s="109" t="n">
        <f aca="false">0</f>
        <v>0</v>
      </c>
    </row>
    <row r="76" customFormat="false" ht="13.5" hidden="false" customHeight="true" outlineLevel="0" collapsed="false">
      <c r="A76" s="6" t="s">
        <v>578</v>
      </c>
      <c r="C76" s="109" t="n">
        <f aca="false">-C106</f>
        <v>-333.333333333333</v>
      </c>
      <c r="D76" s="109" t="n">
        <f aca="false">-D106</f>
        <v>-333.333333333333</v>
      </c>
      <c r="E76" s="109" t="n">
        <f aca="false">-E106</f>
        <v>-333.333333333333</v>
      </c>
      <c r="F76" s="109" t="n">
        <f aca="false">-F106</f>
        <v>-333.333333333333</v>
      </c>
      <c r="G76" s="109" t="n">
        <f aca="false">-G106</f>
        <v>-333.333333333333</v>
      </c>
      <c r="H76" s="109" t="n">
        <f aca="false">-H106</f>
        <v>-333.333333333333</v>
      </c>
      <c r="I76" s="109" t="n">
        <f aca="false">-I106</f>
        <v>-333.333333333333</v>
      </c>
      <c r="J76" s="109" t="n">
        <f aca="false">-J106</f>
        <v>-388.895845168973</v>
      </c>
      <c r="K76" s="109" t="n">
        <f aca="false">-K106</f>
        <v>-468.56209954677</v>
      </c>
      <c r="L76" s="109" t="n">
        <f aca="false">-L106</f>
        <v>-548.228353924567</v>
      </c>
      <c r="M76" s="109" t="n">
        <f aca="false">-M106</f>
        <v>-603.079287226977</v>
      </c>
      <c r="N76" s="109" t="n">
        <f aca="false">-N106</f>
        <v>-676.94848639035</v>
      </c>
      <c r="O76" s="109" t="n">
        <f aca="false">-O106</f>
        <v>-646.273685553724</v>
      </c>
      <c r="P76" s="109" t="n">
        <f aca="false">-P106</f>
        <v>-712.95082046957</v>
      </c>
      <c r="Q76" s="109" t="n">
        <f aca="false">-Q106</f>
        <v>-779.627955385417</v>
      </c>
      <c r="R76" s="109" t="n">
        <f aca="false">-R106</f>
        <v>-846.305090301263</v>
      </c>
      <c r="S76" s="109" t="n">
        <f aca="false">-S106</f>
        <v>-912.98222521711</v>
      </c>
      <c r="T76" s="109" t="n">
        <f aca="false">-T106</f>
        <v>-979.659360132956</v>
      </c>
      <c r="U76" s="109" t="n">
        <f aca="false">-U106</f>
        <v>-1046.3364950488</v>
      </c>
      <c r="V76" s="109" t="n">
        <f aca="false">-V106</f>
        <v>-1012.40322996465</v>
      </c>
      <c r="W76" s="109" t="n">
        <f aca="false">-W106</f>
        <v>-1079.0803648805</v>
      </c>
      <c r="X76" s="109" t="n">
        <f aca="false">-X106</f>
        <v>-1126.73923393538</v>
      </c>
      <c r="Y76" s="109" t="n">
        <f aca="false">-Y106</f>
        <v>-1174.39810299026</v>
      </c>
      <c r="Z76" s="109" t="n">
        <f aca="false">-Z106</f>
        <v>-1215.08389570076</v>
      </c>
      <c r="AA76" s="109" t="n">
        <f aca="false">-AA106</f>
        <v>-2878.18652307793</v>
      </c>
      <c r="AB76" s="109" t="n">
        <f aca="false">-AB106</f>
        <v>-2913.31676023287</v>
      </c>
      <c r="AC76" s="109" t="n">
        <f aca="false">-AC106</f>
        <v>-2948.44699738781</v>
      </c>
      <c r="AD76" s="109" t="n">
        <f aca="false">-AD106</f>
        <v>-2983.57723454275</v>
      </c>
      <c r="AE76" s="109" t="n">
        <f aca="false">-AE106</f>
        <v>-3018.7074716977</v>
      </c>
      <c r="AF76" s="109" t="n">
        <f aca="false">-AF106</f>
        <v>-3053.83770885264</v>
      </c>
      <c r="AG76" s="109" t="n">
        <f aca="false">-AG106</f>
        <v>-3088.96794600758</v>
      </c>
      <c r="AH76" s="109" t="n">
        <f aca="false">-AH106</f>
        <v>-3124.09818316252</v>
      </c>
      <c r="AI76" s="109" t="n">
        <f aca="false">-AI106</f>
        <v>-3111.61522831746</v>
      </c>
      <c r="AJ76" s="109" t="n">
        <f aca="false">-AJ106</f>
        <v>-3146.74546547241</v>
      </c>
      <c r="AK76" s="109" t="n">
        <f aca="false">-AK106</f>
        <v>-3181.87570262735</v>
      </c>
      <c r="AL76" s="109" t="n">
        <f aca="false">-AL106</f>
        <v>-3217.00593978229</v>
      </c>
      <c r="AM76" s="109" t="n">
        <f aca="false">-AM106</f>
        <v>-3206.31845421723</v>
      </c>
      <c r="AN76" s="109" t="n">
        <f aca="false">-AN106</f>
        <v>-3241.44869137218</v>
      </c>
      <c r="AO76" s="109" t="n">
        <f aca="false">-AO106</f>
        <v>-3276.57892852712</v>
      </c>
      <c r="AP76" s="109" t="n">
        <f aca="false">-AP106</f>
        <v>-3311.70916568206</v>
      </c>
      <c r="AQ76" s="109" t="n">
        <f aca="false">-AQ106</f>
        <v>-3346.839402837</v>
      </c>
      <c r="AR76" s="109" t="n">
        <f aca="false">-AR106</f>
        <v>-3381.96963999195</v>
      </c>
      <c r="AS76" s="109" t="n">
        <f aca="false">-AS106</f>
        <v>-3376.41408443639</v>
      </c>
      <c r="AT76" s="109" t="n">
        <f aca="false">-AT106</f>
        <v>-3370.85852888083</v>
      </c>
      <c r="AU76" s="109" t="n">
        <f aca="false">-AU106</f>
        <v>-3365.30297332528</v>
      </c>
      <c r="AV76" s="109" t="n">
        <f aca="false">-AV106</f>
        <v>-3359.74741776972</v>
      </c>
      <c r="AW76" s="109" t="n">
        <f aca="false">-AW106</f>
        <v>-3354.19186221417</v>
      </c>
      <c r="AX76" s="109" t="n">
        <f aca="false">-AX106</f>
        <v>-3348.63630665861</v>
      </c>
      <c r="AY76" s="109" t="n">
        <f aca="false">-AY106</f>
        <v>-3297.07649670146</v>
      </c>
      <c r="AZ76" s="109" t="n">
        <f aca="false">-AZ106</f>
        <v>-3291.5209411459</v>
      </c>
      <c r="BA76" s="109" t="n">
        <f aca="false">-BA106</f>
        <v>-3285.96538559035</v>
      </c>
      <c r="BB76" s="109" t="n">
        <f aca="false">-BB106</f>
        <v>-3280.40983003479</v>
      </c>
      <c r="BC76" s="109" t="n">
        <f aca="false">-BC106</f>
        <v>-3274.85427447924</v>
      </c>
      <c r="BD76" s="109" t="n">
        <f aca="false">-BD106</f>
        <v>-3269.29871892368</v>
      </c>
      <c r="BE76" s="109" t="n">
        <f aca="false">-BE106</f>
        <v>-3263.74316336812</v>
      </c>
      <c r="BF76" s="109" t="n">
        <f aca="false">-BF106</f>
        <v>-3258.18760781257</v>
      </c>
      <c r="BG76" s="109" t="n">
        <f aca="false">-BG106</f>
        <v>-3252.63205225701</v>
      </c>
      <c r="BH76" s="109" t="n">
        <f aca="false">-BH106</f>
        <v>-3247.07649670146</v>
      </c>
      <c r="BI76" s="109" t="n">
        <f aca="false">-BI106</f>
        <v>-3241.5209411459</v>
      </c>
      <c r="BJ76" s="109" t="n">
        <f aca="false">-BJ106</f>
        <v>-3235.96538559035</v>
      </c>
      <c r="BK76" s="109" t="n">
        <f aca="false">-BK106</f>
        <v>-3184.21344800114</v>
      </c>
      <c r="BL76" s="109" t="n">
        <f aca="false">-BL106</f>
        <v>-3178.65789244559</v>
      </c>
      <c r="BM76" s="109" t="n">
        <f aca="false">-BM106</f>
        <v>-3173.10233689003</v>
      </c>
      <c r="BN76" s="109" t="n">
        <f aca="false">-BN106</f>
        <v>-3167.54678133448</v>
      </c>
      <c r="BO76" s="109" t="n">
        <f aca="false">-BO106</f>
        <v>-3161.99122577892</v>
      </c>
      <c r="BP76" s="109" t="n">
        <f aca="false">-BP106</f>
        <v>-3156.43567022336</v>
      </c>
      <c r="BQ76" s="109" t="n">
        <f aca="false">-BQ106</f>
        <v>-3150.88011466781</v>
      </c>
      <c r="BR76" s="109" t="n">
        <f aca="false">-BR106</f>
        <v>-3145.32455911225</v>
      </c>
      <c r="BS76" s="109" t="n">
        <f aca="false">-BS106</f>
        <v>-3139.7690035567</v>
      </c>
      <c r="BT76" s="109" t="n">
        <f aca="false">-BT106</f>
        <v>-3134.21344800114</v>
      </c>
      <c r="BU76" s="109" t="n">
        <f aca="false">-BU106</f>
        <v>-3128.65789244559</v>
      </c>
      <c r="BV76" s="109" t="n">
        <f aca="false">-BV106</f>
        <v>-3123.10233689003</v>
      </c>
      <c r="BW76" s="109" t="n">
        <f aca="false">-BW106</f>
        <v>-3071.15250783982</v>
      </c>
      <c r="BX76" s="109" t="n">
        <f aca="false">-BX106</f>
        <v>-3065.59695228426</v>
      </c>
      <c r="BY76" s="109" t="n">
        <f aca="false">-BY106</f>
        <v>-3060.04139672871</v>
      </c>
      <c r="BZ76" s="109" t="n">
        <f aca="false">-BZ106</f>
        <v>-3054.48584117315</v>
      </c>
      <c r="CA76" s="109" t="n">
        <f aca="false">-CA106</f>
        <v>-3048.9302856176</v>
      </c>
      <c r="CB76" s="109" t="n">
        <f aca="false">-CB106</f>
        <v>-3043.37473006204</v>
      </c>
      <c r="CC76" s="109" t="n">
        <f aca="false">-CC106</f>
        <v>-3037.81917450649</v>
      </c>
      <c r="CD76" s="109" t="n">
        <f aca="false">-CD106</f>
        <v>-3032.26361895093</v>
      </c>
      <c r="CE76" s="109" t="n">
        <f aca="false">-CE106</f>
        <v>-3026.70806339537</v>
      </c>
      <c r="CF76" s="109" t="n">
        <f aca="false">-CF106</f>
        <v>-3021.15250783982</v>
      </c>
      <c r="CG76" s="109" t="n">
        <f aca="false">-CG106</f>
        <v>-3015.59695228426</v>
      </c>
      <c r="CH76" s="109" t="n">
        <f aca="false">-CH106</f>
        <v>-3010.04139672865</v>
      </c>
    </row>
    <row r="77" customFormat="false" ht="13.5" hidden="false" customHeight="true" outlineLevel="0" collapsed="false">
      <c r="A77" s="6" t="s">
        <v>579</v>
      </c>
      <c r="C77" s="109" t="n">
        <f aca="false">0</f>
        <v>0</v>
      </c>
      <c r="D77" s="109" t="n">
        <f aca="false">C81*Hipótesis!$D$71/12</f>
        <v>-0</v>
      </c>
      <c r="E77" s="109" t="n">
        <f aca="false">D81*Hipótesis!$D$71/12</f>
        <v>0</v>
      </c>
      <c r="F77" s="109" t="n">
        <f aca="false">E81*Hipótesis!$D$71/12</f>
        <v>0</v>
      </c>
      <c r="G77" s="109" t="n">
        <f aca="false">F81*Hipótesis!$D$71/12</f>
        <v>0</v>
      </c>
      <c r="H77" s="109" t="n">
        <f aca="false">G81*Hipótesis!$D$71/12</f>
        <v>0</v>
      </c>
      <c r="I77" s="109" t="n">
        <f aca="false">H81*Hipótesis!$D$71/12</f>
        <v>0</v>
      </c>
      <c r="J77" s="109" t="n">
        <f aca="false">I81*Hipótesis!$D$71/12</f>
        <v>0.78485881335308</v>
      </c>
      <c r="K77" s="109" t="n">
        <f aca="false">J81*Hipótesis!$D$71/12</f>
        <v>24.8079787182041</v>
      </c>
      <c r="L77" s="109" t="n">
        <f aca="false">K81*Hipótesis!$D$71/12</f>
        <v>28.3403291958173</v>
      </c>
      <c r="M77" s="109" t="n">
        <f aca="false">L81*Hipótesis!$D$71/12</f>
        <v>11.3020816236322</v>
      </c>
      <c r="N77" s="109" t="n">
        <f aca="false">M81*Hipótesis!$D$71/12</f>
        <v>0</v>
      </c>
      <c r="O77" s="109" t="n">
        <f aca="false">N81*Hipótesis!$D$71/12</f>
        <v>0</v>
      </c>
      <c r="P77" s="109" t="n">
        <f aca="false">O81*Hipótesis!$D$71/12</f>
        <v>0</v>
      </c>
      <c r="Q77" s="109" t="n">
        <f aca="false">P81*Hipótesis!$D$71/12</f>
        <v>0</v>
      </c>
      <c r="R77" s="109" t="n">
        <f aca="false">Q81*Hipótesis!$D$71/12</f>
        <v>0</v>
      </c>
      <c r="S77" s="109" t="n">
        <f aca="false">R81*Hipótesis!$D$71/12</f>
        <v>0</v>
      </c>
      <c r="T77" s="109" t="n">
        <f aca="false">S81*Hipótesis!$D$71/12</f>
        <v>0</v>
      </c>
      <c r="U77" s="109" t="n">
        <f aca="false">T81*Hipótesis!$D$71/12</f>
        <v>0</v>
      </c>
      <c r="V77" s="109" t="n">
        <f aca="false">U81*Hipótesis!$D$71/12</f>
        <v>0</v>
      </c>
      <c r="W77" s="109" t="n">
        <f aca="false">V81*Hipótesis!$D$71/12</f>
        <v>0</v>
      </c>
      <c r="X77" s="109" t="n">
        <f aca="false">W81*Hipótesis!$D$71/12</f>
        <v>0</v>
      </c>
      <c r="Y77" s="109" t="n">
        <f aca="false">X81*Hipótesis!$D$71/12</f>
        <v>0</v>
      </c>
      <c r="Z77" s="109" t="n">
        <f aca="false">Y81*Hipótesis!$D$71/12</f>
        <v>0</v>
      </c>
      <c r="AA77" s="109" t="n">
        <f aca="false">Z81*Hipótesis!$D$71/12</f>
        <v>0</v>
      </c>
      <c r="AB77" s="109" t="n">
        <f aca="false">AA81*Hipótesis!$D$71/12</f>
        <v>0</v>
      </c>
      <c r="AC77" s="109" t="n">
        <f aca="false">AB81*Hipótesis!$D$71/12</f>
        <v>0</v>
      </c>
      <c r="AD77" s="109" t="n">
        <f aca="false">AC81*Hipótesis!$D$71/12</f>
        <v>0</v>
      </c>
      <c r="AE77" s="109" t="n">
        <f aca="false">AD81*Hipótesis!$D$71/12</f>
        <v>0</v>
      </c>
      <c r="AF77" s="109" t="n">
        <f aca="false">AE81*Hipótesis!$D$71/12</f>
        <v>0</v>
      </c>
      <c r="AG77" s="109" t="n">
        <f aca="false">AF81*Hipótesis!$D$71/12</f>
        <v>0</v>
      </c>
      <c r="AH77" s="109" t="n">
        <f aca="false">AG81*Hipótesis!$D$71/12</f>
        <v>0</v>
      </c>
      <c r="AI77" s="109" t="n">
        <f aca="false">AH81*Hipótesis!$D$71/12</f>
        <v>0</v>
      </c>
      <c r="AJ77" s="109" t="n">
        <f aca="false">AI81*Hipótesis!$D$71/12</f>
        <v>0</v>
      </c>
      <c r="AK77" s="109" t="n">
        <f aca="false">AJ81*Hipótesis!$D$71/12</f>
        <v>0</v>
      </c>
      <c r="AL77" s="109" t="n">
        <f aca="false">AK81*Hipótesis!$D$71/12</f>
        <v>0</v>
      </c>
      <c r="AM77" s="109" t="n">
        <f aca="false">AL81*Hipótesis!$D$71/12</f>
        <v>0</v>
      </c>
      <c r="AN77" s="109" t="n">
        <f aca="false">AM81*Hipótesis!$D$71/12</f>
        <v>0</v>
      </c>
      <c r="AO77" s="109" t="n">
        <f aca="false">AN81*Hipótesis!$D$71/12</f>
        <v>0</v>
      </c>
      <c r="AP77" s="109" t="n">
        <f aca="false">AO81*Hipótesis!$D$71/12</f>
        <v>0</v>
      </c>
      <c r="AQ77" s="109" t="n">
        <f aca="false">AP81*Hipótesis!$D$71/12</f>
        <v>0</v>
      </c>
      <c r="AR77" s="109" t="n">
        <f aca="false">AQ81*Hipótesis!$D$71/12</f>
        <v>0</v>
      </c>
      <c r="AS77" s="109" t="n">
        <f aca="false">AR81*Hipótesis!$D$71/12</f>
        <v>0</v>
      </c>
      <c r="AT77" s="109" t="n">
        <f aca="false">AS81*Hipótesis!$D$71/12</f>
        <v>0</v>
      </c>
      <c r="AU77" s="109" t="n">
        <f aca="false">AT81*Hipótesis!$D$71/12</f>
        <v>0</v>
      </c>
      <c r="AV77" s="109" t="n">
        <f aca="false">AU81*Hipótesis!$D$71/12</f>
        <v>0</v>
      </c>
      <c r="AW77" s="109" t="n">
        <f aca="false">AV81*Hipótesis!$D$71/12</f>
        <v>0</v>
      </c>
      <c r="AX77" s="109" t="n">
        <f aca="false">AW81*Hipótesis!$D$71/12</f>
        <v>0</v>
      </c>
      <c r="AY77" s="109" t="n">
        <f aca="false">AX81*Hipótesis!$D$71/12</f>
        <v>0</v>
      </c>
      <c r="AZ77" s="109" t="n">
        <f aca="false">AY81*Hipótesis!$D$71/12</f>
        <v>0</v>
      </c>
      <c r="BA77" s="109" t="n">
        <f aca="false">AZ81*Hipótesis!$D$71/12</f>
        <v>0</v>
      </c>
      <c r="BB77" s="109" t="n">
        <f aca="false">BA81*Hipótesis!$D$71/12</f>
        <v>0</v>
      </c>
      <c r="BC77" s="109" t="n">
        <f aca="false">BB81*Hipótesis!$D$71/12</f>
        <v>0</v>
      </c>
      <c r="BD77" s="109" t="n">
        <f aca="false">BC81*Hipótesis!$D$71/12</f>
        <v>0</v>
      </c>
      <c r="BE77" s="109" t="n">
        <f aca="false">BD81*Hipótesis!$D$71/12</f>
        <v>0</v>
      </c>
      <c r="BF77" s="109" t="n">
        <f aca="false">BE81*Hipótesis!$D$71/12</f>
        <v>0</v>
      </c>
      <c r="BG77" s="109" t="n">
        <f aca="false">BF81*Hipótesis!$D$71/12</f>
        <v>0</v>
      </c>
      <c r="BH77" s="109" t="n">
        <f aca="false">BG81*Hipótesis!$D$71/12</f>
        <v>0</v>
      </c>
      <c r="BI77" s="109" t="n">
        <f aca="false">BH81*Hipótesis!$D$71/12</f>
        <v>0</v>
      </c>
      <c r="BJ77" s="109" t="n">
        <f aca="false">BI81*Hipótesis!$D$71/12</f>
        <v>0</v>
      </c>
      <c r="BK77" s="109" t="n">
        <f aca="false">BJ81*Hipótesis!$D$71/12</f>
        <v>0</v>
      </c>
      <c r="BL77" s="109" t="n">
        <f aca="false">BK81*Hipótesis!$D$71/12</f>
        <v>0</v>
      </c>
      <c r="BM77" s="109" t="n">
        <f aca="false">BL81*Hipótesis!$D$71/12</f>
        <v>0</v>
      </c>
      <c r="BN77" s="109" t="n">
        <f aca="false">BM81*Hipótesis!$D$71/12</f>
        <v>0</v>
      </c>
      <c r="BO77" s="109" t="n">
        <f aca="false">BN81*Hipótesis!$D$71/12</f>
        <v>0</v>
      </c>
      <c r="BP77" s="109" t="n">
        <f aca="false">BO81*Hipótesis!$D$71/12</f>
        <v>0</v>
      </c>
      <c r="BQ77" s="109" t="n">
        <f aca="false">BP81*Hipótesis!$D$71/12</f>
        <v>0</v>
      </c>
      <c r="BR77" s="109" t="n">
        <f aca="false">BQ81*Hipótesis!$D$71/12</f>
        <v>0</v>
      </c>
      <c r="BS77" s="109" t="n">
        <f aca="false">BR81*Hipótesis!$D$71/12</f>
        <v>0</v>
      </c>
      <c r="BT77" s="109" t="n">
        <f aca="false">BS81*Hipótesis!$D$71/12</f>
        <v>0</v>
      </c>
      <c r="BU77" s="109" t="n">
        <f aca="false">BT81*Hipótesis!$D$71/12</f>
        <v>0</v>
      </c>
      <c r="BV77" s="109" t="n">
        <f aca="false">BU81*Hipótesis!$D$71/12</f>
        <v>0</v>
      </c>
      <c r="BW77" s="109" t="n">
        <f aca="false">BV81*Hipótesis!$D$71/12</f>
        <v>0</v>
      </c>
      <c r="BX77" s="109" t="n">
        <f aca="false">BW81*Hipótesis!$D$71/12</f>
        <v>0</v>
      </c>
      <c r="BY77" s="109" t="n">
        <f aca="false">BX81*Hipótesis!$D$71/12</f>
        <v>0</v>
      </c>
      <c r="BZ77" s="109" t="n">
        <f aca="false">BY81*Hipótesis!$D$71/12</f>
        <v>0</v>
      </c>
      <c r="CA77" s="109" t="n">
        <f aca="false">BZ81*Hipótesis!$D$71/12</f>
        <v>0</v>
      </c>
      <c r="CB77" s="109" t="n">
        <f aca="false">CA81*Hipótesis!$D$71/12</f>
        <v>0</v>
      </c>
      <c r="CC77" s="109" t="n">
        <f aca="false">CB81*Hipótesis!$D$71/12</f>
        <v>0</v>
      </c>
      <c r="CD77" s="109" t="n">
        <f aca="false">CC81*Hipótesis!$D$71/12</f>
        <v>0</v>
      </c>
      <c r="CE77" s="109" t="n">
        <f aca="false">CD81*Hipótesis!$D$71/12</f>
        <v>0</v>
      </c>
      <c r="CF77" s="109" t="n">
        <f aca="false">CE81*Hipótesis!$D$71/12</f>
        <v>0</v>
      </c>
      <c r="CG77" s="109" t="n">
        <f aca="false">CF81*Hipótesis!$D$71/12</f>
        <v>0</v>
      </c>
      <c r="CH77" s="109" t="n">
        <f aca="false">CG81*Hipótesis!$D$71/12</f>
        <v>0</v>
      </c>
    </row>
    <row r="78" customFormat="false" ht="13.5" hidden="false" customHeight="true" outlineLevel="0" collapsed="false">
      <c r="A78" s="22" t="s">
        <v>580</v>
      </c>
      <c r="C78" s="109" t="n">
        <f aca="false">C74+C75+C76-C77</f>
        <v>147790.15656386</v>
      </c>
      <c r="D78" s="109" t="n">
        <f aca="false">D74+D75+D76-D77</f>
        <v>-30667.7454884222</v>
      </c>
      <c r="E78" s="109" t="n">
        <f aca="false">E74+E75+E76-E77</f>
        <v>-23427.7615194045</v>
      </c>
      <c r="F78" s="109" t="n">
        <f aca="false">F74+F75+F76-F77</f>
        <v>-20577.9786274273</v>
      </c>
      <c r="G78" s="109" t="n">
        <f aca="false">G74+G75+G76-G77</f>
        <v>-18081.6037859741</v>
      </c>
      <c r="H78" s="109" t="n">
        <f aca="false">H74+H75+H76-H77</f>
        <v>-14988.5076741165</v>
      </c>
      <c r="I78" s="109" t="n">
        <f aca="false">I74+I75+I76-I77</f>
        <v>-10217.801391429</v>
      </c>
      <c r="J78" s="109" t="n">
        <f aca="false">J74+J75+J76-J77</f>
        <v>-5241.40797924023</v>
      </c>
      <c r="K78" s="109" t="n">
        <f aca="false">K74+K75+K76-K77</f>
        <v>-770.69464966105</v>
      </c>
      <c r="L78" s="109" t="n">
        <f aca="false">L74+L75+L76-L77</f>
        <v>3717.43583393128</v>
      </c>
      <c r="M78" s="109" t="n">
        <f aca="false">M74+M75+M76-M77</f>
        <v>7454.53239553139</v>
      </c>
      <c r="N78" s="109" t="n">
        <f aca="false">N74+N75+N76-N77</f>
        <v>10356.5309800952</v>
      </c>
      <c r="O78" s="109" t="n">
        <f aca="false">O74+O75+O76-O77</f>
        <v>11531.4405629259</v>
      </c>
      <c r="P78" s="109" t="n">
        <f aca="false">P74+P75+P76-P77</f>
        <v>14276.1175105847</v>
      </c>
      <c r="Q78" s="109" t="n">
        <f aca="false">Q74+Q75+Q76-Q77</f>
        <v>16966.6479931701</v>
      </c>
      <c r="R78" s="109" t="n">
        <f aca="false">R74+R75+R76-R77</f>
        <v>19657.1784757554</v>
      </c>
      <c r="S78" s="109" t="n">
        <f aca="false">S74+S75+S76-S77</f>
        <v>22347.7089583407</v>
      </c>
      <c r="T78" s="109" t="n">
        <f aca="false">T74+T75+T76-T77</f>
        <v>25038.239440926</v>
      </c>
      <c r="U78" s="109" t="n">
        <f aca="false">U74+U75+U76-U77</f>
        <v>27728.7699235113</v>
      </c>
      <c r="V78" s="109" t="n">
        <f aca="false">V74+V75+V76-V77</f>
        <v>26228.8772460966</v>
      </c>
      <c r="W78" s="109" t="n">
        <f aca="false">W74+W75+W76-W77</f>
        <v>28919.4077286819</v>
      </c>
      <c r="X78" s="109" t="n">
        <f aca="false">X74+X75+X76-X77</f>
        <v>30932.0716270942</v>
      </c>
      <c r="Y78" s="109" t="n">
        <f aca="false">Y74+Y75+Y76-Y77</f>
        <v>32856.3601578595</v>
      </c>
      <c r="Z78" s="109" t="n">
        <f aca="false">Z74+Z75+Z76-Z77</f>
        <v>34524.6573992212</v>
      </c>
      <c r="AA78" s="109" t="n">
        <f aca="false">AA74+AA75+AA76-AA77</f>
        <v>32658.5028240574</v>
      </c>
      <c r="AB78" s="109" t="n">
        <f aca="false">AB74+AB75+AB76-AB77</f>
        <v>34306.7426405824</v>
      </c>
      <c r="AC78" s="109" t="n">
        <f aca="false">AC74+AC75+AC76-AC77</f>
        <v>35954.9824571075</v>
      </c>
      <c r="AD78" s="109" t="n">
        <f aca="false">AD74+AD75+AD76-AD77</f>
        <v>37603.2222736326</v>
      </c>
      <c r="AE78" s="109" t="n">
        <f aca="false">AE74+AE75+AE76-AE77</f>
        <v>39251.4620901577</v>
      </c>
      <c r="AF78" s="109" t="n">
        <f aca="false">AF74+AF75+AF76-AF77</f>
        <v>40899.7019066827</v>
      </c>
      <c r="AG78" s="109" t="n">
        <f aca="false">AG74+AG75+AG76-AG77</f>
        <v>42547.9417232078</v>
      </c>
      <c r="AH78" s="109" t="n">
        <f aca="false">AH74+AH75+AH76-AH77</f>
        <v>44196.1815397329</v>
      </c>
      <c r="AI78" s="109" t="n">
        <f aca="false">AI74+AI75+AI76-AI77</f>
        <v>43861.331909458</v>
      </c>
      <c r="AJ78" s="109" t="n">
        <f aca="false">AJ74+AJ75+AJ76-AJ77</f>
        <v>45509.5717259831</v>
      </c>
      <c r="AK78" s="109" t="n">
        <f aca="false">AK74+AK75+AK76-AK77</f>
        <v>47157.8115425081</v>
      </c>
      <c r="AL78" s="109" t="n">
        <f aca="false">AL74+AL75+AL76-AL77</f>
        <v>48806.0513590332</v>
      </c>
      <c r="AM78" s="109" t="n">
        <f aca="false">AM74+AM75+AM76-AM77</f>
        <v>42521.5435730415</v>
      </c>
      <c r="AN78" s="109" t="n">
        <f aca="false">AN74+AN75+AN76-AN77</f>
        <v>43970.6007474931</v>
      </c>
      <c r="AO78" s="109" t="n">
        <f aca="false">AO74+AO75+AO76-AO77</f>
        <v>45419.6579219446</v>
      </c>
      <c r="AP78" s="109" t="n">
        <f aca="false">AP74+AP75+AP76-AP77</f>
        <v>46868.7150963962</v>
      </c>
      <c r="AQ78" s="109" t="n">
        <f aca="false">AQ74+AQ75+AQ76-AQ77</f>
        <v>48317.7722708477</v>
      </c>
      <c r="AR78" s="109" t="n">
        <f aca="false">AR74+AR75+AR76-AR77</f>
        <v>49766.8294452992</v>
      </c>
      <c r="AS78" s="109" t="n">
        <f aca="false">AS74+AS75+AS76-AS77</f>
        <v>50154.4560700587</v>
      </c>
      <c r="AT78" s="109" t="n">
        <f aca="false">AT74+AT75+AT76-AT77</f>
        <v>50158.6227367254</v>
      </c>
      <c r="AU78" s="109" t="n">
        <f aca="false">AU74+AU75+AU76-AU77</f>
        <v>50162.7894033921</v>
      </c>
      <c r="AV78" s="109" t="n">
        <f aca="false">AV74+AV75+AV76-AV77</f>
        <v>50166.9560700587</v>
      </c>
      <c r="AW78" s="109" t="n">
        <f aca="false">AW74+AW75+AW76-AW77</f>
        <v>50171.1227367254</v>
      </c>
      <c r="AX78" s="109" t="n">
        <f aca="false">AX74+AX75+AX76-AX77</f>
        <v>50175.2894033921</v>
      </c>
      <c r="AY78" s="109" t="n">
        <f aca="false">AY74+AY75+AY76-AY77</f>
        <v>48488.7997207999</v>
      </c>
      <c r="AZ78" s="109" t="n">
        <f aca="false">AZ74+AZ75+AZ76-AZ77</f>
        <v>48492.9663874666</v>
      </c>
      <c r="BA78" s="109" t="n">
        <f aca="false">BA74+BA75+BA76-BA77</f>
        <v>48497.1330541333</v>
      </c>
      <c r="BB78" s="109" t="n">
        <f aca="false">BB74+BB75+BB76-BB77</f>
        <v>48501.2997207999</v>
      </c>
      <c r="BC78" s="109" t="n">
        <f aca="false">BC74+BC75+BC76-BC77</f>
        <v>48505.4663874666</v>
      </c>
      <c r="BD78" s="109" t="n">
        <f aca="false">BD74+BD75+BD76-BD77</f>
        <v>48509.6330541333</v>
      </c>
      <c r="BE78" s="109" t="n">
        <f aca="false">BE74+BE75+BE76-BE77</f>
        <v>48513.7997207999</v>
      </c>
      <c r="BF78" s="109" t="n">
        <f aca="false">BF74+BF75+BF76-BF77</f>
        <v>48517.9663874666</v>
      </c>
      <c r="BG78" s="109" t="n">
        <f aca="false">BG74+BG75+BG76-BG77</f>
        <v>48522.1330541333</v>
      </c>
      <c r="BH78" s="109" t="n">
        <f aca="false">BH74+BH75+BH76-BH77</f>
        <v>48526.2997207999</v>
      </c>
      <c r="BI78" s="109" t="n">
        <f aca="false">BI74+BI75+BI76-BI77</f>
        <v>48530.4663874666</v>
      </c>
      <c r="BJ78" s="109" t="n">
        <f aca="false">BJ74+BJ75+BJ76-BJ77</f>
        <v>48534.6330541333</v>
      </c>
      <c r="BK78" s="109" t="n">
        <f aca="false">BK74+BK75+BK76-BK77</f>
        <v>46841.0826810634</v>
      </c>
      <c r="BL78" s="109" t="n">
        <f aca="false">BL74+BL75+BL76-BL77</f>
        <v>46845.24934773</v>
      </c>
      <c r="BM78" s="109" t="n">
        <f aca="false">BM74+BM75+BM76-BM77</f>
        <v>46849.4160143967</v>
      </c>
      <c r="BN78" s="109" t="n">
        <f aca="false">BN74+BN75+BN76-BN77</f>
        <v>46853.5826810634</v>
      </c>
      <c r="BO78" s="109" t="n">
        <f aca="false">BO74+BO75+BO76-BO77</f>
        <v>46857.74934773</v>
      </c>
      <c r="BP78" s="109" t="n">
        <f aca="false">BP74+BP75+BP76-BP77</f>
        <v>46861.9160143967</v>
      </c>
      <c r="BQ78" s="109" t="n">
        <f aca="false">BQ74+BQ75+BQ76-BQ77</f>
        <v>46866.0826810634</v>
      </c>
      <c r="BR78" s="109" t="n">
        <f aca="false">BR74+BR75+BR76-BR77</f>
        <v>46870.24934773</v>
      </c>
      <c r="BS78" s="109" t="n">
        <f aca="false">BS74+BS75+BS76-BS77</f>
        <v>46874.4160143967</v>
      </c>
      <c r="BT78" s="109" t="n">
        <f aca="false">BT74+BT75+BT76-BT77</f>
        <v>46878.5826810634</v>
      </c>
      <c r="BU78" s="109" t="n">
        <f aca="false">BU74+BU75+BU76-BU77</f>
        <v>46882.74934773</v>
      </c>
      <c r="BV78" s="109" t="n">
        <f aca="false">BV74+BV75+BV76-BV77</f>
        <v>46886.9160143967</v>
      </c>
      <c r="BW78" s="109" t="n">
        <f aca="false">BW74+BW75+BW76-BW77</f>
        <v>45186.0931301347</v>
      </c>
      <c r="BX78" s="109" t="n">
        <f aca="false">BX74+BX75+BX76-BX77</f>
        <v>45190.2597968014</v>
      </c>
      <c r="BY78" s="109" t="n">
        <f aca="false">BY74+BY75+BY76-BY77</f>
        <v>45194.426463468</v>
      </c>
      <c r="BZ78" s="109" t="n">
        <f aca="false">BZ74+BZ75+BZ76-BZ77</f>
        <v>45198.5931301347</v>
      </c>
      <c r="CA78" s="109" t="n">
        <f aca="false">CA74+CA75+CA76-CA77</f>
        <v>45202.7597968014</v>
      </c>
      <c r="CB78" s="109" t="n">
        <f aca="false">CB74+CB75+CB76-CB77</f>
        <v>45206.926463468</v>
      </c>
      <c r="CC78" s="109" t="n">
        <f aca="false">CC74+CC75+CC76-CC77</f>
        <v>45211.0931301347</v>
      </c>
      <c r="CD78" s="109" t="n">
        <f aca="false">CD74+CD75+CD76-CD77</f>
        <v>45215.2597968014</v>
      </c>
      <c r="CE78" s="109" t="n">
        <f aca="false">CE74+CE75+CE76-CE77</f>
        <v>45219.426463468</v>
      </c>
      <c r="CF78" s="109" t="n">
        <f aca="false">CF74+CF75+CF76-CF77</f>
        <v>45223.5931301347</v>
      </c>
      <c r="CG78" s="109" t="n">
        <f aca="false">CG74+CG75+CG76-CG77</f>
        <v>45227.7597968014</v>
      </c>
      <c r="CH78" s="109" t="n">
        <f aca="false">CH74+CH75+CH76-CH77</f>
        <v>45231.9264634681</v>
      </c>
    </row>
    <row r="79" customFormat="false" ht="13.5" hidden="false" customHeight="true" outlineLevel="0" collapsed="false">
      <c r="A79" s="6" t="s">
        <v>581</v>
      </c>
      <c r="C79" s="109" t="n">
        <f aca="false">C78</f>
        <v>147790.15656386</v>
      </c>
      <c r="D79" s="109" t="n">
        <f aca="false">C86+D78</f>
        <v>117122.411075438</v>
      </c>
      <c r="E79" s="109" t="n">
        <f aca="false">D86+E78</f>
        <v>93694.6495560335</v>
      </c>
      <c r="F79" s="109" t="n">
        <f aca="false">E86+F78</f>
        <v>73116.6709286062</v>
      </c>
      <c r="G79" s="109" t="n">
        <f aca="false">F86+G78</f>
        <v>55035.0671426321</v>
      </c>
      <c r="H79" s="109" t="n">
        <f aca="false">G86+H78</f>
        <v>40046.5594685156</v>
      </c>
      <c r="I79" s="109" t="n">
        <f aca="false">H86+I78</f>
        <v>29828.7580770866</v>
      </c>
      <c r="J79" s="109" t="n">
        <f aca="false">I86+J78</f>
        <v>24758.5920207598</v>
      </c>
      <c r="K79" s="109" t="n">
        <f aca="false">J86+K78</f>
        <v>29229.305350339</v>
      </c>
      <c r="L79" s="109" t="n">
        <f aca="false">K86+L78</f>
        <v>33717.4358339313</v>
      </c>
      <c r="M79" s="109" t="n">
        <f aca="false">L86+M78</f>
        <v>37454.5323955314</v>
      </c>
      <c r="N79" s="109" t="n">
        <f aca="false">M86+N78</f>
        <v>45345.1546577432</v>
      </c>
      <c r="O79" s="109" t="n">
        <f aca="false">N86+O78</f>
        <v>56876.5952206691</v>
      </c>
      <c r="P79" s="109" t="n">
        <f aca="false">O86+P78</f>
        <v>71152.7127312538</v>
      </c>
      <c r="Q79" s="109" t="n">
        <f aca="false">P86+Q78</f>
        <v>88119.3607244238</v>
      </c>
      <c r="R79" s="109" t="n">
        <f aca="false">Q86+R78</f>
        <v>107776.539200179</v>
      </c>
      <c r="S79" s="109" t="n">
        <f aca="false">R86+S78</f>
        <v>130124.24815852</v>
      </c>
      <c r="T79" s="109" t="n">
        <f aca="false">S86+T78</f>
        <v>155162.487599446</v>
      </c>
      <c r="U79" s="109" t="n">
        <f aca="false">T86+U78</f>
        <v>182891.257522957</v>
      </c>
      <c r="V79" s="109" t="n">
        <f aca="false">U86+V78</f>
        <v>209120.134769054</v>
      </c>
      <c r="W79" s="109" t="n">
        <f aca="false">V86+W78</f>
        <v>238039.542497736</v>
      </c>
      <c r="X79" s="109" t="n">
        <f aca="false">W86+X78</f>
        <v>268971.61412483</v>
      </c>
      <c r="Y79" s="109" t="n">
        <f aca="false">X86+Y78</f>
        <v>301827.974282689</v>
      </c>
      <c r="Z79" s="109" t="n">
        <f aca="false">Y86+Z78</f>
        <v>336352.631681911</v>
      </c>
      <c r="AA79" s="109" t="n">
        <f aca="false">Z86+AA78</f>
        <v>369011.134505968</v>
      </c>
      <c r="AB79" s="109" t="n">
        <f aca="false">AA86+AB78</f>
        <v>403317.87714655</v>
      </c>
      <c r="AC79" s="109" t="n">
        <f aca="false">AB86+AC78</f>
        <v>439272.859603658</v>
      </c>
      <c r="AD79" s="109" t="n">
        <f aca="false">AC86+AD78</f>
        <v>476876.08187729</v>
      </c>
      <c r="AE79" s="109" t="n">
        <f aca="false">AD86+AE78</f>
        <v>516127.543967448</v>
      </c>
      <c r="AF79" s="109" t="n">
        <f aca="false">AE86+AF78</f>
        <v>557027.245874131</v>
      </c>
      <c r="AG79" s="109" t="n">
        <f aca="false">AF86+AG78</f>
        <v>599575.187597339</v>
      </c>
      <c r="AH79" s="109" t="n">
        <f aca="false">AG86+AH78</f>
        <v>643771.369137071</v>
      </c>
      <c r="AI79" s="109" t="n">
        <f aca="false">AH86+AI78</f>
        <v>687632.701046529</v>
      </c>
      <c r="AJ79" s="109" t="n">
        <f aca="false">AI86+AJ78</f>
        <v>733142.272772512</v>
      </c>
      <c r="AK79" s="109" t="n">
        <f aca="false">AJ86+AK78</f>
        <v>780300.084315021</v>
      </c>
      <c r="AL79" s="109" t="n">
        <f aca="false">AK86+AL78</f>
        <v>829106.135674054</v>
      </c>
      <c r="AM79" s="109" t="n">
        <f aca="false">AL86+AM78</f>
        <v>871627.679247095</v>
      </c>
      <c r="AN79" s="109" t="n">
        <f aca="false">AM86+AN78</f>
        <v>915598.279994588</v>
      </c>
      <c r="AO79" s="109" t="n">
        <f aca="false">AN86+AO78</f>
        <v>961017.937916533</v>
      </c>
      <c r="AP79" s="109" t="n">
        <f aca="false">AO86+AP78</f>
        <v>1007886.65301293</v>
      </c>
      <c r="AQ79" s="109" t="n">
        <f aca="false">AP86+AQ78</f>
        <v>1056204.42528378</v>
      </c>
      <c r="AR79" s="109" t="n">
        <f aca="false">AQ86+AR78</f>
        <v>1105971.25472908</v>
      </c>
      <c r="AS79" s="109" t="n">
        <f aca="false">AR86+AS78</f>
        <v>1156125.71079913</v>
      </c>
      <c r="AT79" s="109" t="n">
        <f aca="false">AS86+AT78</f>
        <v>1206284.33353586</v>
      </c>
      <c r="AU79" s="109" t="n">
        <f aca="false">AT86+AU78</f>
        <v>1256447.12293925</v>
      </c>
      <c r="AV79" s="109" t="n">
        <f aca="false">AU86+AV78</f>
        <v>1306614.07900931</v>
      </c>
      <c r="AW79" s="109" t="n">
        <f aca="false">AV86+AW78</f>
        <v>1356785.20174604</v>
      </c>
      <c r="AX79" s="109" t="n">
        <f aca="false">AW86+AX78</f>
        <v>1406960.49114943</v>
      </c>
      <c r="AY79" s="109" t="n">
        <f aca="false">AX86+AY78</f>
        <v>1211644.81394607</v>
      </c>
      <c r="AZ79" s="109" t="n">
        <f aca="false">AY86+AZ78</f>
        <v>1260137.78033353</v>
      </c>
      <c r="BA79" s="109" t="n">
        <f aca="false">AZ86+BA78</f>
        <v>1308634.91338767</v>
      </c>
      <c r="BB79" s="109" t="n">
        <f aca="false">BA86+BB78</f>
        <v>1357136.21310847</v>
      </c>
      <c r="BC79" s="109" t="n">
        <f aca="false">BB86+BC78</f>
        <v>1405641.67949593</v>
      </c>
      <c r="BD79" s="109" t="n">
        <f aca="false">BC86+BD78</f>
        <v>1454151.31255007</v>
      </c>
      <c r="BE79" s="109" t="n">
        <f aca="false">BD86+BE78</f>
        <v>1502665.11227087</v>
      </c>
      <c r="BF79" s="109" t="n">
        <f aca="false">BE86+BF78</f>
        <v>1551183.07865833</v>
      </c>
      <c r="BG79" s="109" t="n">
        <f aca="false">BF86+BG78</f>
        <v>1599705.21171247</v>
      </c>
      <c r="BH79" s="109" t="n">
        <f aca="false">BG86+BH78</f>
        <v>1648231.51143327</v>
      </c>
      <c r="BI79" s="109" t="n">
        <f aca="false">BH86+BI78</f>
        <v>1696761.97782073</v>
      </c>
      <c r="BJ79" s="109" t="n">
        <f aca="false">BI86+BJ78</f>
        <v>1745296.61087487</v>
      </c>
      <c r="BK79" s="109" t="n">
        <f aca="false">BJ86+BK78</f>
        <v>1547270.1482149</v>
      </c>
      <c r="BL79" s="109" t="n">
        <f aca="false">BK86+BL78</f>
        <v>1594115.39756263</v>
      </c>
      <c r="BM79" s="109" t="n">
        <f aca="false">BL86+BM78</f>
        <v>1640964.81357703</v>
      </c>
      <c r="BN79" s="109" t="n">
        <f aca="false">BM86+BN78</f>
        <v>1687818.39625809</v>
      </c>
      <c r="BO79" s="109" t="n">
        <f aca="false">BN86+BO78</f>
        <v>1734676.14560582</v>
      </c>
      <c r="BP79" s="109" t="n">
        <f aca="false">BO86+BP78</f>
        <v>1781538.06162022</v>
      </c>
      <c r="BQ79" s="109" t="n">
        <f aca="false">BP86+BQ78</f>
        <v>1828404.14430128</v>
      </c>
      <c r="BR79" s="109" t="n">
        <f aca="false">BQ86+BR78</f>
        <v>1875274.39364901</v>
      </c>
      <c r="BS79" s="109" t="n">
        <f aca="false">BR86+BS78</f>
        <v>1922148.80966341</v>
      </c>
      <c r="BT79" s="109" t="n">
        <f aca="false">BS86+BT78</f>
        <v>1969027.39234447</v>
      </c>
      <c r="BU79" s="109" t="n">
        <f aca="false">BT86+BU78</f>
        <v>2015910.1416922</v>
      </c>
      <c r="BV79" s="109" t="n">
        <f aca="false">BU86+BV78</f>
        <v>2062797.0577066</v>
      </c>
      <c r="BW79" s="109" t="n">
        <f aca="false">BV86+BW78</f>
        <v>1871024.64728644</v>
      </c>
      <c r="BX79" s="109" t="n">
        <f aca="false">BW86+BX78</f>
        <v>1916214.90708324</v>
      </c>
      <c r="BY79" s="109" t="n">
        <f aca="false">BX86+BY78</f>
        <v>1961409.3335467</v>
      </c>
      <c r="BZ79" s="109" t="n">
        <f aca="false">BY86+BZ78</f>
        <v>2006607.92667684</v>
      </c>
      <c r="CA79" s="109" t="n">
        <f aca="false">BZ86+CA78</f>
        <v>2051810.68647364</v>
      </c>
      <c r="CB79" s="109" t="n">
        <f aca="false">CA86+CB78</f>
        <v>2097017.61293711</v>
      </c>
      <c r="CC79" s="109" t="n">
        <f aca="false">CB86+CC78</f>
        <v>2142228.70606724</v>
      </c>
      <c r="CD79" s="109" t="n">
        <f aca="false">CC86+CD78</f>
        <v>2187443.96586404</v>
      </c>
      <c r="CE79" s="109" t="n">
        <f aca="false">CD86+CE78</f>
        <v>2232663.39232751</v>
      </c>
      <c r="CF79" s="109" t="n">
        <f aca="false">CE86+CF78</f>
        <v>2277886.98545765</v>
      </c>
      <c r="CG79" s="109" t="n">
        <f aca="false">CF86+CG78</f>
        <v>2323114.74525445</v>
      </c>
      <c r="CH79" s="109" t="n">
        <f aca="false">CG86+CH78</f>
        <v>2368346.67171792</v>
      </c>
    </row>
    <row r="80" customFormat="false" ht="13.5" hidden="false" customHeight="true" outlineLevel="0" collapsed="false">
      <c r="A80" s="22" t="s">
        <v>582</v>
      </c>
      <c r="C80" s="109" t="n">
        <f aca="false">IF(C79&lt;Hipótesis!$D$72,MIN(Hipótesis!$D$70-0,Hipótesis!$D$72-C79),-MIN(0,MAX(0,C79-Hipótesis!$D$72)))</f>
        <v>-0</v>
      </c>
      <c r="D80" s="109" t="n">
        <f aca="false">IF(D79&lt;Hipótesis!$D$72,MIN(Hipótesis!$D$70-C81,Hipótesis!$D$72-D79),-MIN(C81,MAX(0,D79-Hipótesis!$D$72)))</f>
        <v>0</v>
      </c>
      <c r="E80" s="109" t="n">
        <f aca="false">IF(E79&lt;Hipótesis!$D$72,MIN(Hipótesis!$D$70-D81,Hipótesis!$D$72-E79),-MIN(D81,MAX(0,E79-Hipótesis!$D$72)))</f>
        <v>-0</v>
      </c>
      <c r="F80" s="109" t="n">
        <f aca="false">IF(F79&lt;Hipótesis!$D$72,MIN(Hipótesis!$D$70-E81,Hipótesis!$D$72-F79),-MIN(E81,MAX(0,F79-Hipótesis!$D$72)))</f>
        <v>-0</v>
      </c>
      <c r="G80" s="109" t="n">
        <f aca="false">IF(G79&lt;Hipótesis!$D$72,MIN(Hipótesis!$D$70-F81,Hipótesis!$D$72-G79),-MIN(F81,MAX(0,G79-Hipótesis!$D$72)))</f>
        <v>-0</v>
      </c>
      <c r="H80" s="109" t="n">
        <f aca="false">IF(H79&lt;Hipótesis!$D$72,MIN(Hipótesis!$D$70-G81,Hipótesis!$D$72-H79),-MIN(G81,MAX(0,H79-Hipótesis!$D$72)))</f>
        <v>-0</v>
      </c>
      <c r="I80" s="109" t="n">
        <f aca="false">IF(I79&lt;Hipótesis!$D$72,MIN(Hipótesis!$D$70-H81,Hipótesis!$D$72-I79),-MIN(H81,MAX(0,I79-Hipótesis!$D$72)))</f>
        <v>171.241922913399</v>
      </c>
      <c r="J80" s="109" t="n">
        <f aca="false">IF(J79&lt;Hipótesis!$D$72,MIN(Hipótesis!$D$70-I81,Hipótesis!$D$72-J79),-MIN(I81,MAX(0,J79-Hipótesis!$D$72)))</f>
        <v>5241.40797924023</v>
      </c>
      <c r="K80" s="109" t="n">
        <f aca="false">IF(K79&lt;Hipótesis!$D$72,MIN(Hipótesis!$D$70-J81,Hipótesis!$D$72-K79),-MIN(J81,MAX(0,K79-Hipótesis!$D$72)))</f>
        <v>770.694649661051</v>
      </c>
      <c r="L80" s="109" t="n">
        <f aca="false">IF(L79&lt;Hipótesis!$D$72,MIN(Hipótesis!$D$70-K81,Hipótesis!$D$72-L79),-MIN(K81,MAX(0,L79-Hipótesis!$D$72)))</f>
        <v>-3717.43583393128</v>
      </c>
      <c r="M80" s="109" t="n">
        <f aca="false">IF(M79&lt;Hipótesis!$D$72,MIN(Hipótesis!$D$70-L81,Hipótesis!$D$72-M79),-MIN(L81,MAX(0,M79-Hipótesis!$D$72)))</f>
        <v>-2465.9087178834</v>
      </c>
      <c r="N80" s="109" t="n">
        <f aca="false">IF(N79&lt;Hipótesis!$D$72,MIN(Hipótesis!$D$70-M81,Hipótesis!$D$72-N79),-MIN(M81,MAX(0,N79-Hipótesis!$D$72)))</f>
        <v>-0</v>
      </c>
      <c r="O80" s="109" t="n">
        <f aca="false">IF(O79&lt;Hipótesis!$D$72,MIN(Hipótesis!$D$70-N81,Hipótesis!$D$72-O79),-MIN(N81,MAX(0,O79-Hipótesis!$D$72)))</f>
        <v>-0</v>
      </c>
      <c r="P80" s="109" t="n">
        <f aca="false">IF(P79&lt;Hipótesis!$D$72,MIN(Hipótesis!$D$70-O81,Hipótesis!$D$72-P79),-MIN(O81,MAX(0,P79-Hipótesis!$D$72)))</f>
        <v>-0</v>
      </c>
      <c r="Q80" s="109" t="n">
        <f aca="false">IF(Q79&lt;Hipótesis!$D$72,MIN(Hipótesis!$D$70-P81,Hipótesis!$D$72-Q79),-MIN(P81,MAX(0,Q79-Hipótesis!$D$72)))</f>
        <v>-0</v>
      </c>
      <c r="R80" s="109" t="n">
        <f aca="false">IF(R79&lt;Hipótesis!$D$72,MIN(Hipótesis!$D$70-Q81,Hipótesis!$D$72-R79),-MIN(Q81,MAX(0,R79-Hipótesis!$D$72)))</f>
        <v>-0</v>
      </c>
      <c r="S80" s="109" t="n">
        <f aca="false">IF(S79&lt;Hipótesis!$D$72,MIN(Hipótesis!$D$70-R81,Hipótesis!$D$72-S79),-MIN(R81,MAX(0,S79-Hipótesis!$D$72)))</f>
        <v>-0</v>
      </c>
      <c r="T80" s="109" t="n">
        <f aca="false">IF(T79&lt;Hipótesis!$D$72,MIN(Hipótesis!$D$70-S81,Hipótesis!$D$72-T79),-MIN(S81,MAX(0,T79-Hipótesis!$D$72)))</f>
        <v>-0</v>
      </c>
      <c r="U80" s="109" t="n">
        <f aca="false">IF(U79&lt;Hipótesis!$D$72,MIN(Hipótesis!$D$70-T81,Hipótesis!$D$72-U79),-MIN(T81,MAX(0,U79-Hipótesis!$D$72)))</f>
        <v>-0</v>
      </c>
      <c r="V80" s="109" t="n">
        <f aca="false">IF(V79&lt;Hipótesis!$D$72,MIN(Hipótesis!$D$70-U81,Hipótesis!$D$72-V79),-MIN(U81,MAX(0,V79-Hipótesis!$D$72)))</f>
        <v>-0</v>
      </c>
      <c r="W80" s="109" t="n">
        <f aca="false">IF(W79&lt;Hipótesis!$D$72,MIN(Hipótesis!$D$70-V81,Hipótesis!$D$72-W79),-MIN(V81,MAX(0,W79-Hipótesis!$D$72)))</f>
        <v>-0</v>
      </c>
      <c r="X80" s="109" t="n">
        <f aca="false">IF(X79&lt;Hipótesis!$D$72,MIN(Hipótesis!$D$70-W81,Hipótesis!$D$72-X79),-MIN(W81,MAX(0,X79-Hipótesis!$D$72)))</f>
        <v>-0</v>
      </c>
      <c r="Y80" s="109" t="n">
        <f aca="false">IF(Y79&lt;Hipótesis!$D$72,MIN(Hipótesis!$D$70-X81,Hipótesis!$D$72-Y79),-MIN(X81,MAX(0,Y79-Hipótesis!$D$72)))</f>
        <v>-0</v>
      </c>
      <c r="Z80" s="109" t="n">
        <f aca="false">IF(Z79&lt;Hipótesis!$D$72,MIN(Hipótesis!$D$70-Y81,Hipótesis!$D$72-Z79),-MIN(Y81,MAX(0,Z79-Hipótesis!$D$72)))</f>
        <v>-0</v>
      </c>
      <c r="AA80" s="109" t="n">
        <f aca="false">IF(AA79&lt;Hipótesis!$D$72,MIN(Hipótesis!$D$70-Z81,Hipótesis!$D$72-AA79),-MIN(Z81,MAX(0,AA79-Hipótesis!$D$72)))</f>
        <v>-0</v>
      </c>
      <c r="AB80" s="109" t="n">
        <f aca="false">IF(AB79&lt;Hipótesis!$D$72,MIN(Hipótesis!$D$70-AA81,Hipótesis!$D$72-AB79),-MIN(AA81,MAX(0,AB79-Hipótesis!$D$72)))</f>
        <v>-0</v>
      </c>
      <c r="AC80" s="109" t="n">
        <f aca="false">IF(AC79&lt;Hipótesis!$D$72,MIN(Hipótesis!$D$70-AB81,Hipótesis!$D$72-AC79),-MIN(AB81,MAX(0,AC79-Hipótesis!$D$72)))</f>
        <v>-0</v>
      </c>
      <c r="AD80" s="109" t="n">
        <f aca="false">IF(AD79&lt;Hipótesis!$D$72,MIN(Hipótesis!$D$70-AC81,Hipótesis!$D$72-AD79),-MIN(AC81,MAX(0,AD79-Hipótesis!$D$72)))</f>
        <v>-0</v>
      </c>
      <c r="AE80" s="109" t="n">
        <f aca="false">IF(AE79&lt;Hipótesis!$D$72,MIN(Hipótesis!$D$70-AD81,Hipótesis!$D$72-AE79),-MIN(AD81,MAX(0,AE79-Hipótesis!$D$72)))</f>
        <v>-0</v>
      </c>
      <c r="AF80" s="109" t="n">
        <f aca="false">IF(AF79&lt;Hipótesis!$D$72,MIN(Hipótesis!$D$70-AE81,Hipótesis!$D$72-AF79),-MIN(AE81,MAX(0,AF79-Hipótesis!$D$72)))</f>
        <v>-0</v>
      </c>
      <c r="AG80" s="109" t="n">
        <f aca="false">IF(AG79&lt;Hipótesis!$D$72,MIN(Hipótesis!$D$70-AF81,Hipótesis!$D$72-AG79),-MIN(AF81,MAX(0,AG79-Hipótesis!$D$72)))</f>
        <v>-0</v>
      </c>
      <c r="AH80" s="109" t="n">
        <f aca="false">IF(AH79&lt;Hipótesis!$D$72,MIN(Hipótesis!$D$70-AG81,Hipótesis!$D$72-AH79),-MIN(AG81,MAX(0,AH79-Hipótesis!$D$72)))</f>
        <v>-0</v>
      </c>
      <c r="AI80" s="109" t="n">
        <f aca="false">IF(AI79&lt;Hipótesis!$D$72,MIN(Hipótesis!$D$70-AH81,Hipótesis!$D$72-AI79),-MIN(AH81,MAX(0,AI79-Hipótesis!$D$72)))</f>
        <v>-0</v>
      </c>
      <c r="AJ80" s="109" t="n">
        <f aca="false">IF(AJ79&lt;Hipótesis!$D$72,MIN(Hipótesis!$D$70-AI81,Hipótesis!$D$72-AJ79),-MIN(AI81,MAX(0,AJ79-Hipótesis!$D$72)))</f>
        <v>-0</v>
      </c>
      <c r="AK80" s="109" t="n">
        <f aca="false">IF(AK79&lt;Hipótesis!$D$72,MIN(Hipótesis!$D$70-AJ81,Hipótesis!$D$72-AK79),-MIN(AJ81,MAX(0,AK79-Hipótesis!$D$72)))</f>
        <v>-0</v>
      </c>
      <c r="AL80" s="109" t="n">
        <f aca="false">IF(AL79&lt;Hipótesis!$D$72,MIN(Hipótesis!$D$70-AK81,Hipótesis!$D$72-AL79),-MIN(AK81,MAX(0,AL79-Hipótesis!$D$72)))</f>
        <v>-0</v>
      </c>
      <c r="AM80" s="109" t="n">
        <f aca="false">IF(AM79&lt;Hipótesis!$D$72,MIN(Hipótesis!$D$70-AL81,Hipótesis!$D$72-AM79),-MIN(AL81,MAX(0,AM79-Hipótesis!$D$72)))</f>
        <v>-0</v>
      </c>
      <c r="AN80" s="109" t="n">
        <f aca="false">IF(AN79&lt;Hipótesis!$D$72,MIN(Hipótesis!$D$70-AM81,Hipótesis!$D$72-AN79),-MIN(AM81,MAX(0,AN79-Hipótesis!$D$72)))</f>
        <v>-0</v>
      </c>
      <c r="AO80" s="109" t="n">
        <f aca="false">IF(AO79&lt;Hipótesis!$D$72,MIN(Hipótesis!$D$70-AN81,Hipótesis!$D$72-AO79),-MIN(AN81,MAX(0,AO79-Hipótesis!$D$72)))</f>
        <v>-0</v>
      </c>
      <c r="AP80" s="109" t="n">
        <f aca="false">IF(AP79&lt;Hipótesis!$D$72,MIN(Hipótesis!$D$70-AO81,Hipótesis!$D$72-AP79),-MIN(AO81,MAX(0,AP79-Hipótesis!$D$72)))</f>
        <v>-0</v>
      </c>
      <c r="AQ80" s="109" t="n">
        <f aca="false">IF(AQ79&lt;Hipótesis!$D$72,MIN(Hipótesis!$D$70-AP81,Hipótesis!$D$72-AQ79),-MIN(AP81,MAX(0,AQ79-Hipótesis!$D$72)))</f>
        <v>-0</v>
      </c>
      <c r="AR80" s="109" t="n">
        <f aca="false">IF(AR79&lt;Hipótesis!$D$72,MIN(Hipótesis!$D$70-AQ81,Hipótesis!$D$72-AR79),-MIN(AQ81,MAX(0,AR79-Hipótesis!$D$72)))</f>
        <v>-0</v>
      </c>
      <c r="AS80" s="109" t="n">
        <f aca="false">IF(AS79&lt;Hipótesis!$D$72,MIN(Hipótesis!$D$70-AR81,Hipótesis!$D$72-AS79),-MIN(AR81,MAX(0,AS79-Hipótesis!$D$72)))</f>
        <v>-0</v>
      </c>
      <c r="AT80" s="109" t="n">
        <f aca="false">IF(AT79&lt;Hipótesis!$D$72,MIN(Hipótesis!$D$70-AS81,Hipótesis!$D$72-AT79),-MIN(AS81,MAX(0,AT79-Hipótesis!$D$72)))</f>
        <v>-0</v>
      </c>
      <c r="AU80" s="109" t="n">
        <f aca="false">IF(AU79&lt;Hipótesis!$D$72,MIN(Hipótesis!$D$70-AT81,Hipótesis!$D$72-AU79),-MIN(AT81,MAX(0,AU79-Hipótesis!$D$72)))</f>
        <v>-0</v>
      </c>
      <c r="AV80" s="109" t="n">
        <f aca="false">IF(AV79&lt;Hipótesis!$D$72,MIN(Hipótesis!$D$70-AU81,Hipótesis!$D$72-AV79),-MIN(AU81,MAX(0,AV79-Hipótesis!$D$72)))</f>
        <v>-0</v>
      </c>
      <c r="AW80" s="109" t="n">
        <f aca="false">IF(AW79&lt;Hipótesis!$D$72,MIN(Hipótesis!$D$70-AV81,Hipótesis!$D$72-AW79),-MIN(AV81,MAX(0,AW79-Hipótesis!$D$72)))</f>
        <v>-0</v>
      </c>
      <c r="AX80" s="109" t="n">
        <f aca="false">IF(AX79&lt;Hipótesis!$D$72,MIN(Hipótesis!$D$70-AW81,Hipótesis!$D$72-AX79),-MIN(AW81,MAX(0,AX79-Hipótesis!$D$72)))</f>
        <v>-0</v>
      </c>
      <c r="AY80" s="109" t="n">
        <f aca="false">IF(AY79&lt;Hipótesis!$D$72,MIN(Hipótesis!$D$70-AX81,Hipótesis!$D$72-AY79),-MIN(AX81,MAX(0,AY79-Hipótesis!$D$72)))</f>
        <v>-0</v>
      </c>
      <c r="AZ80" s="109" t="n">
        <f aca="false">IF(AZ79&lt;Hipótesis!$D$72,MIN(Hipótesis!$D$70-AY81,Hipótesis!$D$72-AZ79),-MIN(AY81,MAX(0,AZ79-Hipótesis!$D$72)))</f>
        <v>-0</v>
      </c>
      <c r="BA80" s="109" t="n">
        <f aca="false">IF(BA79&lt;Hipótesis!$D$72,MIN(Hipótesis!$D$70-AZ81,Hipótesis!$D$72-BA79),-MIN(AZ81,MAX(0,BA79-Hipótesis!$D$72)))</f>
        <v>-0</v>
      </c>
      <c r="BB80" s="109" t="n">
        <f aca="false">IF(BB79&lt;Hipótesis!$D$72,MIN(Hipótesis!$D$70-BA81,Hipótesis!$D$72-BB79),-MIN(BA81,MAX(0,BB79-Hipótesis!$D$72)))</f>
        <v>-0</v>
      </c>
      <c r="BC80" s="109" t="n">
        <f aca="false">IF(BC79&lt;Hipótesis!$D$72,MIN(Hipótesis!$D$70-BB81,Hipótesis!$D$72-BC79),-MIN(BB81,MAX(0,BC79-Hipótesis!$D$72)))</f>
        <v>-0</v>
      </c>
      <c r="BD80" s="109" t="n">
        <f aca="false">IF(BD79&lt;Hipótesis!$D$72,MIN(Hipótesis!$D$70-BC81,Hipótesis!$D$72-BD79),-MIN(BC81,MAX(0,BD79-Hipótesis!$D$72)))</f>
        <v>-0</v>
      </c>
      <c r="BE80" s="109" t="n">
        <f aca="false">IF(BE79&lt;Hipótesis!$D$72,MIN(Hipótesis!$D$70-BD81,Hipótesis!$D$72-BE79),-MIN(BD81,MAX(0,BE79-Hipótesis!$D$72)))</f>
        <v>-0</v>
      </c>
      <c r="BF80" s="109" t="n">
        <f aca="false">IF(BF79&lt;Hipótesis!$D$72,MIN(Hipótesis!$D$70-BE81,Hipótesis!$D$72-BF79),-MIN(BE81,MAX(0,BF79-Hipótesis!$D$72)))</f>
        <v>-0</v>
      </c>
      <c r="BG80" s="109" t="n">
        <f aca="false">IF(BG79&lt;Hipótesis!$D$72,MIN(Hipótesis!$D$70-BF81,Hipótesis!$D$72-BG79),-MIN(BF81,MAX(0,BG79-Hipótesis!$D$72)))</f>
        <v>-0</v>
      </c>
      <c r="BH80" s="109" t="n">
        <f aca="false">IF(BH79&lt;Hipótesis!$D$72,MIN(Hipótesis!$D$70-BG81,Hipótesis!$D$72-BH79),-MIN(BG81,MAX(0,BH79-Hipótesis!$D$72)))</f>
        <v>-0</v>
      </c>
      <c r="BI80" s="109" t="n">
        <f aca="false">IF(BI79&lt;Hipótesis!$D$72,MIN(Hipótesis!$D$70-BH81,Hipótesis!$D$72-BI79),-MIN(BH81,MAX(0,BI79-Hipótesis!$D$72)))</f>
        <v>-0</v>
      </c>
      <c r="BJ80" s="109" t="n">
        <f aca="false">IF(BJ79&lt;Hipótesis!$D$72,MIN(Hipótesis!$D$70-BI81,Hipótesis!$D$72-BJ79),-MIN(BI81,MAX(0,BJ79-Hipótesis!$D$72)))</f>
        <v>-0</v>
      </c>
      <c r="BK80" s="109" t="n">
        <f aca="false">IF(BK79&lt;Hipótesis!$D$72,MIN(Hipótesis!$D$70-BJ81,Hipótesis!$D$72-BK79),-MIN(BJ81,MAX(0,BK79-Hipótesis!$D$72)))</f>
        <v>-0</v>
      </c>
      <c r="BL80" s="109" t="n">
        <f aca="false">IF(BL79&lt;Hipótesis!$D$72,MIN(Hipótesis!$D$70-BK81,Hipótesis!$D$72-BL79),-MIN(BK81,MAX(0,BL79-Hipótesis!$D$72)))</f>
        <v>-0</v>
      </c>
      <c r="BM80" s="109" t="n">
        <f aca="false">IF(BM79&lt;Hipótesis!$D$72,MIN(Hipótesis!$D$70-BL81,Hipótesis!$D$72-BM79),-MIN(BL81,MAX(0,BM79-Hipótesis!$D$72)))</f>
        <v>-0</v>
      </c>
      <c r="BN80" s="109" t="n">
        <f aca="false">IF(BN79&lt;Hipótesis!$D$72,MIN(Hipótesis!$D$70-BM81,Hipótesis!$D$72-BN79),-MIN(BM81,MAX(0,BN79-Hipótesis!$D$72)))</f>
        <v>-0</v>
      </c>
      <c r="BO80" s="109" t="n">
        <f aca="false">IF(BO79&lt;Hipótesis!$D$72,MIN(Hipótesis!$D$70-BN81,Hipótesis!$D$72-BO79),-MIN(BN81,MAX(0,BO79-Hipótesis!$D$72)))</f>
        <v>-0</v>
      </c>
      <c r="BP80" s="109" t="n">
        <f aca="false">IF(BP79&lt;Hipótesis!$D$72,MIN(Hipótesis!$D$70-BO81,Hipótesis!$D$72-BP79),-MIN(BO81,MAX(0,BP79-Hipótesis!$D$72)))</f>
        <v>-0</v>
      </c>
      <c r="BQ80" s="109" t="n">
        <f aca="false">IF(BQ79&lt;Hipótesis!$D$72,MIN(Hipótesis!$D$70-BP81,Hipótesis!$D$72-BQ79),-MIN(BP81,MAX(0,BQ79-Hipótesis!$D$72)))</f>
        <v>-0</v>
      </c>
      <c r="BR80" s="109" t="n">
        <f aca="false">IF(BR79&lt;Hipótesis!$D$72,MIN(Hipótesis!$D$70-BQ81,Hipótesis!$D$72-BR79),-MIN(BQ81,MAX(0,BR79-Hipótesis!$D$72)))</f>
        <v>-0</v>
      </c>
      <c r="BS80" s="109" t="n">
        <f aca="false">IF(BS79&lt;Hipótesis!$D$72,MIN(Hipótesis!$D$70-BR81,Hipótesis!$D$72-BS79),-MIN(BR81,MAX(0,BS79-Hipótesis!$D$72)))</f>
        <v>-0</v>
      </c>
      <c r="BT80" s="109" t="n">
        <f aca="false">IF(BT79&lt;Hipótesis!$D$72,MIN(Hipótesis!$D$70-BS81,Hipótesis!$D$72-BT79),-MIN(BS81,MAX(0,BT79-Hipótesis!$D$72)))</f>
        <v>-0</v>
      </c>
      <c r="BU80" s="109" t="n">
        <f aca="false">IF(BU79&lt;Hipótesis!$D$72,MIN(Hipótesis!$D$70-BT81,Hipótesis!$D$72-BU79),-MIN(BT81,MAX(0,BU79-Hipótesis!$D$72)))</f>
        <v>-0</v>
      </c>
      <c r="BV80" s="109" t="n">
        <f aca="false">IF(BV79&lt;Hipótesis!$D$72,MIN(Hipótesis!$D$70-BU81,Hipótesis!$D$72-BV79),-MIN(BU81,MAX(0,BV79-Hipótesis!$D$72)))</f>
        <v>-0</v>
      </c>
      <c r="BW80" s="109" t="n">
        <f aca="false">IF(BW79&lt;Hipótesis!$D$72,MIN(Hipótesis!$D$70-BV81,Hipótesis!$D$72-BW79),-MIN(BV81,MAX(0,BW79-Hipótesis!$D$72)))</f>
        <v>-0</v>
      </c>
      <c r="BX80" s="109" t="n">
        <f aca="false">IF(BX79&lt;Hipótesis!$D$72,MIN(Hipótesis!$D$70-BW81,Hipótesis!$D$72-BX79),-MIN(BW81,MAX(0,BX79-Hipótesis!$D$72)))</f>
        <v>-0</v>
      </c>
      <c r="BY80" s="109" t="n">
        <f aca="false">IF(BY79&lt;Hipótesis!$D$72,MIN(Hipótesis!$D$70-BX81,Hipótesis!$D$72-BY79),-MIN(BX81,MAX(0,BY79-Hipótesis!$D$72)))</f>
        <v>-0</v>
      </c>
      <c r="BZ80" s="109" t="n">
        <f aca="false">IF(BZ79&lt;Hipótesis!$D$72,MIN(Hipótesis!$D$70-BY81,Hipótesis!$D$72-BZ79),-MIN(BY81,MAX(0,BZ79-Hipótesis!$D$72)))</f>
        <v>-0</v>
      </c>
      <c r="CA80" s="109" t="n">
        <f aca="false">IF(CA79&lt;Hipótesis!$D$72,MIN(Hipótesis!$D$70-BZ81,Hipótesis!$D$72-CA79),-MIN(BZ81,MAX(0,CA79-Hipótesis!$D$72)))</f>
        <v>-0</v>
      </c>
      <c r="CB80" s="109" t="n">
        <f aca="false">IF(CB79&lt;Hipótesis!$D$72,MIN(Hipótesis!$D$70-CA81,Hipótesis!$D$72-CB79),-MIN(CA81,MAX(0,CB79-Hipótesis!$D$72)))</f>
        <v>-0</v>
      </c>
      <c r="CC80" s="109" t="n">
        <f aca="false">IF(CC79&lt;Hipótesis!$D$72,MIN(Hipótesis!$D$70-CB81,Hipótesis!$D$72-CC79),-MIN(CB81,MAX(0,CC79-Hipótesis!$D$72)))</f>
        <v>-0</v>
      </c>
      <c r="CD80" s="109" t="n">
        <f aca="false">IF(CD79&lt;Hipótesis!$D$72,MIN(Hipótesis!$D$70-CC81,Hipótesis!$D$72-CD79),-MIN(CC81,MAX(0,CD79-Hipótesis!$D$72)))</f>
        <v>-0</v>
      </c>
      <c r="CE80" s="109" t="n">
        <f aca="false">IF(CE79&lt;Hipótesis!$D$72,MIN(Hipótesis!$D$70-CD81,Hipótesis!$D$72-CE79),-MIN(CD81,MAX(0,CE79-Hipótesis!$D$72)))</f>
        <v>-0</v>
      </c>
      <c r="CF80" s="109" t="n">
        <f aca="false">IF(CF79&lt;Hipótesis!$D$72,MIN(Hipótesis!$D$70-CE81,Hipótesis!$D$72-CF79),-MIN(CE81,MAX(0,CF79-Hipótesis!$D$72)))</f>
        <v>-0</v>
      </c>
      <c r="CG80" s="109" t="n">
        <f aca="false">IF(CG79&lt;Hipótesis!$D$72,MIN(Hipótesis!$D$70-CF81,Hipótesis!$D$72-CG79),-MIN(CF81,MAX(0,CG79-Hipótesis!$D$72)))</f>
        <v>-0</v>
      </c>
      <c r="CH80" s="109" t="n">
        <f aca="false">IF(CH79&lt;Hipótesis!$D$72,MIN(Hipótesis!$D$70-CG81,Hipótesis!$D$72-CH79),-MIN(CG81,MAX(0,CH79-Hipótesis!$D$72)))</f>
        <v>-0</v>
      </c>
    </row>
    <row r="81" customFormat="false" ht="13.5" hidden="false" customHeight="true" outlineLevel="0" collapsed="false">
      <c r="A81" s="47" t="s">
        <v>583</v>
      </c>
      <c r="C81" s="71" t="n">
        <f aca="false">C80</f>
        <v>-0</v>
      </c>
      <c r="D81" s="71" t="n">
        <f aca="false">C81+D80</f>
        <v>0</v>
      </c>
      <c r="E81" s="71" t="n">
        <f aca="false">D81+E80</f>
        <v>0</v>
      </c>
      <c r="F81" s="71" t="n">
        <f aca="false">E81+F80</f>
        <v>0</v>
      </c>
      <c r="G81" s="71" t="n">
        <f aca="false">F81+G80</f>
        <v>0</v>
      </c>
      <c r="H81" s="71" t="n">
        <f aca="false">G81+H80</f>
        <v>0</v>
      </c>
      <c r="I81" s="71" t="n">
        <f aca="false">H81+I80</f>
        <v>171.241922913399</v>
      </c>
      <c r="J81" s="71" t="n">
        <f aca="false">I81+J80</f>
        <v>5412.64990215363</v>
      </c>
      <c r="K81" s="71" t="n">
        <f aca="false">J81+K80</f>
        <v>6183.34455181468</v>
      </c>
      <c r="L81" s="71" t="n">
        <f aca="false">K81+L80</f>
        <v>2465.9087178834</v>
      </c>
      <c r="M81" s="71" t="n">
        <f aca="false">L81+M80</f>
        <v>0</v>
      </c>
      <c r="N81" s="71" t="n">
        <f aca="false">M81+N80</f>
        <v>0</v>
      </c>
      <c r="O81" s="71" t="n">
        <f aca="false">N81+O80</f>
        <v>0</v>
      </c>
      <c r="P81" s="71" t="n">
        <f aca="false">O81+P80</f>
        <v>0</v>
      </c>
      <c r="Q81" s="71" t="n">
        <f aca="false">P81+Q80</f>
        <v>0</v>
      </c>
      <c r="R81" s="71" t="n">
        <f aca="false">Q81+R80</f>
        <v>0</v>
      </c>
      <c r="S81" s="71" t="n">
        <f aca="false">R81+S80</f>
        <v>0</v>
      </c>
      <c r="T81" s="71" t="n">
        <f aca="false">S81+T80</f>
        <v>0</v>
      </c>
      <c r="U81" s="71" t="n">
        <f aca="false">T81+U80</f>
        <v>0</v>
      </c>
      <c r="V81" s="71" t="n">
        <f aca="false">U81+V80</f>
        <v>0</v>
      </c>
      <c r="W81" s="71" t="n">
        <f aca="false">V81+W80</f>
        <v>0</v>
      </c>
      <c r="X81" s="71" t="n">
        <f aca="false">W81+X80</f>
        <v>0</v>
      </c>
      <c r="Y81" s="71" t="n">
        <f aca="false">X81+Y80</f>
        <v>0</v>
      </c>
      <c r="Z81" s="71" t="n">
        <f aca="false">Y81+Z80</f>
        <v>0</v>
      </c>
      <c r="AA81" s="71" t="n">
        <f aca="false">Z81+AA80</f>
        <v>0</v>
      </c>
      <c r="AB81" s="71" t="n">
        <f aca="false">AA81+AB80</f>
        <v>0</v>
      </c>
      <c r="AC81" s="71" t="n">
        <f aca="false">AB81+AC80</f>
        <v>0</v>
      </c>
      <c r="AD81" s="71" t="n">
        <f aca="false">AC81+AD80</f>
        <v>0</v>
      </c>
      <c r="AE81" s="71" t="n">
        <f aca="false">AD81+AE80</f>
        <v>0</v>
      </c>
      <c r="AF81" s="71" t="n">
        <f aca="false">AE81+AF80</f>
        <v>0</v>
      </c>
      <c r="AG81" s="71" t="n">
        <f aca="false">AF81+AG80</f>
        <v>0</v>
      </c>
      <c r="AH81" s="71" t="n">
        <f aca="false">AG81+AH80</f>
        <v>0</v>
      </c>
      <c r="AI81" s="71" t="n">
        <f aca="false">AH81+AI80</f>
        <v>0</v>
      </c>
      <c r="AJ81" s="71" t="n">
        <f aca="false">AI81+AJ80</f>
        <v>0</v>
      </c>
      <c r="AK81" s="71" t="n">
        <f aca="false">AJ81+AK80</f>
        <v>0</v>
      </c>
      <c r="AL81" s="71" t="n">
        <f aca="false">AK81+AL80</f>
        <v>0</v>
      </c>
      <c r="AM81" s="71" t="n">
        <f aca="false">AL81+AM80</f>
        <v>0</v>
      </c>
      <c r="AN81" s="71" t="n">
        <f aca="false">AM81+AN80</f>
        <v>0</v>
      </c>
      <c r="AO81" s="71" t="n">
        <f aca="false">AN81+AO80</f>
        <v>0</v>
      </c>
      <c r="AP81" s="71" t="n">
        <f aca="false">AO81+AP80</f>
        <v>0</v>
      </c>
      <c r="AQ81" s="71" t="n">
        <f aca="false">AP81+AQ80</f>
        <v>0</v>
      </c>
      <c r="AR81" s="71" t="n">
        <f aca="false">AQ81+AR80</f>
        <v>0</v>
      </c>
      <c r="AS81" s="71" t="n">
        <f aca="false">AR81+AS80</f>
        <v>0</v>
      </c>
      <c r="AT81" s="71" t="n">
        <f aca="false">AS81+AT80</f>
        <v>0</v>
      </c>
      <c r="AU81" s="71" t="n">
        <f aca="false">AT81+AU80</f>
        <v>0</v>
      </c>
      <c r="AV81" s="71" t="n">
        <f aca="false">AU81+AV80</f>
        <v>0</v>
      </c>
      <c r="AW81" s="71" t="n">
        <f aca="false">AV81+AW80</f>
        <v>0</v>
      </c>
      <c r="AX81" s="71" t="n">
        <f aca="false">AW81+AX80</f>
        <v>0</v>
      </c>
      <c r="AY81" s="71" t="n">
        <f aca="false">AX81+AY80</f>
        <v>0</v>
      </c>
      <c r="AZ81" s="71" t="n">
        <f aca="false">AY81+AZ80</f>
        <v>0</v>
      </c>
      <c r="BA81" s="71" t="n">
        <f aca="false">AZ81+BA80</f>
        <v>0</v>
      </c>
      <c r="BB81" s="71" t="n">
        <f aca="false">BA81+BB80</f>
        <v>0</v>
      </c>
      <c r="BC81" s="71" t="n">
        <f aca="false">BB81+BC80</f>
        <v>0</v>
      </c>
      <c r="BD81" s="71" t="n">
        <f aca="false">BC81+BD80</f>
        <v>0</v>
      </c>
      <c r="BE81" s="71" t="n">
        <f aca="false">BD81+BE80</f>
        <v>0</v>
      </c>
      <c r="BF81" s="71" t="n">
        <f aca="false">BE81+BF80</f>
        <v>0</v>
      </c>
      <c r="BG81" s="71" t="n">
        <f aca="false">BF81+BG80</f>
        <v>0</v>
      </c>
      <c r="BH81" s="71" t="n">
        <f aca="false">BG81+BH80</f>
        <v>0</v>
      </c>
      <c r="BI81" s="71" t="n">
        <f aca="false">BH81+BI80</f>
        <v>0</v>
      </c>
      <c r="BJ81" s="71" t="n">
        <f aca="false">BI81+BJ80</f>
        <v>0</v>
      </c>
      <c r="BK81" s="71" t="n">
        <f aca="false">BJ81+BK80</f>
        <v>0</v>
      </c>
      <c r="BL81" s="71" t="n">
        <f aca="false">BK81+BL80</f>
        <v>0</v>
      </c>
      <c r="BM81" s="71" t="n">
        <f aca="false">BL81+BM80</f>
        <v>0</v>
      </c>
      <c r="BN81" s="71" t="n">
        <f aca="false">BM81+BN80</f>
        <v>0</v>
      </c>
      <c r="BO81" s="71" t="n">
        <f aca="false">BN81+BO80</f>
        <v>0</v>
      </c>
      <c r="BP81" s="71" t="n">
        <f aca="false">BO81+BP80</f>
        <v>0</v>
      </c>
      <c r="BQ81" s="71" t="n">
        <f aca="false">BP81+BQ80</f>
        <v>0</v>
      </c>
      <c r="BR81" s="71" t="n">
        <f aca="false">BQ81+BR80</f>
        <v>0</v>
      </c>
      <c r="BS81" s="71" t="n">
        <f aca="false">BR81+BS80</f>
        <v>0</v>
      </c>
      <c r="BT81" s="71" t="n">
        <f aca="false">BS81+BT80</f>
        <v>0</v>
      </c>
      <c r="BU81" s="71" t="n">
        <f aca="false">BT81+BU80</f>
        <v>0</v>
      </c>
      <c r="BV81" s="71" t="n">
        <f aca="false">BU81+BV80</f>
        <v>0</v>
      </c>
      <c r="BW81" s="71" t="n">
        <f aca="false">BV81+BW80</f>
        <v>0</v>
      </c>
      <c r="BX81" s="71" t="n">
        <f aca="false">BW81+BX80</f>
        <v>0</v>
      </c>
      <c r="BY81" s="71" t="n">
        <f aca="false">BX81+BY80</f>
        <v>0</v>
      </c>
      <c r="BZ81" s="71" t="n">
        <f aca="false">BY81+BZ80</f>
        <v>0</v>
      </c>
      <c r="CA81" s="71" t="n">
        <f aca="false">BZ81+CA80</f>
        <v>0</v>
      </c>
      <c r="CB81" s="71" t="n">
        <f aca="false">CA81+CB80</f>
        <v>0</v>
      </c>
      <c r="CC81" s="71" t="n">
        <f aca="false">CB81+CC80</f>
        <v>0</v>
      </c>
      <c r="CD81" s="71" t="n">
        <f aca="false">CC81+CD80</f>
        <v>0</v>
      </c>
      <c r="CE81" s="71" t="n">
        <f aca="false">CD81+CE80</f>
        <v>0</v>
      </c>
      <c r="CF81" s="71" t="n">
        <f aca="false">CE81+CF80</f>
        <v>0</v>
      </c>
      <c r="CG81" s="71" t="n">
        <f aca="false">CF81+CG80</f>
        <v>0</v>
      </c>
      <c r="CH81" s="71" t="n">
        <f aca="false">CG81+CH80</f>
        <v>0</v>
      </c>
    </row>
    <row r="82" customFormat="false" ht="13.5" hidden="false" customHeight="true" outlineLevel="0" collapsed="false">
      <c r="A82" s="6" t="s">
        <v>584</v>
      </c>
      <c r="C82" s="109" t="n">
        <f aca="false">C79+C80</f>
        <v>147790.15656386</v>
      </c>
      <c r="D82" s="109" t="n">
        <f aca="false">D79+D80</f>
        <v>117122.411075438</v>
      </c>
      <c r="E82" s="109" t="n">
        <f aca="false">E79+E80</f>
        <v>93694.6495560335</v>
      </c>
      <c r="F82" s="109" t="n">
        <f aca="false">F79+F80</f>
        <v>73116.6709286062</v>
      </c>
      <c r="G82" s="109" t="n">
        <f aca="false">G79+G80</f>
        <v>55035.0671426321</v>
      </c>
      <c r="H82" s="109" t="n">
        <f aca="false">H79+H80</f>
        <v>40046.5594685156</v>
      </c>
      <c r="I82" s="109" t="n">
        <f aca="false">I79+I80</f>
        <v>30000</v>
      </c>
      <c r="J82" s="109" t="n">
        <f aca="false">J79+J80</f>
        <v>30000</v>
      </c>
      <c r="K82" s="109" t="n">
        <f aca="false">K79+K80</f>
        <v>30000</v>
      </c>
      <c r="L82" s="109" t="n">
        <f aca="false">L79+L80</f>
        <v>30000</v>
      </c>
      <c r="M82" s="109" t="n">
        <f aca="false">M79+M80</f>
        <v>34988.623677648</v>
      </c>
      <c r="N82" s="109" t="n">
        <f aca="false">N79+N80</f>
        <v>45345.1546577432</v>
      </c>
      <c r="O82" s="109" t="n">
        <f aca="false">O79+O80</f>
        <v>56876.5952206691</v>
      </c>
      <c r="P82" s="109" t="n">
        <f aca="false">P79+P80</f>
        <v>71152.7127312538</v>
      </c>
      <c r="Q82" s="109" t="n">
        <f aca="false">Q79+Q80</f>
        <v>88119.3607244238</v>
      </c>
      <c r="R82" s="109" t="n">
        <f aca="false">R79+R80</f>
        <v>107776.539200179</v>
      </c>
      <c r="S82" s="109" t="n">
        <f aca="false">S79+S80</f>
        <v>130124.24815852</v>
      </c>
      <c r="T82" s="109" t="n">
        <f aca="false">T79+T80</f>
        <v>155162.487599446</v>
      </c>
      <c r="U82" s="109" t="n">
        <f aca="false">U79+U80</f>
        <v>182891.257522957</v>
      </c>
      <c r="V82" s="109" t="n">
        <f aca="false">V79+V80</f>
        <v>209120.134769054</v>
      </c>
      <c r="W82" s="109" t="n">
        <f aca="false">W79+W80</f>
        <v>238039.542497736</v>
      </c>
      <c r="X82" s="109" t="n">
        <f aca="false">X79+X80</f>
        <v>268971.61412483</v>
      </c>
      <c r="Y82" s="109" t="n">
        <f aca="false">Y79+Y80</f>
        <v>301827.974282689</v>
      </c>
      <c r="Z82" s="109" t="n">
        <f aca="false">Z79+Z80</f>
        <v>336352.631681911</v>
      </c>
      <c r="AA82" s="109" t="n">
        <f aca="false">AA79+AA80</f>
        <v>369011.134505968</v>
      </c>
      <c r="AB82" s="109" t="n">
        <f aca="false">AB79+AB80</f>
        <v>403317.87714655</v>
      </c>
      <c r="AC82" s="109" t="n">
        <f aca="false">AC79+AC80</f>
        <v>439272.859603658</v>
      </c>
      <c r="AD82" s="109" t="n">
        <f aca="false">AD79+AD80</f>
        <v>476876.08187729</v>
      </c>
      <c r="AE82" s="109" t="n">
        <f aca="false">AE79+AE80</f>
        <v>516127.543967448</v>
      </c>
      <c r="AF82" s="109" t="n">
        <f aca="false">AF79+AF80</f>
        <v>557027.245874131</v>
      </c>
      <c r="AG82" s="109" t="n">
        <f aca="false">AG79+AG80</f>
        <v>599575.187597339</v>
      </c>
      <c r="AH82" s="109" t="n">
        <f aca="false">AH79+AH80</f>
        <v>643771.369137071</v>
      </c>
      <c r="AI82" s="109" t="n">
        <f aca="false">AI79+AI80</f>
        <v>687632.701046529</v>
      </c>
      <c r="AJ82" s="109" t="n">
        <f aca="false">AJ79+AJ80</f>
        <v>733142.272772512</v>
      </c>
      <c r="AK82" s="109" t="n">
        <f aca="false">AK79+AK80</f>
        <v>780300.084315021</v>
      </c>
      <c r="AL82" s="109" t="n">
        <f aca="false">AL79+AL80</f>
        <v>829106.135674054</v>
      </c>
      <c r="AM82" s="109" t="n">
        <f aca="false">AM79+AM80</f>
        <v>871627.679247095</v>
      </c>
      <c r="AN82" s="109" t="n">
        <f aca="false">AN79+AN80</f>
        <v>915598.279994588</v>
      </c>
      <c r="AO82" s="109" t="n">
        <f aca="false">AO79+AO80</f>
        <v>961017.937916533</v>
      </c>
      <c r="AP82" s="109" t="n">
        <f aca="false">AP79+AP80</f>
        <v>1007886.65301293</v>
      </c>
      <c r="AQ82" s="109" t="n">
        <f aca="false">AQ79+AQ80</f>
        <v>1056204.42528378</v>
      </c>
      <c r="AR82" s="109" t="n">
        <f aca="false">AR79+AR80</f>
        <v>1105971.25472908</v>
      </c>
      <c r="AS82" s="109" t="n">
        <f aca="false">AS79+AS80</f>
        <v>1156125.71079913</v>
      </c>
      <c r="AT82" s="109" t="n">
        <f aca="false">AT79+AT80</f>
        <v>1206284.33353586</v>
      </c>
      <c r="AU82" s="109" t="n">
        <f aca="false">AU79+AU80</f>
        <v>1256447.12293925</v>
      </c>
      <c r="AV82" s="109" t="n">
        <f aca="false">AV79+AV80</f>
        <v>1306614.07900931</v>
      </c>
      <c r="AW82" s="109" t="n">
        <f aca="false">AW79+AW80</f>
        <v>1356785.20174604</v>
      </c>
      <c r="AX82" s="109" t="n">
        <f aca="false">AX79+AX80</f>
        <v>1406960.49114943</v>
      </c>
      <c r="AY82" s="109" t="n">
        <f aca="false">AY79+AY80</f>
        <v>1211644.81394607</v>
      </c>
      <c r="AZ82" s="109" t="n">
        <f aca="false">AZ79+AZ80</f>
        <v>1260137.78033353</v>
      </c>
      <c r="BA82" s="109" t="n">
        <f aca="false">BA79+BA80</f>
        <v>1308634.91338767</v>
      </c>
      <c r="BB82" s="109" t="n">
        <f aca="false">BB79+BB80</f>
        <v>1357136.21310847</v>
      </c>
      <c r="BC82" s="109" t="n">
        <f aca="false">BC79+BC80</f>
        <v>1405641.67949593</v>
      </c>
      <c r="BD82" s="109" t="n">
        <f aca="false">BD79+BD80</f>
        <v>1454151.31255007</v>
      </c>
      <c r="BE82" s="109" t="n">
        <f aca="false">BE79+BE80</f>
        <v>1502665.11227087</v>
      </c>
      <c r="BF82" s="109" t="n">
        <f aca="false">BF79+BF80</f>
        <v>1551183.07865833</v>
      </c>
      <c r="BG82" s="109" t="n">
        <f aca="false">BG79+BG80</f>
        <v>1599705.21171247</v>
      </c>
      <c r="BH82" s="109" t="n">
        <f aca="false">BH79+BH80</f>
        <v>1648231.51143327</v>
      </c>
      <c r="BI82" s="109" t="n">
        <f aca="false">BI79+BI80</f>
        <v>1696761.97782073</v>
      </c>
      <c r="BJ82" s="109" t="n">
        <f aca="false">BJ79+BJ80</f>
        <v>1745296.61087487</v>
      </c>
      <c r="BK82" s="109" t="n">
        <f aca="false">BK79+BK80</f>
        <v>1547270.1482149</v>
      </c>
      <c r="BL82" s="109" t="n">
        <f aca="false">BL79+BL80</f>
        <v>1594115.39756263</v>
      </c>
      <c r="BM82" s="109" t="n">
        <f aca="false">BM79+BM80</f>
        <v>1640964.81357703</v>
      </c>
      <c r="BN82" s="109" t="n">
        <f aca="false">BN79+BN80</f>
        <v>1687818.39625809</v>
      </c>
      <c r="BO82" s="109" t="n">
        <f aca="false">BO79+BO80</f>
        <v>1734676.14560582</v>
      </c>
      <c r="BP82" s="109" t="n">
        <f aca="false">BP79+BP80</f>
        <v>1781538.06162022</v>
      </c>
      <c r="BQ82" s="109" t="n">
        <f aca="false">BQ79+BQ80</f>
        <v>1828404.14430128</v>
      </c>
      <c r="BR82" s="109" t="n">
        <f aca="false">BR79+BR80</f>
        <v>1875274.39364901</v>
      </c>
      <c r="BS82" s="109" t="n">
        <f aca="false">BS79+BS80</f>
        <v>1922148.80966341</v>
      </c>
      <c r="BT82" s="109" t="n">
        <f aca="false">BT79+BT80</f>
        <v>1969027.39234447</v>
      </c>
      <c r="BU82" s="109" t="n">
        <f aca="false">BU79+BU80</f>
        <v>2015910.1416922</v>
      </c>
      <c r="BV82" s="109" t="n">
        <f aca="false">BV79+BV80</f>
        <v>2062797.0577066</v>
      </c>
      <c r="BW82" s="109" t="n">
        <f aca="false">BW79+BW80</f>
        <v>1871024.64728644</v>
      </c>
      <c r="BX82" s="109" t="n">
        <f aca="false">BX79+BX80</f>
        <v>1916214.90708324</v>
      </c>
      <c r="BY82" s="109" t="n">
        <f aca="false">BY79+BY80</f>
        <v>1961409.3335467</v>
      </c>
      <c r="BZ82" s="109" t="n">
        <f aca="false">BZ79+BZ80</f>
        <v>2006607.92667684</v>
      </c>
      <c r="CA82" s="109" t="n">
        <f aca="false">CA79+CA80</f>
        <v>2051810.68647364</v>
      </c>
      <c r="CB82" s="109" t="n">
        <f aca="false">CB79+CB80</f>
        <v>2097017.61293711</v>
      </c>
      <c r="CC82" s="109" t="n">
        <f aca="false">CC79+CC80</f>
        <v>2142228.70606724</v>
      </c>
      <c r="CD82" s="109" t="n">
        <f aca="false">CD79+CD80</f>
        <v>2187443.96586404</v>
      </c>
      <c r="CE82" s="109" t="n">
        <f aca="false">CE79+CE80</f>
        <v>2232663.39232751</v>
      </c>
      <c r="CF82" s="109" t="n">
        <f aca="false">CF79+CF80</f>
        <v>2277886.98545765</v>
      </c>
      <c r="CG82" s="109" t="n">
        <f aca="false">CG79+CG80</f>
        <v>2323114.74525445</v>
      </c>
      <c r="CH82" s="109" t="n">
        <f aca="false">CH79+CH80</f>
        <v>2368346.67171792</v>
      </c>
    </row>
    <row r="83" customFormat="false" ht="13.5" hidden="false" customHeight="true" outlineLevel="0" collapsed="false">
      <c r="A83" s="6" t="s">
        <v>585</v>
      </c>
      <c r="C83" s="109" t="n">
        <f aca="false">-IF(AND(1&gt;=Hipótesis!$D$76,MOD(1,12)=0,C81=0),MIN(Hipótesis!$D$77*MAX(0,SUM(C63:C63)),MAX(0,C82-Hipótesis!$D$80)),0)</f>
        <v>-0</v>
      </c>
      <c r="D83" s="109" t="n">
        <f aca="false">-IF(AND(2&gt;=Hipótesis!$D$76,MOD(2,12)=0,D81=0),MIN(Hipótesis!$D$77*MAX(0,SUM(C63:D63)),MAX(0,D82-Hipótesis!$D$80)),0)</f>
        <v>-0</v>
      </c>
      <c r="E83" s="109" t="n">
        <f aca="false">-IF(AND(3&gt;=Hipótesis!$D$76,MOD(3,12)=0,E81=0),MIN(Hipótesis!$D$77*MAX(0,SUM(C63:E63)),MAX(0,E82-Hipótesis!$D$80)),0)</f>
        <v>-0</v>
      </c>
      <c r="F83" s="109" t="n">
        <f aca="false">-IF(AND(4&gt;=Hipótesis!$D$76,MOD(4,12)=0,F81=0),MIN(Hipótesis!$D$77*MAX(0,SUM(C63:F63)),MAX(0,F82-Hipótesis!$D$80)),0)</f>
        <v>-0</v>
      </c>
      <c r="G83" s="109" t="n">
        <f aca="false">-IF(AND(5&gt;=Hipótesis!$D$76,MOD(5,12)=0,G81=0),MIN(Hipótesis!$D$77*MAX(0,SUM(C63:G63)),MAX(0,G82-Hipótesis!$D$80)),0)</f>
        <v>-0</v>
      </c>
      <c r="H83" s="109" t="n">
        <f aca="false">-IF(AND(6&gt;=Hipótesis!$D$76,MOD(6,12)=0,H81=0),MIN(Hipótesis!$D$77*MAX(0,SUM(C63:H63)),MAX(0,H82-Hipótesis!$D$80)),0)</f>
        <v>-0</v>
      </c>
      <c r="I83" s="109" t="n">
        <f aca="false">-IF(AND(7&gt;=Hipótesis!$D$76,MOD(7,12)=0,I81=0),MIN(Hipótesis!$D$77*MAX(0,SUM(C63:I63)),MAX(0,I82-Hipótesis!$D$80)),0)</f>
        <v>-0</v>
      </c>
      <c r="J83" s="109" t="n">
        <f aca="false">-IF(AND(8&gt;=Hipótesis!$D$76,MOD(8,12)=0,J81=0),MIN(Hipótesis!$D$77*MAX(0,SUM(C63:J63)),MAX(0,J82-Hipótesis!$D$80)),0)</f>
        <v>-0</v>
      </c>
      <c r="K83" s="109" t="n">
        <f aca="false">-IF(AND(9&gt;=Hipótesis!$D$76,MOD(9,12)=0,K81=0),MIN(Hipótesis!$D$77*MAX(0,SUM(C63:K63)),MAX(0,K82-Hipótesis!$D$80)),0)</f>
        <v>-0</v>
      </c>
      <c r="L83" s="109" t="n">
        <f aca="false">-IF(AND(10&gt;=Hipótesis!$D$76,MOD(10,12)=0,L81=0),MIN(Hipótesis!$D$77*MAX(0,SUM(C63:L63)),MAX(0,L82-Hipótesis!$D$80)),0)</f>
        <v>-0</v>
      </c>
      <c r="M83" s="109" t="n">
        <f aca="false">-IF(AND(11&gt;=Hipótesis!$D$76,MOD(11,12)=0,M81=0),MIN(Hipótesis!$D$77*MAX(0,SUM(C63:M63)),MAX(0,M82-Hipótesis!$D$80)),0)</f>
        <v>-0</v>
      </c>
      <c r="N83" s="109" t="n">
        <f aca="false">-IF(AND(12&gt;=Hipótesis!$D$76,MOD(12,12)=0,N81=0),MIN(Hipótesis!$D$77*MAX(0,SUM(C63:N63)),MAX(0,N82-Hipótesis!$D$80)),0)</f>
        <v>-0</v>
      </c>
      <c r="O83" s="109" t="n">
        <f aca="false">-IF(AND(13&gt;=Hipótesis!$D$76,MOD(13,12)=0,O81=0),MIN(Hipótesis!$D$77*MAX(0,SUM(D63:O63)),MAX(0,O82-Hipótesis!$D$80)),0)</f>
        <v>-0</v>
      </c>
      <c r="P83" s="109" t="n">
        <f aca="false">-IF(AND(14&gt;=Hipótesis!$D$76,MOD(14,12)=0,P81=0),MIN(Hipótesis!$D$77*MAX(0,SUM(E63:P63)),MAX(0,P82-Hipótesis!$D$80)),0)</f>
        <v>-0</v>
      </c>
      <c r="Q83" s="109" t="n">
        <f aca="false">-IF(AND(15&gt;=Hipótesis!$D$76,MOD(15,12)=0,Q81=0),MIN(Hipótesis!$D$77*MAX(0,SUM(F63:Q63)),MAX(0,Q82-Hipótesis!$D$80)),0)</f>
        <v>-0</v>
      </c>
      <c r="R83" s="109" t="n">
        <f aca="false">-IF(AND(16&gt;=Hipótesis!$D$76,MOD(16,12)=0,R81=0),MIN(Hipótesis!$D$77*MAX(0,SUM(G63:R63)),MAX(0,R82-Hipótesis!$D$80)),0)</f>
        <v>-0</v>
      </c>
      <c r="S83" s="109" t="n">
        <f aca="false">-IF(AND(17&gt;=Hipótesis!$D$76,MOD(17,12)=0,S81=0),MIN(Hipótesis!$D$77*MAX(0,SUM(H63:S63)),MAX(0,S82-Hipótesis!$D$80)),0)</f>
        <v>-0</v>
      </c>
      <c r="T83" s="109" t="n">
        <f aca="false">-IF(AND(18&gt;=Hipótesis!$D$76,MOD(18,12)=0,T81=0),MIN(Hipótesis!$D$77*MAX(0,SUM(I63:T63)),MAX(0,T82-Hipótesis!$D$80)),0)</f>
        <v>-0</v>
      </c>
      <c r="U83" s="109" t="n">
        <f aca="false">-IF(AND(19&gt;=Hipótesis!$D$76,MOD(19,12)=0,U81=0),MIN(Hipótesis!$D$77*MAX(0,SUM(J63:U63)),MAX(0,U82-Hipótesis!$D$80)),0)</f>
        <v>-0</v>
      </c>
      <c r="V83" s="109" t="n">
        <f aca="false">-IF(AND(20&gt;=Hipótesis!$D$76,MOD(20,12)=0,V81=0),MIN(Hipótesis!$D$77*MAX(0,SUM(K63:V63)),MAX(0,V82-Hipótesis!$D$80)),0)</f>
        <v>-0</v>
      </c>
      <c r="W83" s="109" t="n">
        <f aca="false">-IF(AND(21&gt;=Hipótesis!$D$76,MOD(21,12)=0,W81=0),MIN(Hipótesis!$D$77*MAX(0,SUM(L63:W63)),MAX(0,W82-Hipótesis!$D$80)),0)</f>
        <v>-0</v>
      </c>
      <c r="X83" s="109" t="n">
        <f aca="false">-IF(AND(22&gt;=Hipótesis!$D$76,MOD(22,12)=0,X81=0),MIN(Hipótesis!$D$77*MAX(0,SUM(M63:X63)),MAX(0,X82-Hipótesis!$D$80)),0)</f>
        <v>-0</v>
      </c>
      <c r="Y83" s="109" t="n">
        <f aca="false">-IF(AND(23&gt;=Hipótesis!$D$76,MOD(23,12)=0,Y81=0),MIN(Hipótesis!$D$77*MAX(0,SUM(N63:Y63)),MAX(0,Y82-Hipótesis!$D$80)),0)</f>
        <v>-0</v>
      </c>
      <c r="Z83" s="109" t="n">
        <f aca="false">-IF(AND(24&gt;=Hipótesis!$D$76,MOD(24,12)=0,Z81=0),MIN(Hipótesis!$D$77*MAX(0,SUM(O63:Z63)),MAX(0,Z82-Hipótesis!$D$80)),0)</f>
        <v>-0</v>
      </c>
      <c r="AA83" s="109" t="n">
        <f aca="false">-IF(AND(25&gt;=Hipótesis!$D$76,MOD(25,12)=0,AA81=0),MIN(Hipótesis!$D$77*MAX(0,SUM(P63:AA63)),MAX(0,AA82-Hipótesis!$D$80)),0)</f>
        <v>-0</v>
      </c>
      <c r="AB83" s="109" t="n">
        <f aca="false">-IF(AND(26&gt;=Hipótesis!$D$76,MOD(26,12)=0,AB81=0),MIN(Hipótesis!$D$77*MAX(0,SUM(Q63:AB63)),MAX(0,AB82-Hipótesis!$D$80)),0)</f>
        <v>-0</v>
      </c>
      <c r="AC83" s="109" t="n">
        <f aca="false">-IF(AND(27&gt;=Hipótesis!$D$76,MOD(27,12)=0,AC81=0),MIN(Hipótesis!$D$77*MAX(0,SUM(R63:AC63)),MAX(0,AC82-Hipótesis!$D$80)),0)</f>
        <v>-0</v>
      </c>
      <c r="AD83" s="109" t="n">
        <f aca="false">-IF(AND(28&gt;=Hipótesis!$D$76,MOD(28,12)=0,AD81=0),MIN(Hipótesis!$D$77*MAX(0,SUM(S63:AD63)),MAX(0,AD82-Hipótesis!$D$80)),0)</f>
        <v>-0</v>
      </c>
      <c r="AE83" s="109" t="n">
        <f aca="false">-IF(AND(29&gt;=Hipótesis!$D$76,MOD(29,12)=0,AE81=0),MIN(Hipótesis!$D$77*MAX(0,SUM(T63:AE63)),MAX(0,AE82-Hipótesis!$D$80)),0)</f>
        <v>-0</v>
      </c>
      <c r="AF83" s="109" t="n">
        <f aca="false">-IF(AND(30&gt;=Hipótesis!$D$76,MOD(30,12)=0,AF81=0),MIN(Hipótesis!$D$77*MAX(0,SUM(U63:AF63)),MAX(0,AF82-Hipótesis!$D$80)),0)</f>
        <v>-0</v>
      </c>
      <c r="AG83" s="109" t="n">
        <f aca="false">-IF(AND(31&gt;=Hipótesis!$D$76,MOD(31,12)=0,AG81=0),MIN(Hipótesis!$D$77*MAX(0,SUM(V63:AG63)),MAX(0,AG82-Hipótesis!$D$80)),0)</f>
        <v>-0</v>
      </c>
      <c r="AH83" s="109" t="n">
        <f aca="false">-IF(AND(32&gt;=Hipótesis!$D$76,MOD(32,12)=0,AH81=0),MIN(Hipótesis!$D$77*MAX(0,SUM(W63:AH63)),MAX(0,AH82-Hipótesis!$D$80)),0)</f>
        <v>-0</v>
      </c>
      <c r="AI83" s="109" t="n">
        <f aca="false">-IF(AND(33&gt;=Hipótesis!$D$76,MOD(33,12)=0,AI81=0),MIN(Hipótesis!$D$77*MAX(0,SUM(X63:AI63)),MAX(0,AI82-Hipótesis!$D$80)),0)</f>
        <v>-0</v>
      </c>
      <c r="AJ83" s="109" t="n">
        <f aca="false">-IF(AND(34&gt;=Hipótesis!$D$76,MOD(34,12)=0,AJ81=0),MIN(Hipótesis!$D$77*MAX(0,SUM(Y63:AJ63)),MAX(0,AJ82-Hipótesis!$D$80)),0)</f>
        <v>-0</v>
      </c>
      <c r="AK83" s="109" t="n">
        <f aca="false">-IF(AND(35&gt;=Hipótesis!$D$76,MOD(35,12)=0,AK81=0),MIN(Hipótesis!$D$77*MAX(0,SUM(Z63:AK63)),MAX(0,AK82-Hipótesis!$D$80)),0)</f>
        <v>-0</v>
      </c>
      <c r="AL83" s="109" t="n">
        <f aca="false">-IF(AND(36&gt;=Hipótesis!$D$76,MOD(36,12)=0,AL81=0),MIN(Hipótesis!$D$77*MAX(0,SUM(AA63:AL63)),MAX(0,AL82-Hipótesis!$D$80)),0)</f>
        <v>-0</v>
      </c>
      <c r="AM83" s="109" t="n">
        <f aca="false">-IF(AND(37&gt;=Hipótesis!$D$76,MOD(37,12)=0,AM81=0),MIN(Hipótesis!$D$77*MAX(0,SUM(AB63:AM63)),MAX(0,AM82-Hipótesis!$D$80)),0)</f>
        <v>-0</v>
      </c>
      <c r="AN83" s="109" t="n">
        <f aca="false">-IF(AND(38&gt;=Hipótesis!$D$76,MOD(38,12)=0,AN81=0),MIN(Hipótesis!$D$77*MAX(0,SUM(AC63:AN63)),MAX(0,AN82-Hipótesis!$D$80)),0)</f>
        <v>-0</v>
      </c>
      <c r="AO83" s="109" t="n">
        <f aca="false">-IF(AND(39&gt;=Hipótesis!$D$76,MOD(39,12)=0,AO81=0),MIN(Hipótesis!$D$77*MAX(0,SUM(AD63:AO63)),MAX(0,AO82-Hipótesis!$D$80)),0)</f>
        <v>-0</v>
      </c>
      <c r="AP83" s="109" t="n">
        <f aca="false">-IF(AND(40&gt;=Hipótesis!$D$76,MOD(40,12)=0,AP81=0),MIN(Hipótesis!$D$77*MAX(0,SUM(AE63:AP63)),MAX(0,AP82-Hipótesis!$D$80)),0)</f>
        <v>-0</v>
      </c>
      <c r="AQ83" s="109" t="n">
        <f aca="false">-IF(AND(41&gt;=Hipótesis!$D$76,MOD(41,12)=0,AQ81=0),MIN(Hipótesis!$D$77*MAX(0,SUM(AF63:AQ63)),MAX(0,AQ82-Hipótesis!$D$80)),0)</f>
        <v>-0</v>
      </c>
      <c r="AR83" s="109" t="n">
        <f aca="false">-IF(AND(42&gt;=Hipótesis!$D$76,MOD(42,12)=0,AR81=0),MIN(Hipótesis!$D$77*MAX(0,SUM(AG63:AR63)),MAX(0,AR82-Hipótesis!$D$80)),0)</f>
        <v>-0</v>
      </c>
      <c r="AS83" s="109" t="n">
        <f aca="false">-IF(AND(43&gt;=Hipótesis!$D$76,MOD(43,12)=0,AS81=0),MIN(Hipótesis!$D$77*MAX(0,SUM(AH63:AS63)),MAX(0,AS82-Hipótesis!$D$80)),0)</f>
        <v>-0</v>
      </c>
      <c r="AT83" s="109" t="n">
        <f aca="false">-IF(AND(44&gt;=Hipótesis!$D$76,MOD(44,12)=0,AT81=0),MIN(Hipótesis!$D$77*MAX(0,SUM(AI63:AT63)),MAX(0,AT82-Hipótesis!$D$80)),0)</f>
        <v>-0</v>
      </c>
      <c r="AU83" s="109" t="n">
        <f aca="false">-IF(AND(45&gt;=Hipótesis!$D$76,MOD(45,12)=0,AU81=0),MIN(Hipótesis!$D$77*MAX(0,SUM(AJ63:AU63)),MAX(0,AU82-Hipótesis!$D$80)),0)</f>
        <v>-0</v>
      </c>
      <c r="AV83" s="109" t="n">
        <f aca="false">-IF(AND(46&gt;=Hipótesis!$D$76,MOD(46,12)=0,AV81=0),MIN(Hipótesis!$D$77*MAX(0,SUM(AK63:AV63)),MAX(0,AV82-Hipótesis!$D$80)),0)</f>
        <v>-0</v>
      </c>
      <c r="AW83" s="109" t="n">
        <f aca="false">-IF(AND(47&gt;=Hipótesis!$D$76,MOD(47,12)=0,AW81=0),MIN(Hipótesis!$D$77*MAX(0,SUM(AL63:AW63)),MAX(0,AW82-Hipótesis!$D$80)),0)</f>
        <v>-0</v>
      </c>
      <c r="AX83" s="109" t="n">
        <f aca="false">-IF(AND(48&gt;=Hipótesis!$D$76,MOD(48,12)=0,AX81=0),MIN(Hipótesis!$D$77*MAX(0,SUM(AM63:AX63)),MAX(0,AX82-Hipótesis!$D$80)),0)</f>
        <v>-243804.476924163</v>
      </c>
      <c r="AY83" s="109" t="n">
        <f aca="false">-IF(AND(49&gt;=Hipótesis!$D$76,MOD(49,12)=0,AY81=0),MIN(Hipótesis!$D$77*MAX(0,SUM(AN63:AY63)),MAX(0,AY82-Hipótesis!$D$80)),0)</f>
        <v>-0</v>
      </c>
      <c r="AZ83" s="109" t="n">
        <f aca="false">-IF(AND(50&gt;=Hipótesis!$D$76,MOD(50,12)=0,AZ81=0),MIN(Hipótesis!$D$77*MAX(0,SUM(AO63:AZ63)),MAX(0,AZ82-Hipótesis!$D$80)),0)</f>
        <v>-0</v>
      </c>
      <c r="BA83" s="109" t="n">
        <f aca="false">-IF(AND(51&gt;=Hipótesis!$D$76,MOD(51,12)=0,BA81=0),MIN(Hipótesis!$D$77*MAX(0,SUM(AP63:BA63)),MAX(0,BA82-Hipótesis!$D$80)),0)</f>
        <v>-0</v>
      </c>
      <c r="BB83" s="109" t="n">
        <f aca="false">-IF(AND(52&gt;=Hipótesis!$D$76,MOD(52,12)=0,BB81=0),MIN(Hipótesis!$D$77*MAX(0,SUM(AQ63:BB63)),MAX(0,BB82-Hipótesis!$D$80)),0)</f>
        <v>-0</v>
      </c>
      <c r="BC83" s="109" t="n">
        <f aca="false">-IF(AND(53&gt;=Hipótesis!$D$76,MOD(53,12)=0,BC81=0),MIN(Hipótesis!$D$77*MAX(0,SUM(AR63:BC63)),MAX(0,BC82-Hipótesis!$D$80)),0)</f>
        <v>-0</v>
      </c>
      <c r="BD83" s="109" t="n">
        <f aca="false">-IF(AND(54&gt;=Hipótesis!$D$76,MOD(54,12)=0,BD81=0),MIN(Hipótesis!$D$77*MAX(0,SUM(AS63:BD63)),MAX(0,BD82-Hipótesis!$D$80)),0)</f>
        <v>-0</v>
      </c>
      <c r="BE83" s="109" t="n">
        <f aca="false">-IF(AND(55&gt;=Hipótesis!$D$76,MOD(55,12)=0,BE81=0),MIN(Hipótesis!$D$77*MAX(0,SUM(AT63:BE63)),MAX(0,BE82-Hipótesis!$D$80)),0)</f>
        <v>-0</v>
      </c>
      <c r="BF83" s="109" t="n">
        <f aca="false">-IF(AND(56&gt;=Hipótesis!$D$76,MOD(56,12)=0,BF81=0),MIN(Hipótesis!$D$77*MAX(0,SUM(AU63:BF63)),MAX(0,BF82-Hipótesis!$D$80)),0)</f>
        <v>-0</v>
      </c>
      <c r="BG83" s="109" t="n">
        <f aca="false">-IF(AND(57&gt;=Hipótesis!$D$76,MOD(57,12)=0,BG81=0),MIN(Hipótesis!$D$77*MAX(0,SUM(AV63:BG63)),MAX(0,BG82-Hipótesis!$D$80)),0)</f>
        <v>-0</v>
      </c>
      <c r="BH83" s="109" t="n">
        <f aca="false">-IF(AND(58&gt;=Hipótesis!$D$76,MOD(58,12)=0,BH81=0),MIN(Hipótesis!$D$77*MAX(0,SUM(AW63:BH63)),MAX(0,BH82-Hipótesis!$D$80)),0)</f>
        <v>-0</v>
      </c>
      <c r="BI83" s="109" t="n">
        <f aca="false">-IF(AND(59&gt;=Hipótesis!$D$76,MOD(59,12)=0,BI81=0),MIN(Hipótesis!$D$77*MAX(0,SUM(AX63:BI63)),MAX(0,BI82-Hipótesis!$D$80)),0)</f>
        <v>-0</v>
      </c>
      <c r="BJ83" s="109" t="n">
        <f aca="false">-IF(AND(60&gt;=Hipótesis!$D$76,MOD(60,12)=0,BJ81=0),MIN(Hipótesis!$D$77*MAX(0,SUM(AY63:BJ63)),MAX(0,BJ82-Hipótesis!$D$80)),0)</f>
        <v>-244867.54534103</v>
      </c>
      <c r="BK83" s="109" t="n">
        <f aca="false">-IF(AND(61&gt;=Hipótesis!$D$76,MOD(61,12)=0,BK81=0),MIN(Hipótesis!$D$77*MAX(0,SUM(AZ63:BK63)),MAX(0,BK82-Hipótesis!$D$80)),0)</f>
        <v>-0</v>
      </c>
      <c r="BL83" s="109" t="n">
        <f aca="false">-IF(AND(62&gt;=Hipótesis!$D$76,MOD(62,12)=0,BL81=0),MIN(Hipótesis!$D$77*MAX(0,SUM(BA63:BL63)),MAX(0,BL82-Hipótesis!$D$80)),0)</f>
        <v>-0</v>
      </c>
      <c r="BM83" s="109" t="n">
        <f aca="false">-IF(AND(63&gt;=Hipótesis!$D$76,MOD(63,12)=0,BM81=0),MIN(Hipótesis!$D$77*MAX(0,SUM(BB63:BM63)),MAX(0,BM82-Hipótesis!$D$80)),0)</f>
        <v>-0</v>
      </c>
      <c r="BN83" s="109" t="n">
        <f aca="false">-IF(AND(64&gt;=Hipótesis!$D$76,MOD(64,12)=0,BN81=0),MIN(Hipótesis!$D$77*MAX(0,SUM(BC63:BN63)),MAX(0,BN82-Hipótesis!$D$80)),0)</f>
        <v>-0</v>
      </c>
      <c r="BO83" s="109" t="n">
        <f aca="false">-IF(AND(65&gt;=Hipótesis!$D$76,MOD(65,12)=0,BO81=0),MIN(Hipótesis!$D$77*MAX(0,SUM(BD63:BO63)),MAX(0,BO82-Hipótesis!$D$80)),0)</f>
        <v>-0</v>
      </c>
      <c r="BP83" s="109" t="n">
        <f aca="false">-IF(AND(66&gt;=Hipótesis!$D$76,MOD(66,12)=0,BP81=0),MIN(Hipótesis!$D$77*MAX(0,SUM(BE63:BP63)),MAX(0,BP82-Hipótesis!$D$80)),0)</f>
        <v>-0</v>
      </c>
      <c r="BQ83" s="109" t="n">
        <f aca="false">-IF(AND(67&gt;=Hipótesis!$D$76,MOD(67,12)=0,BQ81=0),MIN(Hipótesis!$D$77*MAX(0,SUM(BF63:BQ63)),MAX(0,BQ82-Hipótesis!$D$80)),0)</f>
        <v>-0</v>
      </c>
      <c r="BR83" s="109" t="n">
        <f aca="false">-IF(AND(68&gt;=Hipótesis!$D$76,MOD(68,12)=0,BR81=0),MIN(Hipótesis!$D$77*MAX(0,SUM(BG63:BR63)),MAX(0,BR82-Hipótesis!$D$80)),0)</f>
        <v>-0</v>
      </c>
      <c r="BS83" s="109" t="n">
        <f aca="false">-IF(AND(69&gt;=Hipótesis!$D$76,MOD(69,12)=0,BS81=0),MIN(Hipótesis!$D$77*MAX(0,SUM(BH63:BS63)),MAX(0,BS82-Hipótesis!$D$80)),0)</f>
        <v>-0</v>
      </c>
      <c r="BT83" s="109" t="n">
        <f aca="false">-IF(AND(70&gt;=Hipótesis!$D$76,MOD(70,12)=0,BT81=0),MIN(Hipótesis!$D$77*MAX(0,SUM(BI63:BT63)),MAX(0,BT82-Hipótesis!$D$80)),0)</f>
        <v>-0</v>
      </c>
      <c r="BU83" s="109" t="n">
        <f aca="false">-IF(AND(71&gt;=Hipótesis!$D$76,MOD(71,12)=0,BU81=0),MIN(Hipótesis!$D$77*MAX(0,SUM(BJ63:BU63)),MAX(0,BU82-Hipótesis!$D$80)),0)</f>
        <v>-0</v>
      </c>
      <c r="BV83" s="109" t="n">
        <f aca="false">-IF(AND(72&gt;=Hipótesis!$D$76,MOD(72,12)=0,BV81=0),MIN(Hipótesis!$D$77*MAX(0,SUM(BK63:BV63)),MAX(0,BV82-Hipótesis!$D$80)),0)</f>
        <v>-236958.503550294</v>
      </c>
      <c r="BW83" s="109" t="n">
        <f aca="false">-IF(AND(73&gt;=Hipótesis!$D$76,MOD(73,12)=0,BW81=0),MIN(Hipótesis!$D$77*MAX(0,SUM(BL63:BW63)),MAX(0,BW82-Hipótesis!$D$80)),0)</f>
        <v>-0</v>
      </c>
      <c r="BX83" s="109" t="n">
        <f aca="false">-IF(AND(74&gt;=Hipótesis!$D$76,MOD(74,12)=0,BX81=0),MIN(Hipótesis!$D$77*MAX(0,SUM(BM63:BX63)),MAX(0,BX82-Hipótesis!$D$80)),0)</f>
        <v>-0</v>
      </c>
      <c r="BY83" s="109" t="n">
        <f aca="false">-IF(AND(75&gt;=Hipótesis!$D$76,MOD(75,12)=0,BY81=0),MIN(Hipótesis!$D$77*MAX(0,SUM(BN63:BY63)),MAX(0,BY82-Hipótesis!$D$80)),0)</f>
        <v>-0</v>
      </c>
      <c r="BZ83" s="109" t="n">
        <f aca="false">-IF(AND(76&gt;=Hipótesis!$D$76,MOD(76,12)=0,BZ81=0),MIN(Hipótesis!$D$77*MAX(0,SUM(BO63:BZ63)),MAX(0,BZ82-Hipótesis!$D$80)),0)</f>
        <v>-0</v>
      </c>
      <c r="CA83" s="109" t="n">
        <f aca="false">-IF(AND(77&gt;=Hipótesis!$D$76,MOD(77,12)=0,CA81=0),MIN(Hipótesis!$D$77*MAX(0,SUM(BP63:CA63)),MAX(0,CA82-Hipótesis!$D$80)),0)</f>
        <v>-0</v>
      </c>
      <c r="CB83" s="109" t="n">
        <f aca="false">-IF(AND(78&gt;=Hipótesis!$D$76,MOD(78,12)=0,CB81=0),MIN(Hipótesis!$D$77*MAX(0,SUM(BQ63:CB63)),MAX(0,CB82-Hipótesis!$D$80)),0)</f>
        <v>-0</v>
      </c>
      <c r="CC83" s="109" t="n">
        <f aca="false">-IF(AND(79&gt;=Hipótesis!$D$76,MOD(79,12)=0,CC81=0),MIN(Hipótesis!$D$77*MAX(0,SUM(BR63:CC63)),MAX(0,CC82-Hipótesis!$D$80)),0)</f>
        <v>-0</v>
      </c>
      <c r="CD83" s="109" t="n">
        <f aca="false">-IF(AND(80&gt;=Hipótesis!$D$76,MOD(80,12)=0,CD81=0),MIN(Hipótesis!$D$77*MAX(0,SUM(BS63:CD63)),MAX(0,CD82-Hipótesis!$D$80)),0)</f>
        <v>-0</v>
      </c>
      <c r="CE83" s="109" t="n">
        <f aca="false">-IF(AND(81&gt;=Hipótesis!$D$76,MOD(81,12)=0,CE81=0),MIN(Hipótesis!$D$77*MAX(0,SUM(BT63:CE63)),MAX(0,CE82-Hipótesis!$D$80)),0)</f>
        <v>-0</v>
      </c>
      <c r="CF83" s="109" t="n">
        <f aca="false">-IF(AND(82&gt;=Hipótesis!$D$76,MOD(82,12)=0,CF81=0),MIN(Hipótesis!$D$77*MAX(0,SUM(BU63:CF63)),MAX(0,CF82-Hipótesis!$D$80)),0)</f>
        <v>-0</v>
      </c>
      <c r="CG83" s="109" t="n">
        <f aca="false">-IF(AND(83&gt;=Hipótesis!$D$76,MOD(83,12)=0,CG81=0),MIN(Hipótesis!$D$77*MAX(0,SUM(BV63:CG63)),MAX(0,CG82-Hipótesis!$D$80)),0)</f>
        <v>-0</v>
      </c>
      <c r="CH83" s="109" t="n">
        <f aca="false">-IF(AND(84&gt;=Hipótesis!$D$76,MOD(84,12)=0,CH81=0),MIN(Hipótesis!$D$77*MAX(0,SUM(BW63:CH63)),MAX(0,CH82-Hipótesis!$D$80)),0)</f>
        <v>-229014.553705837</v>
      </c>
    </row>
    <row r="84" customFormat="false" ht="13.5" hidden="false" customHeight="true" outlineLevel="0" collapsed="false">
      <c r="A84" s="22" t="s">
        <v>586</v>
      </c>
      <c r="C84" s="109" t="n">
        <f aca="false">-IF(AND(1&gt;=Hipótesis!$D$78,MOD(1,12)=0,C96=0,C89=0,C101=0,C81=0),MIN(Hipótesis!$D$79*MAX(0,C112),MAX(0,C82+C83-Hipótesis!$D$80)),0)</f>
        <v>-0</v>
      </c>
      <c r="D84" s="109" t="n">
        <f aca="false">-IF(AND(2&gt;=Hipótesis!$D$78,MOD(2,12)=0,D96=0,D89=0,D101=0,D81=0),MIN(Hipótesis!$D$79*MAX(0,D112),MAX(0,D82+D83-Hipótesis!$D$80)),0)</f>
        <v>-0</v>
      </c>
      <c r="E84" s="109" t="n">
        <f aca="false">-IF(AND(3&gt;=Hipótesis!$D$78,MOD(3,12)=0,E96=0,E89=0,E101=0,E81=0),MIN(Hipótesis!$D$79*MAX(0,E112),MAX(0,E82+E83-Hipótesis!$D$80)),0)</f>
        <v>-0</v>
      </c>
      <c r="F84" s="109" t="n">
        <f aca="false">-IF(AND(4&gt;=Hipótesis!$D$78,MOD(4,12)=0,F96=0,F89=0,F101=0,F81=0),MIN(Hipótesis!$D$79*MAX(0,F112),MAX(0,F82+F83-Hipótesis!$D$80)),0)</f>
        <v>-0</v>
      </c>
      <c r="G84" s="109" t="n">
        <f aca="false">-IF(AND(5&gt;=Hipótesis!$D$78,MOD(5,12)=0,G96=0,G89=0,G101=0,G81=0),MIN(Hipótesis!$D$79*MAX(0,G112),MAX(0,G82+G83-Hipótesis!$D$80)),0)</f>
        <v>-0</v>
      </c>
      <c r="H84" s="109" t="n">
        <f aca="false">-IF(AND(6&gt;=Hipótesis!$D$78,MOD(6,12)=0,H96=0,H89=0,H101=0,H81=0),MIN(Hipótesis!$D$79*MAX(0,H112),MAX(0,H82+H83-Hipótesis!$D$80)),0)</f>
        <v>-0</v>
      </c>
      <c r="I84" s="109" t="n">
        <f aca="false">-IF(AND(7&gt;=Hipótesis!$D$78,MOD(7,12)=0,I96=0,I89=0,I101=0,I81=0),MIN(Hipótesis!$D$79*MAX(0,I112),MAX(0,I82+I83-Hipótesis!$D$80)),0)</f>
        <v>-0</v>
      </c>
      <c r="J84" s="109" t="n">
        <f aca="false">-IF(AND(8&gt;=Hipótesis!$D$78,MOD(8,12)=0,J96=0,J89=0,J101=0,J81=0),MIN(Hipótesis!$D$79*MAX(0,J112),MAX(0,J82+J83-Hipótesis!$D$80)),0)</f>
        <v>-0</v>
      </c>
      <c r="K84" s="109" t="n">
        <f aca="false">-IF(AND(9&gt;=Hipótesis!$D$78,MOD(9,12)=0,K96=0,K89=0,K101=0,K81=0),MIN(Hipótesis!$D$79*MAX(0,K112),MAX(0,K82+K83-Hipótesis!$D$80)),0)</f>
        <v>-0</v>
      </c>
      <c r="L84" s="109" t="n">
        <f aca="false">-IF(AND(10&gt;=Hipótesis!$D$78,MOD(10,12)=0,L96=0,L89=0,L101=0,L81=0),MIN(Hipótesis!$D$79*MAX(0,L112),MAX(0,L82+L83-Hipótesis!$D$80)),0)</f>
        <v>-0</v>
      </c>
      <c r="M84" s="109" t="n">
        <f aca="false">-IF(AND(11&gt;=Hipótesis!$D$78,MOD(11,12)=0,M96=0,M89=0,M101=0,M81=0),MIN(Hipótesis!$D$79*MAX(0,M112),MAX(0,M82+M83-Hipótesis!$D$80)),0)</f>
        <v>-0</v>
      </c>
      <c r="N84" s="109" t="n">
        <f aca="false">-IF(AND(12&gt;=Hipótesis!$D$78,MOD(12,12)=0,N96=0,N89=0,N101=0,N81=0),MIN(Hipótesis!$D$79*MAX(0,N112),MAX(0,N82+N83-Hipótesis!$D$80)),0)</f>
        <v>-0</v>
      </c>
      <c r="O84" s="109" t="n">
        <f aca="false">-IF(AND(13&gt;=Hipótesis!$D$78,MOD(13,12)=0,O96=0,O89=0,O101=0,O81=0),MIN(Hipótesis!$D$79*MAX(0,O112),MAX(0,O82+O83-Hipótesis!$D$80)),0)</f>
        <v>-0</v>
      </c>
      <c r="P84" s="109" t="n">
        <f aca="false">-IF(AND(14&gt;=Hipótesis!$D$78,MOD(14,12)=0,P96=0,P89=0,P101=0,P81=0),MIN(Hipótesis!$D$79*MAX(0,P112),MAX(0,P82+P83-Hipótesis!$D$80)),0)</f>
        <v>-0</v>
      </c>
      <c r="Q84" s="109" t="n">
        <f aca="false">-IF(AND(15&gt;=Hipótesis!$D$78,MOD(15,12)=0,Q96=0,Q89=0,Q101=0,Q81=0),MIN(Hipótesis!$D$79*MAX(0,Q112),MAX(0,Q82+Q83-Hipótesis!$D$80)),0)</f>
        <v>-0</v>
      </c>
      <c r="R84" s="109" t="n">
        <f aca="false">-IF(AND(16&gt;=Hipótesis!$D$78,MOD(16,12)=0,R96=0,R89=0,R101=0,R81=0),MIN(Hipótesis!$D$79*MAX(0,R112),MAX(0,R82+R83-Hipótesis!$D$80)),0)</f>
        <v>-0</v>
      </c>
      <c r="S84" s="109" t="n">
        <f aca="false">-IF(AND(17&gt;=Hipótesis!$D$78,MOD(17,12)=0,S96=0,S89=0,S101=0,S81=0),MIN(Hipótesis!$D$79*MAX(0,S112),MAX(0,S82+S83-Hipótesis!$D$80)),0)</f>
        <v>-0</v>
      </c>
      <c r="T84" s="109" t="n">
        <f aca="false">-IF(AND(18&gt;=Hipótesis!$D$78,MOD(18,12)=0,T96=0,T89=0,T101=0,T81=0),MIN(Hipótesis!$D$79*MAX(0,T112),MAX(0,T82+T83-Hipótesis!$D$80)),0)</f>
        <v>-0</v>
      </c>
      <c r="U84" s="109" t="n">
        <f aca="false">-IF(AND(19&gt;=Hipótesis!$D$78,MOD(19,12)=0,U96=0,U89=0,U101=0,U81=0),MIN(Hipótesis!$D$79*MAX(0,U112),MAX(0,U82+U83-Hipótesis!$D$80)),0)</f>
        <v>-0</v>
      </c>
      <c r="V84" s="109" t="n">
        <f aca="false">-IF(AND(20&gt;=Hipótesis!$D$78,MOD(20,12)=0,V96=0,V89=0,V101=0,V81=0),MIN(Hipótesis!$D$79*MAX(0,V112),MAX(0,V82+V83-Hipótesis!$D$80)),0)</f>
        <v>-0</v>
      </c>
      <c r="W84" s="109" t="n">
        <f aca="false">-IF(AND(21&gt;=Hipótesis!$D$78,MOD(21,12)=0,W96=0,W89=0,W101=0,W81=0),MIN(Hipótesis!$D$79*MAX(0,W112),MAX(0,W82+W83-Hipótesis!$D$80)),0)</f>
        <v>-0</v>
      </c>
      <c r="X84" s="109" t="n">
        <f aca="false">-IF(AND(22&gt;=Hipótesis!$D$78,MOD(22,12)=0,X96=0,X89=0,X101=0,X81=0),MIN(Hipótesis!$D$79*MAX(0,X112),MAX(0,X82+X83-Hipótesis!$D$80)),0)</f>
        <v>-0</v>
      </c>
      <c r="Y84" s="109" t="n">
        <f aca="false">-IF(AND(23&gt;=Hipótesis!$D$78,MOD(23,12)=0,Y96=0,Y89=0,Y101=0,Y81=0),MIN(Hipótesis!$D$79*MAX(0,Y112),MAX(0,Y82+Y83-Hipótesis!$D$80)),0)</f>
        <v>-0</v>
      </c>
      <c r="Z84" s="109" t="n">
        <f aca="false">-IF(AND(24&gt;=Hipótesis!$D$78,MOD(24,12)=0,Z96=0,Z89=0,Z101=0,Z81=0),MIN(Hipótesis!$D$79*MAX(0,Z112),MAX(0,Z82+Z83-Hipótesis!$D$80)),0)</f>
        <v>-0</v>
      </c>
      <c r="AA84" s="109" t="n">
        <f aca="false">-IF(AND(25&gt;=Hipótesis!$D$78,MOD(25,12)=0,AA96=0,AA89=0,AA101=0,AA81=0),MIN(Hipótesis!$D$79*MAX(0,AA112),MAX(0,AA82+AA83-Hipótesis!$D$80)),0)</f>
        <v>-0</v>
      </c>
      <c r="AB84" s="109" t="n">
        <f aca="false">-IF(AND(26&gt;=Hipótesis!$D$78,MOD(26,12)=0,AB96=0,AB89=0,AB101=0,AB81=0),MIN(Hipótesis!$D$79*MAX(0,AB112),MAX(0,AB82+AB83-Hipótesis!$D$80)),0)</f>
        <v>-0</v>
      </c>
      <c r="AC84" s="109" t="n">
        <f aca="false">-IF(AND(27&gt;=Hipótesis!$D$78,MOD(27,12)=0,AC96=0,AC89=0,AC101=0,AC81=0),MIN(Hipótesis!$D$79*MAX(0,AC112),MAX(0,AC82+AC83-Hipótesis!$D$80)),0)</f>
        <v>-0</v>
      </c>
      <c r="AD84" s="109" t="n">
        <f aca="false">-IF(AND(28&gt;=Hipótesis!$D$78,MOD(28,12)=0,AD96=0,AD89=0,AD101=0,AD81=0),MIN(Hipótesis!$D$79*MAX(0,AD112),MAX(0,AD82+AD83-Hipótesis!$D$80)),0)</f>
        <v>-0</v>
      </c>
      <c r="AE84" s="109" t="n">
        <f aca="false">-IF(AND(29&gt;=Hipótesis!$D$78,MOD(29,12)=0,AE96=0,AE89=0,AE101=0,AE81=0),MIN(Hipótesis!$D$79*MAX(0,AE112),MAX(0,AE82+AE83-Hipótesis!$D$80)),0)</f>
        <v>-0</v>
      </c>
      <c r="AF84" s="109" t="n">
        <f aca="false">-IF(AND(30&gt;=Hipótesis!$D$78,MOD(30,12)=0,AF96=0,AF89=0,AF101=0,AF81=0),MIN(Hipótesis!$D$79*MAX(0,AF112),MAX(0,AF82+AF83-Hipótesis!$D$80)),0)</f>
        <v>-0</v>
      </c>
      <c r="AG84" s="109" t="n">
        <f aca="false">-IF(AND(31&gt;=Hipótesis!$D$78,MOD(31,12)=0,AG96=0,AG89=0,AG101=0,AG81=0),MIN(Hipótesis!$D$79*MAX(0,AG112),MAX(0,AG82+AG83-Hipótesis!$D$80)),0)</f>
        <v>-0</v>
      </c>
      <c r="AH84" s="109" t="n">
        <f aca="false">-IF(AND(32&gt;=Hipótesis!$D$78,MOD(32,12)=0,AH96=0,AH89=0,AH101=0,AH81=0),MIN(Hipótesis!$D$79*MAX(0,AH112),MAX(0,AH82+AH83-Hipótesis!$D$80)),0)</f>
        <v>-0</v>
      </c>
      <c r="AI84" s="109" t="n">
        <f aca="false">-IF(AND(33&gt;=Hipótesis!$D$78,MOD(33,12)=0,AI96=0,AI89=0,AI101=0,AI81=0),MIN(Hipótesis!$D$79*MAX(0,AI112),MAX(0,AI82+AI83-Hipótesis!$D$80)),0)</f>
        <v>-0</v>
      </c>
      <c r="AJ84" s="109" t="n">
        <f aca="false">-IF(AND(34&gt;=Hipótesis!$D$78,MOD(34,12)=0,AJ96=0,AJ89=0,AJ101=0,AJ81=0),MIN(Hipótesis!$D$79*MAX(0,AJ112),MAX(0,AJ82+AJ83-Hipótesis!$D$80)),0)</f>
        <v>-0</v>
      </c>
      <c r="AK84" s="109" t="n">
        <f aca="false">-IF(AND(35&gt;=Hipótesis!$D$78,MOD(35,12)=0,AK96=0,AK89=0,AK101=0,AK81=0),MIN(Hipótesis!$D$79*MAX(0,AK112),MAX(0,AK82+AK83-Hipótesis!$D$80)),0)</f>
        <v>-0</v>
      </c>
      <c r="AL84" s="109" t="n">
        <f aca="false">-IF(AND(36&gt;=Hipótesis!$D$78,MOD(36,12)=0,AL96=0,AL89=0,AL101=0,AL81=0),MIN(Hipótesis!$D$79*MAX(0,AL112),MAX(0,AL82+AL83-Hipótesis!$D$80)),0)</f>
        <v>-0</v>
      </c>
      <c r="AM84" s="109" t="n">
        <f aca="false">-IF(AND(37&gt;=Hipótesis!$D$78,MOD(37,12)=0,AM96=0,AM89=0,AM101=0,AM81=0),MIN(Hipótesis!$D$79*MAX(0,AM112),MAX(0,AM82+AM83-Hipótesis!$D$80)),0)</f>
        <v>-0</v>
      </c>
      <c r="AN84" s="109" t="n">
        <f aca="false">-IF(AND(38&gt;=Hipótesis!$D$78,MOD(38,12)=0,AN96=0,AN89=0,AN101=0,AN81=0),MIN(Hipótesis!$D$79*MAX(0,AN112),MAX(0,AN82+AN83-Hipótesis!$D$80)),0)</f>
        <v>-0</v>
      </c>
      <c r="AO84" s="109" t="n">
        <f aca="false">-IF(AND(39&gt;=Hipótesis!$D$78,MOD(39,12)=0,AO96=0,AO89=0,AO101=0,AO81=0),MIN(Hipótesis!$D$79*MAX(0,AO112),MAX(0,AO82+AO83-Hipótesis!$D$80)),0)</f>
        <v>-0</v>
      </c>
      <c r="AP84" s="109" t="n">
        <f aca="false">-IF(AND(40&gt;=Hipótesis!$D$78,MOD(40,12)=0,AP96=0,AP89=0,AP101=0,AP81=0),MIN(Hipótesis!$D$79*MAX(0,AP112),MAX(0,AP82+AP83-Hipótesis!$D$80)),0)</f>
        <v>-0</v>
      </c>
      <c r="AQ84" s="109" t="n">
        <f aca="false">-IF(AND(41&gt;=Hipótesis!$D$78,MOD(41,12)=0,AQ96=0,AQ89=0,AQ101=0,AQ81=0),MIN(Hipótesis!$D$79*MAX(0,AQ112),MAX(0,AQ82+AQ83-Hipótesis!$D$80)),0)</f>
        <v>-0</v>
      </c>
      <c r="AR84" s="109" t="n">
        <f aca="false">-IF(AND(42&gt;=Hipótesis!$D$78,MOD(42,12)=0,AR96=0,AR89=0,AR101=0,AR81=0),MIN(Hipótesis!$D$79*MAX(0,AR112),MAX(0,AR82+AR83-Hipótesis!$D$80)),0)</f>
        <v>-0</v>
      </c>
      <c r="AS84" s="109" t="n">
        <f aca="false">-IF(AND(43&gt;=Hipótesis!$D$78,MOD(43,12)=0,AS96=0,AS89=0,AS101=0,AS81=0),MIN(Hipótesis!$D$79*MAX(0,AS112),MAX(0,AS82+AS83-Hipótesis!$D$80)),0)</f>
        <v>-0</v>
      </c>
      <c r="AT84" s="109" t="n">
        <f aca="false">-IF(AND(44&gt;=Hipótesis!$D$78,MOD(44,12)=0,AT96=0,AT89=0,AT101=0,AT81=0),MIN(Hipótesis!$D$79*MAX(0,AT112),MAX(0,AT82+AT83-Hipótesis!$D$80)),0)</f>
        <v>-0</v>
      </c>
      <c r="AU84" s="109" t="n">
        <f aca="false">-IF(AND(45&gt;=Hipótesis!$D$78,MOD(45,12)=0,AU96=0,AU89=0,AU101=0,AU81=0),MIN(Hipótesis!$D$79*MAX(0,AU112),MAX(0,AU82+AU83-Hipótesis!$D$80)),0)</f>
        <v>-0</v>
      </c>
      <c r="AV84" s="109" t="n">
        <f aca="false">-IF(AND(46&gt;=Hipótesis!$D$78,MOD(46,12)=0,AV96=0,AV89=0,AV101=0,AV81=0),MIN(Hipótesis!$D$79*MAX(0,AV112),MAX(0,AV82+AV83-Hipótesis!$D$80)),0)</f>
        <v>-0</v>
      </c>
      <c r="AW84" s="109" t="n">
        <f aca="false">-IF(AND(47&gt;=Hipótesis!$D$78,MOD(47,12)=0,AW96=0,AW89=0,AW101=0,AW81=0),MIN(Hipótesis!$D$79*MAX(0,AW112),MAX(0,AW82+AW83-Hipótesis!$D$80)),0)</f>
        <v>-0</v>
      </c>
      <c r="AX84" s="109" t="n">
        <f aca="false">-IF(AND(48&gt;=Hipótesis!$D$78,MOD(48,12)=0,AX96=0,AX89=0,AX101=0,AX81=0),MIN(Hipótesis!$D$79*MAX(0,AX112),MAX(0,AX82+AX83-Hipótesis!$D$80)),0)</f>
        <v>-0</v>
      </c>
      <c r="AY84" s="109" t="n">
        <f aca="false">-IF(AND(49&gt;=Hipótesis!$D$78,MOD(49,12)=0,AY96=0,AY89=0,AY101=0,AY81=0),MIN(Hipótesis!$D$79*MAX(0,AY112),MAX(0,AY82+AY83-Hipótesis!$D$80)),0)</f>
        <v>-0</v>
      </c>
      <c r="AZ84" s="109" t="n">
        <f aca="false">-IF(AND(50&gt;=Hipótesis!$D$78,MOD(50,12)=0,AZ96=0,AZ89=0,AZ101=0,AZ81=0),MIN(Hipótesis!$D$79*MAX(0,AZ112),MAX(0,AZ82+AZ83-Hipótesis!$D$80)),0)</f>
        <v>-0</v>
      </c>
      <c r="BA84" s="109" t="n">
        <f aca="false">-IF(AND(51&gt;=Hipótesis!$D$78,MOD(51,12)=0,BA96=0,BA89=0,BA101=0,BA81=0),MIN(Hipótesis!$D$79*MAX(0,BA112),MAX(0,BA82+BA83-Hipótesis!$D$80)),0)</f>
        <v>-0</v>
      </c>
      <c r="BB84" s="109" t="n">
        <f aca="false">-IF(AND(52&gt;=Hipótesis!$D$78,MOD(52,12)=0,BB96=0,BB89=0,BB101=0,BB81=0),MIN(Hipótesis!$D$79*MAX(0,BB112),MAX(0,BB82+BB83-Hipótesis!$D$80)),0)</f>
        <v>-0</v>
      </c>
      <c r="BC84" s="109" t="n">
        <f aca="false">-IF(AND(53&gt;=Hipótesis!$D$78,MOD(53,12)=0,BC96=0,BC89=0,BC101=0,BC81=0),MIN(Hipótesis!$D$79*MAX(0,BC112),MAX(0,BC82+BC83-Hipótesis!$D$80)),0)</f>
        <v>-0</v>
      </c>
      <c r="BD84" s="109" t="n">
        <f aca="false">-IF(AND(54&gt;=Hipótesis!$D$78,MOD(54,12)=0,BD96=0,BD89=0,BD101=0,BD81=0),MIN(Hipótesis!$D$79*MAX(0,BD112),MAX(0,BD82+BD83-Hipótesis!$D$80)),0)</f>
        <v>-0</v>
      </c>
      <c r="BE84" s="109" t="n">
        <f aca="false">-IF(AND(55&gt;=Hipótesis!$D$78,MOD(55,12)=0,BE96=0,BE89=0,BE101=0,BE81=0),MIN(Hipótesis!$D$79*MAX(0,BE112),MAX(0,BE82+BE83-Hipótesis!$D$80)),0)</f>
        <v>-0</v>
      </c>
      <c r="BF84" s="109" t="n">
        <f aca="false">-IF(AND(56&gt;=Hipótesis!$D$78,MOD(56,12)=0,BF96=0,BF89=0,BF101=0,BF81=0),MIN(Hipótesis!$D$79*MAX(0,BF112),MAX(0,BF82+BF83-Hipótesis!$D$80)),0)</f>
        <v>-0</v>
      </c>
      <c r="BG84" s="109" t="n">
        <f aca="false">-IF(AND(57&gt;=Hipótesis!$D$78,MOD(57,12)=0,BG96=0,BG89=0,BG101=0,BG81=0),MIN(Hipótesis!$D$79*MAX(0,BG112),MAX(0,BG82+BG83-Hipótesis!$D$80)),0)</f>
        <v>-0</v>
      </c>
      <c r="BH84" s="109" t="n">
        <f aca="false">-IF(AND(58&gt;=Hipótesis!$D$78,MOD(58,12)=0,BH96=0,BH89=0,BH101=0,BH81=0),MIN(Hipótesis!$D$79*MAX(0,BH112),MAX(0,BH82+BH83-Hipótesis!$D$80)),0)</f>
        <v>-0</v>
      </c>
      <c r="BI84" s="109" t="n">
        <f aca="false">-IF(AND(59&gt;=Hipótesis!$D$78,MOD(59,12)=0,BI96=0,BI89=0,BI101=0,BI81=0),MIN(Hipótesis!$D$79*MAX(0,BI112),MAX(0,BI82+BI83-Hipótesis!$D$80)),0)</f>
        <v>-0</v>
      </c>
      <c r="BJ84" s="109" t="n">
        <f aca="false">-IF(AND(60&gt;=Hipótesis!$D$78,MOD(60,12)=0,BJ96=0,BJ89=0,BJ101=0,BJ81=0),MIN(Hipótesis!$D$79*MAX(0,BJ112),MAX(0,BJ82+BJ83-Hipótesis!$D$80)),0)</f>
        <v>-0</v>
      </c>
      <c r="BK84" s="109" t="n">
        <f aca="false">-IF(AND(61&gt;=Hipótesis!$D$78,MOD(61,12)=0,BK96=0,BK89=0,BK101=0,BK81=0),MIN(Hipótesis!$D$79*MAX(0,BK112),MAX(0,BK82+BK83-Hipótesis!$D$80)),0)</f>
        <v>-0</v>
      </c>
      <c r="BL84" s="109" t="n">
        <f aca="false">-IF(AND(62&gt;=Hipótesis!$D$78,MOD(62,12)=0,BL96=0,BL89=0,BL101=0,BL81=0),MIN(Hipótesis!$D$79*MAX(0,BL112),MAX(0,BL82+BL83-Hipótesis!$D$80)),0)</f>
        <v>-0</v>
      </c>
      <c r="BM84" s="109" t="n">
        <f aca="false">-IF(AND(63&gt;=Hipótesis!$D$78,MOD(63,12)=0,BM96=0,BM89=0,BM101=0,BM81=0),MIN(Hipótesis!$D$79*MAX(0,BM112),MAX(0,BM82+BM83-Hipótesis!$D$80)),0)</f>
        <v>-0</v>
      </c>
      <c r="BN84" s="109" t="n">
        <f aca="false">-IF(AND(64&gt;=Hipótesis!$D$78,MOD(64,12)=0,BN96=0,BN89=0,BN101=0,BN81=0),MIN(Hipótesis!$D$79*MAX(0,BN112),MAX(0,BN82+BN83-Hipótesis!$D$80)),0)</f>
        <v>-0</v>
      </c>
      <c r="BO84" s="109" t="n">
        <f aca="false">-IF(AND(65&gt;=Hipótesis!$D$78,MOD(65,12)=0,BO96=0,BO89=0,BO101=0,BO81=0),MIN(Hipótesis!$D$79*MAX(0,BO112),MAX(0,BO82+BO83-Hipótesis!$D$80)),0)</f>
        <v>-0</v>
      </c>
      <c r="BP84" s="109" t="n">
        <f aca="false">-IF(AND(66&gt;=Hipótesis!$D$78,MOD(66,12)=0,BP96=0,BP89=0,BP101=0,BP81=0),MIN(Hipótesis!$D$79*MAX(0,BP112),MAX(0,BP82+BP83-Hipótesis!$D$80)),0)</f>
        <v>-0</v>
      </c>
      <c r="BQ84" s="109" t="n">
        <f aca="false">-IF(AND(67&gt;=Hipótesis!$D$78,MOD(67,12)=0,BQ96=0,BQ89=0,BQ101=0,BQ81=0),MIN(Hipótesis!$D$79*MAX(0,BQ112),MAX(0,BQ82+BQ83-Hipótesis!$D$80)),0)</f>
        <v>-0</v>
      </c>
      <c r="BR84" s="109" t="n">
        <f aca="false">-IF(AND(68&gt;=Hipótesis!$D$78,MOD(68,12)=0,BR96=0,BR89=0,BR101=0,BR81=0),MIN(Hipótesis!$D$79*MAX(0,BR112),MAX(0,BR82+BR83-Hipótesis!$D$80)),0)</f>
        <v>-0</v>
      </c>
      <c r="BS84" s="109" t="n">
        <f aca="false">-IF(AND(69&gt;=Hipótesis!$D$78,MOD(69,12)=0,BS96=0,BS89=0,BS101=0,BS81=0),MIN(Hipótesis!$D$79*MAX(0,BS112),MAX(0,BS82+BS83-Hipótesis!$D$80)),0)</f>
        <v>-0</v>
      </c>
      <c r="BT84" s="109" t="n">
        <f aca="false">-IF(AND(70&gt;=Hipótesis!$D$78,MOD(70,12)=0,BT96=0,BT89=0,BT101=0,BT81=0),MIN(Hipótesis!$D$79*MAX(0,BT112),MAX(0,BT82+BT83-Hipótesis!$D$80)),0)</f>
        <v>-0</v>
      </c>
      <c r="BU84" s="109" t="n">
        <f aca="false">-IF(AND(71&gt;=Hipótesis!$D$78,MOD(71,12)=0,BU96=0,BU89=0,BU101=0,BU81=0),MIN(Hipótesis!$D$79*MAX(0,BU112),MAX(0,BU82+BU83-Hipótesis!$D$80)),0)</f>
        <v>-0</v>
      </c>
      <c r="BV84" s="109" t="n">
        <f aca="false">-IF(AND(72&gt;=Hipótesis!$D$78,MOD(72,12)=0,BV96=0,BV89=0,BV101=0,BV81=0),MIN(Hipótesis!$D$79*MAX(0,BV112),MAX(0,BV82+BV83-Hipótesis!$D$80)),0)</f>
        <v>-0</v>
      </c>
      <c r="BW84" s="109" t="n">
        <f aca="false">-IF(AND(73&gt;=Hipótesis!$D$78,MOD(73,12)=0,BW96=0,BW89=0,BW101=0,BW81=0),MIN(Hipótesis!$D$79*MAX(0,BW112),MAX(0,BW82+BW83-Hipótesis!$D$80)),0)</f>
        <v>-0</v>
      </c>
      <c r="BX84" s="109" t="n">
        <f aca="false">-IF(AND(74&gt;=Hipótesis!$D$78,MOD(74,12)=0,BX96=0,BX89=0,BX101=0,BX81=0),MIN(Hipótesis!$D$79*MAX(0,BX112),MAX(0,BX82+BX83-Hipótesis!$D$80)),0)</f>
        <v>-0</v>
      </c>
      <c r="BY84" s="109" t="n">
        <f aca="false">-IF(AND(75&gt;=Hipótesis!$D$78,MOD(75,12)=0,BY96=0,BY89=0,BY101=0,BY81=0),MIN(Hipótesis!$D$79*MAX(0,BY112),MAX(0,BY82+BY83-Hipótesis!$D$80)),0)</f>
        <v>-0</v>
      </c>
      <c r="BZ84" s="109" t="n">
        <f aca="false">-IF(AND(76&gt;=Hipótesis!$D$78,MOD(76,12)=0,BZ96=0,BZ89=0,BZ101=0,BZ81=0),MIN(Hipótesis!$D$79*MAX(0,BZ112),MAX(0,BZ82+BZ83-Hipótesis!$D$80)),0)</f>
        <v>-0</v>
      </c>
      <c r="CA84" s="109" t="n">
        <f aca="false">-IF(AND(77&gt;=Hipótesis!$D$78,MOD(77,12)=0,CA96=0,CA89=0,CA101=0,CA81=0),MIN(Hipótesis!$D$79*MAX(0,CA112),MAX(0,CA82+CA83-Hipótesis!$D$80)),0)</f>
        <v>-0</v>
      </c>
      <c r="CB84" s="109" t="n">
        <f aca="false">-IF(AND(78&gt;=Hipótesis!$D$78,MOD(78,12)=0,CB96=0,CB89=0,CB101=0,CB81=0),MIN(Hipótesis!$D$79*MAX(0,CB112),MAX(0,CB82+CB83-Hipótesis!$D$80)),0)</f>
        <v>-0</v>
      </c>
      <c r="CC84" s="109" t="n">
        <f aca="false">-IF(AND(79&gt;=Hipótesis!$D$78,MOD(79,12)=0,CC96=0,CC89=0,CC101=0,CC81=0),MIN(Hipótesis!$D$79*MAX(0,CC112),MAX(0,CC82+CC83-Hipótesis!$D$80)),0)</f>
        <v>-0</v>
      </c>
      <c r="CD84" s="109" t="n">
        <f aca="false">-IF(AND(80&gt;=Hipótesis!$D$78,MOD(80,12)=0,CD96=0,CD89=0,CD101=0,CD81=0),MIN(Hipótesis!$D$79*MAX(0,CD112),MAX(0,CD82+CD83-Hipótesis!$D$80)),0)</f>
        <v>-0</v>
      </c>
      <c r="CE84" s="109" t="n">
        <f aca="false">-IF(AND(81&gt;=Hipótesis!$D$78,MOD(81,12)=0,CE96=0,CE89=0,CE101=0,CE81=0),MIN(Hipótesis!$D$79*MAX(0,CE112),MAX(0,CE82+CE83-Hipótesis!$D$80)),0)</f>
        <v>-0</v>
      </c>
      <c r="CF84" s="109" t="n">
        <f aca="false">-IF(AND(82&gt;=Hipótesis!$D$78,MOD(82,12)=0,CF96=0,CF89=0,CF101=0,CF81=0),MIN(Hipótesis!$D$79*MAX(0,CF112),MAX(0,CF82+CF83-Hipótesis!$D$80)),0)</f>
        <v>-0</v>
      </c>
      <c r="CG84" s="109" t="n">
        <f aca="false">-IF(AND(83&gt;=Hipótesis!$D$78,MOD(83,12)=0,CG96=0,CG89=0,CG101=0,CG81=0),MIN(Hipótesis!$D$79*MAX(0,CG112),MAX(0,CG82+CG83-Hipótesis!$D$80)),0)</f>
        <v>-0</v>
      </c>
      <c r="CH84" s="109" t="n">
        <f aca="false">-IF(AND(84&gt;=Hipótesis!$D$78,MOD(84,12)=0,CH96=0,CH89=0,CH101=0,CH81=0),MIN(Hipótesis!$D$79*MAX(0,CH112),MAX(0,CH82+CH83-Hipótesis!$D$80)),0)</f>
        <v>-0</v>
      </c>
    </row>
    <row r="85" customFormat="false" ht="13.5" hidden="false" customHeight="true" outlineLevel="0" collapsed="false">
      <c r="A85" s="22" t="s">
        <v>587</v>
      </c>
      <c r="C85" s="109" t="n">
        <f aca="false">C78+C80+C83+C84</f>
        <v>147790.15656386</v>
      </c>
      <c r="D85" s="109" t="n">
        <f aca="false">D78+D80+D83+D84</f>
        <v>-30667.7454884222</v>
      </c>
      <c r="E85" s="109" t="n">
        <f aca="false">E78+E80+E83+E84</f>
        <v>-23427.7615194045</v>
      </c>
      <c r="F85" s="109" t="n">
        <f aca="false">F78+F80+F83+F84</f>
        <v>-20577.9786274273</v>
      </c>
      <c r="G85" s="109" t="n">
        <f aca="false">G78+G80+G83+G84</f>
        <v>-18081.6037859741</v>
      </c>
      <c r="H85" s="109" t="n">
        <f aca="false">H78+H80+H83+H84</f>
        <v>-14988.5076741165</v>
      </c>
      <c r="I85" s="109" t="n">
        <f aca="false">I78+I80+I83+I84</f>
        <v>-10046.5594685156</v>
      </c>
      <c r="J85" s="109" t="n">
        <f aca="false">J78+J80+J83+J84</f>
        <v>0</v>
      </c>
      <c r="K85" s="109" t="n">
        <f aca="false">K78+K80+K83+K84</f>
        <v>0</v>
      </c>
      <c r="L85" s="109" t="n">
        <f aca="false">L78+L80+L83+L84</f>
        <v>0</v>
      </c>
      <c r="M85" s="109" t="n">
        <f aca="false">M78+M80+M83+M84</f>
        <v>4988.62367764799</v>
      </c>
      <c r="N85" s="109" t="n">
        <f aca="false">N78+N80+N83+N84</f>
        <v>10356.5309800952</v>
      </c>
      <c r="O85" s="109" t="n">
        <f aca="false">O78+O80+O83+O84</f>
        <v>11531.4405629259</v>
      </c>
      <c r="P85" s="109" t="n">
        <f aca="false">P78+P80+P83+P84</f>
        <v>14276.1175105847</v>
      </c>
      <c r="Q85" s="109" t="n">
        <f aca="false">Q78+Q80+Q83+Q84</f>
        <v>16966.6479931701</v>
      </c>
      <c r="R85" s="109" t="n">
        <f aca="false">R78+R80+R83+R84</f>
        <v>19657.1784757554</v>
      </c>
      <c r="S85" s="109" t="n">
        <f aca="false">S78+S80+S83+S84</f>
        <v>22347.7089583407</v>
      </c>
      <c r="T85" s="109" t="n">
        <f aca="false">T78+T80+T83+T84</f>
        <v>25038.239440926</v>
      </c>
      <c r="U85" s="109" t="n">
        <f aca="false">U78+U80+U83+U84</f>
        <v>27728.7699235113</v>
      </c>
      <c r="V85" s="109" t="n">
        <f aca="false">V78+V80+V83+V84</f>
        <v>26228.8772460966</v>
      </c>
      <c r="W85" s="109" t="n">
        <f aca="false">W78+W80+W83+W84</f>
        <v>28919.4077286819</v>
      </c>
      <c r="X85" s="109" t="n">
        <f aca="false">X78+X80+X83+X84</f>
        <v>30932.0716270942</v>
      </c>
      <c r="Y85" s="109" t="n">
        <f aca="false">Y78+Y80+Y83+Y84</f>
        <v>32856.3601578595</v>
      </c>
      <c r="Z85" s="109" t="n">
        <f aca="false">Z78+Z80+Z83+Z84</f>
        <v>34524.6573992212</v>
      </c>
      <c r="AA85" s="109" t="n">
        <f aca="false">AA78+AA80+AA83+AA84</f>
        <v>32658.5028240574</v>
      </c>
      <c r="AB85" s="109" t="n">
        <f aca="false">AB78+AB80+AB83+AB84</f>
        <v>34306.7426405824</v>
      </c>
      <c r="AC85" s="109" t="n">
        <f aca="false">AC78+AC80+AC83+AC84</f>
        <v>35954.9824571075</v>
      </c>
      <c r="AD85" s="109" t="n">
        <f aca="false">AD78+AD80+AD83+AD84</f>
        <v>37603.2222736326</v>
      </c>
      <c r="AE85" s="109" t="n">
        <f aca="false">AE78+AE80+AE83+AE84</f>
        <v>39251.4620901577</v>
      </c>
      <c r="AF85" s="109" t="n">
        <f aca="false">AF78+AF80+AF83+AF84</f>
        <v>40899.7019066827</v>
      </c>
      <c r="AG85" s="109" t="n">
        <f aca="false">AG78+AG80+AG83+AG84</f>
        <v>42547.9417232078</v>
      </c>
      <c r="AH85" s="109" t="n">
        <f aca="false">AH78+AH80+AH83+AH84</f>
        <v>44196.1815397329</v>
      </c>
      <c r="AI85" s="109" t="n">
        <f aca="false">AI78+AI80+AI83+AI84</f>
        <v>43861.331909458</v>
      </c>
      <c r="AJ85" s="109" t="n">
        <f aca="false">AJ78+AJ80+AJ83+AJ84</f>
        <v>45509.5717259831</v>
      </c>
      <c r="AK85" s="109" t="n">
        <f aca="false">AK78+AK80+AK83+AK84</f>
        <v>47157.8115425081</v>
      </c>
      <c r="AL85" s="109" t="n">
        <f aca="false">AL78+AL80+AL83+AL84</f>
        <v>48806.0513590332</v>
      </c>
      <c r="AM85" s="109" t="n">
        <f aca="false">AM78+AM80+AM83+AM84</f>
        <v>42521.5435730415</v>
      </c>
      <c r="AN85" s="109" t="n">
        <f aca="false">AN78+AN80+AN83+AN84</f>
        <v>43970.6007474931</v>
      </c>
      <c r="AO85" s="109" t="n">
        <f aca="false">AO78+AO80+AO83+AO84</f>
        <v>45419.6579219446</v>
      </c>
      <c r="AP85" s="109" t="n">
        <f aca="false">AP78+AP80+AP83+AP84</f>
        <v>46868.7150963962</v>
      </c>
      <c r="AQ85" s="109" t="n">
        <f aca="false">AQ78+AQ80+AQ83+AQ84</f>
        <v>48317.7722708477</v>
      </c>
      <c r="AR85" s="109" t="n">
        <f aca="false">AR78+AR80+AR83+AR84</f>
        <v>49766.8294452992</v>
      </c>
      <c r="AS85" s="109" t="n">
        <f aca="false">AS78+AS80+AS83+AS84</f>
        <v>50154.4560700587</v>
      </c>
      <c r="AT85" s="109" t="n">
        <f aca="false">AT78+AT80+AT83+AT84</f>
        <v>50158.6227367254</v>
      </c>
      <c r="AU85" s="109" t="n">
        <f aca="false">AU78+AU80+AU83+AU84</f>
        <v>50162.7894033921</v>
      </c>
      <c r="AV85" s="109" t="n">
        <f aca="false">AV78+AV80+AV83+AV84</f>
        <v>50166.9560700587</v>
      </c>
      <c r="AW85" s="109" t="n">
        <f aca="false">AW78+AW80+AW83+AW84</f>
        <v>50171.1227367254</v>
      </c>
      <c r="AX85" s="109" t="n">
        <f aca="false">AX78+AX80+AX83+AX84</f>
        <v>-193629.187520771</v>
      </c>
      <c r="AY85" s="109" t="n">
        <f aca="false">AY78+AY80+AY83+AY84</f>
        <v>48488.7997207999</v>
      </c>
      <c r="AZ85" s="109" t="n">
        <f aca="false">AZ78+AZ80+AZ83+AZ84</f>
        <v>48492.9663874666</v>
      </c>
      <c r="BA85" s="109" t="n">
        <f aca="false">BA78+BA80+BA83+BA84</f>
        <v>48497.1330541333</v>
      </c>
      <c r="BB85" s="109" t="n">
        <f aca="false">BB78+BB80+BB83+BB84</f>
        <v>48501.2997207999</v>
      </c>
      <c r="BC85" s="109" t="n">
        <f aca="false">BC78+BC80+BC83+BC84</f>
        <v>48505.4663874666</v>
      </c>
      <c r="BD85" s="109" t="n">
        <f aca="false">BD78+BD80+BD83+BD84</f>
        <v>48509.6330541333</v>
      </c>
      <c r="BE85" s="109" t="n">
        <f aca="false">BE78+BE80+BE83+BE84</f>
        <v>48513.7997207999</v>
      </c>
      <c r="BF85" s="109" t="n">
        <f aca="false">BF78+BF80+BF83+BF84</f>
        <v>48517.9663874666</v>
      </c>
      <c r="BG85" s="109" t="n">
        <f aca="false">BG78+BG80+BG83+BG84</f>
        <v>48522.1330541333</v>
      </c>
      <c r="BH85" s="109" t="n">
        <f aca="false">BH78+BH80+BH83+BH84</f>
        <v>48526.2997207999</v>
      </c>
      <c r="BI85" s="109" t="n">
        <f aca="false">BI78+BI80+BI83+BI84</f>
        <v>48530.4663874666</v>
      </c>
      <c r="BJ85" s="109" t="n">
        <f aca="false">BJ78+BJ80+BJ83+BJ84</f>
        <v>-196332.912286897</v>
      </c>
      <c r="BK85" s="109" t="n">
        <f aca="false">BK78+BK80+BK83+BK84</f>
        <v>46841.0826810634</v>
      </c>
      <c r="BL85" s="109" t="n">
        <f aca="false">BL78+BL80+BL83+BL84</f>
        <v>46845.24934773</v>
      </c>
      <c r="BM85" s="109" t="n">
        <f aca="false">BM78+BM80+BM83+BM84</f>
        <v>46849.4160143967</v>
      </c>
      <c r="BN85" s="109" t="n">
        <f aca="false">BN78+BN80+BN83+BN84</f>
        <v>46853.5826810634</v>
      </c>
      <c r="BO85" s="109" t="n">
        <f aca="false">BO78+BO80+BO83+BO84</f>
        <v>46857.74934773</v>
      </c>
      <c r="BP85" s="109" t="n">
        <f aca="false">BP78+BP80+BP83+BP84</f>
        <v>46861.9160143967</v>
      </c>
      <c r="BQ85" s="109" t="n">
        <f aca="false">BQ78+BQ80+BQ83+BQ84</f>
        <v>46866.0826810634</v>
      </c>
      <c r="BR85" s="109" t="n">
        <f aca="false">BR78+BR80+BR83+BR84</f>
        <v>46870.24934773</v>
      </c>
      <c r="BS85" s="109" t="n">
        <f aca="false">BS78+BS80+BS83+BS84</f>
        <v>46874.4160143967</v>
      </c>
      <c r="BT85" s="109" t="n">
        <f aca="false">BT78+BT80+BT83+BT84</f>
        <v>46878.5826810634</v>
      </c>
      <c r="BU85" s="109" t="n">
        <f aca="false">BU78+BU80+BU83+BU84</f>
        <v>46882.74934773</v>
      </c>
      <c r="BV85" s="109" t="n">
        <f aca="false">BV78+BV80+BV83+BV84</f>
        <v>-190071.587535898</v>
      </c>
      <c r="BW85" s="109" t="n">
        <f aca="false">BW78+BW80+BW83+BW84</f>
        <v>45186.0931301347</v>
      </c>
      <c r="BX85" s="109" t="n">
        <f aca="false">BX78+BX80+BX83+BX84</f>
        <v>45190.2597968014</v>
      </c>
      <c r="BY85" s="109" t="n">
        <f aca="false">BY78+BY80+BY83+BY84</f>
        <v>45194.426463468</v>
      </c>
      <c r="BZ85" s="109" t="n">
        <f aca="false">BZ78+BZ80+BZ83+BZ84</f>
        <v>45198.5931301347</v>
      </c>
      <c r="CA85" s="109" t="n">
        <f aca="false">CA78+CA80+CA83+CA84</f>
        <v>45202.7597968014</v>
      </c>
      <c r="CB85" s="109" t="n">
        <f aca="false">CB78+CB80+CB83+CB84</f>
        <v>45206.926463468</v>
      </c>
      <c r="CC85" s="109" t="n">
        <f aca="false">CC78+CC80+CC83+CC84</f>
        <v>45211.0931301347</v>
      </c>
      <c r="CD85" s="109" t="n">
        <f aca="false">CD78+CD80+CD83+CD84</f>
        <v>45215.2597968014</v>
      </c>
      <c r="CE85" s="109" t="n">
        <f aca="false">CE78+CE80+CE83+CE84</f>
        <v>45219.426463468</v>
      </c>
      <c r="CF85" s="109" t="n">
        <f aca="false">CF78+CF80+CF83+CF84</f>
        <v>45223.5931301347</v>
      </c>
      <c r="CG85" s="109" t="n">
        <f aca="false">CG78+CG80+CG83+CG84</f>
        <v>45227.7597968014</v>
      </c>
      <c r="CH85" s="109" t="n">
        <f aca="false">CH78+CH80+CH83+CH84</f>
        <v>-183782.627242369</v>
      </c>
    </row>
    <row r="86" customFormat="false" ht="13.5" hidden="false" customHeight="true" outlineLevel="0" collapsed="false">
      <c r="A86" s="47" t="s">
        <v>588</v>
      </c>
      <c r="C86" s="71" t="n">
        <f aca="false">C85</f>
        <v>147790.15656386</v>
      </c>
      <c r="D86" s="71" t="n">
        <f aca="false">C86+D85</f>
        <v>117122.411075438</v>
      </c>
      <c r="E86" s="71" t="n">
        <f aca="false">D86+E85</f>
        <v>93694.6495560335</v>
      </c>
      <c r="F86" s="71" t="n">
        <f aca="false">E86+F85</f>
        <v>73116.6709286062</v>
      </c>
      <c r="G86" s="71" t="n">
        <f aca="false">F86+G85</f>
        <v>55035.0671426321</v>
      </c>
      <c r="H86" s="71" t="n">
        <f aca="false">G86+H85</f>
        <v>40046.5594685156</v>
      </c>
      <c r="I86" s="71" t="n">
        <f aca="false">H86+I85</f>
        <v>30000</v>
      </c>
      <c r="J86" s="71" t="n">
        <f aca="false">I86+J85</f>
        <v>30000</v>
      </c>
      <c r="K86" s="71" t="n">
        <f aca="false">J86+K85</f>
        <v>30000</v>
      </c>
      <c r="L86" s="71" t="n">
        <f aca="false">K86+L85</f>
        <v>30000</v>
      </c>
      <c r="M86" s="71" t="n">
        <f aca="false">L86+M85</f>
        <v>34988.623677648</v>
      </c>
      <c r="N86" s="71" t="n">
        <f aca="false">M86+N85</f>
        <v>45345.1546577432</v>
      </c>
      <c r="O86" s="71" t="n">
        <f aca="false">N86+O85</f>
        <v>56876.5952206691</v>
      </c>
      <c r="P86" s="71" t="n">
        <f aca="false">O86+P85</f>
        <v>71152.7127312538</v>
      </c>
      <c r="Q86" s="71" t="n">
        <f aca="false">P86+Q85</f>
        <v>88119.3607244238</v>
      </c>
      <c r="R86" s="71" t="n">
        <f aca="false">Q86+R85</f>
        <v>107776.539200179</v>
      </c>
      <c r="S86" s="71" t="n">
        <f aca="false">R86+S85</f>
        <v>130124.24815852</v>
      </c>
      <c r="T86" s="71" t="n">
        <f aca="false">S86+T85</f>
        <v>155162.487599446</v>
      </c>
      <c r="U86" s="71" t="n">
        <f aca="false">T86+U85</f>
        <v>182891.257522957</v>
      </c>
      <c r="V86" s="71" t="n">
        <f aca="false">U86+V85</f>
        <v>209120.134769054</v>
      </c>
      <c r="W86" s="71" t="n">
        <f aca="false">V86+W85</f>
        <v>238039.542497736</v>
      </c>
      <c r="X86" s="71" t="n">
        <f aca="false">W86+X85</f>
        <v>268971.61412483</v>
      </c>
      <c r="Y86" s="71" t="n">
        <f aca="false">X86+Y85</f>
        <v>301827.974282689</v>
      </c>
      <c r="Z86" s="71" t="n">
        <f aca="false">Y86+Z85</f>
        <v>336352.631681911</v>
      </c>
      <c r="AA86" s="71" t="n">
        <f aca="false">Z86+AA85</f>
        <v>369011.134505968</v>
      </c>
      <c r="AB86" s="71" t="n">
        <f aca="false">AA86+AB85</f>
        <v>403317.87714655</v>
      </c>
      <c r="AC86" s="71" t="n">
        <f aca="false">AB86+AC85</f>
        <v>439272.859603658</v>
      </c>
      <c r="AD86" s="71" t="n">
        <f aca="false">AC86+AD85</f>
        <v>476876.08187729</v>
      </c>
      <c r="AE86" s="71" t="n">
        <f aca="false">AD86+AE85</f>
        <v>516127.543967448</v>
      </c>
      <c r="AF86" s="71" t="n">
        <f aca="false">AE86+AF85</f>
        <v>557027.245874131</v>
      </c>
      <c r="AG86" s="71" t="n">
        <f aca="false">AF86+AG85</f>
        <v>599575.187597339</v>
      </c>
      <c r="AH86" s="71" t="n">
        <f aca="false">AG86+AH85</f>
        <v>643771.369137071</v>
      </c>
      <c r="AI86" s="71" t="n">
        <f aca="false">AH86+AI85</f>
        <v>687632.701046529</v>
      </c>
      <c r="AJ86" s="71" t="n">
        <f aca="false">AI86+AJ85</f>
        <v>733142.272772512</v>
      </c>
      <c r="AK86" s="71" t="n">
        <f aca="false">AJ86+AK85</f>
        <v>780300.084315021</v>
      </c>
      <c r="AL86" s="71" t="n">
        <f aca="false">AK86+AL85</f>
        <v>829106.135674054</v>
      </c>
      <c r="AM86" s="71" t="n">
        <f aca="false">AL86+AM85</f>
        <v>871627.679247095</v>
      </c>
      <c r="AN86" s="71" t="n">
        <f aca="false">AM86+AN85</f>
        <v>915598.279994588</v>
      </c>
      <c r="AO86" s="71" t="n">
        <f aca="false">AN86+AO85</f>
        <v>961017.937916533</v>
      </c>
      <c r="AP86" s="71" t="n">
        <f aca="false">AO86+AP85</f>
        <v>1007886.65301293</v>
      </c>
      <c r="AQ86" s="71" t="n">
        <f aca="false">AP86+AQ85</f>
        <v>1056204.42528378</v>
      </c>
      <c r="AR86" s="71" t="n">
        <f aca="false">AQ86+AR85</f>
        <v>1105971.25472908</v>
      </c>
      <c r="AS86" s="71" t="n">
        <f aca="false">AR86+AS85</f>
        <v>1156125.71079913</v>
      </c>
      <c r="AT86" s="71" t="n">
        <f aca="false">AS86+AT85</f>
        <v>1206284.33353586</v>
      </c>
      <c r="AU86" s="71" t="n">
        <f aca="false">AT86+AU85</f>
        <v>1256447.12293925</v>
      </c>
      <c r="AV86" s="71" t="n">
        <f aca="false">AU86+AV85</f>
        <v>1306614.07900931</v>
      </c>
      <c r="AW86" s="71" t="n">
        <f aca="false">AV86+AW85</f>
        <v>1356785.20174604</v>
      </c>
      <c r="AX86" s="71" t="n">
        <f aca="false">AW86+AX85</f>
        <v>1163156.01422527</v>
      </c>
      <c r="AY86" s="71" t="n">
        <f aca="false">AX86+AY85</f>
        <v>1211644.81394607</v>
      </c>
      <c r="AZ86" s="71" t="n">
        <f aca="false">AY86+AZ85</f>
        <v>1260137.78033353</v>
      </c>
      <c r="BA86" s="71" t="n">
        <f aca="false">AZ86+BA85</f>
        <v>1308634.91338767</v>
      </c>
      <c r="BB86" s="71" t="n">
        <f aca="false">BA86+BB85</f>
        <v>1357136.21310847</v>
      </c>
      <c r="BC86" s="71" t="n">
        <f aca="false">BB86+BC85</f>
        <v>1405641.67949593</v>
      </c>
      <c r="BD86" s="71" t="n">
        <f aca="false">BC86+BD85</f>
        <v>1454151.31255007</v>
      </c>
      <c r="BE86" s="71" t="n">
        <f aca="false">BD86+BE85</f>
        <v>1502665.11227087</v>
      </c>
      <c r="BF86" s="71" t="n">
        <f aca="false">BE86+BF85</f>
        <v>1551183.07865833</v>
      </c>
      <c r="BG86" s="71" t="n">
        <f aca="false">BF86+BG85</f>
        <v>1599705.21171247</v>
      </c>
      <c r="BH86" s="71" t="n">
        <f aca="false">BG86+BH85</f>
        <v>1648231.51143327</v>
      </c>
      <c r="BI86" s="71" t="n">
        <f aca="false">BH86+BI85</f>
        <v>1696761.97782073</v>
      </c>
      <c r="BJ86" s="71" t="n">
        <f aca="false">BI86+BJ85</f>
        <v>1500429.06553384</v>
      </c>
      <c r="BK86" s="71" t="n">
        <f aca="false">BJ86+BK85</f>
        <v>1547270.1482149</v>
      </c>
      <c r="BL86" s="71" t="n">
        <f aca="false">BK86+BL85</f>
        <v>1594115.39756263</v>
      </c>
      <c r="BM86" s="71" t="n">
        <f aca="false">BL86+BM85</f>
        <v>1640964.81357703</v>
      </c>
      <c r="BN86" s="71" t="n">
        <f aca="false">BM86+BN85</f>
        <v>1687818.39625809</v>
      </c>
      <c r="BO86" s="71" t="n">
        <f aca="false">BN86+BO85</f>
        <v>1734676.14560582</v>
      </c>
      <c r="BP86" s="71" t="n">
        <f aca="false">BO86+BP85</f>
        <v>1781538.06162022</v>
      </c>
      <c r="BQ86" s="71" t="n">
        <f aca="false">BP86+BQ85</f>
        <v>1828404.14430128</v>
      </c>
      <c r="BR86" s="71" t="n">
        <f aca="false">BQ86+BR85</f>
        <v>1875274.39364901</v>
      </c>
      <c r="BS86" s="71" t="n">
        <f aca="false">BR86+BS85</f>
        <v>1922148.80966341</v>
      </c>
      <c r="BT86" s="71" t="n">
        <f aca="false">BS86+BT85</f>
        <v>1969027.39234447</v>
      </c>
      <c r="BU86" s="71" t="n">
        <f aca="false">BT86+BU85</f>
        <v>2015910.1416922</v>
      </c>
      <c r="BV86" s="71" t="n">
        <f aca="false">BU86+BV85</f>
        <v>1825838.5541563</v>
      </c>
      <c r="BW86" s="71" t="n">
        <f aca="false">BV86+BW85</f>
        <v>1871024.64728644</v>
      </c>
      <c r="BX86" s="71" t="n">
        <f aca="false">BW86+BX85</f>
        <v>1916214.90708324</v>
      </c>
      <c r="BY86" s="71" t="n">
        <f aca="false">BX86+BY85</f>
        <v>1961409.3335467</v>
      </c>
      <c r="BZ86" s="71" t="n">
        <f aca="false">BY86+BZ85</f>
        <v>2006607.92667684</v>
      </c>
      <c r="CA86" s="71" t="n">
        <f aca="false">BZ86+CA85</f>
        <v>2051810.68647364</v>
      </c>
      <c r="CB86" s="71" t="n">
        <f aca="false">CA86+CB85</f>
        <v>2097017.61293711</v>
      </c>
      <c r="CC86" s="71" t="n">
        <f aca="false">CB86+CC85</f>
        <v>2142228.70606724</v>
      </c>
      <c r="CD86" s="71" t="n">
        <f aca="false">CC86+CD85</f>
        <v>2187443.96586404</v>
      </c>
      <c r="CE86" s="71" t="n">
        <f aca="false">CD86+CE85</f>
        <v>2232663.39232751</v>
      </c>
      <c r="CF86" s="71" t="n">
        <f aca="false">CE86+CF85</f>
        <v>2277886.98545765</v>
      </c>
      <c r="CG86" s="71" t="n">
        <f aca="false">CF86+CG85</f>
        <v>2323114.74525445</v>
      </c>
      <c r="CH86" s="71" t="n">
        <f aca="false">CG86+CH85</f>
        <v>2139332.11801208</v>
      </c>
    </row>
    <row r="87" customFormat="false" ht="13.5" hidden="false" customHeight="true" outlineLevel="0" collapsed="false"/>
    <row r="88" customFormat="false" ht="12.75" hidden="false" customHeight="true" outlineLevel="0" collapsed="false">
      <c r="A88" s="9" t="s">
        <v>589</v>
      </c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s="9"/>
      <c r="BU88" s="9"/>
      <c r="BV88" s="9"/>
      <c r="BW88" s="9"/>
      <c r="BX88" s="9"/>
      <c r="BY88" s="9"/>
      <c r="BZ88" s="9"/>
      <c r="CA88" s="9"/>
      <c r="CB88" s="9"/>
      <c r="CC88" s="9"/>
      <c r="CD88" s="9"/>
      <c r="CE88" s="9"/>
      <c r="CF88" s="9"/>
      <c r="CG88" s="9"/>
      <c r="CH88" s="9"/>
    </row>
    <row r="89" customFormat="false" ht="13.5" hidden="false" customHeight="true" outlineLevel="0" collapsed="false">
      <c r="A89" s="6" t="s">
        <v>590</v>
      </c>
      <c r="C89" s="109" t="n">
        <f aca="false">IF(Hipótesis!$D$94=5,0,Hipótesis!$D$93)</f>
        <v>0</v>
      </c>
      <c r="D89" s="109" t="n">
        <f aca="false">C89-C90</f>
        <v>0</v>
      </c>
      <c r="E89" s="109" t="n">
        <f aca="false">D89-D90</f>
        <v>0</v>
      </c>
      <c r="F89" s="109" t="n">
        <f aca="false">E89-E90</f>
        <v>0</v>
      </c>
      <c r="G89" s="109" t="n">
        <f aca="false">F89-F90</f>
        <v>0</v>
      </c>
      <c r="H89" s="109" t="n">
        <f aca="false">G89-G90</f>
        <v>0</v>
      </c>
      <c r="I89" s="109" t="n">
        <f aca="false">H89-H90</f>
        <v>0</v>
      </c>
      <c r="J89" s="109" t="n">
        <f aca="false">I89-I90</f>
        <v>0</v>
      </c>
      <c r="K89" s="109" t="n">
        <f aca="false">J89-J90</f>
        <v>0</v>
      </c>
      <c r="L89" s="109" t="n">
        <f aca="false">K89-K90</f>
        <v>0</v>
      </c>
      <c r="M89" s="109" t="n">
        <f aca="false">L89-L90</f>
        <v>0</v>
      </c>
      <c r="N89" s="109" t="n">
        <f aca="false">M89-M90</f>
        <v>0</v>
      </c>
      <c r="O89" s="109" t="n">
        <f aca="false">N89-N90</f>
        <v>0</v>
      </c>
      <c r="P89" s="109" t="n">
        <f aca="false">O89-O90</f>
        <v>0</v>
      </c>
      <c r="Q89" s="109" t="n">
        <f aca="false">P89-P90</f>
        <v>0</v>
      </c>
      <c r="R89" s="109" t="n">
        <f aca="false">Q89-Q90</f>
        <v>0</v>
      </c>
      <c r="S89" s="109" t="n">
        <f aca="false">R89-R90</f>
        <v>0</v>
      </c>
      <c r="T89" s="109" t="n">
        <f aca="false">S89-S90</f>
        <v>0</v>
      </c>
      <c r="U89" s="109" t="n">
        <f aca="false">T89-T90</f>
        <v>0</v>
      </c>
      <c r="V89" s="109" t="n">
        <f aca="false">U89-U90</f>
        <v>0</v>
      </c>
      <c r="W89" s="109" t="n">
        <f aca="false">V89-V90</f>
        <v>0</v>
      </c>
      <c r="X89" s="109" t="n">
        <f aca="false">W89-W90</f>
        <v>0</v>
      </c>
      <c r="Y89" s="109" t="n">
        <f aca="false">X89-X90</f>
        <v>0</v>
      </c>
      <c r="Z89" s="109" t="n">
        <f aca="false">Y89-Y90</f>
        <v>0</v>
      </c>
      <c r="AA89" s="109" t="n">
        <f aca="false">Z89-Z90</f>
        <v>0</v>
      </c>
      <c r="AB89" s="109" t="n">
        <f aca="false">AA89-AA90</f>
        <v>0</v>
      </c>
      <c r="AC89" s="109" t="n">
        <f aca="false">AB89-AB90</f>
        <v>0</v>
      </c>
      <c r="AD89" s="109" t="n">
        <f aca="false">AC89-AC90</f>
        <v>0</v>
      </c>
      <c r="AE89" s="109" t="n">
        <f aca="false">AD89-AD90</f>
        <v>0</v>
      </c>
      <c r="AF89" s="109" t="n">
        <f aca="false">AE89-AE90</f>
        <v>0</v>
      </c>
      <c r="AG89" s="109" t="n">
        <f aca="false">AF89-AF90</f>
        <v>0</v>
      </c>
      <c r="AH89" s="109" t="n">
        <f aca="false">AG89-AG90</f>
        <v>0</v>
      </c>
      <c r="AI89" s="109" t="n">
        <f aca="false">AH89-AH90</f>
        <v>0</v>
      </c>
      <c r="AJ89" s="109" t="n">
        <f aca="false">AI89-AI90</f>
        <v>0</v>
      </c>
      <c r="AK89" s="109" t="n">
        <f aca="false">AJ89-AJ90</f>
        <v>0</v>
      </c>
      <c r="AL89" s="109" t="n">
        <f aca="false">AK89-AK90</f>
        <v>0</v>
      </c>
      <c r="AM89" s="109" t="n">
        <f aca="false">AL89-AL90</f>
        <v>0</v>
      </c>
      <c r="AN89" s="109" t="n">
        <f aca="false">AM89-AM90</f>
        <v>0</v>
      </c>
      <c r="AO89" s="109" t="n">
        <f aca="false">AN89-AN90</f>
        <v>0</v>
      </c>
      <c r="AP89" s="109" t="n">
        <f aca="false">AO89-AO90</f>
        <v>0</v>
      </c>
      <c r="AQ89" s="109" t="n">
        <f aca="false">AP89-AP90</f>
        <v>0</v>
      </c>
      <c r="AR89" s="109" t="n">
        <f aca="false">AQ89-AQ90</f>
        <v>0</v>
      </c>
      <c r="AS89" s="109" t="n">
        <f aca="false">AR89-AR90</f>
        <v>0</v>
      </c>
      <c r="AT89" s="109" t="n">
        <f aca="false">AS89-AS90</f>
        <v>0</v>
      </c>
      <c r="AU89" s="109" t="n">
        <f aca="false">AT89-AT90</f>
        <v>0</v>
      </c>
      <c r="AV89" s="109" t="n">
        <f aca="false">AU89-AU90</f>
        <v>0</v>
      </c>
      <c r="AW89" s="109" t="n">
        <f aca="false">AV89-AV90</f>
        <v>0</v>
      </c>
      <c r="AX89" s="109" t="n">
        <f aca="false">AW89-AW90</f>
        <v>0</v>
      </c>
      <c r="AY89" s="109" t="n">
        <f aca="false">AX89-AX90</f>
        <v>0</v>
      </c>
      <c r="AZ89" s="109" t="n">
        <f aca="false">AY89-AY90</f>
        <v>0</v>
      </c>
      <c r="BA89" s="109" t="n">
        <f aca="false">AZ89-AZ90</f>
        <v>0</v>
      </c>
      <c r="BB89" s="109" t="n">
        <f aca="false">BA89-BA90</f>
        <v>0</v>
      </c>
      <c r="BC89" s="109" t="n">
        <f aca="false">BB89-BB90</f>
        <v>0</v>
      </c>
      <c r="BD89" s="109" t="n">
        <f aca="false">BC89-BC90</f>
        <v>0</v>
      </c>
      <c r="BE89" s="109" t="n">
        <f aca="false">BD89-BD90</f>
        <v>0</v>
      </c>
      <c r="BF89" s="109" t="n">
        <f aca="false">BE89-BE90</f>
        <v>0</v>
      </c>
      <c r="BG89" s="109" t="n">
        <f aca="false">BF89-BF90</f>
        <v>0</v>
      </c>
      <c r="BH89" s="109" t="n">
        <f aca="false">BG89-BG90</f>
        <v>0</v>
      </c>
      <c r="BI89" s="109" t="n">
        <f aca="false">BH89-BH90</f>
        <v>0</v>
      </c>
      <c r="BJ89" s="109" t="n">
        <f aca="false">BI89-BI90</f>
        <v>0</v>
      </c>
      <c r="BK89" s="109" t="n">
        <f aca="false">BJ89-BJ90</f>
        <v>0</v>
      </c>
      <c r="BL89" s="109" t="n">
        <f aca="false">BK89-BK90</f>
        <v>0</v>
      </c>
      <c r="BM89" s="109" t="n">
        <f aca="false">BL89-BL90</f>
        <v>0</v>
      </c>
      <c r="BN89" s="109" t="n">
        <f aca="false">BM89-BM90</f>
        <v>0</v>
      </c>
      <c r="BO89" s="109" t="n">
        <f aca="false">BN89-BN90</f>
        <v>0</v>
      </c>
      <c r="BP89" s="109" t="n">
        <f aca="false">BO89-BO90</f>
        <v>0</v>
      </c>
      <c r="BQ89" s="109" t="n">
        <f aca="false">BP89-BP90</f>
        <v>0</v>
      </c>
      <c r="BR89" s="109" t="n">
        <f aca="false">BQ89-BQ90</f>
        <v>0</v>
      </c>
      <c r="BS89" s="109" t="n">
        <f aca="false">BR89-BR90</f>
        <v>0</v>
      </c>
      <c r="BT89" s="109" t="n">
        <f aca="false">BS89-BS90</f>
        <v>0</v>
      </c>
      <c r="BU89" s="109" t="n">
        <f aca="false">BT89-BT90</f>
        <v>0</v>
      </c>
      <c r="BV89" s="109" t="n">
        <f aca="false">BU89-BU90</f>
        <v>0</v>
      </c>
      <c r="BW89" s="109" t="n">
        <f aca="false">BV89-BV90</f>
        <v>0</v>
      </c>
      <c r="BX89" s="109" t="n">
        <f aca="false">BW89-BW90</f>
        <v>0</v>
      </c>
      <c r="BY89" s="109" t="n">
        <f aca="false">BX89-BX90</f>
        <v>0</v>
      </c>
      <c r="BZ89" s="109" t="n">
        <f aca="false">BY89-BY90</f>
        <v>0</v>
      </c>
      <c r="CA89" s="109" t="n">
        <f aca="false">BZ89-BZ90</f>
        <v>0</v>
      </c>
      <c r="CB89" s="109" t="n">
        <f aca="false">CA89-CA90</f>
        <v>0</v>
      </c>
      <c r="CC89" s="109" t="n">
        <f aca="false">CB89-CB90</f>
        <v>0</v>
      </c>
      <c r="CD89" s="109" t="n">
        <f aca="false">CC89-CC90</f>
        <v>0</v>
      </c>
      <c r="CE89" s="109" t="n">
        <f aca="false">CD89-CD90</f>
        <v>0</v>
      </c>
      <c r="CF89" s="109" t="n">
        <f aca="false">CE89-CE90</f>
        <v>0</v>
      </c>
      <c r="CG89" s="109" t="n">
        <f aca="false">CF89-CF90</f>
        <v>0</v>
      </c>
      <c r="CH89" s="109" t="n">
        <f aca="false">CG89-CG90</f>
        <v>0</v>
      </c>
    </row>
    <row r="90" customFormat="false" ht="13.5" hidden="false" customHeight="true" outlineLevel="0" collapsed="false">
      <c r="A90" s="6" t="s">
        <v>591</v>
      </c>
      <c r="C90" s="109" t="n">
        <f aca="false">IF(1&lt;=Hipótesis!$D$97,0,IF(C89&gt;0,MIN(C89,Hipótesis!$D$93/MAX(Hipótesis!$D$96-Hipótesis!$D$97,1)),0))</f>
        <v>0</v>
      </c>
      <c r="D90" s="109" t="n">
        <f aca="false">IF(2&lt;=Hipótesis!$D$97,0,IF(D89&gt;0,MIN(D89,Hipótesis!$D$93/MAX(Hipótesis!$D$96-Hipótesis!$D$97,1)),0))</f>
        <v>0</v>
      </c>
      <c r="E90" s="109" t="n">
        <f aca="false">IF(3&lt;=Hipótesis!$D$97,0,IF(E89&gt;0,MIN(E89,Hipótesis!$D$93/MAX(Hipótesis!$D$96-Hipótesis!$D$97,1)),0))</f>
        <v>0</v>
      </c>
      <c r="F90" s="109" t="n">
        <f aca="false">IF(4&lt;=Hipótesis!$D$97,0,IF(F89&gt;0,MIN(F89,Hipótesis!$D$93/MAX(Hipótesis!$D$96-Hipótesis!$D$97,1)),0))</f>
        <v>0</v>
      </c>
      <c r="G90" s="109" t="n">
        <f aca="false">IF(5&lt;=Hipótesis!$D$97,0,IF(G89&gt;0,MIN(G89,Hipótesis!$D$93/MAX(Hipótesis!$D$96-Hipótesis!$D$97,1)),0))</f>
        <v>0</v>
      </c>
      <c r="H90" s="109" t="n">
        <f aca="false">IF(6&lt;=Hipótesis!$D$97,0,IF(H89&gt;0,MIN(H89,Hipótesis!$D$93/MAX(Hipótesis!$D$96-Hipótesis!$D$97,1)),0))</f>
        <v>0</v>
      </c>
      <c r="I90" s="109" t="n">
        <f aca="false">IF(7&lt;=Hipótesis!$D$97,0,IF(I89&gt;0,MIN(I89,Hipótesis!$D$93/MAX(Hipótesis!$D$96-Hipótesis!$D$97,1)),0))</f>
        <v>0</v>
      </c>
      <c r="J90" s="109" t="n">
        <f aca="false">IF(8&lt;=Hipótesis!$D$97,0,IF(J89&gt;0,MIN(J89,Hipótesis!$D$93/MAX(Hipótesis!$D$96-Hipótesis!$D$97,1)),0))</f>
        <v>0</v>
      </c>
      <c r="K90" s="109" t="n">
        <f aca="false">IF(9&lt;=Hipótesis!$D$97,0,IF(K89&gt;0,MIN(K89,Hipótesis!$D$93/MAX(Hipótesis!$D$96-Hipótesis!$D$97,1)),0))</f>
        <v>0</v>
      </c>
      <c r="L90" s="109" t="n">
        <f aca="false">IF(10&lt;=Hipótesis!$D$97,0,IF(L89&gt;0,MIN(L89,Hipótesis!$D$93/MAX(Hipótesis!$D$96-Hipótesis!$D$97,1)),0))</f>
        <v>0</v>
      </c>
      <c r="M90" s="109" t="n">
        <f aca="false">IF(11&lt;=Hipótesis!$D$97,0,IF(M89&gt;0,MIN(M89,Hipótesis!$D$93/MAX(Hipótesis!$D$96-Hipótesis!$D$97,1)),0))</f>
        <v>0</v>
      </c>
      <c r="N90" s="109" t="n">
        <f aca="false">IF(12&lt;=Hipótesis!$D$97,0,IF(N89&gt;0,MIN(N89,Hipótesis!$D$93/MAX(Hipótesis!$D$96-Hipótesis!$D$97,1)),0))</f>
        <v>0</v>
      </c>
      <c r="O90" s="109" t="n">
        <f aca="false">IF(13&lt;=Hipótesis!$D$97,0,IF(O89&gt;0,MIN(O89,Hipótesis!$D$93/MAX(Hipótesis!$D$96-Hipótesis!$D$97,1)),0))</f>
        <v>0</v>
      </c>
      <c r="P90" s="109" t="n">
        <f aca="false">IF(14&lt;=Hipótesis!$D$97,0,IF(P89&gt;0,MIN(P89,Hipótesis!$D$93/MAX(Hipótesis!$D$96-Hipótesis!$D$97,1)),0))</f>
        <v>0</v>
      </c>
      <c r="Q90" s="109" t="n">
        <f aca="false">IF(15&lt;=Hipótesis!$D$97,0,IF(Q89&gt;0,MIN(Q89,Hipótesis!$D$93/MAX(Hipótesis!$D$96-Hipótesis!$D$97,1)),0))</f>
        <v>0</v>
      </c>
      <c r="R90" s="109" t="n">
        <f aca="false">IF(16&lt;=Hipótesis!$D$97,0,IF(R89&gt;0,MIN(R89,Hipótesis!$D$93/MAX(Hipótesis!$D$96-Hipótesis!$D$97,1)),0))</f>
        <v>0</v>
      </c>
      <c r="S90" s="109" t="n">
        <f aca="false">IF(17&lt;=Hipótesis!$D$97,0,IF(S89&gt;0,MIN(S89,Hipótesis!$D$93/MAX(Hipótesis!$D$96-Hipótesis!$D$97,1)),0))</f>
        <v>0</v>
      </c>
      <c r="T90" s="109" t="n">
        <f aca="false">IF(18&lt;=Hipótesis!$D$97,0,IF(T89&gt;0,MIN(T89,Hipótesis!$D$93/MAX(Hipótesis!$D$96-Hipótesis!$D$97,1)),0))</f>
        <v>0</v>
      </c>
      <c r="U90" s="109" t="n">
        <f aca="false">IF(19&lt;=Hipótesis!$D$97,0,IF(U89&gt;0,MIN(U89,Hipótesis!$D$93/MAX(Hipótesis!$D$96-Hipótesis!$D$97,1)),0))</f>
        <v>0</v>
      </c>
      <c r="V90" s="109" t="n">
        <f aca="false">IF(20&lt;=Hipótesis!$D$97,0,IF(V89&gt;0,MIN(V89,Hipótesis!$D$93/MAX(Hipótesis!$D$96-Hipótesis!$D$97,1)),0))</f>
        <v>0</v>
      </c>
      <c r="W90" s="109" t="n">
        <f aca="false">IF(21&lt;=Hipótesis!$D$97,0,IF(W89&gt;0,MIN(W89,Hipótesis!$D$93/MAX(Hipótesis!$D$96-Hipótesis!$D$97,1)),0))</f>
        <v>0</v>
      </c>
      <c r="X90" s="109" t="n">
        <f aca="false">IF(22&lt;=Hipótesis!$D$97,0,IF(X89&gt;0,MIN(X89,Hipótesis!$D$93/MAX(Hipótesis!$D$96-Hipótesis!$D$97,1)),0))</f>
        <v>0</v>
      </c>
      <c r="Y90" s="109" t="n">
        <f aca="false">IF(23&lt;=Hipótesis!$D$97,0,IF(Y89&gt;0,MIN(Y89,Hipótesis!$D$93/MAX(Hipótesis!$D$96-Hipótesis!$D$97,1)),0))</f>
        <v>0</v>
      </c>
      <c r="Z90" s="109" t="n">
        <f aca="false">IF(24&lt;=Hipótesis!$D$97,0,IF(Z89&gt;0,MIN(Z89,Hipótesis!$D$93/MAX(Hipótesis!$D$96-Hipótesis!$D$97,1)),0))</f>
        <v>0</v>
      </c>
      <c r="AA90" s="109" t="n">
        <f aca="false">IF(25&lt;=Hipótesis!$D$97,0,IF(AA89&gt;0,MIN(AA89,Hipótesis!$D$93/MAX(Hipótesis!$D$96-Hipótesis!$D$97,1)),0))</f>
        <v>0</v>
      </c>
      <c r="AB90" s="109" t="n">
        <f aca="false">IF(26&lt;=Hipótesis!$D$97,0,IF(AB89&gt;0,MIN(AB89,Hipótesis!$D$93/MAX(Hipótesis!$D$96-Hipótesis!$D$97,1)),0))</f>
        <v>0</v>
      </c>
      <c r="AC90" s="109" t="n">
        <f aca="false">IF(27&lt;=Hipótesis!$D$97,0,IF(AC89&gt;0,MIN(AC89,Hipótesis!$D$93/MAX(Hipótesis!$D$96-Hipótesis!$D$97,1)),0))</f>
        <v>0</v>
      </c>
      <c r="AD90" s="109" t="n">
        <f aca="false">IF(28&lt;=Hipótesis!$D$97,0,IF(AD89&gt;0,MIN(AD89,Hipótesis!$D$93/MAX(Hipótesis!$D$96-Hipótesis!$D$97,1)),0))</f>
        <v>0</v>
      </c>
      <c r="AE90" s="109" t="n">
        <f aca="false">IF(29&lt;=Hipótesis!$D$97,0,IF(AE89&gt;0,MIN(AE89,Hipótesis!$D$93/MAX(Hipótesis!$D$96-Hipótesis!$D$97,1)),0))</f>
        <v>0</v>
      </c>
      <c r="AF90" s="109" t="n">
        <f aca="false">IF(30&lt;=Hipótesis!$D$97,0,IF(AF89&gt;0,MIN(AF89,Hipótesis!$D$93/MAX(Hipótesis!$D$96-Hipótesis!$D$97,1)),0))</f>
        <v>0</v>
      </c>
      <c r="AG90" s="109" t="n">
        <f aca="false">IF(31&lt;=Hipótesis!$D$97,0,IF(AG89&gt;0,MIN(AG89,Hipótesis!$D$93/MAX(Hipótesis!$D$96-Hipótesis!$D$97,1)),0))</f>
        <v>0</v>
      </c>
      <c r="AH90" s="109" t="n">
        <f aca="false">IF(32&lt;=Hipótesis!$D$97,0,IF(AH89&gt;0,MIN(AH89,Hipótesis!$D$93/MAX(Hipótesis!$D$96-Hipótesis!$D$97,1)),0))</f>
        <v>0</v>
      </c>
      <c r="AI90" s="109" t="n">
        <f aca="false">IF(33&lt;=Hipótesis!$D$97,0,IF(AI89&gt;0,MIN(AI89,Hipótesis!$D$93/MAX(Hipótesis!$D$96-Hipótesis!$D$97,1)),0))</f>
        <v>0</v>
      </c>
      <c r="AJ90" s="109" t="n">
        <f aca="false">IF(34&lt;=Hipótesis!$D$97,0,IF(AJ89&gt;0,MIN(AJ89,Hipótesis!$D$93/MAX(Hipótesis!$D$96-Hipótesis!$D$97,1)),0))</f>
        <v>0</v>
      </c>
      <c r="AK90" s="109" t="n">
        <f aca="false">IF(35&lt;=Hipótesis!$D$97,0,IF(AK89&gt;0,MIN(AK89,Hipótesis!$D$93/MAX(Hipótesis!$D$96-Hipótesis!$D$97,1)),0))</f>
        <v>0</v>
      </c>
      <c r="AL90" s="109" t="n">
        <f aca="false">IF(36&lt;=Hipótesis!$D$97,0,IF(AL89&gt;0,MIN(AL89,Hipótesis!$D$93/MAX(Hipótesis!$D$96-Hipótesis!$D$97,1)),0))</f>
        <v>0</v>
      </c>
      <c r="AM90" s="109" t="n">
        <f aca="false">IF(37&lt;=Hipótesis!$D$97,0,IF(AM89&gt;0,MIN(AM89,Hipótesis!$D$93/MAX(Hipótesis!$D$96-Hipótesis!$D$97,1)),0))</f>
        <v>0</v>
      </c>
      <c r="AN90" s="109" t="n">
        <f aca="false">IF(38&lt;=Hipótesis!$D$97,0,IF(AN89&gt;0,MIN(AN89,Hipótesis!$D$93/MAX(Hipótesis!$D$96-Hipótesis!$D$97,1)),0))</f>
        <v>0</v>
      </c>
      <c r="AO90" s="109" t="n">
        <f aca="false">IF(39&lt;=Hipótesis!$D$97,0,IF(AO89&gt;0,MIN(AO89,Hipótesis!$D$93/MAX(Hipótesis!$D$96-Hipótesis!$D$97,1)),0))</f>
        <v>0</v>
      </c>
      <c r="AP90" s="109" t="n">
        <f aca="false">IF(40&lt;=Hipótesis!$D$97,0,IF(AP89&gt;0,MIN(AP89,Hipótesis!$D$93/MAX(Hipótesis!$D$96-Hipótesis!$D$97,1)),0))</f>
        <v>0</v>
      </c>
      <c r="AQ90" s="109" t="n">
        <f aca="false">IF(41&lt;=Hipótesis!$D$97,0,IF(AQ89&gt;0,MIN(AQ89,Hipótesis!$D$93/MAX(Hipótesis!$D$96-Hipótesis!$D$97,1)),0))</f>
        <v>0</v>
      </c>
      <c r="AR90" s="109" t="n">
        <f aca="false">IF(42&lt;=Hipótesis!$D$97,0,IF(AR89&gt;0,MIN(AR89,Hipótesis!$D$93/MAX(Hipótesis!$D$96-Hipótesis!$D$97,1)),0))</f>
        <v>0</v>
      </c>
      <c r="AS90" s="109" t="n">
        <f aca="false">IF(43&lt;=Hipótesis!$D$97,0,IF(AS89&gt;0,MIN(AS89,Hipótesis!$D$93/MAX(Hipótesis!$D$96-Hipótesis!$D$97,1)),0))</f>
        <v>0</v>
      </c>
      <c r="AT90" s="109" t="n">
        <f aca="false">IF(44&lt;=Hipótesis!$D$97,0,IF(AT89&gt;0,MIN(AT89,Hipótesis!$D$93/MAX(Hipótesis!$D$96-Hipótesis!$D$97,1)),0))</f>
        <v>0</v>
      </c>
      <c r="AU90" s="109" t="n">
        <f aca="false">IF(45&lt;=Hipótesis!$D$97,0,IF(AU89&gt;0,MIN(AU89,Hipótesis!$D$93/MAX(Hipótesis!$D$96-Hipótesis!$D$97,1)),0))</f>
        <v>0</v>
      </c>
      <c r="AV90" s="109" t="n">
        <f aca="false">IF(46&lt;=Hipótesis!$D$97,0,IF(AV89&gt;0,MIN(AV89,Hipótesis!$D$93/MAX(Hipótesis!$D$96-Hipótesis!$D$97,1)),0))</f>
        <v>0</v>
      </c>
      <c r="AW90" s="109" t="n">
        <f aca="false">IF(47&lt;=Hipótesis!$D$97,0,IF(AW89&gt;0,MIN(AW89,Hipótesis!$D$93/MAX(Hipótesis!$D$96-Hipótesis!$D$97,1)),0))</f>
        <v>0</v>
      </c>
      <c r="AX90" s="109" t="n">
        <f aca="false">IF(48&lt;=Hipótesis!$D$97,0,IF(AX89&gt;0,MIN(AX89,Hipótesis!$D$93/MAX(Hipótesis!$D$96-Hipótesis!$D$97,1)),0))</f>
        <v>0</v>
      </c>
      <c r="AY90" s="109" t="n">
        <f aca="false">IF(49&lt;=Hipótesis!$D$97,0,IF(AY89&gt;0,MIN(AY89,Hipótesis!$D$93/MAX(Hipótesis!$D$96-Hipótesis!$D$97,1)),0))</f>
        <v>0</v>
      </c>
      <c r="AZ90" s="109" t="n">
        <f aca="false">IF(50&lt;=Hipótesis!$D$97,0,IF(AZ89&gt;0,MIN(AZ89,Hipótesis!$D$93/MAX(Hipótesis!$D$96-Hipótesis!$D$97,1)),0))</f>
        <v>0</v>
      </c>
      <c r="BA90" s="109" t="n">
        <f aca="false">IF(51&lt;=Hipótesis!$D$97,0,IF(BA89&gt;0,MIN(BA89,Hipótesis!$D$93/MAX(Hipótesis!$D$96-Hipótesis!$D$97,1)),0))</f>
        <v>0</v>
      </c>
      <c r="BB90" s="109" t="n">
        <f aca="false">IF(52&lt;=Hipótesis!$D$97,0,IF(BB89&gt;0,MIN(BB89,Hipótesis!$D$93/MAX(Hipótesis!$D$96-Hipótesis!$D$97,1)),0))</f>
        <v>0</v>
      </c>
      <c r="BC90" s="109" t="n">
        <f aca="false">IF(53&lt;=Hipótesis!$D$97,0,IF(BC89&gt;0,MIN(BC89,Hipótesis!$D$93/MAX(Hipótesis!$D$96-Hipótesis!$D$97,1)),0))</f>
        <v>0</v>
      </c>
      <c r="BD90" s="109" t="n">
        <f aca="false">IF(54&lt;=Hipótesis!$D$97,0,IF(BD89&gt;0,MIN(BD89,Hipótesis!$D$93/MAX(Hipótesis!$D$96-Hipótesis!$D$97,1)),0))</f>
        <v>0</v>
      </c>
      <c r="BE90" s="109" t="n">
        <f aca="false">IF(55&lt;=Hipótesis!$D$97,0,IF(BE89&gt;0,MIN(BE89,Hipótesis!$D$93/MAX(Hipótesis!$D$96-Hipótesis!$D$97,1)),0))</f>
        <v>0</v>
      </c>
      <c r="BF90" s="109" t="n">
        <f aca="false">IF(56&lt;=Hipótesis!$D$97,0,IF(BF89&gt;0,MIN(BF89,Hipótesis!$D$93/MAX(Hipótesis!$D$96-Hipótesis!$D$97,1)),0))</f>
        <v>0</v>
      </c>
      <c r="BG90" s="109" t="n">
        <f aca="false">IF(57&lt;=Hipótesis!$D$97,0,IF(BG89&gt;0,MIN(BG89,Hipótesis!$D$93/MAX(Hipótesis!$D$96-Hipótesis!$D$97,1)),0))</f>
        <v>0</v>
      </c>
      <c r="BH90" s="109" t="n">
        <f aca="false">IF(58&lt;=Hipótesis!$D$97,0,IF(BH89&gt;0,MIN(BH89,Hipótesis!$D$93/MAX(Hipótesis!$D$96-Hipótesis!$D$97,1)),0))</f>
        <v>0</v>
      </c>
      <c r="BI90" s="109" t="n">
        <f aca="false">IF(59&lt;=Hipótesis!$D$97,0,IF(BI89&gt;0,MIN(BI89,Hipótesis!$D$93/MAX(Hipótesis!$D$96-Hipótesis!$D$97,1)),0))</f>
        <v>0</v>
      </c>
      <c r="BJ90" s="109" t="n">
        <f aca="false">IF(60&lt;=Hipótesis!$D$97,0,IF(BJ89&gt;0,MIN(BJ89,Hipótesis!$D$93/MAX(Hipótesis!$D$96-Hipótesis!$D$97,1)),0))</f>
        <v>0</v>
      </c>
      <c r="BK90" s="109" t="n">
        <f aca="false">IF(61&lt;=Hipótesis!$D$97,0,IF(BK89&gt;0,MIN(BK89,Hipótesis!$D$93/MAX(Hipótesis!$D$96-Hipótesis!$D$97,1)),0))</f>
        <v>0</v>
      </c>
      <c r="BL90" s="109" t="n">
        <f aca="false">IF(62&lt;=Hipótesis!$D$97,0,IF(BL89&gt;0,MIN(BL89,Hipótesis!$D$93/MAX(Hipótesis!$D$96-Hipótesis!$D$97,1)),0))</f>
        <v>0</v>
      </c>
      <c r="BM90" s="109" t="n">
        <f aca="false">IF(63&lt;=Hipótesis!$D$97,0,IF(BM89&gt;0,MIN(BM89,Hipótesis!$D$93/MAX(Hipótesis!$D$96-Hipótesis!$D$97,1)),0))</f>
        <v>0</v>
      </c>
      <c r="BN90" s="109" t="n">
        <f aca="false">IF(64&lt;=Hipótesis!$D$97,0,IF(BN89&gt;0,MIN(BN89,Hipótesis!$D$93/MAX(Hipótesis!$D$96-Hipótesis!$D$97,1)),0))</f>
        <v>0</v>
      </c>
      <c r="BO90" s="109" t="n">
        <f aca="false">IF(65&lt;=Hipótesis!$D$97,0,IF(BO89&gt;0,MIN(BO89,Hipótesis!$D$93/MAX(Hipótesis!$D$96-Hipótesis!$D$97,1)),0))</f>
        <v>0</v>
      </c>
      <c r="BP90" s="109" t="n">
        <f aca="false">IF(66&lt;=Hipótesis!$D$97,0,IF(BP89&gt;0,MIN(BP89,Hipótesis!$D$93/MAX(Hipótesis!$D$96-Hipótesis!$D$97,1)),0))</f>
        <v>0</v>
      </c>
      <c r="BQ90" s="109" t="n">
        <f aca="false">IF(67&lt;=Hipótesis!$D$97,0,IF(BQ89&gt;0,MIN(BQ89,Hipótesis!$D$93/MAX(Hipótesis!$D$96-Hipótesis!$D$97,1)),0))</f>
        <v>0</v>
      </c>
      <c r="BR90" s="109" t="n">
        <f aca="false">IF(68&lt;=Hipótesis!$D$97,0,IF(BR89&gt;0,MIN(BR89,Hipótesis!$D$93/MAX(Hipótesis!$D$96-Hipótesis!$D$97,1)),0))</f>
        <v>0</v>
      </c>
      <c r="BS90" s="109" t="n">
        <f aca="false">IF(69&lt;=Hipótesis!$D$97,0,IF(BS89&gt;0,MIN(BS89,Hipótesis!$D$93/MAX(Hipótesis!$D$96-Hipótesis!$D$97,1)),0))</f>
        <v>0</v>
      </c>
      <c r="BT90" s="109" t="n">
        <f aca="false">IF(70&lt;=Hipótesis!$D$97,0,IF(BT89&gt;0,MIN(BT89,Hipótesis!$D$93/MAX(Hipótesis!$D$96-Hipótesis!$D$97,1)),0))</f>
        <v>0</v>
      </c>
      <c r="BU90" s="109" t="n">
        <f aca="false">IF(71&lt;=Hipótesis!$D$97,0,IF(BU89&gt;0,MIN(BU89,Hipótesis!$D$93/MAX(Hipótesis!$D$96-Hipótesis!$D$97,1)),0))</f>
        <v>0</v>
      </c>
      <c r="BV90" s="109" t="n">
        <f aca="false">IF(72&lt;=Hipótesis!$D$97,0,IF(BV89&gt;0,MIN(BV89,Hipótesis!$D$93/MAX(Hipótesis!$D$96-Hipótesis!$D$97,1)),0))</f>
        <v>0</v>
      </c>
      <c r="BW90" s="109" t="n">
        <f aca="false">IF(73&lt;=Hipótesis!$D$97,0,IF(BW89&gt;0,MIN(BW89,Hipótesis!$D$93/MAX(Hipótesis!$D$96-Hipótesis!$D$97,1)),0))</f>
        <v>0</v>
      </c>
      <c r="BX90" s="109" t="n">
        <f aca="false">IF(74&lt;=Hipótesis!$D$97,0,IF(BX89&gt;0,MIN(BX89,Hipótesis!$D$93/MAX(Hipótesis!$D$96-Hipótesis!$D$97,1)),0))</f>
        <v>0</v>
      </c>
      <c r="BY90" s="109" t="n">
        <f aca="false">IF(75&lt;=Hipótesis!$D$97,0,IF(BY89&gt;0,MIN(BY89,Hipótesis!$D$93/MAX(Hipótesis!$D$96-Hipótesis!$D$97,1)),0))</f>
        <v>0</v>
      </c>
      <c r="BZ90" s="109" t="n">
        <f aca="false">IF(76&lt;=Hipótesis!$D$97,0,IF(BZ89&gt;0,MIN(BZ89,Hipótesis!$D$93/MAX(Hipótesis!$D$96-Hipótesis!$D$97,1)),0))</f>
        <v>0</v>
      </c>
      <c r="CA90" s="109" t="n">
        <f aca="false">IF(77&lt;=Hipótesis!$D$97,0,IF(CA89&gt;0,MIN(CA89,Hipótesis!$D$93/MAX(Hipótesis!$D$96-Hipótesis!$D$97,1)),0))</f>
        <v>0</v>
      </c>
      <c r="CB90" s="109" t="n">
        <f aca="false">IF(78&lt;=Hipótesis!$D$97,0,IF(CB89&gt;0,MIN(CB89,Hipótesis!$D$93/MAX(Hipótesis!$D$96-Hipótesis!$D$97,1)),0))</f>
        <v>0</v>
      </c>
      <c r="CC90" s="109" t="n">
        <f aca="false">IF(79&lt;=Hipótesis!$D$97,0,IF(CC89&gt;0,MIN(CC89,Hipótesis!$D$93/MAX(Hipótesis!$D$96-Hipótesis!$D$97,1)),0))</f>
        <v>0</v>
      </c>
      <c r="CD90" s="109" t="n">
        <f aca="false">IF(80&lt;=Hipótesis!$D$97,0,IF(CD89&gt;0,MIN(CD89,Hipótesis!$D$93/MAX(Hipótesis!$D$96-Hipótesis!$D$97,1)),0))</f>
        <v>0</v>
      </c>
      <c r="CE90" s="109" t="n">
        <f aca="false">IF(81&lt;=Hipótesis!$D$97,0,IF(CE89&gt;0,MIN(CE89,Hipótesis!$D$93/MAX(Hipótesis!$D$96-Hipótesis!$D$97,1)),0))</f>
        <v>0</v>
      </c>
      <c r="CF90" s="109" t="n">
        <f aca="false">IF(82&lt;=Hipótesis!$D$97,0,IF(CF89&gt;0,MIN(CF89,Hipótesis!$D$93/MAX(Hipótesis!$D$96-Hipótesis!$D$97,1)),0))</f>
        <v>0</v>
      </c>
      <c r="CG90" s="109" t="n">
        <f aca="false">IF(83&lt;=Hipótesis!$D$97,0,IF(CG89&gt;0,MIN(CG89,Hipótesis!$D$93/MAX(Hipótesis!$D$96-Hipótesis!$D$97,1)),0))</f>
        <v>0</v>
      </c>
      <c r="CH90" s="109" t="n">
        <f aca="false">IF(84&lt;=Hipótesis!$D$97,0,IF(CH89&gt;0,MIN(CH89,Hipótesis!$D$93/MAX(Hipótesis!$D$96-Hipótesis!$D$97,1)),0))</f>
        <v>0</v>
      </c>
    </row>
    <row r="91" customFormat="false" ht="13.5" hidden="false" customHeight="true" outlineLevel="0" collapsed="false">
      <c r="A91" s="6" t="s">
        <v>592</v>
      </c>
      <c r="C91" s="109" t="n">
        <f aca="false">C89*Hipótesis!$D$95/12</f>
        <v>0</v>
      </c>
      <c r="D91" s="109" t="n">
        <f aca="false">D89*Hipótesis!$D$95/12</f>
        <v>0</v>
      </c>
      <c r="E91" s="109" t="n">
        <f aca="false">E89*Hipótesis!$D$95/12</f>
        <v>0</v>
      </c>
      <c r="F91" s="109" t="n">
        <f aca="false">F89*Hipótesis!$D$95/12</f>
        <v>0</v>
      </c>
      <c r="G91" s="109" t="n">
        <f aca="false">G89*Hipótesis!$D$95/12</f>
        <v>0</v>
      </c>
      <c r="H91" s="109" t="n">
        <f aca="false">H89*Hipótesis!$D$95/12</f>
        <v>0</v>
      </c>
      <c r="I91" s="109" t="n">
        <f aca="false">I89*Hipótesis!$D$95/12</f>
        <v>0</v>
      </c>
      <c r="J91" s="109" t="n">
        <f aca="false">J89*Hipótesis!$D$95/12</f>
        <v>0</v>
      </c>
      <c r="K91" s="109" t="n">
        <f aca="false">K89*Hipótesis!$D$95/12</f>
        <v>0</v>
      </c>
      <c r="L91" s="109" t="n">
        <f aca="false">L89*Hipótesis!$D$95/12</f>
        <v>0</v>
      </c>
      <c r="M91" s="109" t="n">
        <f aca="false">M89*Hipótesis!$D$95/12</f>
        <v>0</v>
      </c>
      <c r="N91" s="109" t="n">
        <f aca="false">N89*Hipótesis!$D$95/12</f>
        <v>0</v>
      </c>
      <c r="O91" s="109" t="n">
        <f aca="false">O89*Hipótesis!$D$95/12</f>
        <v>0</v>
      </c>
      <c r="P91" s="109" t="n">
        <f aca="false">P89*Hipótesis!$D$95/12</f>
        <v>0</v>
      </c>
      <c r="Q91" s="109" t="n">
        <f aca="false">Q89*Hipótesis!$D$95/12</f>
        <v>0</v>
      </c>
      <c r="R91" s="109" t="n">
        <f aca="false">R89*Hipótesis!$D$95/12</f>
        <v>0</v>
      </c>
      <c r="S91" s="109" t="n">
        <f aca="false">S89*Hipótesis!$D$95/12</f>
        <v>0</v>
      </c>
      <c r="T91" s="109" t="n">
        <f aca="false">T89*Hipótesis!$D$95/12</f>
        <v>0</v>
      </c>
      <c r="U91" s="109" t="n">
        <f aca="false">U89*Hipótesis!$D$95/12</f>
        <v>0</v>
      </c>
      <c r="V91" s="109" t="n">
        <f aca="false">V89*Hipótesis!$D$95/12</f>
        <v>0</v>
      </c>
      <c r="W91" s="109" t="n">
        <f aca="false">W89*Hipótesis!$D$95/12</f>
        <v>0</v>
      </c>
      <c r="X91" s="109" t="n">
        <f aca="false">X89*Hipótesis!$D$95/12</f>
        <v>0</v>
      </c>
      <c r="Y91" s="109" t="n">
        <f aca="false">Y89*Hipótesis!$D$95/12</f>
        <v>0</v>
      </c>
      <c r="Z91" s="109" t="n">
        <f aca="false">Z89*Hipótesis!$D$95/12</f>
        <v>0</v>
      </c>
      <c r="AA91" s="109" t="n">
        <f aca="false">AA89*Hipótesis!$D$95/12</f>
        <v>0</v>
      </c>
      <c r="AB91" s="109" t="n">
        <f aca="false">AB89*Hipótesis!$D$95/12</f>
        <v>0</v>
      </c>
      <c r="AC91" s="109" t="n">
        <f aca="false">AC89*Hipótesis!$D$95/12</f>
        <v>0</v>
      </c>
      <c r="AD91" s="109" t="n">
        <f aca="false">AD89*Hipótesis!$D$95/12</f>
        <v>0</v>
      </c>
      <c r="AE91" s="109" t="n">
        <f aca="false">AE89*Hipótesis!$D$95/12</f>
        <v>0</v>
      </c>
      <c r="AF91" s="109" t="n">
        <f aca="false">AF89*Hipótesis!$D$95/12</f>
        <v>0</v>
      </c>
      <c r="AG91" s="109" t="n">
        <f aca="false">AG89*Hipótesis!$D$95/12</f>
        <v>0</v>
      </c>
      <c r="AH91" s="109" t="n">
        <f aca="false">AH89*Hipótesis!$D$95/12</f>
        <v>0</v>
      </c>
      <c r="AI91" s="109" t="n">
        <f aca="false">AI89*Hipótesis!$D$95/12</f>
        <v>0</v>
      </c>
      <c r="AJ91" s="109" t="n">
        <f aca="false">AJ89*Hipótesis!$D$95/12</f>
        <v>0</v>
      </c>
      <c r="AK91" s="109" t="n">
        <f aca="false">AK89*Hipótesis!$D$95/12</f>
        <v>0</v>
      </c>
      <c r="AL91" s="109" t="n">
        <f aca="false">AL89*Hipótesis!$D$95/12</f>
        <v>0</v>
      </c>
      <c r="AM91" s="109" t="n">
        <f aca="false">AM89*Hipótesis!$D$95/12</f>
        <v>0</v>
      </c>
      <c r="AN91" s="109" t="n">
        <f aca="false">AN89*Hipótesis!$D$95/12</f>
        <v>0</v>
      </c>
      <c r="AO91" s="109" t="n">
        <f aca="false">AO89*Hipótesis!$D$95/12</f>
        <v>0</v>
      </c>
      <c r="AP91" s="109" t="n">
        <f aca="false">AP89*Hipótesis!$D$95/12</f>
        <v>0</v>
      </c>
      <c r="AQ91" s="109" t="n">
        <f aca="false">AQ89*Hipótesis!$D$95/12</f>
        <v>0</v>
      </c>
      <c r="AR91" s="109" t="n">
        <f aca="false">AR89*Hipótesis!$D$95/12</f>
        <v>0</v>
      </c>
      <c r="AS91" s="109" t="n">
        <f aca="false">AS89*Hipótesis!$D$95/12</f>
        <v>0</v>
      </c>
      <c r="AT91" s="109" t="n">
        <f aca="false">AT89*Hipótesis!$D$95/12</f>
        <v>0</v>
      </c>
      <c r="AU91" s="109" t="n">
        <f aca="false">AU89*Hipótesis!$D$95/12</f>
        <v>0</v>
      </c>
      <c r="AV91" s="109" t="n">
        <f aca="false">AV89*Hipótesis!$D$95/12</f>
        <v>0</v>
      </c>
      <c r="AW91" s="109" t="n">
        <f aca="false">AW89*Hipótesis!$D$95/12</f>
        <v>0</v>
      </c>
      <c r="AX91" s="109" t="n">
        <f aca="false">AX89*Hipótesis!$D$95/12</f>
        <v>0</v>
      </c>
      <c r="AY91" s="109" t="n">
        <f aca="false">AY89*Hipótesis!$D$95/12</f>
        <v>0</v>
      </c>
      <c r="AZ91" s="109" t="n">
        <f aca="false">AZ89*Hipótesis!$D$95/12</f>
        <v>0</v>
      </c>
      <c r="BA91" s="109" t="n">
        <f aca="false">BA89*Hipótesis!$D$95/12</f>
        <v>0</v>
      </c>
      <c r="BB91" s="109" t="n">
        <f aca="false">BB89*Hipótesis!$D$95/12</f>
        <v>0</v>
      </c>
      <c r="BC91" s="109" t="n">
        <f aca="false">BC89*Hipótesis!$D$95/12</f>
        <v>0</v>
      </c>
      <c r="BD91" s="109" t="n">
        <f aca="false">BD89*Hipótesis!$D$95/12</f>
        <v>0</v>
      </c>
      <c r="BE91" s="109" t="n">
        <f aca="false">BE89*Hipótesis!$D$95/12</f>
        <v>0</v>
      </c>
      <c r="BF91" s="109" t="n">
        <f aca="false">BF89*Hipótesis!$D$95/12</f>
        <v>0</v>
      </c>
      <c r="BG91" s="109" t="n">
        <f aca="false">BG89*Hipótesis!$D$95/12</f>
        <v>0</v>
      </c>
      <c r="BH91" s="109" t="n">
        <f aca="false">BH89*Hipótesis!$D$95/12</f>
        <v>0</v>
      </c>
      <c r="BI91" s="109" t="n">
        <f aca="false">BI89*Hipótesis!$D$95/12</f>
        <v>0</v>
      </c>
      <c r="BJ91" s="109" t="n">
        <f aca="false">BJ89*Hipótesis!$D$95/12</f>
        <v>0</v>
      </c>
      <c r="BK91" s="109" t="n">
        <f aca="false">BK89*Hipótesis!$D$95/12</f>
        <v>0</v>
      </c>
      <c r="BL91" s="109" t="n">
        <f aca="false">BL89*Hipótesis!$D$95/12</f>
        <v>0</v>
      </c>
      <c r="BM91" s="109" t="n">
        <f aca="false">BM89*Hipótesis!$D$95/12</f>
        <v>0</v>
      </c>
      <c r="BN91" s="109" t="n">
        <f aca="false">BN89*Hipótesis!$D$95/12</f>
        <v>0</v>
      </c>
      <c r="BO91" s="109" t="n">
        <f aca="false">BO89*Hipótesis!$D$95/12</f>
        <v>0</v>
      </c>
      <c r="BP91" s="109" t="n">
        <f aca="false">BP89*Hipótesis!$D$95/12</f>
        <v>0</v>
      </c>
      <c r="BQ91" s="109" t="n">
        <f aca="false">BQ89*Hipótesis!$D$95/12</f>
        <v>0</v>
      </c>
      <c r="BR91" s="109" t="n">
        <f aca="false">BR89*Hipótesis!$D$95/12</f>
        <v>0</v>
      </c>
      <c r="BS91" s="109" t="n">
        <f aca="false">BS89*Hipótesis!$D$95/12</f>
        <v>0</v>
      </c>
      <c r="BT91" s="109" t="n">
        <f aca="false">BT89*Hipótesis!$D$95/12</f>
        <v>0</v>
      </c>
      <c r="BU91" s="109" t="n">
        <f aca="false">BU89*Hipótesis!$D$95/12</f>
        <v>0</v>
      </c>
      <c r="BV91" s="109" t="n">
        <f aca="false">BV89*Hipótesis!$D$95/12</f>
        <v>0</v>
      </c>
      <c r="BW91" s="109" t="n">
        <f aca="false">BW89*Hipótesis!$D$95/12</f>
        <v>0</v>
      </c>
      <c r="BX91" s="109" t="n">
        <f aca="false">BX89*Hipótesis!$D$95/12</f>
        <v>0</v>
      </c>
      <c r="BY91" s="109" t="n">
        <f aca="false">BY89*Hipótesis!$D$95/12</f>
        <v>0</v>
      </c>
      <c r="BZ91" s="109" t="n">
        <f aca="false">BZ89*Hipótesis!$D$95/12</f>
        <v>0</v>
      </c>
      <c r="CA91" s="109" t="n">
        <f aca="false">CA89*Hipótesis!$D$95/12</f>
        <v>0</v>
      </c>
      <c r="CB91" s="109" t="n">
        <f aca="false">CB89*Hipótesis!$D$95/12</f>
        <v>0</v>
      </c>
      <c r="CC91" s="109" t="n">
        <f aca="false">CC89*Hipótesis!$D$95/12</f>
        <v>0</v>
      </c>
      <c r="CD91" s="109" t="n">
        <f aca="false">CD89*Hipótesis!$D$95/12</f>
        <v>0</v>
      </c>
      <c r="CE91" s="109" t="n">
        <f aca="false">CE89*Hipótesis!$D$95/12</f>
        <v>0</v>
      </c>
      <c r="CF91" s="109" t="n">
        <f aca="false">CF89*Hipótesis!$D$95/12</f>
        <v>0</v>
      </c>
      <c r="CG91" s="109" t="n">
        <f aca="false">CG89*Hipótesis!$D$95/12</f>
        <v>0</v>
      </c>
      <c r="CH91" s="109" t="n">
        <f aca="false">CH89*Hipótesis!$D$95/12</f>
        <v>0</v>
      </c>
    </row>
    <row r="92" customFormat="false" ht="13.5" hidden="false" customHeight="true" outlineLevel="0" collapsed="false">
      <c r="A92" s="6" t="s">
        <v>593</v>
      </c>
      <c r="C92" s="109" t="n">
        <f aca="false">IF(Hipótesis!$D$94=5,0,IF(Hipótesis!$D$94=1,C90+C91,IF(Hipótesis!$D$94=2,C90+C91+IF(C89&gt;0,Hipótesis!$D$98*MAX(0,C56),0),IF(Hipótesis!$D$94=3,Hipótesis!$D$99*MAX(0,C56),Hipótesis!$D$100*C36))))</f>
        <v>0</v>
      </c>
      <c r="D92" s="109" t="n">
        <f aca="false">IF(Hipótesis!$D$94=5,0,IF(Hipótesis!$D$94=1,D90+D91,IF(Hipótesis!$D$94=2,D90+D91+IF(D89&gt;0,Hipótesis!$D$98*MAX(0,D56),0),IF(Hipótesis!$D$94=3,Hipótesis!$D$99*MAX(0,D56),Hipótesis!$D$100*D36))))</f>
        <v>0</v>
      </c>
      <c r="E92" s="109" t="n">
        <f aca="false">IF(Hipótesis!$D$94=5,0,IF(Hipótesis!$D$94=1,E90+E91,IF(Hipótesis!$D$94=2,E90+E91+IF(E89&gt;0,Hipótesis!$D$98*MAX(0,E56),0),IF(Hipótesis!$D$94=3,Hipótesis!$D$99*MAX(0,E56),Hipótesis!$D$100*E36))))</f>
        <v>0</v>
      </c>
      <c r="F92" s="109" t="n">
        <f aca="false">IF(Hipótesis!$D$94=5,0,IF(Hipótesis!$D$94=1,F90+F91,IF(Hipótesis!$D$94=2,F90+F91+IF(F89&gt;0,Hipótesis!$D$98*MAX(0,F56),0),IF(Hipótesis!$D$94=3,Hipótesis!$D$99*MAX(0,F56),Hipótesis!$D$100*F36))))</f>
        <v>0</v>
      </c>
      <c r="G92" s="109" t="n">
        <f aca="false">IF(Hipótesis!$D$94=5,0,IF(Hipótesis!$D$94=1,G90+G91,IF(Hipótesis!$D$94=2,G90+G91+IF(G89&gt;0,Hipótesis!$D$98*MAX(0,G56),0),IF(Hipótesis!$D$94=3,Hipótesis!$D$99*MAX(0,G56),Hipótesis!$D$100*G36))))</f>
        <v>0</v>
      </c>
      <c r="H92" s="109" t="n">
        <f aca="false">IF(Hipótesis!$D$94=5,0,IF(Hipótesis!$D$94=1,H90+H91,IF(Hipótesis!$D$94=2,H90+H91+IF(H89&gt;0,Hipótesis!$D$98*MAX(0,H56),0),IF(Hipótesis!$D$94=3,Hipótesis!$D$99*MAX(0,H56),Hipótesis!$D$100*H36))))</f>
        <v>0</v>
      </c>
      <c r="I92" s="109" t="n">
        <f aca="false">IF(Hipótesis!$D$94=5,0,IF(Hipótesis!$D$94=1,I90+I91,IF(Hipótesis!$D$94=2,I90+I91+IF(I89&gt;0,Hipótesis!$D$98*MAX(0,I56),0),IF(Hipótesis!$D$94=3,Hipótesis!$D$99*MAX(0,I56),Hipótesis!$D$100*I36))))</f>
        <v>0</v>
      </c>
      <c r="J92" s="109" t="n">
        <f aca="false">IF(Hipótesis!$D$94=5,0,IF(Hipótesis!$D$94=1,J90+J91,IF(Hipótesis!$D$94=2,J90+J91+IF(J89&gt;0,Hipótesis!$D$98*MAX(0,J56),0),IF(Hipótesis!$D$94=3,Hipótesis!$D$99*MAX(0,J56),Hipótesis!$D$100*J36))))</f>
        <v>0</v>
      </c>
      <c r="K92" s="109" t="n">
        <f aca="false">IF(Hipótesis!$D$94=5,0,IF(Hipótesis!$D$94=1,K90+K91,IF(Hipótesis!$D$94=2,K90+K91+IF(K89&gt;0,Hipótesis!$D$98*MAX(0,K56),0),IF(Hipótesis!$D$94=3,Hipótesis!$D$99*MAX(0,K56),Hipótesis!$D$100*K36))))</f>
        <v>0</v>
      </c>
      <c r="L92" s="109" t="n">
        <f aca="false">IF(Hipótesis!$D$94=5,0,IF(Hipótesis!$D$94=1,L90+L91,IF(Hipótesis!$D$94=2,L90+L91+IF(L89&gt;0,Hipótesis!$D$98*MAX(0,L56),0),IF(Hipótesis!$D$94=3,Hipótesis!$D$99*MAX(0,L56),Hipótesis!$D$100*L36))))</f>
        <v>0</v>
      </c>
      <c r="M92" s="109" t="n">
        <f aca="false">IF(Hipótesis!$D$94=5,0,IF(Hipótesis!$D$94=1,M90+M91,IF(Hipótesis!$D$94=2,M90+M91+IF(M89&gt;0,Hipótesis!$D$98*MAX(0,M56),0),IF(Hipótesis!$D$94=3,Hipótesis!$D$99*MAX(0,M56),Hipótesis!$D$100*M36))))</f>
        <v>0</v>
      </c>
      <c r="N92" s="109" t="n">
        <f aca="false">IF(Hipótesis!$D$94=5,0,IF(Hipótesis!$D$94=1,N90+N91,IF(Hipótesis!$D$94=2,N90+N91+IF(N89&gt;0,Hipótesis!$D$98*MAX(0,N56),0),IF(Hipótesis!$D$94=3,Hipótesis!$D$99*MAX(0,N56),Hipótesis!$D$100*N36))))</f>
        <v>0</v>
      </c>
      <c r="O92" s="109" t="n">
        <f aca="false">IF(Hipótesis!$D$94=5,0,IF(Hipótesis!$D$94=1,O90+O91,IF(Hipótesis!$D$94=2,O90+O91+IF(O89&gt;0,Hipótesis!$D$98*MAX(0,O56),0),IF(Hipótesis!$D$94=3,Hipótesis!$D$99*MAX(0,O56),Hipótesis!$D$100*O36))))</f>
        <v>0</v>
      </c>
      <c r="P92" s="109" t="n">
        <f aca="false">IF(Hipótesis!$D$94=5,0,IF(Hipótesis!$D$94=1,P90+P91,IF(Hipótesis!$D$94=2,P90+P91+IF(P89&gt;0,Hipótesis!$D$98*MAX(0,P56),0),IF(Hipótesis!$D$94=3,Hipótesis!$D$99*MAX(0,P56),Hipótesis!$D$100*P36))))</f>
        <v>0</v>
      </c>
      <c r="Q92" s="109" t="n">
        <f aca="false">IF(Hipótesis!$D$94=5,0,IF(Hipótesis!$D$94=1,Q90+Q91,IF(Hipótesis!$D$94=2,Q90+Q91+IF(Q89&gt;0,Hipótesis!$D$98*MAX(0,Q56),0),IF(Hipótesis!$D$94=3,Hipótesis!$D$99*MAX(0,Q56),Hipótesis!$D$100*Q36))))</f>
        <v>0</v>
      </c>
      <c r="R92" s="109" t="n">
        <f aca="false">IF(Hipótesis!$D$94=5,0,IF(Hipótesis!$D$94=1,R90+R91,IF(Hipótesis!$D$94=2,R90+R91+IF(R89&gt;0,Hipótesis!$D$98*MAX(0,R56),0),IF(Hipótesis!$D$94=3,Hipótesis!$D$99*MAX(0,R56),Hipótesis!$D$100*R36))))</f>
        <v>0</v>
      </c>
      <c r="S92" s="109" t="n">
        <f aca="false">IF(Hipótesis!$D$94=5,0,IF(Hipótesis!$D$94=1,S90+S91,IF(Hipótesis!$D$94=2,S90+S91+IF(S89&gt;0,Hipótesis!$D$98*MAX(0,S56),0),IF(Hipótesis!$D$94=3,Hipótesis!$D$99*MAX(0,S56),Hipótesis!$D$100*S36))))</f>
        <v>0</v>
      </c>
      <c r="T92" s="109" t="n">
        <f aca="false">IF(Hipótesis!$D$94=5,0,IF(Hipótesis!$D$94=1,T90+T91,IF(Hipótesis!$D$94=2,T90+T91+IF(T89&gt;0,Hipótesis!$D$98*MAX(0,T56),0),IF(Hipótesis!$D$94=3,Hipótesis!$D$99*MAX(0,T56),Hipótesis!$D$100*T36))))</f>
        <v>0</v>
      </c>
      <c r="U92" s="109" t="n">
        <f aca="false">IF(Hipótesis!$D$94=5,0,IF(Hipótesis!$D$94=1,U90+U91,IF(Hipótesis!$D$94=2,U90+U91+IF(U89&gt;0,Hipótesis!$D$98*MAX(0,U56),0),IF(Hipótesis!$D$94=3,Hipótesis!$D$99*MAX(0,U56),Hipótesis!$D$100*U36))))</f>
        <v>0</v>
      </c>
      <c r="V92" s="109" t="n">
        <f aca="false">IF(Hipótesis!$D$94=5,0,IF(Hipótesis!$D$94=1,V90+V91,IF(Hipótesis!$D$94=2,V90+V91+IF(V89&gt;0,Hipótesis!$D$98*MAX(0,V56),0),IF(Hipótesis!$D$94=3,Hipótesis!$D$99*MAX(0,V56),Hipótesis!$D$100*V36))))</f>
        <v>0</v>
      </c>
      <c r="W92" s="109" t="n">
        <f aca="false">IF(Hipótesis!$D$94=5,0,IF(Hipótesis!$D$94=1,W90+W91,IF(Hipótesis!$D$94=2,W90+W91+IF(W89&gt;0,Hipótesis!$D$98*MAX(0,W56),0),IF(Hipótesis!$D$94=3,Hipótesis!$D$99*MAX(0,W56),Hipótesis!$D$100*W36))))</f>
        <v>0</v>
      </c>
      <c r="X92" s="109" t="n">
        <f aca="false">IF(Hipótesis!$D$94=5,0,IF(Hipótesis!$D$94=1,X90+X91,IF(Hipótesis!$D$94=2,X90+X91+IF(X89&gt;0,Hipótesis!$D$98*MAX(0,X56),0),IF(Hipótesis!$D$94=3,Hipótesis!$D$99*MAX(0,X56),Hipótesis!$D$100*X36))))</f>
        <v>0</v>
      </c>
      <c r="Y92" s="109" t="n">
        <f aca="false">IF(Hipótesis!$D$94=5,0,IF(Hipótesis!$D$94=1,Y90+Y91,IF(Hipótesis!$D$94=2,Y90+Y91+IF(Y89&gt;0,Hipótesis!$D$98*MAX(0,Y56),0),IF(Hipótesis!$D$94=3,Hipótesis!$D$99*MAX(0,Y56),Hipótesis!$D$100*Y36))))</f>
        <v>0</v>
      </c>
      <c r="Z92" s="109" t="n">
        <f aca="false">IF(Hipótesis!$D$94=5,0,IF(Hipótesis!$D$94=1,Z90+Z91,IF(Hipótesis!$D$94=2,Z90+Z91+IF(Z89&gt;0,Hipótesis!$D$98*MAX(0,Z56),0),IF(Hipótesis!$D$94=3,Hipótesis!$D$99*MAX(0,Z56),Hipótesis!$D$100*Z36))))</f>
        <v>0</v>
      </c>
      <c r="AA92" s="109" t="n">
        <f aca="false">IF(Hipótesis!$D$94=5,0,IF(Hipótesis!$D$94=1,AA90+AA91,IF(Hipótesis!$D$94=2,AA90+AA91+IF(AA89&gt;0,Hipótesis!$D$98*MAX(0,AA56),0),IF(Hipótesis!$D$94=3,Hipótesis!$D$99*MAX(0,AA56),Hipótesis!$D$100*AA36))))</f>
        <v>0</v>
      </c>
      <c r="AB92" s="109" t="n">
        <f aca="false">IF(Hipótesis!$D$94=5,0,IF(Hipótesis!$D$94=1,AB90+AB91,IF(Hipótesis!$D$94=2,AB90+AB91+IF(AB89&gt;0,Hipótesis!$D$98*MAX(0,AB56),0),IF(Hipótesis!$D$94=3,Hipótesis!$D$99*MAX(0,AB56),Hipótesis!$D$100*AB36))))</f>
        <v>0</v>
      </c>
      <c r="AC92" s="109" t="n">
        <f aca="false">IF(Hipótesis!$D$94=5,0,IF(Hipótesis!$D$94=1,AC90+AC91,IF(Hipótesis!$D$94=2,AC90+AC91+IF(AC89&gt;0,Hipótesis!$D$98*MAX(0,AC56),0),IF(Hipótesis!$D$94=3,Hipótesis!$D$99*MAX(0,AC56),Hipótesis!$D$100*AC36))))</f>
        <v>0</v>
      </c>
      <c r="AD92" s="109" t="n">
        <f aca="false">IF(Hipótesis!$D$94=5,0,IF(Hipótesis!$D$94=1,AD90+AD91,IF(Hipótesis!$D$94=2,AD90+AD91+IF(AD89&gt;0,Hipótesis!$D$98*MAX(0,AD56),0),IF(Hipótesis!$D$94=3,Hipótesis!$D$99*MAX(0,AD56),Hipótesis!$D$100*AD36))))</f>
        <v>0</v>
      </c>
      <c r="AE92" s="109" t="n">
        <f aca="false">IF(Hipótesis!$D$94=5,0,IF(Hipótesis!$D$94=1,AE90+AE91,IF(Hipótesis!$D$94=2,AE90+AE91+IF(AE89&gt;0,Hipótesis!$D$98*MAX(0,AE56),0),IF(Hipótesis!$D$94=3,Hipótesis!$D$99*MAX(0,AE56),Hipótesis!$D$100*AE36))))</f>
        <v>0</v>
      </c>
      <c r="AF92" s="109" t="n">
        <f aca="false">IF(Hipótesis!$D$94=5,0,IF(Hipótesis!$D$94=1,AF90+AF91,IF(Hipótesis!$D$94=2,AF90+AF91+IF(AF89&gt;0,Hipótesis!$D$98*MAX(0,AF56),0),IF(Hipótesis!$D$94=3,Hipótesis!$D$99*MAX(0,AF56),Hipótesis!$D$100*AF36))))</f>
        <v>0</v>
      </c>
      <c r="AG92" s="109" t="n">
        <f aca="false">IF(Hipótesis!$D$94=5,0,IF(Hipótesis!$D$94=1,AG90+AG91,IF(Hipótesis!$D$94=2,AG90+AG91+IF(AG89&gt;0,Hipótesis!$D$98*MAX(0,AG56),0),IF(Hipótesis!$D$94=3,Hipótesis!$D$99*MAX(0,AG56),Hipótesis!$D$100*AG36))))</f>
        <v>0</v>
      </c>
      <c r="AH92" s="109" t="n">
        <f aca="false">IF(Hipótesis!$D$94=5,0,IF(Hipótesis!$D$94=1,AH90+AH91,IF(Hipótesis!$D$94=2,AH90+AH91+IF(AH89&gt;0,Hipótesis!$D$98*MAX(0,AH56),0),IF(Hipótesis!$D$94=3,Hipótesis!$D$99*MAX(0,AH56),Hipótesis!$D$100*AH36))))</f>
        <v>0</v>
      </c>
      <c r="AI92" s="109" t="n">
        <f aca="false">IF(Hipótesis!$D$94=5,0,IF(Hipótesis!$D$94=1,AI90+AI91,IF(Hipótesis!$D$94=2,AI90+AI91+IF(AI89&gt;0,Hipótesis!$D$98*MAX(0,AI56),0),IF(Hipótesis!$D$94=3,Hipótesis!$D$99*MAX(0,AI56),Hipótesis!$D$100*AI36))))</f>
        <v>0</v>
      </c>
      <c r="AJ92" s="109" t="n">
        <f aca="false">IF(Hipótesis!$D$94=5,0,IF(Hipótesis!$D$94=1,AJ90+AJ91,IF(Hipótesis!$D$94=2,AJ90+AJ91+IF(AJ89&gt;0,Hipótesis!$D$98*MAX(0,AJ56),0),IF(Hipótesis!$D$94=3,Hipótesis!$D$99*MAX(0,AJ56),Hipótesis!$D$100*AJ36))))</f>
        <v>0</v>
      </c>
      <c r="AK92" s="109" t="n">
        <f aca="false">IF(Hipótesis!$D$94=5,0,IF(Hipótesis!$D$94=1,AK90+AK91,IF(Hipótesis!$D$94=2,AK90+AK91+IF(AK89&gt;0,Hipótesis!$D$98*MAX(0,AK56),0),IF(Hipótesis!$D$94=3,Hipótesis!$D$99*MAX(0,AK56),Hipótesis!$D$100*AK36))))</f>
        <v>0</v>
      </c>
      <c r="AL92" s="109" t="n">
        <f aca="false">IF(Hipótesis!$D$94=5,0,IF(Hipótesis!$D$94=1,AL90+AL91,IF(Hipótesis!$D$94=2,AL90+AL91+IF(AL89&gt;0,Hipótesis!$D$98*MAX(0,AL56),0),IF(Hipótesis!$D$94=3,Hipótesis!$D$99*MAX(0,AL56),Hipótesis!$D$100*AL36))))</f>
        <v>0</v>
      </c>
      <c r="AM92" s="109" t="n">
        <f aca="false">IF(Hipótesis!$D$94=5,0,IF(Hipótesis!$D$94=1,AM90+AM91,IF(Hipótesis!$D$94=2,AM90+AM91+IF(AM89&gt;0,Hipótesis!$D$98*MAX(0,AM56),0),IF(Hipótesis!$D$94=3,Hipótesis!$D$99*MAX(0,AM56),Hipótesis!$D$100*AM36))))</f>
        <v>0</v>
      </c>
      <c r="AN92" s="109" t="n">
        <f aca="false">IF(Hipótesis!$D$94=5,0,IF(Hipótesis!$D$94=1,AN90+AN91,IF(Hipótesis!$D$94=2,AN90+AN91+IF(AN89&gt;0,Hipótesis!$D$98*MAX(0,AN56),0),IF(Hipótesis!$D$94=3,Hipótesis!$D$99*MAX(0,AN56),Hipótesis!$D$100*AN36))))</f>
        <v>0</v>
      </c>
      <c r="AO92" s="109" t="n">
        <f aca="false">IF(Hipótesis!$D$94=5,0,IF(Hipótesis!$D$94=1,AO90+AO91,IF(Hipótesis!$D$94=2,AO90+AO91+IF(AO89&gt;0,Hipótesis!$D$98*MAX(0,AO56),0),IF(Hipótesis!$D$94=3,Hipótesis!$D$99*MAX(0,AO56),Hipótesis!$D$100*AO36))))</f>
        <v>0</v>
      </c>
      <c r="AP92" s="109" t="n">
        <f aca="false">IF(Hipótesis!$D$94=5,0,IF(Hipótesis!$D$94=1,AP90+AP91,IF(Hipótesis!$D$94=2,AP90+AP91+IF(AP89&gt;0,Hipótesis!$D$98*MAX(0,AP56),0),IF(Hipótesis!$D$94=3,Hipótesis!$D$99*MAX(0,AP56),Hipótesis!$D$100*AP36))))</f>
        <v>0</v>
      </c>
      <c r="AQ92" s="109" t="n">
        <f aca="false">IF(Hipótesis!$D$94=5,0,IF(Hipótesis!$D$94=1,AQ90+AQ91,IF(Hipótesis!$D$94=2,AQ90+AQ91+IF(AQ89&gt;0,Hipótesis!$D$98*MAX(0,AQ56),0),IF(Hipótesis!$D$94=3,Hipótesis!$D$99*MAX(0,AQ56),Hipótesis!$D$100*AQ36))))</f>
        <v>0</v>
      </c>
      <c r="AR92" s="109" t="n">
        <f aca="false">IF(Hipótesis!$D$94=5,0,IF(Hipótesis!$D$94=1,AR90+AR91,IF(Hipótesis!$D$94=2,AR90+AR91+IF(AR89&gt;0,Hipótesis!$D$98*MAX(0,AR56),0),IF(Hipótesis!$D$94=3,Hipótesis!$D$99*MAX(0,AR56),Hipótesis!$D$100*AR36))))</f>
        <v>0</v>
      </c>
      <c r="AS92" s="109" t="n">
        <f aca="false">IF(Hipótesis!$D$94=5,0,IF(Hipótesis!$D$94=1,AS90+AS91,IF(Hipótesis!$D$94=2,AS90+AS91+IF(AS89&gt;0,Hipótesis!$D$98*MAX(0,AS56),0),IF(Hipótesis!$D$94=3,Hipótesis!$D$99*MAX(0,AS56),Hipótesis!$D$100*AS36))))</f>
        <v>0</v>
      </c>
      <c r="AT92" s="109" t="n">
        <f aca="false">IF(Hipótesis!$D$94=5,0,IF(Hipótesis!$D$94=1,AT90+AT91,IF(Hipótesis!$D$94=2,AT90+AT91+IF(AT89&gt;0,Hipótesis!$D$98*MAX(0,AT56),0),IF(Hipótesis!$D$94=3,Hipótesis!$D$99*MAX(0,AT56),Hipótesis!$D$100*AT36))))</f>
        <v>0</v>
      </c>
      <c r="AU92" s="109" t="n">
        <f aca="false">IF(Hipótesis!$D$94=5,0,IF(Hipótesis!$D$94=1,AU90+AU91,IF(Hipótesis!$D$94=2,AU90+AU91+IF(AU89&gt;0,Hipótesis!$D$98*MAX(0,AU56),0),IF(Hipótesis!$D$94=3,Hipótesis!$D$99*MAX(0,AU56),Hipótesis!$D$100*AU36))))</f>
        <v>0</v>
      </c>
      <c r="AV92" s="109" t="n">
        <f aca="false">IF(Hipótesis!$D$94=5,0,IF(Hipótesis!$D$94=1,AV90+AV91,IF(Hipótesis!$D$94=2,AV90+AV91+IF(AV89&gt;0,Hipótesis!$D$98*MAX(0,AV56),0),IF(Hipótesis!$D$94=3,Hipótesis!$D$99*MAX(0,AV56),Hipótesis!$D$100*AV36))))</f>
        <v>0</v>
      </c>
      <c r="AW92" s="109" t="n">
        <f aca="false">IF(Hipótesis!$D$94=5,0,IF(Hipótesis!$D$94=1,AW90+AW91,IF(Hipótesis!$D$94=2,AW90+AW91+IF(AW89&gt;0,Hipótesis!$D$98*MAX(0,AW56),0),IF(Hipótesis!$D$94=3,Hipótesis!$D$99*MAX(0,AW56),Hipótesis!$D$100*AW36))))</f>
        <v>0</v>
      </c>
      <c r="AX92" s="109" t="n">
        <f aca="false">IF(Hipótesis!$D$94=5,0,IF(Hipótesis!$D$94=1,AX90+AX91,IF(Hipótesis!$D$94=2,AX90+AX91+IF(AX89&gt;0,Hipótesis!$D$98*MAX(0,AX56),0),IF(Hipótesis!$D$94=3,Hipótesis!$D$99*MAX(0,AX56),Hipótesis!$D$100*AX36))))</f>
        <v>0</v>
      </c>
      <c r="AY92" s="109" t="n">
        <f aca="false">IF(Hipótesis!$D$94=5,0,IF(Hipótesis!$D$94=1,AY90+AY91,IF(Hipótesis!$D$94=2,AY90+AY91+IF(AY89&gt;0,Hipótesis!$D$98*MAX(0,AY56),0),IF(Hipótesis!$D$94=3,Hipótesis!$D$99*MAX(0,AY56),Hipótesis!$D$100*AY36))))</f>
        <v>0</v>
      </c>
      <c r="AZ92" s="109" t="n">
        <f aca="false">IF(Hipótesis!$D$94=5,0,IF(Hipótesis!$D$94=1,AZ90+AZ91,IF(Hipótesis!$D$94=2,AZ90+AZ91+IF(AZ89&gt;0,Hipótesis!$D$98*MAX(0,AZ56),0),IF(Hipótesis!$D$94=3,Hipótesis!$D$99*MAX(0,AZ56),Hipótesis!$D$100*AZ36))))</f>
        <v>0</v>
      </c>
      <c r="BA92" s="109" t="n">
        <f aca="false">IF(Hipótesis!$D$94=5,0,IF(Hipótesis!$D$94=1,BA90+BA91,IF(Hipótesis!$D$94=2,BA90+BA91+IF(BA89&gt;0,Hipótesis!$D$98*MAX(0,BA56),0),IF(Hipótesis!$D$94=3,Hipótesis!$D$99*MAX(0,BA56),Hipótesis!$D$100*BA36))))</f>
        <v>0</v>
      </c>
      <c r="BB92" s="109" t="n">
        <f aca="false">IF(Hipótesis!$D$94=5,0,IF(Hipótesis!$D$94=1,BB90+BB91,IF(Hipótesis!$D$94=2,BB90+BB91+IF(BB89&gt;0,Hipótesis!$D$98*MAX(0,BB56),0),IF(Hipótesis!$D$94=3,Hipótesis!$D$99*MAX(0,BB56),Hipótesis!$D$100*BB36))))</f>
        <v>0</v>
      </c>
      <c r="BC92" s="109" t="n">
        <f aca="false">IF(Hipótesis!$D$94=5,0,IF(Hipótesis!$D$94=1,BC90+BC91,IF(Hipótesis!$D$94=2,BC90+BC91+IF(BC89&gt;0,Hipótesis!$D$98*MAX(0,BC56),0),IF(Hipótesis!$D$94=3,Hipótesis!$D$99*MAX(0,BC56),Hipótesis!$D$100*BC36))))</f>
        <v>0</v>
      </c>
      <c r="BD92" s="109" t="n">
        <f aca="false">IF(Hipótesis!$D$94=5,0,IF(Hipótesis!$D$94=1,BD90+BD91,IF(Hipótesis!$D$94=2,BD90+BD91+IF(BD89&gt;0,Hipótesis!$D$98*MAX(0,BD56),0),IF(Hipótesis!$D$94=3,Hipótesis!$D$99*MAX(0,BD56),Hipótesis!$D$100*BD36))))</f>
        <v>0</v>
      </c>
      <c r="BE92" s="109" t="n">
        <f aca="false">IF(Hipótesis!$D$94=5,0,IF(Hipótesis!$D$94=1,BE90+BE91,IF(Hipótesis!$D$94=2,BE90+BE91+IF(BE89&gt;0,Hipótesis!$D$98*MAX(0,BE56),0),IF(Hipótesis!$D$94=3,Hipótesis!$D$99*MAX(0,BE56),Hipótesis!$D$100*BE36))))</f>
        <v>0</v>
      </c>
      <c r="BF92" s="109" t="n">
        <f aca="false">IF(Hipótesis!$D$94=5,0,IF(Hipótesis!$D$94=1,BF90+BF91,IF(Hipótesis!$D$94=2,BF90+BF91+IF(BF89&gt;0,Hipótesis!$D$98*MAX(0,BF56),0),IF(Hipótesis!$D$94=3,Hipótesis!$D$99*MAX(0,BF56),Hipótesis!$D$100*BF36))))</f>
        <v>0</v>
      </c>
      <c r="BG92" s="109" t="n">
        <f aca="false">IF(Hipótesis!$D$94=5,0,IF(Hipótesis!$D$94=1,BG90+BG91,IF(Hipótesis!$D$94=2,BG90+BG91+IF(BG89&gt;0,Hipótesis!$D$98*MAX(0,BG56),0),IF(Hipótesis!$D$94=3,Hipótesis!$D$99*MAX(0,BG56),Hipótesis!$D$100*BG36))))</f>
        <v>0</v>
      </c>
      <c r="BH92" s="109" t="n">
        <f aca="false">IF(Hipótesis!$D$94=5,0,IF(Hipótesis!$D$94=1,BH90+BH91,IF(Hipótesis!$D$94=2,BH90+BH91+IF(BH89&gt;0,Hipótesis!$D$98*MAX(0,BH56),0),IF(Hipótesis!$D$94=3,Hipótesis!$D$99*MAX(0,BH56),Hipótesis!$D$100*BH36))))</f>
        <v>0</v>
      </c>
      <c r="BI92" s="109" t="n">
        <f aca="false">IF(Hipótesis!$D$94=5,0,IF(Hipótesis!$D$94=1,BI90+BI91,IF(Hipótesis!$D$94=2,BI90+BI91+IF(BI89&gt;0,Hipótesis!$D$98*MAX(0,BI56),0),IF(Hipótesis!$D$94=3,Hipótesis!$D$99*MAX(0,BI56),Hipótesis!$D$100*BI36))))</f>
        <v>0</v>
      </c>
      <c r="BJ92" s="109" t="n">
        <f aca="false">IF(Hipótesis!$D$94=5,0,IF(Hipótesis!$D$94=1,BJ90+BJ91,IF(Hipótesis!$D$94=2,BJ90+BJ91+IF(BJ89&gt;0,Hipótesis!$D$98*MAX(0,BJ56),0),IF(Hipótesis!$D$94=3,Hipótesis!$D$99*MAX(0,BJ56),Hipótesis!$D$100*BJ36))))</f>
        <v>0</v>
      </c>
      <c r="BK92" s="109" t="n">
        <f aca="false">IF(Hipótesis!$D$94=5,0,IF(Hipótesis!$D$94=1,BK90+BK91,IF(Hipótesis!$D$94=2,BK90+BK91+IF(BK89&gt;0,Hipótesis!$D$98*MAX(0,BK56),0),IF(Hipótesis!$D$94=3,Hipótesis!$D$99*MAX(0,BK56),Hipótesis!$D$100*BK36))))</f>
        <v>0</v>
      </c>
      <c r="BL92" s="109" t="n">
        <f aca="false">IF(Hipótesis!$D$94=5,0,IF(Hipótesis!$D$94=1,BL90+BL91,IF(Hipótesis!$D$94=2,BL90+BL91+IF(BL89&gt;0,Hipótesis!$D$98*MAX(0,BL56),0),IF(Hipótesis!$D$94=3,Hipótesis!$D$99*MAX(0,BL56),Hipótesis!$D$100*BL36))))</f>
        <v>0</v>
      </c>
      <c r="BM92" s="109" t="n">
        <f aca="false">IF(Hipótesis!$D$94=5,0,IF(Hipótesis!$D$94=1,BM90+BM91,IF(Hipótesis!$D$94=2,BM90+BM91+IF(BM89&gt;0,Hipótesis!$D$98*MAX(0,BM56),0),IF(Hipótesis!$D$94=3,Hipótesis!$D$99*MAX(0,BM56),Hipótesis!$D$100*BM36))))</f>
        <v>0</v>
      </c>
      <c r="BN92" s="109" t="n">
        <f aca="false">IF(Hipótesis!$D$94=5,0,IF(Hipótesis!$D$94=1,BN90+BN91,IF(Hipótesis!$D$94=2,BN90+BN91+IF(BN89&gt;0,Hipótesis!$D$98*MAX(0,BN56),0),IF(Hipótesis!$D$94=3,Hipótesis!$D$99*MAX(0,BN56),Hipótesis!$D$100*BN36))))</f>
        <v>0</v>
      </c>
      <c r="BO92" s="109" t="n">
        <f aca="false">IF(Hipótesis!$D$94=5,0,IF(Hipótesis!$D$94=1,BO90+BO91,IF(Hipótesis!$D$94=2,BO90+BO91+IF(BO89&gt;0,Hipótesis!$D$98*MAX(0,BO56),0),IF(Hipótesis!$D$94=3,Hipótesis!$D$99*MAX(0,BO56),Hipótesis!$D$100*BO36))))</f>
        <v>0</v>
      </c>
      <c r="BP92" s="109" t="n">
        <f aca="false">IF(Hipótesis!$D$94=5,0,IF(Hipótesis!$D$94=1,BP90+BP91,IF(Hipótesis!$D$94=2,BP90+BP91+IF(BP89&gt;0,Hipótesis!$D$98*MAX(0,BP56),0),IF(Hipótesis!$D$94=3,Hipótesis!$D$99*MAX(0,BP56),Hipótesis!$D$100*BP36))))</f>
        <v>0</v>
      </c>
      <c r="BQ92" s="109" t="n">
        <f aca="false">IF(Hipótesis!$D$94=5,0,IF(Hipótesis!$D$94=1,BQ90+BQ91,IF(Hipótesis!$D$94=2,BQ90+BQ91+IF(BQ89&gt;0,Hipótesis!$D$98*MAX(0,BQ56),0),IF(Hipótesis!$D$94=3,Hipótesis!$D$99*MAX(0,BQ56),Hipótesis!$D$100*BQ36))))</f>
        <v>0</v>
      </c>
      <c r="BR92" s="109" t="n">
        <f aca="false">IF(Hipótesis!$D$94=5,0,IF(Hipótesis!$D$94=1,BR90+BR91,IF(Hipótesis!$D$94=2,BR90+BR91+IF(BR89&gt;0,Hipótesis!$D$98*MAX(0,BR56),0),IF(Hipótesis!$D$94=3,Hipótesis!$D$99*MAX(0,BR56),Hipótesis!$D$100*BR36))))</f>
        <v>0</v>
      </c>
      <c r="BS92" s="109" t="n">
        <f aca="false">IF(Hipótesis!$D$94=5,0,IF(Hipótesis!$D$94=1,BS90+BS91,IF(Hipótesis!$D$94=2,BS90+BS91+IF(BS89&gt;0,Hipótesis!$D$98*MAX(0,BS56),0),IF(Hipótesis!$D$94=3,Hipótesis!$D$99*MAX(0,BS56),Hipótesis!$D$100*BS36))))</f>
        <v>0</v>
      </c>
      <c r="BT92" s="109" t="n">
        <f aca="false">IF(Hipótesis!$D$94=5,0,IF(Hipótesis!$D$94=1,BT90+BT91,IF(Hipótesis!$D$94=2,BT90+BT91+IF(BT89&gt;0,Hipótesis!$D$98*MAX(0,BT56),0),IF(Hipótesis!$D$94=3,Hipótesis!$D$99*MAX(0,BT56),Hipótesis!$D$100*BT36))))</f>
        <v>0</v>
      </c>
      <c r="BU92" s="109" t="n">
        <f aca="false">IF(Hipótesis!$D$94=5,0,IF(Hipótesis!$D$94=1,BU90+BU91,IF(Hipótesis!$D$94=2,BU90+BU91+IF(BU89&gt;0,Hipótesis!$D$98*MAX(0,BU56),0),IF(Hipótesis!$D$94=3,Hipótesis!$D$99*MAX(0,BU56),Hipótesis!$D$100*BU36))))</f>
        <v>0</v>
      </c>
      <c r="BV92" s="109" t="n">
        <f aca="false">IF(Hipótesis!$D$94=5,0,IF(Hipótesis!$D$94=1,BV90+BV91,IF(Hipótesis!$D$94=2,BV90+BV91+IF(BV89&gt;0,Hipótesis!$D$98*MAX(0,BV56),0),IF(Hipótesis!$D$94=3,Hipótesis!$D$99*MAX(0,BV56),Hipótesis!$D$100*BV36))))</f>
        <v>0</v>
      </c>
      <c r="BW92" s="109" t="n">
        <f aca="false">IF(Hipótesis!$D$94=5,0,IF(Hipótesis!$D$94=1,BW90+BW91,IF(Hipótesis!$D$94=2,BW90+BW91+IF(BW89&gt;0,Hipótesis!$D$98*MAX(0,BW56),0),IF(Hipótesis!$D$94=3,Hipótesis!$D$99*MAX(0,BW56),Hipótesis!$D$100*BW36))))</f>
        <v>0</v>
      </c>
      <c r="BX92" s="109" t="n">
        <f aca="false">IF(Hipótesis!$D$94=5,0,IF(Hipótesis!$D$94=1,BX90+BX91,IF(Hipótesis!$D$94=2,BX90+BX91+IF(BX89&gt;0,Hipótesis!$D$98*MAX(0,BX56),0),IF(Hipótesis!$D$94=3,Hipótesis!$D$99*MAX(0,BX56),Hipótesis!$D$100*BX36))))</f>
        <v>0</v>
      </c>
      <c r="BY92" s="109" t="n">
        <f aca="false">IF(Hipótesis!$D$94=5,0,IF(Hipótesis!$D$94=1,BY90+BY91,IF(Hipótesis!$D$94=2,BY90+BY91+IF(BY89&gt;0,Hipótesis!$D$98*MAX(0,BY56),0),IF(Hipótesis!$D$94=3,Hipótesis!$D$99*MAX(0,BY56),Hipótesis!$D$100*BY36))))</f>
        <v>0</v>
      </c>
      <c r="BZ92" s="109" t="n">
        <f aca="false">IF(Hipótesis!$D$94=5,0,IF(Hipótesis!$D$94=1,BZ90+BZ91,IF(Hipótesis!$D$94=2,BZ90+BZ91+IF(BZ89&gt;0,Hipótesis!$D$98*MAX(0,BZ56),0),IF(Hipótesis!$D$94=3,Hipótesis!$D$99*MAX(0,BZ56),Hipótesis!$D$100*BZ36))))</f>
        <v>0</v>
      </c>
      <c r="CA92" s="109" t="n">
        <f aca="false">IF(Hipótesis!$D$94=5,0,IF(Hipótesis!$D$94=1,CA90+CA91,IF(Hipótesis!$D$94=2,CA90+CA91+IF(CA89&gt;0,Hipótesis!$D$98*MAX(0,CA56),0),IF(Hipótesis!$D$94=3,Hipótesis!$D$99*MAX(0,CA56),Hipótesis!$D$100*CA36))))</f>
        <v>0</v>
      </c>
      <c r="CB92" s="109" t="n">
        <f aca="false">IF(Hipótesis!$D$94=5,0,IF(Hipótesis!$D$94=1,CB90+CB91,IF(Hipótesis!$D$94=2,CB90+CB91+IF(CB89&gt;0,Hipótesis!$D$98*MAX(0,CB56),0),IF(Hipótesis!$D$94=3,Hipótesis!$D$99*MAX(0,CB56),Hipótesis!$D$100*CB36))))</f>
        <v>0</v>
      </c>
      <c r="CC92" s="109" t="n">
        <f aca="false">IF(Hipótesis!$D$94=5,0,IF(Hipótesis!$D$94=1,CC90+CC91,IF(Hipótesis!$D$94=2,CC90+CC91+IF(CC89&gt;0,Hipótesis!$D$98*MAX(0,CC56),0),IF(Hipótesis!$D$94=3,Hipótesis!$D$99*MAX(0,CC56),Hipótesis!$D$100*CC36))))</f>
        <v>0</v>
      </c>
      <c r="CD92" s="109" t="n">
        <f aca="false">IF(Hipótesis!$D$94=5,0,IF(Hipótesis!$D$94=1,CD90+CD91,IF(Hipótesis!$D$94=2,CD90+CD91+IF(CD89&gt;0,Hipótesis!$D$98*MAX(0,CD56),0),IF(Hipótesis!$D$94=3,Hipótesis!$D$99*MAX(0,CD56),Hipótesis!$D$100*CD36))))</f>
        <v>0</v>
      </c>
      <c r="CE92" s="109" t="n">
        <f aca="false">IF(Hipótesis!$D$94=5,0,IF(Hipótesis!$D$94=1,CE90+CE91,IF(Hipótesis!$D$94=2,CE90+CE91+IF(CE89&gt;0,Hipótesis!$D$98*MAX(0,CE56),0),IF(Hipótesis!$D$94=3,Hipótesis!$D$99*MAX(0,CE56),Hipótesis!$D$100*CE36))))</f>
        <v>0</v>
      </c>
      <c r="CF92" s="109" t="n">
        <f aca="false">IF(Hipótesis!$D$94=5,0,IF(Hipótesis!$D$94=1,CF90+CF91,IF(Hipótesis!$D$94=2,CF90+CF91+IF(CF89&gt;0,Hipótesis!$D$98*MAX(0,CF56),0),IF(Hipótesis!$D$94=3,Hipótesis!$D$99*MAX(0,CF56),Hipótesis!$D$100*CF36))))</f>
        <v>0</v>
      </c>
      <c r="CG92" s="109" t="n">
        <f aca="false">IF(Hipótesis!$D$94=5,0,IF(Hipótesis!$D$94=1,CG90+CG91,IF(Hipótesis!$D$94=2,CG90+CG91+IF(CG89&gt;0,Hipótesis!$D$98*MAX(0,CG56),0),IF(Hipótesis!$D$94=3,Hipótesis!$D$99*MAX(0,CG56),Hipótesis!$D$100*CG36))))</f>
        <v>0</v>
      </c>
      <c r="CH92" s="109" t="n">
        <f aca="false">IF(Hipótesis!$D$94=5,0,IF(Hipótesis!$D$94=1,CH90+CH91,IF(Hipótesis!$D$94=2,CH90+CH91+IF(CH89&gt;0,Hipótesis!$D$98*MAX(0,CH56),0),IF(Hipótesis!$D$94=3,Hipótesis!$D$99*MAX(0,CH56),Hipótesis!$D$100*CH36))))</f>
        <v>0</v>
      </c>
    </row>
    <row r="93" customFormat="false" ht="13.5" hidden="false" customHeight="true" outlineLevel="0" collapsed="false">
      <c r="A93" s="6" t="s">
        <v>594</v>
      </c>
      <c r="C93" s="109" t="n">
        <f aca="false">IF(Hipótesis!$D$94&lt;=2,C92,MIN(C92,MAX(0,Hipótesis!$D$101*Hipótesis!$D$93-0)))</f>
        <v>0</v>
      </c>
      <c r="D93" s="109" t="n">
        <f aca="false">IF(Hipótesis!$D$94&lt;=2,D92,MIN(D92,MAX(0,Hipótesis!$D$101*Hipótesis!$D$93-C94)))</f>
        <v>0</v>
      </c>
      <c r="E93" s="109" t="n">
        <f aca="false">IF(Hipótesis!$D$94&lt;=2,E92,MIN(E92,MAX(0,Hipótesis!$D$101*Hipótesis!$D$93-D94)))</f>
        <v>0</v>
      </c>
      <c r="F93" s="109" t="n">
        <f aca="false">IF(Hipótesis!$D$94&lt;=2,F92,MIN(F92,MAX(0,Hipótesis!$D$101*Hipótesis!$D$93-E94)))</f>
        <v>0</v>
      </c>
      <c r="G93" s="109" t="n">
        <f aca="false">IF(Hipótesis!$D$94&lt;=2,G92,MIN(G92,MAX(0,Hipótesis!$D$101*Hipótesis!$D$93-F94)))</f>
        <v>0</v>
      </c>
      <c r="H93" s="109" t="n">
        <f aca="false">IF(Hipótesis!$D$94&lt;=2,H92,MIN(H92,MAX(0,Hipótesis!$D$101*Hipótesis!$D$93-G94)))</f>
        <v>0</v>
      </c>
      <c r="I93" s="109" t="n">
        <f aca="false">IF(Hipótesis!$D$94&lt;=2,I92,MIN(I92,MAX(0,Hipótesis!$D$101*Hipótesis!$D$93-H94)))</f>
        <v>0</v>
      </c>
      <c r="J93" s="109" t="n">
        <f aca="false">IF(Hipótesis!$D$94&lt;=2,J92,MIN(J92,MAX(0,Hipótesis!$D$101*Hipótesis!$D$93-I94)))</f>
        <v>0</v>
      </c>
      <c r="K93" s="109" t="n">
        <f aca="false">IF(Hipótesis!$D$94&lt;=2,K92,MIN(K92,MAX(0,Hipótesis!$D$101*Hipótesis!$D$93-J94)))</f>
        <v>0</v>
      </c>
      <c r="L93" s="109" t="n">
        <f aca="false">IF(Hipótesis!$D$94&lt;=2,L92,MIN(L92,MAX(0,Hipótesis!$D$101*Hipótesis!$D$93-K94)))</f>
        <v>0</v>
      </c>
      <c r="M93" s="109" t="n">
        <f aca="false">IF(Hipótesis!$D$94&lt;=2,M92,MIN(M92,MAX(0,Hipótesis!$D$101*Hipótesis!$D$93-L94)))</f>
        <v>0</v>
      </c>
      <c r="N93" s="109" t="n">
        <f aca="false">IF(Hipótesis!$D$94&lt;=2,N92,MIN(N92,MAX(0,Hipótesis!$D$101*Hipótesis!$D$93-M94)))</f>
        <v>0</v>
      </c>
      <c r="O93" s="109" t="n">
        <f aca="false">IF(Hipótesis!$D$94&lt;=2,O92,MIN(O92,MAX(0,Hipótesis!$D$101*Hipótesis!$D$93-N94)))</f>
        <v>0</v>
      </c>
      <c r="P93" s="109" t="n">
        <f aca="false">IF(Hipótesis!$D$94&lt;=2,P92,MIN(P92,MAX(0,Hipótesis!$D$101*Hipótesis!$D$93-O94)))</f>
        <v>0</v>
      </c>
      <c r="Q93" s="109" t="n">
        <f aca="false">IF(Hipótesis!$D$94&lt;=2,Q92,MIN(Q92,MAX(0,Hipótesis!$D$101*Hipótesis!$D$93-P94)))</f>
        <v>0</v>
      </c>
      <c r="R93" s="109" t="n">
        <f aca="false">IF(Hipótesis!$D$94&lt;=2,R92,MIN(R92,MAX(0,Hipótesis!$D$101*Hipótesis!$D$93-Q94)))</f>
        <v>0</v>
      </c>
      <c r="S93" s="109" t="n">
        <f aca="false">IF(Hipótesis!$D$94&lt;=2,S92,MIN(S92,MAX(0,Hipótesis!$D$101*Hipótesis!$D$93-R94)))</f>
        <v>0</v>
      </c>
      <c r="T93" s="109" t="n">
        <f aca="false">IF(Hipótesis!$D$94&lt;=2,T92,MIN(T92,MAX(0,Hipótesis!$D$101*Hipótesis!$D$93-S94)))</f>
        <v>0</v>
      </c>
      <c r="U93" s="109" t="n">
        <f aca="false">IF(Hipótesis!$D$94&lt;=2,U92,MIN(U92,MAX(0,Hipótesis!$D$101*Hipótesis!$D$93-T94)))</f>
        <v>0</v>
      </c>
      <c r="V93" s="109" t="n">
        <f aca="false">IF(Hipótesis!$D$94&lt;=2,V92,MIN(V92,MAX(0,Hipótesis!$D$101*Hipótesis!$D$93-U94)))</f>
        <v>0</v>
      </c>
      <c r="W93" s="109" t="n">
        <f aca="false">IF(Hipótesis!$D$94&lt;=2,W92,MIN(W92,MAX(0,Hipótesis!$D$101*Hipótesis!$D$93-V94)))</f>
        <v>0</v>
      </c>
      <c r="X93" s="109" t="n">
        <f aca="false">IF(Hipótesis!$D$94&lt;=2,X92,MIN(X92,MAX(0,Hipótesis!$D$101*Hipótesis!$D$93-W94)))</f>
        <v>0</v>
      </c>
      <c r="Y93" s="109" t="n">
        <f aca="false">IF(Hipótesis!$D$94&lt;=2,Y92,MIN(Y92,MAX(0,Hipótesis!$D$101*Hipótesis!$D$93-X94)))</f>
        <v>0</v>
      </c>
      <c r="Z93" s="109" t="n">
        <f aca="false">IF(Hipótesis!$D$94&lt;=2,Z92,MIN(Z92,MAX(0,Hipótesis!$D$101*Hipótesis!$D$93-Y94)))</f>
        <v>0</v>
      </c>
      <c r="AA93" s="109" t="n">
        <f aca="false">IF(Hipótesis!$D$94&lt;=2,AA92,MIN(AA92,MAX(0,Hipótesis!$D$101*Hipótesis!$D$93-Z94)))</f>
        <v>0</v>
      </c>
      <c r="AB93" s="109" t="n">
        <f aca="false">IF(Hipótesis!$D$94&lt;=2,AB92,MIN(AB92,MAX(0,Hipótesis!$D$101*Hipótesis!$D$93-AA94)))</f>
        <v>0</v>
      </c>
      <c r="AC93" s="109" t="n">
        <f aca="false">IF(Hipótesis!$D$94&lt;=2,AC92,MIN(AC92,MAX(0,Hipótesis!$D$101*Hipótesis!$D$93-AB94)))</f>
        <v>0</v>
      </c>
      <c r="AD93" s="109" t="n">
        <f aca="false">IF(Hipótesis!$D$94&lt;=2,AD92,MIN(AD92,MAX(0,Hipótesis!$D$101*Hipótesis!$D$93-AC94)))</f>
        <v>0</v>
      </c>
      <c r="AE93" s="109" t="n">
        <f aca="false">IF(Hipótesis!$D$94&lt;=2,AE92,MIN(AE92,MAX(0,Hipótesis!$D$101*Hipótesis!$D$93-AD94)))</f>
        <v>0</v>
      </c>
      <c r="AF93" s="109" t="n">
        <f aca="false">IF(Hipótesis!$D$94&lt;=2,AF92,MIN(AF92,MAX(0,Hipótesis!$D$101*Hipótesis!$D$93-AE94)))</f>
        <v>0</v>
      </c>
      <c r="AG93" s="109" t="n">
        <f aca="false">IF(Hipótesis!$D$94&lt;=2,AG92,MIN(AG92,MAX(0,Hipótesis!$D$101*Hipótesis!$D$93-AF94)))</f>
        <v>0</v>
      </c>
      <c r="AH93" s="109" t="n">
        <f aca="false">IF(Hipótesis!$D$94&lt;=2,AH92,MIN(AH92,MAX(0,Hipótesis!$D$101*Hipótesis!$D$93-AG94)))</f>
        <v>0</v>
      </c>
      <c r="AI93" s="109" t="n">
        <f aca="false">IF(Hipótesis!$D$94&lt;=2,AI92,MIN(AI92,MAX(0,Hipótesis!$D$101*Hipótesis!$D$93-AH94)))</f>
        <v>0</v>
      </c>
      <c r="AJ93" s="109" t="n">
        <f aca="false">IF(Hipótesis!$D$94&lt;=2,AJ92,MIN(AJ92,MAX(0,Hipótesis!$D$101*Hipótesis!$D$93-AI94)))</f>
        <v>0</v>
      </c>
      <c r="AK93" s="109" t="n">
        <f aca="false">IF(Hipótesis!$D$94&lt;=2,AK92,MIN(AK92,MAX(0,Hipótesis!$D$101*Hipótesis!$D$93-AJ94)))</f>
        <v>0</v>
      </c>
      <c r="AL93" s="109" t="n">
        <f aca="false">IF(Hipótesis!$D$94&lt;=2,AL92,MIN(AL92,MAX(0,Hipótesis!$D$101*Hipótesis!$D$93-AK94)))</f>
        <v>0</v>
      </c>
      <c r="AM93" s="109" t="n">
        <f aca="false">IF(Hipótesis!$D$94&lt;=2,AM92,MIN(AM92,MAX(0,Hipótesis!$D$101*Hipótesis!$D$93-AL94)))</f>
        <v>0</v>
      </c>
      <c r="AN93" s="109" t="n">
        <f aca="false">IF(Hipótesis!$D$94&lt;=2,AN92,MIN(AN92,MAX(0,Hipótesis!$D$101*Hipótesis!$D$93-AM94)))</f>
        <v>0</v>
      </c>
      <c r="AO93" s="109" t="n">
        <f aca="false">IF(Hipótesis!$D$94&lt;=2,AO92,MIN(AO92,MAX(0,Hipótesis!$D$101*Hipótesis!$D$93-AN94)))</f>
        <v>0</v>
      </c>
      <c r="AP93" s="109" t="n">
        <f aca="false">IF(Hipótesis!$D$94&lt;=2,AP92,MIN(AP92,MAX(0,Hipótesis!$D$101*Hipótesis!$D$93-AO94)))</f>
        <v>0</v>
      </c>
      <c r="AQ93" s="109" t="n">
        <f aca="false">IF(Hipótesis!$D$94&lt;=2,AQ92,MIN(AQ92,MAX(0,Hipótesis!$D$101*Hipótesis!$D$93-AP94)))</f>
        <v>0</v>
      </c>
      <c r="AR93" s="109" t="n">
        <f aca="false">IF(Hipótesis!$D$94&lt;=2,AR92,MIN(AR92,MAX(0,Hipótesis!$D$101*Hipótesis!$D$93-AQ94)))</f>
        <v>0</v>
      </c>
      <c r="AS93" s="109" t="n">
        <f aca="false">IF(Hipótesis!$D$94&lt;=2,AS92,MIN(AS92,MAX(0,Hipótesis!$D$101*Hipótesis!$D$93-AR94)))</f>
        <v>0</v>
      </c>
      <c r="AT93" s="109" t="n">
        <f aca="false">IF(Hipótesis!$D$94&lt;=2,AT92,MIN(AT92,MAX(0,Hipótesis!$D$101*Hipótesis!$D$93-AS94)))</f>
        <v>0</v>
      </c>
      <c r="AU93" s="109" t="n">
        <f aca="false">IF(Hipótesis!$D$94&lt;=2,AU92,MIN(AU92,MAX(0,Hipótesis!$D$101*Hipótesis!$D$93-AT94)))</f>
        <v>0</v>
      </c>
      <c r="AV93" s="109" t="n">
        <f aca="false">IF(Hipótesis!$D$94&lt;=2,AV92,MIN(AV92,MAX(0,Hipótesis!$D$101*Hipótesis!$D$93-AU94)))</f>
        <v>0</v>
      </c>
      <c r="AW93" s="109" t="n">
        <f aca="false">IF(Hipótesis!$D$94&lt;=2,AW92,MIN(AW92,MAX(0,Hipótesis!$D$101*Hipótesis!$D$93-AV94)))</f>
        <v>0</v>
      </c>
      <c r="AX93" s="109" t="n">
        <f aca="false">IF(Hipótesis!$D$94&lt;=2,AX92,MIN(AX92,MAX(0,Hipótesis!$D$101*Hipótesis!$D$93-AW94)))</f>
        <v>0</v>
      </c>
      <c r="AY93" s="109" t="n">
        <f aca="false">IF(Hipótesis!$D$94&lt;=2,AY92,MIN(AY92,MAX(0,Hipótesis!$D$101*Hipótesis!$D$93-AX94)))</f>
        <v>0</v>
      </c>
      <c r="AZ93" s="109" t="n">
        <f aca="false">IF(Hipótesis!$D$94&lt;=2,AZ92,MIN(AZ92,MAX(0,Hipótesis!$D$101*Hipótesis!$D$93-AY94)))</f>
        <v>0</v>
      </c>
      <c r="BA93" s="109" t="n">
        <f aca="false">IF(Hipótesis!$D$94&lt;=2,BA92,MIN(BA92,MAX(0,Hipótesis!$D$101*Hipótesis!$D$93-AZ94)))</f>
        <v>0</v>
      </c>
      <c r="BB93" s="109" t="n">
        <f aca="false">IF(Hipótesis!$D$94&lt;=2,BB92,MIN(BB92,MAX(0,Hipótesis!$D$101*Hipótesis!$D$93-BA94)))</f>
        <v>0</v>
      </c>
      <c r="BC93" s="109" t="n">
        <f aca="false">IF(Hipótesis!$D$94&lt;=2,BC92,MIN(BC92,MAX(0,Hipótesis!$D$101*Hipótesis!$D$93-BB94)))</f>
        <v>0</v>
      </c>
      <c r="BD93" s="109" t="n">
        <f aca="false">IF(Hipótesis!$D$94&lt;=2,BD92,MIN(BD92,MAX(0,Hipótesis!$D$101*Hipótesis!$D$93-BC94)))</f>
        <v>0</v>
      </c>
      <c r="BE93" s="109" t="n">
        <f aca="false">IF(Hipótesis!$D$94&lt;=2,BE92,MIN(BE92,MAX(0,Hipótesis!$D$101*Hipótesis!$D$93-BD94)))</f>
        <v>0</v>
      </c>
      <c r="BF93" s="109" t="n">
        <f aca="false">IF(Hipótesis!$D$94&lt;=2,BF92,MIN(BF92,MAX(0,Hipótesis!$D$101*Hipótesis!$D$93-BE94)))</f>
        <v>0</v>
      </c>
      <c r="BG93" s="109" t="n">
        <f aca="false">IF(Hipótesis!$D$94&lt;=2,BG92,MIN(BG92,MAX(0,Hipótesis!$D$101*Hipótesis!$D$93-BF94)))</f>
        <v>0</v>
      </c>
      <c r="BH93" s="109" t="n">
        <f aca="false">IF(Hipótesis!$D$94&lt;=2,BH92,MIN(BH92,MAX(0,Hipótesis!$D$101*Hipótesis!$D$93-BG94)))</f>
        <v>0</v>
      </c>
      <c r="BI93" s="109" t="n">
        <f aca="false">IF(Hipótesis!$D$94&lt;=2,BI92,MIN(BI92,MAX(0,Hipótesis!$D$101*Hipótesis!$D$93-BH94)))</f>
        <v>0</v>
      </c>
      <c r="BJ93" s="109" t="n">
        <f aca="false">IF(Hipótesis!$D$94&lt;=2,BJ92,MIN(BJ92,MAX(0,Hipótesis!$D$101*Hipótesis!$D$93-BI94)))</f>
        <v>0</v>
      </c>
      <c r="BK93" s="109" t="n">
        <f aca="false">IF(Hipótesis!$D$94&lt;=2,BK92,MIN(BK92,MAX(0,Hipótesis!$D$101*Hipótesis!$D$93-BJ94)))</f>
        <v>0</v>
      </c>
      <c r="BL93" s="109" t="n">
        <f aca="false">IF(Hipótesis!$D$94&lt;=2,BL92,MIN(BL92,MAX(0,Hipótesis!$D$101*Hipótesis!$D$93-BK94)))</f>
        <v>0</v>
      </c>
      <c r="BM93" s="109" t="n">
        <f aca="false">IF(Hipótesis!$D$94&lt;=2,BM92,MIN(BM92,MAX(0,Hipótesis!$D$101*Hipótesis!$D$93-BL94)))</f>
        <v>0</v>
      </c>
      <c r="BN93" s="109" t="n">
        <f aca="false">IF(Hipótesis!$D$94&lt;=2,BN92,MIN(BN92,MAX(0,Hipótesis!$D$101*Hipótesis!$D$93-BM94)))</f>
        <v>0</v>
      </c>
      <c r="BO93" s="109" t="n">
        <f aca="false">IF(Hipótesis!$D$94&lt;=2,BO92,MIN(BO92,MAX(0,Hipótesis!$D$101*Hipótesis!$D$93-BN94)))</f>
        <v>0</v>
      </c>
      <c r="BP93" s="109" t="n">
        <f aca="false">IF(Hipótesis!$D$94&lt;=2,BP92,MIN(BP92,MAX(0,Hipótesis!$D$101*Hipótesis!$D$93-BO94)))</f>
        <v>0</v>
      </c>
      <c r="BQ93" s="109" t="n">
        <f aca="false">IF(Hipótesis!$D$94&lt;=2,BQ92,MIN(BQ92,MAX(0,Hipótesis!$D$101*Hipótesis!$D$93-BP94)))</f>
        <v>0</v>
      </c>
      <c r="BR93" s="109" t="n">
        <f aca="false">IF(Hipótesis!$D$94&lt;=2,BR92,MIN(BR92,MAX(0,Hipótesis!$D$101*Hipótesis!$D$93-BQ94)))</f>
        <v>0</v>
      </c>
      <c r="BS93" s="109" t="n">
        <f aca="false">IF(Hipótesis!$D$94&lt;=2,BS92,MIN(BS92,MAX(0,Hipótesis!$D$101*Hipótesis!$D$93-BR94)))</f>
        <v>0</v>
      </c>
      <c r="BT93" s="109" t="n">
        <f aca="false">IF(Hipótesis!$D$94&lt;=2,BT92,MIN(BT92,MAX(0,Hipótesis!$D$101*Hipótesis!$D$93-BS94)))</f>
        <v>0</v>
      </c>
      <c r="BU93" s="109" t="n">
        <f aca="false">IF(Hipótesis!$D$94&lt;=2,BU92,MIN(BU92,MAX(0,Hipótesis!$D$101*Hipótesis!$D$93-BT94)))</f>
        <v>0</v>
      </c>
      <c r="BV93" s="109" t="n">
        <f aca="false">IF(Hipótesis!$D$94&lt;=2,BV92,MIN(BV92,MAX(0,Hipótesis!$D$101*Hipótesis!$D$93-BU94)))</f>
        <v>0</v>
      </c>
      <c r="BW93" s="109" t="n">
        <f aca="false">IF(Hipótesis!$D$94&lt;=2,BW92,MIN(BW92,MAX(0,Hipótesis!$D$101*Hipótesis!$D$93-BV94)))</f>
        <v>0</v>
      </c>
      <c r="BX93" s="109" t="n">
        <f aca="false">IF(Hipótesis!$D$94&lt;=2,BX92,MIN(BX92,MAX(0,Hipótesis!$D$101*Hipótesis!$D$93-BW94)))</f>
        <v>0</v>
      </c>
      <c r="BY93" s="109" t="n">
        <f aca="false">IF(Hipótesis!$D$94&lt;=2,BY92,MIN(BY92,MAX(0,Hipótesis!$D$101*Hipótesis!$D$93-BX94)))</f>
        <v>0</v>
      </c>
      <c r="BZ93" s="109" t="n">
        <f aca="false">IF(Hipótesis!$D$94&lt;=2,BZ92,MIN(BZ92,MAX(0,Hipótesis!$D$101*Hipótesis!$D$93-BY94)))</f>
        <v>0</v>
      </c>
      <c r="CA93" s="109" t="n">
        <f aca="false">IF(Hipótesis!$D$94&lt;=2,CA92,MIN(CA92,MAX(0,Hipótesis!$D$101*Hipótesis!$D$93-BZ94)))</f>
        <v>0</v>
      </c>
      <c r="CB93" s="109" t="n">
        <f aca="false">IF(Hipótesis!$D$94&lt;=2,CB92,MIN(CB92,MAX(0,Hipótesis!$D$101*Hipótesis!$D$93-CA94)))</f>
        <v>0</v>
      </c>
      <c r="CC93" s="109" t="n">
        <f aca="false">IF(Hipótesis!$D$94&lt;=2,CC92,MIN(CC92,MAX(0,Hipótesis!$D$101*Hipótesis!$D$93-CB94)))</f>
        <v>0</v>
      </c>
      <c r="CD93" s="109" t="n">
        <f aca="false">IF(Hipótesis!$D$94&lt;=2,CD92,MIN(CD92,MAX(0,Hipótesis!$D$101*Hipótesis!$D$93-CC94)))</f>
        <v>0</v>
      </c>
      <c r="CE93" s="109" t="n">
        <f aca="false">IF(Hipótesis!$D$94&lt;=2,CE92,MIN(CE92,MAX(0,Hipótesis!$D$101*Hipótesis!$D$93-CD94)))</f>
        <v>0</v>
      </c>
      <c r="CF93" s="109" t="n">
        <f aca="false">IF(Hipótesis!$D$94&lt;=2,CF92,MIN(CF92,MAX(0,Hipótesis!$D$101*Hipótesis!$D$93-CE94)))</f>
        <v>0</v>
      </c>
      <c r="CG93" s="109" t="n">
        <f aca="false">IF(Hipótesis!$D$94&lt;=2,CG92,MIN(CG92,MAX(0,Hipótesis!$D$101*Hipótesis!$D$93-CF94)))</f>
        <v>0</v>
      </c>
      <c r="CH93" s="109" t="n">
        <f aca="false">IF(Hipótesis!$D$94&lt;=2,CH92,MIN(CH92,MAX(0,Hipótesis!$D$101*Hipótesis!$D$93-CG94)))</f>
        <v>0</v>
      </c>
    </row>
    <row r="94" customFormat="false" ht="13.5" hidden="false" customHeight="true" outlineLevel="0" collapsed="false">
      <c r="A94" s="6" t="s">
        <v>595</v>
      </c>
      <c r="C94" s="109" t="n">
        <f aca="false">C121</f>
        <v>0</v>
      </c>
      <c r="D94" s="109" t="n">
        <f aca="false">C94+D121</f>
        <v>0</v>
      </c>
      <c r="E94" s="109" t="n">
        <f aca="false">D94+E121</f>
        <v>0</v>
      </c>
      <c r="F94" s="109" t="n">
        <f aca="false">E94+F121</f>
        <v>0</v>
      </c>
      <c r="G94" s="109" t="n">
        <f aca="false">F94+G121</f>
        <v>0</v>
      </c>
      <c r="H94" s="109" t="n">
        <f aca="false">G94+H121</f>
        <v>0</v>
      </c>
      <c r="I94" s="109" t="n">
        <f aca="false">H94+I121</f>
        <v>0</v>
      </c>
      <c r="J94" s="109" t="n">
        <f aca="false">I94+J121</f>
        <v>0</v>
      </c>
      <c r="K94" s="109" t="n">
        <f aca="false">J94+K121</f>
        <v>0</v>
      </c>
      <c r="L94" s="109" t="n">
        <f aca="false">K94+L121</f>
        <v>0</v>
      </c>
      <c r="M94" s="109" t="n">
        <f aca="false">L94+M121</f>
        <v>0</v>
      </c>
      <c r="N94" s="109" t="n">
        <f aca="false">M94+N121</f>
        <v>0</v>
      </c>
      <c r="O94" s="109" t="n">
        <f aca="false">N94+O121</f>
        <v>0</v>
      </c>
      <c r="P94" s="109" t="n">
        <f aca="false">O94+P121</f>
        <v>0</v>
      </c>
      <c r="Q94" s="109" t="n">
        <f aca="false">P94+Q121</f>
        <v>0</v>
      </c>
      <c r="R94" s="109" t="n">
        <f aca="false">Q94+R121</f>
        <v>0</v>
      </c>
      <c r="S94" s="109" t="n">
        <f aca="false">R94+S121</f>
        <v>0</v>
      </c>
      <c r="T94" s="109" t="n">
        <f aca="false">S94+T121</f>
        <v>0</v>
      </c>
      <c r="U94" s="109" t="n">
        <f aca="false">T94+U121</f>
        <v>0</v>
      </c>
      <c r="V94" s="109" t="n">
        <f aca="false">U94+V121</f>
        <v>0</v>
      </c>
      <c r="W94" s="109" t="n">
        <f aca="false">V94+W121</f>
        <v>0</v>
      </c>
      <c r="X94" s="109" t="n">
        <f aca="false">W94+X121</f>
        <v>0</v>
      </c>
      <c r="Y94" s="109" t="n">
        <f aca="false">X94+Y121</f>
        <v>0</v>
      </c>
      <c r="Z94" s="109" t="n">
        <f aca="false">Y94+Z121</f>
        <v>0</v>
      </c>
      <c r="AA94" s="109" t="n">
        <f aca="false">Z94+AA121</f>
        <v>0</v>
      </c>
      <c r="AB94" s="109" t="n">
        <f aca="false">AA94+AB121</f>
        <v>0</v>
      </c>
      <c r="AC94" s="109" t="n">
        <f aca="false">AB94+AC121</f>
        <v>0</v>
      </c>
      <c r="AD94" s="109" t="n">
        <f aca="false">AC94+AD121</f>
        <v>0</v>
      </c>
      <c r="AE94" s="109" t="n">
        <f aca="false">AD94+AE121</f>
        <v>0</v>
      </c>
      <c r="AF94" s="109" t="n">
        <f aca="false">AE94+AF121</f>
        <v>0</v>
      </c>
      <c r="AG94" s="109" t="n">
        <f aca="false">AF94+AG121</f>
        <v>0</v>
      </c>
      <c r="AH94" s="109" t="n">
        <f aca="false">AG94+AH121</f>
        <v>0</v>
      </c>
      <c r="AI94" s="109" t="n">
        <f aca="false">AH94+AI121</f>
        <v>0</v>
      </c>
      <c r="AJ94" s="109" t="n">
        <f aca="false">AI94+AJ121</f>
        <v>0</v>
      </c>
      <c r="AK94" s="109" t="n">
        <f aca="false">AJ94+AK121</f>
        <v>0</v>
      </c>
      <c r="AL94" s="109" t="n">
        <f aca="false">AK94+AL121</f>
        <v>0</v>
      </c>
      <c r="AM94" s="109" t="n">
        <f aca="false">AL94+AM121</f>
        <v>0</v>
      </c>
      <c r="AN94" s="109" t="n">
        <f aca="false">AM94+AN121</f>
        <v>0</v>
      </c>
      <c r="AO94" s="109" t="n">
        <f aca="false">AN94+AO121</f>
        <v>0</v>
      </c>
      <c r="AP94" s="109" t="n">
        <f aca="false">AO94+AP121</f>
        <v>0</v>
      </c>
      <c r="AQ94" s="109" t="n">
        <f aca="false">AP94+AQ121</f>
        <v>0</v>
      </c>
      <c r="AR94" s="109" t="n">
        <f aca="false">AQ94+AR121</f>
        <v>0</v>
      </c>
      <c r="AS94" s="109" t="n">
        <f aca="false">AR94+AS121</f>
        <v>0</v>
      </c>
      <c r="AT94" s="109" t="n">
        <f aca="false">AS94+AT121</f>
        <v>0</v>
      </c>
      <c r="AU94" s="109" t="n">
        <f aca="false">AT94+AU121</f>
        <v>0</v>
      </c>
      <c r="AV94" s="109" t="n">
        <f aca="false">AU94+AV121</f>
        <v>0</v>
      </c>
      <c r="AW94" s="109" t="n">
        <f aca="false">AV94+AW121</f>
        <v>0</v>
      </c>
      <c r="AX94" s="109" t="n">
        <f aca="false">AW94+AX121</f>
        <v>623349.398433236</v>
      </c>
      <c r="AY94" s="109" t="n">
        <f aca="false">AX94+AY121</f>
        <v>623349.398433236</v>
      </c>
      <c r="AZ94" s="109" t="n">
        <f aca="false">AY94+AZ121</f>
        <v>623349.398433236</v>
      </c>
      <c r="BA94" s="109" t="n">
        <f aca="false">AZ94+BA121</f>
        <v>623349.398433236</v>
      </c>
      <c r="BB94" s="109" t="n">
        <f aca="false">BA94+BB121</f>
        <v>623349.398433236</v>
      </c>
      <c r="BC94" s="109" t="n">
        <f aca="false">BB94+BC121</f>
        <v>623349.398433236</v>
      </c>
      <c r="BD94" s="109" t="n">
        <f aca="false">BC94+BD121</f>
        <v>623349.398433236</v>
      </c>
      <c r="BE94" s="109" t="n">
        <f aca="false">BD94+BE121</f>
        <v>623349.398433236</v>
      </c>
      <c r="BF94" s="109" t="n">
        <f aca="false">BE94+BF121</f>
        <v>623349.398433236</v>
      </c>
      <c r="BG94" s="109" t="n">
        <f aca="false">BF94+BG121</f>
        <v>623349.398433236</v>
      </c>
      <c r="BH94" s="109" t="n">
        <f aca="false">BG94+BH121</f>
        <v>623349.398433236</v>
      </c>
      <c r="BI94" s="109" t="n">
        <f aca="false">BH94+BI121</f>
        <v>623349.398433236</v>
      </c>
      <c r="BJ94" s="109" t="n">
        <f aca="false">BI94+BJ121</f>
        <v>623349.398433236</v>
      </c>
      <c r="BK94" s="109" t="n">
        <f aca="false">BJ94+BK121</f>
        <v>623349.398433236</v>
      </c>
      <c r="BL94" s="109" t="n">
        <f aca="false">BK94+BL121</f>
        <v>623349.398433236</v>
      </c>
      <c r="BM94" s="109" t="n">
        <f aca="false">BL94+BM121</f>
        <v>623349.398433236</v>
      </c>
      <c r="BN94" s="109" t="n">
        <f aca="false">BM94+BN121</f>
        <v>623349.398433236</v>
      </c>
      <c r="BO94" s="109" t="n">
        <f aca="false">BN94+BO121</f>
        <v>623349.398433236</v>
      </c>
      <c r="BP94" s="109" t="n">
        <f aca="false">BO94+BP121</f>
        <v>623349.398433236</v>
      </c>
      <c r="BQ94" s="109" t="n">
        <f aca="false">BP94+BQ121</f>
        <v>623349.398433236</v>
      </c>
      <c r="BR94" s="109" t="n">
        <f aca="false">BQ94+BR121</f>
        <v>623349.398433236</v>
      </c>
      <c r="BS94" s="109" t="n">
        <f aca="false">BR94+BS121</f>
        <v>623349.398433236</v>
      </c>
      <c r="BT94" s="109" t="n">
        <f aca="false">BS94+BT121</f>
        <v>623349.398433236</v>
      </c>
      <c r="BU94" s="109" t="n">
        <f aca="false">BT94+BU121</f>
        <v>623349.398433236</v>
      </c>
      <c r="BV94" s="109" t="n">
        <f aca="false">BU94+BV121</f>
        <v>623349.398433236</v>
      </c>
      <c r="BW94" s="109" t="n">
        <f aca="false">BV94+BW121</f>
        <v>623349.398433236</v>
      </c>
      <c r="BX94" s="109" t="n">
        <f aca="false">BW94+BX121</f>
        <v>623349.398433236</v>
      </c>
      <c r="BY94" s="109" t="n">
        <f aca="false">BX94+BY121</f>
        <v>623349.398433236</v>
      </c>
      <c r="BZ94" s="109" t="n">
        <f aca="false">BY94+BZ121</f>
        <v>623349.398433236</v>
      </c>
      <c r="CA94" s="109" t="n">
        <f aca="false">BZ94+CA121</f>
        <v>623349.398433236</v>
      </c>
      <c r="CB94" s="109" t="n">
        <f aca="false">CA94+CB121</f>
        <v>623349.398433236</v>
      </c>
      <c r="CC94" s="109" t="n">
        <f aca="false">CB94+CC121</f>
        <v>623349.398433236</v>
      </c>
      <c r="CD94" s="109" t="n">
        <f aca="false">CC94+CD121</f>
        <v>623349.398433236</v>
      </c>
      <c r="CE94" s="109" t="n">
        <f aca="false">CD94+CE121</f>
        <v>623349.398433236</v>
      </c>
      <c r="CF94" s="109" t="n">
        <f aca="false">CE94+CF121</f>
        <v>623349.398433236</v>
      </c>
      <c r="CG94" s="109" t="n">
        <f aca="false">CF94+CG121</f>
        <v>623349.398433236</v>
      </c>
      <c r="CH94" s="109" t="n">
        <f aca="false">CG94+CH121</f>
        <v>623349.398433236</v>
      </c>
    </row>
    <row r="95" customFormat="false" ht="13.5" hidden="false" customHeight="true" outlineLevel="0" collapsed="false"/>
    <row r="96" customFormat="false" ht="13.5" hidden="false" customHeight="true" outlineLevel="0" collapsed="false">
      <c r="A96" s="6" t="s">
        <v>596</v>
      </c>
      <c r="C96" s="109" t="n">
        <f aca="false">Hipótesis!$D$105</f>
        <v>100000</v>
      </c>
      <c r="D96" s="109" t="n">
        <f aca="false">C96-C97</f>
        <v>100000</v>
      </c>
      <c r="E96" s="109" t="n">
        <f aca="false">D96-D97</f>
        <v>100000</v>
      </c>
      <c r="F96" s="109" t="n">
        <f aca="false">E96-E97</f>
        <v>100000</v>
      </c>
      <c r="G96" s="109" t="n">
        <f aca="false">F96-F97</f>
        <v>100000</v>
      </c>
      <c r="H96" s="109" t="n">
        <f aca="false">G96-G97</f>
        <v>100000</v>
      </c>
      <c r="I96" s="109" t="n">
        <f aca="false">H96-H97</f>
        <v>100000</v>
      </c>
      <c r="J96" s="109" t="n">
        <f aca="false">I96-I97</f>
        <v>100000</v>
      </c>
      <c r="K96" s="109" t="n">
        <f aca="false">J96-J97</f>
        <v>100000</v>
      </c>
      <c r="L96" s="109" t="n">
        <f aca="false">K96-K97</f>
        <v>100000</v>
      </c>
      <c r="M96" s="109" t="n">
        <f aca="false">L96-L97</f>
        <v>100000</v>
      </c>
      <c r="N96" s="109" t="n">
        <f aca="false">M96-M97</f>
        <v>100000</v>
      </c>
      <c r="O96" s="109" t="n">
        <f aca="false">N96-N97</f>
        <v>100000</v>
      </c>
      <c r="P96" s="109" t="n">
        <f aca="false">O96-O97</f>
        <v>100000</v>
      </c>
      <c r="Q96" s="109" t="n">
        <f aca="false">P96-P97</f>
        <v>100000</v>
      </c>
      <c r="R96" s="109" t="n">
        <f aca="false">Q96-Q97</f>
        <v>100000</v>
      </c>
      <c r="S96" s="109" t="n">
        <f aca="false">R96-R97</f>
        <v>100000</v>
      </c>
      <c r="T96" s="109" t="n">
        <f aca="false">S96-S97</f>
        <v>100000</v>
      </c>
      <c r="U96" s="109" t="n">
        <f aca="false">T96-T97</f>
        <v>100000</v>
      </c>
      <c r="V96" s="109" t="n">
        <f aca="false">U96-U97</f>
        <v>100000</v>
      </c>
      <c r="W96" s="109" t="n">
        <f aca="false">V96-V97</f>
        <v>100000</v>
      </c>
      <c r="X96" s="109" t="n">
        <f aca="false">W96-W97</f>
        <v>100000</v>
      </c>
      <c r="Y96" s="109" t="n">
        <f aca="false">X96-X97</f>
        <v>100000</v>
      </c>
      <c r="Z96" s="109" t="n">
        <f aca="false">Y96-Y97</f>
        <v>100000</v>
      </c>
      <c r="AA96" s="109" t="n">
        <f aca="false">Z96-Z97</f>
        <v>100000</v>
      </c>
      <c r="AB96" s="109" t="n">
        <f aca="false">AA96-AA97</f>
        <v>98333.3333333333</v>
      </c>
      <c r="AC96" s="109" t="n">
        <f aca="false">AB96-AB97</f>
        <v>96666.6666666667</v>
      </c>
      <c r="AD96" s="109" t="n">
        <f aca="false">AC96-AC97</f>
        <v>95000</v>
      </c>
      <c r="AE96" s="109" t="n">
        <f aca="false">AD96-AD97</f>
        <v>93333.3333333333</v>
      </c>
      <c r="AF96" s="109" t="n">
        <f aca="false">AE96-AE97</f>
        <v>91666.6666666666</v>
      </c>
      <c r="AG96" s="109" t="n">
        <f aca="false">AF96-AF97</f>
        <v>90000</v>
      </c>
      <c r="AH96" s="109" t="n">
        <f aca="false">AG96-AG97</f>
        <v>88333.3333333333</v>
      </c>
      <c r="AI96" s="109" t="n">
        <f aca="false">AH96-AH97</f>
        <v>86666.6666666666</v>
      </c>
      <c r="AJ96" s="109" t="n">
        <f aca="false">AI96-AI97</f>
        <v>85000</v>
      </c>
      <c r="AK96" s="109" t="n">
        <f aca="false">AJ96-AJ97</f>
        <v>83333.3333333333</v>
      </c>
      <c r="AL96" s="109" t="n">
        <f aca="false">AK96-AK97</f>
        <v>81666.6666666666</v>
      </c>
      <c r="AM96" s="109" t="n">
        <f aca="false">AL96-AL97</f>
        <v>79999.9999999999</v>
      </c>
      <c r="AN96" s="109" t="n">
        <f aca="false">AM96-AM97</f>
        <v>78333.3333333333</v>
      </c>
      <c r="AO96" s="109" t="n">
        <f aca="false">AN96-AN97</f>
        <v>76666.6666666666</v>
      </c>
      <c r="AP96" s="109" t="n">
        <f aca="false">AO96-AO97</f>
        <v>74999.9999999999</v>
      </c>
      <c r="AQ96" s="109" t="n">
        <f aca="false">AP96-AP97</f>
        <v>73333.3333333333</v>
      </c>
      <c r="AR96" s="109" t="n">
        <f aca="false">AQ96-AQ97</f>
        <v>71666.6666666666</v>
      </c>
      <c r="AS96" s="109" t="n">
        <f aca="false">AR96-AR97</f>
        <v>69999.9999999999</v>
      </c>
      <c r="AT96" s="109" t="n">
        <f aca="false">AS96-AS97</f>
        <v>68333.3333333332</v>
      </c>
      <c r="AU96" s="109" t="n">
        <f aca="false">AT96-AT97</f>
        <v>66666.6666666666</v>
      </c>
      <c r="AV96" s="109" t="n">
        <f aca="false">AU96-AU97</f>
        <v>64999.9999999999</v>
      </c>
      <c r="AW96" s="109" t="n">
        <f aca="false">AV96-AV97</f>
        <v>63333.3333333332</v>
      </c>
      <c r="AX96" s="109" t="n">
        <f aca="false">AW96-AW97</f>
        <v>61666.6666666666</v>
      </c>
      <c r="AY96" s="109" t="n">
        <f aca="false">AX96-AX97</f>
        <v>59999.9999999999</v>
      </c>
      <c r="AZ96" s="109" t="n">
        <f aca="false">AY96-AY97</f>
        <v>58333.3333333333</v>
      </c>
      <c r="BA96" s="109" t="n">
        <f aca="false">AZ96-AZ97</f>
        <v>56666.6666666666</v>
      </c>
      <c r="BB96" s="109" t="n">
        <f aca="false">BA96-BA97</f>
        <v>54999.9999999999</v>
      </c>
      <c r="BC96" s="109" t="n">
        <f aca="false">BB96-BB97</f>
        <v>53333.3333333333</v>
      </c>
      <c r="BD96" s="109" t="n">
        <f aca="false">BC96-BC97</f>
        <v>51666.6666666666</v>
      </c>
      <c r="BE96" s="109" t="n">
        <f aca="false">BD96-BD97</f>
        <v>49999.9999999999</v>
      </c>
      <c r="BF96" s="109" t="n">
        <f aca="false">BE96-BE97</f>
        <v>48333.3333333333</v>
      </c>
      <c r="BG96" s="109" t="n">
        <f aca="false">BF96-BF97</f>
        <v>46666.6666666666</v>
      </c>
      <c r="BH96" s="109" t="n">
        <f aca="false">BG96-BG97</f>
        <v>44999.9999999999</v>
      </c>
      <c r="BI96" s="109" t="n">
        <f aca="false">BH96-BH97</f>
        <v>43333.3333333333</v>
      </c>
      <c r="BJ96" s="109" t="n">
        <f aca="false">BI96-BI97</f>
        <v>41666.6666666666</v>
      </c>
      <c r="BK96" s="109" t="n">
        <f aca="false">BJ96-BJ97</f>
        <v>39999.9999999999</v>
      </c>
      <c r="BL96" s="109" t="n">
        <f aca="false">BK96-BK97</f>
        <v>38333.3333333333</v>
      </c>
      <c r="BM96" s="109" t="n">
        <f aca="false">BL96-BL97</f>
        <v>36666.6666666666</v>
      </c>
      <c r="BN96" s="109" t="n">
        <f aca="false">BM96-BM97</f>
        <v>35000</v>
      </c>
      <c r="BO96" s="109" t="n">
        <f aca="false">BN96-BN97</f>
        <v>33333.3333333333</v>
      </c>
      <c r="BP96" s="109" t="n">
        <f aca="false">BO96-BO97</f>
        <v>31666.6666666666</v>
      </c>
      <c r="BQ96" s="109" t="n">
        <f aca="false">BP96-BP97</f>
        <v>30000</v>
      </c>
      <c r="BR96" s="109" t="n">
        <f aca="false">BQ96-BQ97</f>
        <v>28333.3333333333</v>
      </c>
      <c r="BS96" s="109" t="n">
        <f aca="false">BR96-BR97</f>
        <v>26666.6666666666</v>
      </c>
      <c r="BT96" s="109" t="n">
        <f aca="false">BS96-BS97</f>
        <v>24999.9999999999</v>
      </c>
      <c r="BU96" s="109" t="n">
        <f aca="false">BT96-BT97</f>
        <v>23333.3333333333</v>
      </c>
      <c r="BV96" s="109" t="n">
        <f aca="false">BU96-BU97</f>
        <v>21666.6666666666</v>
      </c>
      <c r="BW96" s="109" t="n">
        <f aca="false">BV96-BV97</f>
        <v>19999.9999999999</v>
      </c>
      <c r="BX96" s="109" t="n">
        <f aca="false">BW96-BW97</f>
        <v>18333.3333333333</v>
      </c>
      <c r="BY96" s="109" t="n">
        <f aca="false">BX96-BX97</f>
        <v>16666.6666666666</v>
      </c>
      <c r="BZ96" s="109" t="n">
        <f aca="false">BY96-BY97</f>
        <v>14999.9999999999</v>
      </c>
      <c r="CA96" s="109" t="n">
        <f aca="false">BZ96-BZ97</f>
        <v>13333.3333333333</v>
      </c>
      <c r="CB96" s="109" t="n">
        <f aca="false">CA96-CA97</f>
        <v>11666.6666666666</v>
      </c>
      <c r="CC96" s="109" t="n">
        <f aca="false">CB96-CB97</f>
        <v>9999.99999999994</v>
      </c>
      <c r="CD96" s="109" t="n">
        <f aca="false">CC96-CC97</f>
        <v>8333.33333333328</v>
      </c>
      <c r="CE96" s="109" t="n">
        <f aca="false">CD96-CD97</f>
        <v>6666.66666666661</v>
      </c>
      <c r="CF96" s="109" t="n">
        <f aca="false">CE96-CE97</f>
        <v>4999.99999999994</v>
      </c>
      <c r="CG96" s="109" t="n">
        <f aca="false">CF96-CF97</f>
        <v>3333.33333333328</v>
      </c>
      <c r="CH96" s="109" t="n">
        <f aca="false">CG96-CG97</f>
        <v>1666.66666666661</v>
      </c>
    </row>
    <row r="97" customFormat="false" ht="13.5" hidden="false" customHeight="true" outlineLevel="0" collapsed="false">
      <c r="A97" s="6" t="s">
        <v>597</v>
      </c>
      <c r="C97" s="109" t="n">
        <f aca="false">IF(1&lt;=Hipótesis!$D$109,0,IF(C96&gt;0,MIN(C96,Hipótesis!$D$105/MAX(Hipótesis!$D$108-Hipótesis!$D$109,1)),0))</f>
        <v>0</v>
      </c>
      <c r="D97" s="109" t="n">
        <f aca="false">IF(2&lt;=Hipótesis!$D$109,0,IF(D96&gt;0,MIN(D96,Hipótesis!$D$105/MAX(Hipótesis!$D$108-Hipótesis!$D$109,1)),0))</f>
        <v>0</v>
      </c>
      <c r="E97" s="109" t="n">
        <f aca="false">IF(3&lt;=Hipótesis!$D$109,0,IF(E96&gt;0,MIN(E96,Hipótesis!$D$105/MAX(Hipótesis!$D$108-Hipótesis!$D$109,1)),0))</f>
        <v>0</v>
      </c>
      <c r="F97" s="109" t="n">
        <f aca="false">IF(4&lt;=Hipótesis!$D$109,0,IF(F96&gt;0,MIN(F96,Hipótesis!$D$105/MAX(Hipótesis!$D$108-Hipótesis!$D$109,1)),0))</f>
        <v>0</v>
      </c>
      <c r="G97" s="109" t="n">
        <f aca="false">IF(5&lt;=Hipótesis!$D$109,0,IF(G96&gt;0,MIN(G96,Hipótesis!$D$105/MAX(Hipótesis!$D$108-Hipótesis!$D$109,1)),0))</f>
        <v>0</v>
      </c>
      <c r="H97" s="109" t="n">
        <f aca="false">IF(6&lt;=Hipótesis!$D$109,0,IF(H96&gt;0,MIN(H96,Hipótesis!$D$105/MAX(Hipótesis!$D$108-Hipótesis!$D$109,1)),0))</f>
        <v>0</v>
      </c>
      <c r="I97" s="109" t="n">
        <f aca="false">IF(7&lt;=Hipótesis!$D$109,0,IF(I96&gt;0,MIN(I96,Hipótesis!$D$105/MAX(Hipótesis!$D$108-Hipótesis!$D$109,1)),0))</f>
        <v>0</v>
      </c>
      <c r="J97" s="109" t="n">
        <f aca="false">IF(8&lt;=Hipótesis!$D$109,0,IF(J96&gt;0,MIN(J96,Hipótesis!$D$105/MAX(Hipótesis!$D$108-Hipótesis!$D$109,1)),0))</f>
        <v>0</v>
      </c>
      <c r="K97" s="109" t="n">
        <f aca="false">IF(9&lt;=Hipótesis!$D$109,0,IF(K96&gt;0,MIN(K96,Hipótesis!$D$105/MAX(Hipótesis!$D$108-Hipótesis!$D$109,1)),0))</f>
        <v>0</v>
      </c>
      <c r="L97" s="109" t="n">
        <f aca="false">IF(10&lt;=Hipótesis!$D$109,0,IF(L96&gt;0,MIN(L96,Hipótesis!$D$105/MAX(Hipótesis!$D$108-Hipótesis!$D$109,1)),0))</f>
        <v>0</v>
      </c>
      <c r="M97" s="109" t="n">
        <f aca="false">IF(11&lt;=Hipótesis!$D$109,0,IF(M96&gt;0,MIN(M96,Hipótesis!$D$105/MAX(Hipótesis!$D$108-Hipótesis!$D$109,1)),0))</f>
        <v>0</v>
      </c>
      <c r="N97" s="109" t="n">
        <f aca="false">IF(12&lt;=Hipótesis!$D$109,0,IF(N96&gt;0,MIN(N96,Hipótesis!$D$105/MAX(Hipótesis!$D$108-Hipótesis!$D$109,1)),0))</f>
        <v>0</v>
      </c>
      <c r="O97" s="109" t="n">
        <f aca="false">IF(13&lt;=Hipótesis!$D$109,0,IF(O96&gt;0,MIN(O96,Hipótesis!$D$105/MAX(Hipótesis!$D$108-Hipótesis!$D$109,1)),0))</f>
        <v>0</v>
      </c>
      <c r="P97" s="109" t="n">
        <f aca="false">IF(14&lt;=Hipótesis!$D$109,0,IF(P96&gt;0,MIN(P96,Hipótesis!$D$105/MAX(Hipótesis!$D$108-Hipótesis!$D$109,1)),0))</f>
        <v>0</v>
      </c>
      <c r="Q97" s="109" t="n">
        <f aca="false">IF(15&lt;=Hipótesis!$D$109,0,IF(Q96&gt;0,MIN(Q96,Hipótesis!$D$105/MAX(Hipótesis!$D$108-Hipótesis!$D$109,1)),0))</f>
        <v>0</v>
      </c>
      <c r="R97" s="109" t="n">
        <f aca="false">IF(16&lt;=Hipótesis!$D$109,0,IF(R96&gt;0,MIN(R96,Hipótesis!$D$105/MAX(Hipótesis!$D$108-Hipótesis!$D$109,1)),0))</f>
        <v>0</v>
      </c>
      <c r="S97" s="109" t="n">
        <f aca="false">IF(17&lt;=Hipótesis!$D$109,0,IF(S96&gt;0,MIN(S96,Hipótesis!$D$105/MAX(Hipótesis!$D$108-Hipótesis!$D$109,1)),0))</f>
        <v>0</v>
      </c>
      <c r="T97" s="109" t="n">
        <f aca="false">IF(18&lt;=Hipótesis!$D$109,0,IF(T96&gt;0,MIN(T96,Hipótesis!$D$105/MAX(Hipótesis!$D$108-Hipótesis!$D$109,1)),0))</f>
        <v>0</v>
      </c>
      <c r="U97" s="109" t="n">
        <f aca="false">IF(19&lt;=Hipótesis!$D$109,0,IF(U96&gt;0,MIN(U96,Hipótesis!$D$105/MAX(Hipótesis!$D$108-Hipótesis!$D$109,1)),0))</f>
        <v>0</v>
      </c>
      <c r="V97" s="109" t="n">
        <f aca="false">IF(20&lt;=Hipótesis!$D$109,0,IF(V96&gt;0,MIN(V96,Hipótesis!$D$105/MAX(Hipótesis!$D$108-Hipótesis!$D$109,1)),0))</f>
        <v>0</v>
      </c>
      <c r="W97" s="109" t="n">
        <f aca="false">IF(21&lt;=Hipótesis!$D$109,0,IF(W96&gt;0,MIN(W96,Hipótesis!$D$105/MAX(Hipótesis!$D$108-Hipótesis!$D$109,1)),0))</f>
        <v>0</v>
      </c>
      <c r="X97" s="109" t="n">
        <f aca="false">IF(22&lt;=Hipótesis!$D$109,0,IF(X96&gt;0,MIN(X96,Hipótesis!$D$105/MAX(Hipótesis!$D$108-Hipótesis!$D$109,1)),0))</f>
        <v>0</v>
      </c>
      <c r="Y97" s="109" t="n">
        <f aca="false">IF(23&lt;=Hipótesis!$D$109,0,IF(Y96&gt;0,MIN(Y96,Hipótesis!$D$105/MAX(Hipótesis!$D$108-Hipótesis!$D$109,1)),0))</f>
        <v>0</v>
      </c>
      <c r="Z97" s="109" t="n">
        <f aca="false">IF(24&lt;=Hipótesis!$D$109,0,IF(Z96&gt;0,MIN(Z96,Hipótesis!$D$105/MAX(Hipótesis!$D$108-Hipótesis!$D$109,1)),0))</f>
        <v>0</v>
      </c>
      <c r="AA97" s="109" t="n">
        <f aca="false">IF(25&lt;=Hipótesis!$D$109,0,IF(AA96&gt;0,MIN(AA96,Hipótesis!$D$105/MAX(Hipótesis!$D$108-Hipótesis!$D$109,1)),0))</f>
        <v>1666.66666666667</v>
      </c>
      <c r="AB97" s="109" t="n">
        <f aca="false">IF(26&lt;=Hipótesis!$D$109,0,IF(AB96&gt;0,MIN(AB96,Hipótesis!$D$105/MAX(Hipótesis!$D$108-Hipótesis!$D$109,1)),0))</f>
        <v>1666.66666666667</v>
      </c>
      <c r="AC97" s="109" t="n">
        <f aca="false">IF(27&lt;=Hipótesis!$D$109,0,IF(AC96&gt;0,MIN(AC96,Hipótesis!$D$105/MAX(Hipótesis!$D$108-Hipótesis!$D$109,1)),0))</f>
        <v>1666.66666666667</v>
      </c>
      <c r="AD97" s="109" t="n">
        <f aca="false">IF(28&lt;=Hipótesis!$D$109,0,IF(AD96&gt;0,MIN(AD96,Hipótesis!$D$105/MAX(Hipótesis!$D$108-Hipótesis!$D$109,1)),0))</f>
        <v>1666.66666666667</v>
      </c>
      <c r="AE97" s="109" t="n">
        <f aca="false">IF(29&lt;=Hipótesis!$D$109,0,IF(AE96&gt;0,MIN(AE96,Hipótesis!$D$105/MAX(Hipótesis!$D$108-Hipótesis!$D$109,1)),0))</f>
        <v>1666.66666666667</v>
      </c>
      <c r="AF97" s="109" t="n">
        <f aca="false">IF(30&lt;=Hipótesis!$D$109,0,IF(AF96&gt;0,MIN(AF96,Hipótesis!$D$105/MAX(Hipótesis!$D$108-Hipótesis!$D$109,1)),0))</f>
        <v>1666.66666666667</v>
      </c>
      <c r="AG97" s="109" t="n">
        <f aca="false">IF(31&lt;=Hipótesis!$D$109,0,IF(AG96&gt;0,MIN(AG96,Hipótesis!$D$105/MAX(Hipótesis!$D$108-Hipótesis!$D$109,1)),0))</f>
        <v>1666.66666666667</v>
      </c>
      <c r="AH97" s="109" t="n">
        <f aca="false">IF(32&lt;=Hipótesis!$D$109,0,IF(AH96&gt;0,MIN(AH96,Hipótesis!$D$105/MAX(Hipótesis!$D$108-Hipótesis!$D$109,1)),0))</f>
        <v>1666.66666666667</v>
      </c>
      <c r="AI97" s="109" t="n">
        <f aca="false">IF(33&lt;=Hipótesis!$D$109,0,IF(AI96&gt;0,MIN(AI96,Hipótesis!$D$105/MAX(Hipótesis!$D$108-Hipótesis!$D$109,1)),0))</f>
        <v>1666.66666666667</v>
      </c>
      <c r="AJ97" s="109" t="n">
        <f aca="false">IF(34&lt;=Hipótesis!$D$109,0,IF(AJ96&gt;0,MIN(AJ96,Hipótesis!$D$105/MAX(Hipótesis!$D$108-Hipótesis!$D$109,1)),0))</f>
        <v>1666.66666666667</v>
      </c>
      <c r="AK97" s="109" t="n">
        <f aca="false">IF(35&lt;=Hipótesis!$D$109,0,IF(AK96&gt;0,MIN(AK96,Hipótesis!$D$105/MAX(Hipótesis!$D$108-Hipótesis!$D$109,1)),0))</f>
        <v>1666.66666666667</v>
      </c>
      <c r="AL97" s="109" t="n">
        <f aca="false">IF(36&lt;=Hipótesis!$D$109,0,IF(AL96&gt;0,MIN(AL96,Hipótesis!$D$105/MAX(Hipótesis!$D$108-Hipótesis!$D$109,1)),0))</f>
        <v>1666.66666666667</v>
      </c>
      <c r="AM97" s="109" t="n">
        <f aca="false">IF(37&lt;=Hipótesis!$D$109,0,IF(AM96&gt;0,MIN(AM96,Hipótesis!$D$105/MAX(Hipótesis!$D$108-Hipótesis!$D$109,1)),0))</f>
        <v>1666.66666666667</v>
      </c>
      <c r="AN97" s="109" t="n">
        <f aca="false">IF(38&lt;=Hipótesis!$D$109,0,IF(AN96&gt;0,MIN(AN96,Hipótesis!$D$105/MAX(Hipótesis!$D$108-Hipótesis!$D$109,1)),0))</f>
        <v>1666.66666666667</v>
      </c>
      <c r="AO97" s="109" t="n">
        <f aca="false">IF(39&lt;=Hipótesis!$D$109,0,IF(AO96&gt;0,MIN(AO96,Hipótesis!$D$105/MAX(Hipótesis!$D$108-Hipótesis!$D$109,1)),0))</f>
        <v>1666.66666666667</v>
      </c>
      <c r="AP97" s="109" t="n">
        <f aca="false">IF(40&lt;=Hipótesis!$D$109,0,IF(AP96&gt;0,MIN(AP96,Hipótesis!$D$105/MAX(Hipótesis!$D$108-Hipótesis!$D$109,1)),0))</f>
        <v>1666.66666666667</v>
      </c>
      <c r="AQ97" s="109" t="n">
        <f aca="false">IF(41&lt;=Hipótesis!$D$109,0,IF(AQ96&gt;0,MIN(AQ96,Hipótesis!$D$105/MAX(Hipótesis!$D$108-Hipótesis!$D$109,1)),0))</f>
        <v>1666.66666666667</v>
      </c>
      <c r="AR97" s="109" t="n">
        <f aca="false">IF(42&lt;=Hipótesis!$D$109,0,IF(AR96&gt;0,MIN(AR96,Hipótesis!$D$105/MAX(Hipótesis!$D$108-Hipótesis!$D$109,1)),0))</f>
        <v>1666.66666666667</v>
      </c>
      <c r="AS97" s="109" t="n">
        <f aca="false">IF(43&lt;=Hipótesis!$D$109,0,IF(AS96&gt;0,MIN(AS96,Hipótesis!$D$105/MAX(Hipótesis!$D$108-Hipótesis!$D$109,1)),0))</f>
        <v>1666.66666666667</v>
      </c>
      <c r="AT97" s="109" t="n">
        <f aca="false">IF(44&lt;=Hipótesis!$D$109,0,IF(AT96&gt;0,MIN(AT96,Hipótesis!$D$105/MAX(Hipótesis!$D$108-Hipótesis!$D$109,1)),0))</f>
        <v>1666.66666666667</v>
      </c>
      <c r="AU97" s="109" t="n">
        <f aca="false">IF(45&lt;=Hipótesis!$D$109,0,IF(AU96&gt;0,MIN(AU96,Hipótesis!$D$105/MAX(Hipótesis!$D$108-Hipótesis!$D$109,1)),0))</f>
        <v>1666.66666666667</v>
      </c>
      <c r="AV97" s="109" t="n">
        <f aca="false">IF(46&lt;=Hipótesis!$D$109,0,IF(AV96&gt;0,MIN(AV96,Hipótesis!$D$105/MAX(Hipótesis!$D$108-Hipótesis!$D$109,1)),0))</f>
        <v>1666.66666666667</v>
      </c>
      <c r="AW97" s="109" t="n">
        <f aca="false">IF(47&lt;=Hipótesis!$D$109,0,IF(AW96&gt;0,MIN(AW96,Hipótesis!$D$105/MAX(Hipótesis!$D$108-Hipótesis!$D$109,1)),0))</f>
        <v>1666.66666666667</v>
      </c>
      <c r="AX97" s="109" t="n">
        <f aca="false">IF(48&lt;=Hipótesis!$D$109,0,IF(AX96&gt;0,MIN(AX96,Hipótesis!$D$105/MAX(Hipótesis!$D$108-Hipótesis!$D$109,1)),0))</f>
        <v>1666.66666666667</v>
      </c>
      <c r="AY97" s="109" t="n">
        <f aca="false">IF(49&lt;=Hipótesis!$D$109,0,IF(AY96&gt;0,MIN(AY96,Hipótesis!$D$105/MAX(Hipótesis!$D$108-Hipótesis!$D$109,1)),0))</f>
        <v>1666.66666666667</v>
      </c>
      <c r="AZ97" s="109" t="n">
        <f aca="false">IF(50&lt;=Hipótesis!$D$109,0,IF(AZ96&gt;0,MIN(AZ96,Hipótesis!$D$105/MAX(Hipótesis!$D$108-Hipótesis!$D$109,1)),0))</f>
        <v>1666.66666666667</v>
      </c>
      <c r="BA97" s="109" t="n">
        <f aca="false">IF(51&lt;=Hipótesis!$D$109,0,IF(BA96&gt;0,MIN(BA96,Hipótesis!$D$105/MAX(Hipótesis!$D$108-Hipótesis!$D$109,1)),0))</f>
        <v>1666.66666666667</v>
      </c>
      <c r="BB97" s="109" t="n">
        <f aca="false">IF(52&lt;=Hipótesis!$D$109,0,IF(BB96&gt;0,MIN(BB96,Hipótesis!$D$105/MAX(Hipótesis!$D$108-Hipótesis!$D$109,1)),0))</f>
        <v>1666.66666666667</v>
      </c>
      <c r="BC97" s="109" t="n">
        <f aca="false">IF(53&lt;=Hipótesis!$D$109,0,IF(BC96&gt;0,MIN(BC96,Hipótesis!$D$105/MAX(Hipótesis!$D$108-Hipótesis!$D$109,1)),0))</f>
        <v>1666.66666666667</v>
      </c>
      <c r="BD97" s="109" t="n">
        <f aca="false">IF(54&lt;=Hipótesis!$D$109,0,IF(BD96&gt;0,MIN(BD96,Hipótesis!$D$105/MAX(Hipótesis!$D$108-Hipótesis!$D$109,1)),0))</f>
        <v>1666.66666666667</v>
      </c>
      <c r="BE97" s="109" t="n">
        <f aca="false">IF(55&lt;=Hipótesis!$D$109,0,IF(BE96&gt;0,MIN(BE96,Hipótesis!$D$105/MAX(Hipótesis!$D$108-Hipótesis!$D$109,1)),0))</f>
        <v>1666.66666666667</v>
      </c>
      <c r="BF97" s="109" t="n">
        <f aca="false">IF(56&lt;=Hipótesis!$D$109,0,IF(BF96&gt;0,MIN(BF96,Hipótesis!$D$105/MAX(Hipótesis!$D$108-Hipótesis!$D$109,1)),0))</f>
        <v>1666.66666666667</v>
      </c>
      <c r="BG97" s="109" t="n">
        <f aca="false">IF(57&lt;=Hipótesis!$D$109,0,IF(BG96&gt;0,MIN(BG96,Hipótesis!$D$105/MAX(Hipótesis!$D$108-Hipótesis!$D$109,1)),0))</f>
        <v>1666.66666666667</v>
      </c>
      <c r="BH97" s="109" t="n">
        <f aca="false">IF(58&lt;=Hipótesis!$D$109,0,IF(BH96&gt;0,MIN(BH96,Hipótesis!$D$105/MAX(Hipótesis!$D$108-Hipótesis!$D$109,1)),0))</f>
        <v>1666.66666666667</v>
      </c>
      <c r="BI97" s="109" t="n">
        <f aca="false">IF(59&lt;=Hipótesis!$D$109,0,IF(BI96&gt;0,MIN(BI96,Hipótesis!$D$105/MAX(Hipótesis!$D$108-Hipótesis!$D$109,1)),0))</f>
        <v>1666.66666666667</v>
      </c>
      <c r="BJ97" s="109" t="n">
        <f aca="false">IF(60&lt;=Hipótesis!$D$109,0,IF(BJ96&gt;0,MIN(BJ96,Hipótesis!$D$105/MAX(Hipótesis!$D$108-Hipótesis!$D$109,1)),0))</f>
        <v>1666.66666666667</v>
      </c>
      <c r="BK97" s="109" t="n">
        <f aca="false">IF(61&lt;=Hipótesis!$D$109,0,IF(BK96&gt;0,MIN(BK96,Hipótesis!$D$105/MAX(Hipótesis!$D$108-Hipótesis!$D$109,1)),0))</f>
        <v>1666.66666666667</v>
      </c>
      <c r="BL97" s="109" t="n">
        <f aca="false">IF(62&lt;=Hipótesis!$D$109,0,IF(BL96&gt;0,MIN(BL96,Hipótesis!$D$105/MAX(Hipótesis!$D$108-Hipótesis!$D$109,1)),0))</f>
        <v>1666.66666666667</v>
      </c>
      <c r="BM97" s="109" t="n">
        <f aca="false">IF(63&lt;=Hipótesis!$D$109,0,IF(BM96&gt;0,MIN(BM96,Hipótesis!$D$105/MAX(Hipótesis!$D$108-Hipótesis!$D$109,1)),0))</f>
        <v>1666.66666666667</v>
      </c>
      <c r="BN97" s="109" t="n">
        <f aca="false">IF(64&lt;=Hipótesis!$D$109,0,IF(BN96&gt;0,MIN(BN96,Hipótesis!$D$105/MAX(Hipótesis!$D$108-Hipótesis!$D$109,1)),0))</f>
        <v>1666.66666666667</v>
      </c>
      <c r="BO97" s="109" t="n">
        <f aca="false">IF(65&lt;=Hipótesis!$D$109,0,IF(BO96&gt;0,MIN(BO96,Hipótesis!$D$105/MAX(Hipótesis!$D$108-Hipótesis!$D$109,1)),0))</f>
        <v>1666.66666666667</v>
      </c>
      <c r="BP97" s="109" t="n">
        <f aca="false">IF(66&lt;=Hipótesis!$D$109,0,IF(BP96&gt;0,MIN(BP96,Hipótesis!$D$105/MAX(Hipótesis!$D$108-Hipótesis!$D$109,1)),0))</f>
        <v>1666.66666666667</v>
      </c>
      <c r="BQ97" s="109" t="n">
        <f aca="false">IF(67&lt;=Hipótesis!$D$109,0,IF(BQ96&gt;0,MIN(BQ96,Hipótesis!$D$105/MAX(Hipótesis!$D$108-Hipótesis!$D$109,1)),0))</f>
        <v>1666.66666666667</v>
      </c>
      <c r="BR97" s="109" t="n">
        <f aca="false">IF(68&lt;=Hipótesis!$D$109,0,IF(BR96&gt;0,MIN(BR96,Hipótesis!$D$105/MAX(Hipótesis!$D$108-Hipótesis!$D$109,1)),0))</f>
        <v>1666.66666666667</v>
      </c>
      <c r="BS97" s="109" t="n">
        <f aca="false">IF(69&lt;=Hipótesis!$D$109,0,IF(BS96&gt;0,MIN(BS96,Hipótesis!$D$105/MAX(Hipótesis!$D$108-Hipótesis!$D$109,1)),0))</f>
        <v>1666.66666666667</v>
      </c>
      <c r="BT97" s="109" t="n">
        <f aca="false">IF(70&lt;=Hipótesis!$D$109,0,IF(BT96&gt;0,MIN(BT96,Hipótesis!$D$105/MAX(Hipótesis!$D$108-Hipótesis!$D$109,1)),0))</f>
        <v>1666.66666666667</v>
      </c>
      <c r="BU97" s="109" t="n">
        <f aca="false">IF(71&lt;=Hipótesis!$D$109,0,IF(BU96&gt;0,MIN(BU96,Hipótesis!$D$105/MAX(Hipótesis!$D$108-Hipótesis!$D$109,1)),0))</f>
        <v>1666.66666666667</v>
      </c>
      <c r="BV97" s="109" t="n">
        <f aca="false">IF(72&lt;=Hipótesis!$D$109,0,IF(BV96&gt;0,MIN(BV96,Hipótesis!$D$105/MAX(Hipótesis!$D$108-Hipótesis!$D$109,1)),0))</f>
        <v>1666.66666666667</v>
      </c>
      <c r="BW97" s="109" t="n">
        <f aca="false">IF(73&lt;=Hipótesis!$D$109,0,IF(BW96&gt;0,MIN(BW96,Hipótesis!$D$105/MAX(Hipótesis!$D$108-Hipótesis!$D$109,1)),0))</f>
        <v>1666.66666666667</v>
      </c>
      <c r="BX97" s="109" t="n">
        <f aca="false">IF(74&lt;=Hipótesis!$D$109,0,IF(BX96&gt;0,MIN(BX96,Hipótesis!$D$105/MAX(Hipótesis!$D$108-Hipótesis!$D$109,1)),0))</f>
        <v>1666.66666666667</v>
      </c>
      <c r="BY97" s="109" t="n">
        <f aca="false">IF(75&lt;=Hipótesis!$D$109,0,IF(BY96&gt;0,MIN(BY96,Hipótesis!$D$105/MAX(Hipótesis!$D$108-Hipótesis!$D$109,1)),0))</f>
        <v>1666.66666666667</v>
      </c>
      <c r="BZ97" s="109" t="n">
        <f aca="false">IF(76&lt;=Hipótesis!$D$109,0,IF(BZ96&gt;0,MIN(BZ96,Hipótesis!$D$105/MAX(Hipótesis!$D$108-Hipótesis!$D$109,1)),0))</f>
        <v>1666.66666666667</v>
      </c>
      <c r="CA97" s="109" t="n">
        <f aca="false">IF(77&lt;=Hipótesis!$D$109,0,IF(CA96&gt;0,MIN(CA96,Hipótesis!$D$105/MAX(Hipótesis!$D$108-Hipótesis!$D$109,1)),0))</f>
        <v>1666.66666666667</v>
      </c>
      <c r="CB97" s="109" t="n">
        <f aca="false">IF(78&lt;=Hipótesis!$D$109,0,IF(CB96&gt;0,MIN(CB96,Hipótesis!$D$105/MAX(Hipótesis!$D$108-Hipótesis!$D$109,1)),0))</f>
        <v>1666.66666666667</v>
      </c>
      <c r="CC97" s="109" t="n">
        <f aca="false">IF(79&lt;=Hipótesis!$D$109,0,IF(CC96&gt;0,MIN(CC96,Hipótesis!$D$105/MAX(Hipótesis!$D$108-Hipótesis!$D$109,1)),0))</f>
        <v>1666.66666666667</v>
      </c>
      <c r="CD97" s="109" t="n">
        <f aca="false">IF(80&lt;=Hipótesis!$D$109,0,IF(CD96&gt;0,MIN(CD96,Hipótesis!$D$105/MAX(Hipótesis!$D$108-Hipótesis!$D$109,1)),0))</f>
        <v>1666.66666666667</v>
      </c>
      <c r="CE97" s="109" t="n">
        <f aca="false">IF(81&lt;=Hipótesis!$D$109,0,IF(CE96&gt;0,MIN(CE96,Hipótesis!$D$105/MAX(Hipótesis!$D$108-Hipótesis!$D$109,1)),0))</f>
        <v>1666.66666666667</v>
      </c>
      <c r="CF97" s="109" t="n">
        <f aca="false">IF(82&lt;=Hipótesis!$D$109,0,IF(CF96&gt;0,MIN(CF96,Hipótesis!$D$105/MAX(Hipótesis!$D$108-Hipótesis!$D$109,1)),0))</f>
        <v>1666.66666666667</v>
      </c>
      <c r="CG97" s="109" t="n">
        <f aca="false">IF(83&lt;=Hipótesis!$D$109,0,IF(CG96&gt;0,MIN(CG96,Hipótesis!$D$105/MAX(Hipótesis!$D$108-Hipótesis!$D$109,1)),0))</f>
        <v>1666.66666666667</v>
      </c>
      <c r="CH97" s="109" t="n">
        <f aca="false">IF(84&lt;=Hipótesis!$D$109,0,IF(CH96&gt;0,MIN(CH96,Hipótesis!$D$105/MAX(Hipótesis!$D$108-Hipótesis!$D$109,1)),0))</f>
        <v>1666.66666666661</v>
      </c>
    </row>
    <row r="98" customFormat="false" ht="13.5" hidden="false" customHeight="true" outlineLevel="0" collapsed="false">
      <c r="A98" s="6" t="s">
        <v>598</v>
      </c>
      <c r="C98" s="109" t="n">
        <f aca="false">C96*Hipótesis!$D$106/12+IF(C96&gt;0,Hipótesis!$D$107*MAX(0,C56),0)</f>
        <v>333.333333333333</v>
      </c>
      <c r="D98" s="109" t="n">
        <f aca="false">D96*Hipótesis!$D$106/12+IF(D96&gt;0,Hipótesis!$D$107*MAX(0,D56),0)</f>
        <v>333.333333333333</v>
      </c>
      <c r="E98" s="109" t="n">
        <f aca="false">E96*Hipótesis!$D$106/12+IF(E96&gt;0,Hipótesis!$D$107*MAX(0,E56),0)</f>
        <v>333.333333333333</v>
      </c>
      <c r="F98" s="109" t="n">
        <f aca="false">F96*Hipótesis!$D$106/12+IF(F96&gt;0,Hipótesis!$D$107*MAX(0,F56),0)</f>
        <v>333.333333333333</v>
      </c>
      <c r="G98" s="109" t="n">
        <f aca="false">G96*Hipótesis!$D$106/12+IF(G96&gt;0,Hipótesis!$D$107*MAX(0,G56),0)</f>
        <v>333.333333333333</v>
      </c>
      <c r="H98" s="109" t="n">
        <f aca="false">H96*Hipótesis!$D$106/12+IF(H96&gt;0,Hipótesis!$D$107*MAX(0,H56),0)</f>
        <v>333.333333333333</v>
      </c>
      <c r="I98" s="109" t="n">
        <f aca="false">I96*Hipótesis!$D$106/12+IF(I96&gt;0,Hipótesis!$D$107*MAX(0,I56),0)</f>
        <v>333.333333333333</v>
      </c>
      <c r="J98" s="109" t="n">
        <f aca="false">J96*Hipótesis!$D$106/12+IF(J96&gt;0,Hipótesis!$D$107*MAX(0,J56),0)</f>
        <v>388.895845168973</v>
      </c>
      <c r="K98" s="109" t="n">
        <f aca="false">K96*Hipótesis!$D$106/12+IF(K96&gt;0,Hipótesis!$D$107*MAX(0,K56),0)</f>
        <v>468.56209954677</v>
      </c>
      <c r="L98" s="109" t="n">
        <f aca="false">L96*Hipótesis!$D$106/12+IF(L96&gt;0,Hipótesis!$D$107*MAX(0,L56),0)</f>
        <v>548.228353924567</v>
      </c>
      <c r="M98" s="109" t="n">
        <f aca="false">M96*Hipótesis!$D$106/12+IF(M96&gt;0,Hipótesis!$D$107*MAX(0,M56),0)</f>
        <v>603.079287226977</v>
      </c>
      <c r="N98" s="109" t="n">
        <f aca="false">N96*Hipótesis!$D$106/12+IF(N96&gt;0,Hipótesis!$D$107*MAX(0,N56),0)</f>
        <v>676.94848639035</v>
      </c>
      <c r="O98" s="109" t="n">
        <f aca="false">O96*Hipótesis!$D$106/12+IF(O96&gt;0,Hipótesis!$D$107*MAX(0,O56),0)</f>
        <v>646.273685553724</v>
      </c>
      <c r="P98" s="109" t="n">
        <f aca="false">P96*Hipótesis!$D$106/12+IF(P96&gt;0,Hipótesis!$D$107*MAX(0,P56),0)</f>
        <v>712.95082046957</v>
      </c>
      <c r="Q98" s="109" t="n">
        <f aca="false">Q96*Hipótesis!$D$106/12+IF(Q96&gt;0,Hipótesis!$D$107*MAX(0,Q56),0)</f>
        <v>779.627955385417</v>
      </c>
      <c r="R98" s="109" t="n">
        <f aca="false">R96*Hipótesis!$D$106/12+IF(R96&gt;0,Hipótesis!$D$107*MAX(0,R56),0)</f>
        <v>846.305090301263</v>
      </c>
      <c r="S98" s="109" t="n">
        <f aca="false">S96*Hipótesis!$D$106/12+IF(S96&gt;0,Hipótesis!$D$107*MAX(0,S56),0)</f>
        <v>912.98222521711</v>
      </c>
      <c r="T98" s="109" t="n">
        <f aca="false">T96*Hipótesis!$D$106/12+IF(T96&gt;0,Hipótesis!$D$107*MAX(0,T56),0)</f>
        <v>979.659360132956</v>
      </c>
      <c r="U98" s="109" t="n">
        <f aca="false">U96*Hipótesis!$D$106/12+IF(U96&gt;0,Hipótesis!$D$107*MAX(0,U56),0)</f>
        <v>1046.3364950488</v>
      </c>
      <c r="V98" s="109" t="n">
        <f aca="false">V96*Hipótesis!$D$106/12+IF(V96&gt;0,Hipótesis!$D$107*MAX(0,V56),0)</f>
        <v>1012.40322996465</v>
      </c>
      <c r="W98" s="109" t="n">
        <f aca="false">W96*Hipótesis!$D$106/12+IF(W96&gt;0,Hipótesis!$D$107*MAX(0,W56),0)</f>
        <v>1079.0803648805</v>
      </c>
      <c r="X98" s="109" t="n">
        <f aca="false">X96*Hipótesis!$D$106/12+IF(X96&gt;0,Hipótesis!$D$107*MAX(0,X56),0)</f>
        <v>1126.73923393538</v>
      </c>
      <c r="Y98" s="109" t="n">
        <f aca="false">Y96*Hipótesis!$D$106/12+IF(Y96&gt;0,Hipótesis!$D$107*MAX(0,Y56),0)</f>
        <v>1174.39810299026</v>
      </c>
      <c r="Z98" s="109" t="n">
        <f aca="false">Z96*Hipótesis!$D$106/12+IF(Z96&gt;0,Hipótesis!$D$107*MAX(0,Z56),0)</f>
        <v>1215.08389570076</v>
      </c>
      <c r="AA98" s="109" t="n">
        <f aca="false">AA96*Hipótesis!$D$106/12+IF(AA96&gt;0,Hipótesis!$D$107*MAX(0,AA56),0)</f>
        <v>1211.51985641126</v>
      </c>
      <c r="AB98" s="109" t="n">
        <f aca="false">AB96*Hipótesis!$D$106/12+IF(AB96&gt;0,Hipótesis!$D$107*MAX(0,AB56),0)</f>
        <v>1246.6500935662</v>
      </c>
      <c r="AC98" s="109" t="n">
        <f aca="false">AC96*Hipótesis!$D$106/12+IF(AC96&gt;0,Hipótesis!$D$107*MAX(0,AC56),0)</f>
        <v>1281.78033072114</v>
      </c>
      <c r="AD98" s="109" t="n">
        <f aca="false">AD96*Hipótesis!$D$106/12+IF(AD96&gt;0,Hipótesis!$D$107*MAX(0,AD56),0)</f>
        <v>1316.91056787609</v>
      </c>
      <c r="AE98" s="109" t="n">
        <f aca="false">AE96*Hipótesis!$D$106/12+IF(AE96&gt;0,Hipótesis!$D$107*MAX(0,AE56),0)</f>
        <v>1352.04080503103</v>
      </c>
      <c r="AF98" s="109" t="n">
        <f aca="false">AF96*Hipótesis!$D$106/12+IF(AF96&gt;0,Hipótesis!$D$107*MAX(0,AF56),0)</f>
        <v>1387.17104218597</v>
      </c>
      <c r="AG98" s="109" t="n">
        <f aca="false">AG96*Hipótesis!$D$106/12+IF(AG96&gt;0,Hipótesis!$D$107*MAX(0,AG56),0)</f>
        <v>1422.30127934091</v>
      </c>
      <c r="AH98" s="109" t="n">
        <f aca="false">AH96*Hipótesis!$D$106/12+IF(AH96&gt;0,Hipótesis!$D$107*MAX(0,AH56),0)</f>
        <v>1457.43151649585</v>
      </c>
      <c r="AI98" s="109" t="n">
        <f aca="false">AI96*Hipótesis!$D$106/12+IF(AI96&gt;0,Hipótesis!$D$107*MAX(0,AI56),0)</f>
        <v>1444.9485616508</v>
      </c>
      <c r="AJ98" s="109" t="n">
        <f aca="false">AJ96*Hipótesis!$D$106/12+IF(AJ96&gt;0,Hipótesis!$D$107*MAX(0,AJ56),0)</f>
        <v>1480.07879880574</v>
      </c>
      <c r="AK98" s="109" t="n">
        <f aca="false">AK96*Hipótesis!$D$106/12+IF(AK96&gt;0,Hipótesis!$D$107*MAX(0,AK56),0)</f>
        <v>1515.20903596068</v>
      </c>
      <c r="AL98" s="109" t="n">
        <f aca="false">AL96*Hipótesis!$D$106/12+IF(AL96&gt;0,Hipótesis!$D$107*MAX(0,AL56),0)</f>
        <v>1550.33927311562</v>
      </c>
      <c r="AM98" s="109" t="n">
        <f aca="false">AM96*Hipótesis!$D$106/12+IF(AM96&gt;0,Hipótesis!$D$107*MAX(0,AM56),0)</f>
        <v>1539.65178755057</v>
      </c>
      <c r="AN98" s="109" t="n">
        <f aca="false">AN96*Hipótesis!$D$106/12+IF(AN96&gt;0,Hipótesis!$D$107*MAX(0,AN56),0)</f>
        <v>1574.78202470551</v>
      </c>
      <c r="AO98" s="109" t="n">
        <f aca="false">AO96*Hipótesis!$D$106/12+IF(AO96&gt;0,Hipótesis!$D$107*MAX(0,AO56),0)</f>
        <v>1609.91226186045</v>
      </c>
      <c r="AP98" s="109" t="n">
        <f aca="false">AP96*Hipótesis!$D$106/12+IF(AP96&gt;0,Hipótesis!$D$107*MAX(0,AP56),0)</f>
        <v>1645.04249901539</v>
      </c>
      <c r="AQ98" s="109" t="n">
        <f aca="false">AQ96*Hipótesis!$D$106/12+IF(AQ96&gt;0,Hipótesis!$D$107*MAX(0,AQ56),0)</f>
        <v>1680.17273617034</v>
      </c>
      <c r="AR98" s="109" t="n">
        <f aca="false">AR96*Hipótesis!$D$106/12+IF(AR96&gt;0,Hipótesis!$D$107*MAX(0,AR56),0)</f>
        <v>1715.30297332528</v>
      </c>
      <c r="AS98" s="109" t="n">
        <f aca="false">AS96*Hipótesis!$D$106/12+IF(AS96&gt;0,Hipótesis!$D$107*MAX(0,AS56),0)</f>
        <v>1709.74741776972</v>
      </c>
      <c r="AT98" s="109" t="n">
        <f aca="false">AT96*Hipótesis!$D$106/12+IF(AT96&gt;0,Hipótesis!$D$107*MAX(0,AT56),0)</f>
        <v>1704.19186221417</v>
      </c>
      <c r="AU98" s="109" t="n">
        <f aca="false">AU96*Hipótesis!$D$106/12+IF(AU96&gt;0,Hipótesis!$D$107*MAX(0,AU56),0)</f>
        <v>1698.63630665861</v>
      </c>
      <c r="AV98" s="109" t="n">
        <f aca="false">AV96*Hipótesis!$D$106/12+IF(AV96&gt;0,Hipótesis!$D$107*MAX(0,AV56),0)</f>
        <v>1693.08075110306</v>
      </c>
      <c r="AW98" s="109" t="n">
        <f aca="false">AW96*Hipótesis!$D$106/12+IF(AW96&gt;0,Hipótesis!$D$107*MAX(0,AW56),0)</f>
        <v>1687.5251955475</v>
      </c>
      <c r="AX98" s="109" t="n">
        <f aca="false">AX96*Hipótesis!$D$106/12+IF(AX96&gt;0,Hipótesis!$D$107*MAX(0,AX56),0)</f>
        <v>1681.96963999195</v>
      </c>
      <c r="AY98" s="109" t="n">
        <f aca="false">AY96*Hipótesis!$D$106/12+IF(AY96&gt;0,Hipótesis!$D$107*MAX(0,AY56),0)</f>
        <v>1630.40983003479</v>
      </c>
      <c r="AZ98" s="109" t="n">
        <f aca="false">AZ96*Hipótesis!$D$106/12+IF(AZ96&gt;0,Hipótesis!$D$107*MAX(0,AZ56),0)</f>
        <v>1624.85427447923</v>
      </c>
      <c r="BA98" s="109" t="n">
        <f aca="false">BA96*Hipótesis!$D$106/12+IF(BA96&gt;0,Hipótesis!$D$107*MAX(0,BA56),0)</f>
        <v>1619.29871892368</v>
      </c>
      <c r="BB98" s="109" t="n">
        <f aca="false">BB96*Hipótesis!$D$106/12+IF(BB96&gt;0,Hipótesis!$D$107*MAX(0,BB56),0)</f>
        <v>1613.74316336812</v>
      </c>
      <c r="BC98" s="109" t="n">
        <f aca="false">BC96*Hipótesis!$D$106/12+IF(BC96&gt;0,Hipótesis!$D$107*MAX(0,BC56),0)</f>
        <v>1608.18760781257</v>
      </c>
      <c r="BD98" s="109" t="n">
        <f aca="false">BD96*Hipótesis!$D$106/12+IF(BD96&gt;0,Hipótesis!$D$107*MAX(0,BD56),0)</f>
        <v>1602.63205225701</v>
      </c>
      <c r="BE98" s="109" t="n">
        <f aca="false">BE96*Hipótesis!$D$106/12+IF(BE96&gt;0,Hipótesis!$D$107*MAX(0,BE56),0)</f>
        <v>1597.07649670146</v>
      </c>
      <c r="BF98" s="109" t="n">
        <f aca="false">BF96*Hipótesis!$D$106/12+IF(BF96&gt;0,Hipótesis!$D$107*MAX(0,BF56),0)</f>
        <v>1591.5209411459</v>
      </c>
      <c r="BG98" s="109" t="n">
        <f aca="false">BG96*Hipótesis!$D$106/12+IF(BG96&gt;0,Hipótesis!$D$107*MAX(0,BG56),0)</f>
        <v>1585.96538559035</v>
      </c>
      <c r="BH98" s="109" t="n">
        <f aca="false">BH96*Hipótesis!$D$106/12+IF(BH96&gt;0,Hipótesis!$D$107*MAX(0,BH56),0)</f>
        <v>1580.40983003479</v>
      </c>
      <c r="BI98" s="109" t="n">
        <f aca="false">BI96*Hipótesis!$D$106/12+IF(BI96&gt;0,Hipótesis!$D$107*MAX(0,BI56),0)</f>
        <v>1574.85427447923</v>
      </c>
      <c r="BJ98" s="109" t="n">
        <f aca="false">BJ96*Hipótesis!$D$106/12+IF(BJ96&gt;0,Hipótesis!$D$107*MAX(0,BJ56),0)</f>
        <v>1569.29871892368</v>
      </c>
      <c r="BK98" s="109" t="n">
        <f aca="false">BK96*Hipótesis!$D$106/12+IF(BK96&gt;0,Hipótesis!$D$107*MAX(0,BK56),0)</f>
        <v>1517.54678133448</v>
      </c>
      <c r="BL98" s="109" t="n">
        <f aca="false">BL96*Hipótesis!$D$106/12+IF(BL96&gt;0,Hipótesis!$D$107*MAX(0,BL56),0)</f>
        <v>1511.99122577892</v>
      </c>
      <c r="BM98" s="109" t="n">
        <f aca="false">BM96*Hipótesis!$D$106/12+IF(BM96&gt;0,Hipótesis!$D$107*MAX(0,BM56),0)</f>
        <v>1506.43567022336</v>
      </c>
      <c r="BN98" s="109" t="n">
        <f aca="false">BN96*Hipótesis!$D$106/12+IF(BN96&gt;0,Hipótesis!$D$107*MAX(0,BN56),0)</f>
        <v>1500.88011466781</v>
      </c>
      <c r="BO98" s="109" t="n">
        <f aca="false">BO96*Hipótesis!$D$106/12+IF(BO96&gt;0,Hipótesis!$D$107*MAX(0,BO56),0)</f>
        <v>1495.32455911225</v>
      </c>
      <c r="BP98" s="109" t="n">
        <f aca="false">BP96*Hipótesis!$D$106/12+IF(BP96&gt;0,Hipótesis!$D$107*MAX(0,BP56),0)</f>
        <v>1489.7690035567</v>
      </c>
      <c r="BQ98" s="109" t="n">
        <f aca="false">BQ96*Hipótesis!$D$106/12+IF(BQ96&gt;0,Hipótesis!$D$107*MAX(0,BQ56),0)</f>
        <v>1484.21344800114</v>
      </c>
      <c r="BR98" s="109" t="n">
        <f aca="false">BR96*Hipótesis!$D$106/12+IF(BR96&gt;0,Hipótesis!$D$107*MAX(0,BR56),0)</f>
        <v>1478.65789244559</v>
      </c>
      <c r="BS98" s="109" t="n">
        <f aca="false">BS96*Hipótesis!$D$106/12+IF(BS96&gt;0,Hipótesis!$D$107*MAX(0,BS56),0)</f>
        <v>1473.10233689003</v>
      </c>
      <c r="BT98" s="109" t="n">
        <f aca="false">BT96*Hipótesis!$D$106/12+IF(BT96&gt;0,Hipótesis!$D$107*MAX(0,BT56),0)</f>
        <v>1467.54678133448</v>
      </c>
      <c r="BU98" s="109" t="n">
        <f aca="false">BU96*Hipótesis!$D$106/12+IF(BU96&gt;0,Hipótesis!$D$107*MAX(0,BU56),0)</f>
        <v>1461.99122577892</v>
      </c>
      <c r="BV98" s="109" t="n">
        <f aca="false">BV96*Hipótesis!$D$106/12+IF(BV96&gt;0,Hipótesis!$D$107*MAX(0,BV56),0)</f>
        <v>1456.43567022336</v>
      </c>
      <c r="BW98" s="109" t="n">
        <f aca="false">BW96*Hipótesis!$D$106/12+IF(BW96&gt;0,Hipótesis!$D$107*MAX(0,BW56),0)</f>
        <v>1404.48584117315</v>
      </c>
      <c r="BX98" s="109" t="n">
        <f aca="false">BX96*Hipótesis!$D$106/12+IF(BX96&gt;0,Hipótesis!$D$107*MAX(0,BX56),0)</f>
        <v>1398.9302856176</v>
      </c>
      <c r="BY98" s="109" t="n">
        <f aca="false">BY96*Hipótesis!$D$106/12+IF(BY96&gt;0,Hipótesis!$D$107*MAX(0,BY56),0)</f>
        <v>1393.37473006204</v>
      </c>
      <c r="BZ98" s="109" t="n">
        <f aca="false">BZ96*Hipótesis!$D$106/12+IF(BZ96&gt;0,Hipótesis!$D$107*MAX(0,BZ56),0)</f>
        <v>1387.81917450648</v>
      </c>
      <c r="CA98" s="109" t="n">
        <f aca="false">CA96*Hipótesis!$D$106/12+IF(CA96&gt;0,Hipótesis!$D$107*MAX(0,CA56),0)</f>
        <v>1382.26361895093</v>
      </c>
      <c r="CB98" s="109" t="n">
        <f aca="false">CB96*Hipótesis!$D$106/12+IF(CB96&gt;0,Hipótesis!$D$107*MAX(0,CB56),0)</f>
        <v>1376.70806339537</v>
      </c>
      <c r="CC98" s="109" t="n">
        <f aca="false">CC96*Hipótesis!$D$106/12+IF(CC96&gt;0,Hipótesis!$D$107*MAX(0,CC56),0)</f>
        <v>1371.15250783982</v>
      </c>
      <c r="CD98" s="109" t="n">
        <f aca="false">CD96*Hipótesis!$D$106/12+IF(CD96&gt;0,Hipótesis!$D$107*MAX(0,CD56),0)</f>
        <v>1365.59695228426</v>
      </c>
      <c r="CE98" s="109" t="n">
        <f aca="false">CE96*Hipótesis!$D$106/12+IF(CE96&gt;0,Hipótesis!$D$107*MAX(0,CE56),0)</f>
        <v>1360.04139672871</v>
      </c>
      <c r="CF98" s="109" t="n">
        <f aca="false">CF96*Hipótesis!$D$106/12+IF(CF96&gt;0,Hipótesis!$D$107*MAX(0,CF56),0)</f>
        <v>1354.48584117315</v>
      </c>
      <c r="CG98" s="109" t="n">
        <f aca="false">CG96*Hipótesis!$D$106/12+IF(CG96&gt;0,Hipótesis!$D$107*MAX(0,CG56),0)</f>
        <v>1348.9302856176</v>
      </c>
      <c r="CH98" s="109" t="n">
        <f aca="false">CH96*Hipótesis!$D$106/12+IF(CH96&gt;0,Hipótesis!$D$107*MAX(0,CH56),0)</f>
        <v>1343.37473006204</v>
      </c>
    </row>
    <row r="99" customFormat="false" ht="13.5" hidden="false" customHeight="true" outlineLevel="0" collapsed="false">
      <c r="A99" s="6" t="s">
        <v>599</v>
      </c>
      <c r="C99" s="109" t="n">
        <f aca="false">C97+C98</f>
        <v>333.333333333333</v>
      </c>
      <c r="D99" s="109" t="n">
        <f aca="false">D97+D98</f>
        <v>333.333333333333</v>
      </c>
      <c r="E99" s="109" t="n">
        <f aca="false">E97+E98</f>
        <v>333.333333333333</v>
      </c>
      <c r="F99" s="109" t="n">
        <f aca="false">F97+F98</f>
        <v>333.333333333333</v>
      </c>
      <c r="G99" s="109" t="n">
        <f aca="false">G97+G98</f>
        <v>333.333333333333</v>
      </c>
      <c r="H99" s="109" t="n">
        <f aca="false">H97+H98</f>
        <v>333.333333333333</v>
      </c>
      <c r="I99" s="109" t="n">
        <f aca="false">I97+I98</f>
        <v>333.333333333333</v>
      </c>
      <c r="J99" s="109" t="n">
        <f aca="false">J97+J98</f>
        <v>388.895845168973</v>
      </c>
      <c r="K99" s="109" t="n">
        <f aca="false">K97+K98</f>
        <v>468.56209954677</v>
      </c>
      <c r="L99" s="109" t="n">
        <f aca="false">L97+L98</f>
        <v>548.228353924567</v>
      </c>
      <c r="M99" s="109" t="n">
        <f aca="false">M97+M98</f>
        <v>603.079287226977</v>
      </c>
      <c r="N99" s="109" t="n">
        <f aca="false">N97+N98</f>
        <v>676.94848639035</v>
      </c>
      <c r="O99" s="109" t="n">
        <f aca="false">O97+O98</f>
        <v>646.273685553724</v>
      </c>
      <c r="P99" s="109" t="n">
        <f aca="false">P97+P98</f>
        <v>712.95082046957</v>
      </c>
      <c r="Q99" s="109" t="n">
        <f aca="false">Q97+Q98</f>
        <v>779.627955385417</v>
      </c>
      <c r="R99" s="109" t="n">
        <f aca="false">R97+R98</f>
        <v>846.305090301263</v>
      </c>
      <c r="S99" s="109" t="n">
        <f aca="false">S97+S98</f>
        <v>912.98222521711</v>
      </c>
      <c r="T99" s="109" t="n">
        <f aca="false">T97+T98</f>
        <v>979.659360132956</v>
      </c>
      <c r="U99" s="109" t="n">
        <f aca="false">U97+U98</f>
        <v>1046.3364950488</v>
      </c>
      <c r="V99" s="109" t="n">
        <f aca="false">V97+V98</f>
        <v>1012.40322996465</v>
      </c>
      <c r="W99" s="109" t="n">
        <f aca="false">W97+W98</f>
        <v>1079.0803648805</v>
      </c>
      <c r="X99" s="109" t="n">
        <f aca="false">X97+X98</f>
        <v>1126.73923393538</v>
      </c>
      <c r="Y99" s="109" t="n">
        <f aca="false">Y97+Y98</f>
        <v>1174.39810299026</v>
      </c>
      <c r="Z99" s="109" t="n">
        <f aca="false">Z97+Z98</f>
        <v>1215.08389570076</v>
      </c>
      <c r="AA99" s="109" t="n">
        <f aca="false">AA97+AA98</f>
        <v>2878.18652307793</v>
      </c>
      <c r="AB99" s="109" t="n">
        <f aca="false">AB97+AB98</f>
        <v>2913.31676023287</v>
      </c>
      <c r="AC99" s="109" t="n">
        <f aca="false">AC97+AC98</f>
        <v>2948.44699738781</v>
      </c>
      <c r="AD99" s="109" t="n">
        <f aca="false">AD97+AD98</f>
        <v>2983.57723454275</v>
      </c>
      <c r="AE99" s="109" t="n">
        <f aca="false">AE97+AE98</f>
        <v>3018.7074716977</v>
      </c>
      <c r="AF99" s="109" t="n">
        <f aca="false">AF97+AF98</f>
        <v>3053.83770885264</v>
      </c>
      <c r="AG99" s="109" t="n">
        <f aca="false">AG97+AG98</f>
        <v>3088.96794600758</v>
      </c>
      <c r="AH99" s="109" t="n">
        <f aca="false">AH97+AH98</f>
        <v>3124.09818316252</v>
      </c>
      <c r="AI99" s="109" t="n">
        <f aca="false">AI97+AI98</f>
        <v>3111.61522831746</v>
      </c>
      <c r="AJ99" s="109" t="n">
        <f aca="false">AJ97+AJ98</f>
        <v>3146.74546547241</v>
      </c>
      <c r="AK99" s="109" t="n">
        <f aca="false">AK97+AK98</f>
        <v>3181.87570262735</v>
      </c>
      <c r="AL99" s="109" t="n">
        <f aca="false">AL97+AL98</f>
        <v>3217.00593978229</v>
      </c>
      <c r="AM99" s="109" t="n">
        <f aca="false">AM97+AM98</f>
        <v>3206.31845421723</v>
      </c>
      <c r="AN99" s="109" t="n">
        <f aca="false">AN97+AN98</f>
        <v>3241.44869137218</v>
      </c>
      <c r="AO99" s="109" t="n">
        <f aca="false">AO97+AO98</f>
        <v>3276.57892852712</v>
      </c>
      <c r="AP99" s="109" t="n">
        <f aca="false">AP97+AP98</f>
        <v>3311.70916568206</v>
      </c>
      <c r="AQ99" s="109" t="n">
        <f aca="false">AQ97+AQ98</f>
        <v>3346.839402837</v>
      </c>
      <c r="AR99" s="109" t="n">
        <f aca="false">AR97+AR98</f>
        <v>3381.96963999195</v>
      </c>
      <c r="AS99" s="109" t="n">
        <f aca="false">AS97+AS98</f>
        <v>3376.41408443639</v>
      </c>
      <c r="AT99" s="109" t="n">
        <f aca="false">AT97+AT98</f>
        <v>3370.85852888083</v>
      </c>
      <c r="AU99" s="109" t="n">
        <f aca="false">AU97+AU98</f>
        <v>3365.30297332528</v>
      </c>
      <c r="AV99" s="109" t="n">
        <f aca="false">AV97+AV98</f>
        <v>3359.74741776972</v>
      </c>
      <c r="AW99" s="109" t="n">
        <f aca="false">AW97+AW98</f>
        <v>3354.19186221417</v>
      </c>
      <c r="AX99" s="109" t="n">
        <f aca="false">AX97+AX98</f>
        <v>3348.63630665861</v>
      </c>
      <c r="AY99" s="109" t="n">
        <f aca="false">AY97+AY98</f>
        <v>3297.07649670146</v>
      </c>
      <c r="AZ99" s="109" t="n">
        <f aca="false">AZ97+AZ98</f>
        <v>3291.5209411459</v>
      </c>
      <c r="BA99" s="109" t="n">
        <f aca="false">BA97+BA98</f>
        <v>3285.96538559035</v>
      </c>
      <c r="BB99" s="109" t="n">
        <f aca="false">BB97+BB98</f>
        <v>3280.40983003479</v>
      </c>
      <c r="BC99" s="109" t="n">
        <f aca="false">BC97+BC98</f>
        <v>3274.85427447924</v>
      </c>
      <c r="BD99" s="109" t="n">
        <f aca="false">BD97+BD98</f>
        <v>3269.29871892368</v>
      </c>
      <c r="BE99" s="109" t="n">
        <f aca="false">BE97+BE98</f>
        <v>3263.74316336812</v>
      </c>
      <c r="BF99" s="109" t="n">
        <f aca="false">BF97+BF98</f>
        <v>3258.18760781257</v>
      </c>
      <c r="BG99" s="109" t="n">
        <f aca="false">BG97+BG98</f>
        <v>3252.63205225701</v>
      </c>
      <c r="BH99" s="109" t="n">
        <f aca="false">BH97+BH98</f>
        <v>3247.07649670146</v>
      </c>
      <c r="BI99" s="109" t="n">
        <f aca="false">BI97+BI98</f>
        <v>3241.5209411459</v>
      </c>
      <c r="BJ99" s="109" t="n">
        <f aca="false">BJ97+BJ98</f>
        <v>3235.96538559035</v>
      </c>
      <c r="BK99" s="109" t="n">
        <f aca="false">BK97+BK98</f>
        <v>3184.21344800114</v>
      </c>
      <c r="BL99" s="109" t="n">
        <f aca="false">BL97+BL98</f>
        <v>3178.65789244559</v>
      </c>
      <c r="BM99" s="109" t="n">
        <f aca="false">BM97+BM98</f>
        <v>3173.10233689003</v>
      </c>
      <c r="BN99" s="109" t="n">
        <f aca="false">BN97+BN98</f>
        <v>3167.54678133448</v>
      </c>
      <c r="BO99" s="109" t="n">
        <f aca="false">BO97+BO98</f>
        <v>3161.99122577892</v>
      </c>
      <c r="BP99" s="109" t="n">
        <f aca="false">BP97+BP98</f>
        <v>3156.43567022336</v>
      </c>
      <c r="BQ99" s="109" t="n">
        <f aca="false">BQ97+BQ98</f>
        <v>3150.88011466781</v>
      </c>
      <c r="BR99" s="109" t="n">
        <f aca="false">BR97+BR98</f>
        <v>3145.32455911225</v>
      </c>
      <c r="BS99" s="109" t="n">
        <f aca="false">BS97+BS98</f>
        <v>3139.7690035567</v>
      </c>
      <c r="BT99" s="109" t="n">
        <f aca="false">BT97+BT98</f>
        <v>3134.21344800114</v>
      </c>
      <c r="BU99" s="109" t="n">
        <f aca="false">BU97+BU98</f>
        <v>3128.65789244559</v>
      </c>
      <c r="BV99" s="109" t="n">
        <f aca="false">BV97+BV98</f>
        <v>3123.10233689003</v>
      </c>
      <c r="BW99" s="109" t="n">
        <f aca="false">BW97+BW98</f>
        <v>3071.15250783982</v>
      </c>
      <c r="BX99" s="109" t="n">
        <f aca="false">BX97+BX98</f>
        <v>3065.59695228426</v>
      </c>
      <c r="BY99" s="109" t="n">
        <f aca="false">BY97+BY98</f>
        <v>3060.04139672871</v>
      </c>
      <c r="BZ99" s="109" t="n">
        <f aca="false">BZ97+BZ98</f>
        <v>3054.48584117315</v>
      </c>
      <c r="CA99" s="109" t="n">
        <f aca="false">CA97+CA98</f>
        <v>3048.9302856176</v>
      </c>
      <c r="CB99" s="109" t="n">
        <f aca="false">CB97+CB98</f>
        <v>3043.37473006204</v>
      </c>
      <c r="CC99" s="109" t="n">
        <f aca="false">CC97+CC98</f>
        <v>3037.81917450649</v>
      </c>
      <c r="CD99" s="109" t="n">
        <f aca="false">CD97+CD98</f>
        <v>3032.26361895093</v>
      </c>
      <c r="CE99" s="109" t="n">
        <f aca="false">CE97+CE98</f>
        <v>3026.70806339537</v>
      </c>
      <c r="CF99" s="109" t="n">
        <f aca="false">CF97+CF98</f>
        <v>3021.15250783982</v>
      </c>
      <c r="CG99" s="109" t="n">
        <f aca="false">CG97+CG98</f>
        <v>3015.59695228426</v>
      </c>
      <c r="CH99" s="109" t="n">
        <f aca="false">CH97+CH98</f>
        <v>3010.04139672865</v>
      </c>
    </row>
    <row r="100" customFormat="false" ht="13.5" hidden="false" customHeight="true" outlineLevel="0" collapsed="false"/>
    <row r="101" customFormat="false" ht="13.5" hidden="false" customHeight="true" outlineLevel="0" collapsed="false">
      <c r="A101" s="6" t="s">
        <v>600</v>
      </c>
      <c r="C101" s="109" t="n">
        <f aca="false">Hipótesis!$D$113*(1-Hipótesis!$D$117)</f>
        <v>0</v>
      </c>
      <c r="D101" s="109" t="n">
        <f aca="false">C101-C102</f>
        <v>0</v>
      </c>
      <c r="E101" s="109" t="n">
        <f aca="false">D101-D102</f>
        <v>0</v>
      </c>
      <c r="F101" s="109" t="n">
        <f aca="false">E101-E102</f>
        <v>0</v>
      </c>
      <c r="G101" s="109" t="n">
        <f aca="false">F101-F102</f>
        <v>0</v>
      </c>
      <c r="H101" s="109" t="n">
        <f aca="false">G101-G102</f>
        <v>0</v>
      </c>
      <c r="I101" s="109" t="n">
        <f aca="false">H101-H102</f>
        <v>0</v>
      </c>
      <c r="J101" s="109" t="n">
        <f aca="false">I101-I102</f>
        <v>0</v>
      </c>
      <c r="K101" s="109" t="n">
        <f aca="false">J101-J102</f>
        <v>0</v>
      </c>
      <c r="L101" s="109" t="n">
        <f aca="false">K101-K102</f>
        <v>0</v>
      </c>
      <c r="M101" s="109" t="n">
        <f aca="false">L101-L102</f>
        <v>0</v>
      </c>
      <c r="N101" s="109" t="n">
        <f aca="false">M101-M102</f>
        <v>0</v>
      </c>
      <c r="O101" s="109" t="n">
        <f aca="false">N101-N102</f>
        <v>0</v>
      </c>
      <c r="P101" s="109" t="n">
        <f aca="false">O101-O102</f>
        <v>0</v>
      </c>
      <c r="Q101" s="109" t="n">
        <f aca="false">P101-P102</f>
        <v>0</v>
      </c>
      <c r="R101" s="109" t="n">
        <f aca="false">Q101-Q102</f>
        <v>0</v>
      </c>
      <c r="S101" s="109" t="n">
        <f aca="false">R101-R102</f>
        <v>0</v>
      </c>
      <c r="T101" s="109" t="n">
        <f aca="false">S101-S102</f>
        <v>0</v>
      </c>
      <c r="U101" s="109" t="n">
        <f aca="false">T101-T102</f>
        <v>0</v>
      </c>
      <c r="V101" s="109" t="n">
        <f aca="false">U101-U102</f>
        <v>0</v>
      </c>
      <c r="W101" s="109" t="n">
        <f aca="false">V101-V102</f>
        <v>0</v>
      </c>
      <c r="X101" s="109" t="n">
        <f aca="false">W101-W102</f>
        <v>0</v>
      </c>
      <c r="Y101" s="109" t="n">
        <f aca="false">X101-X102</f>
        <v>0</v>
      </c>
      <c r="Z101" s="109" t="n">
        <f aca="false">Y101-Y102</f>
        <v>0</v>
      </c>
      <c r="AA101" s="109" t="n">
        <f aca="false">Z101-Z102</f>
        <v>0</v>
      </c>
      <c r="AB101" s="109" t="n">
        <f aca="false">AA101-AA102</f>
        <v>0</v>
      </c>
      <c r="AC101" s="109" t="n">
        <f aca="false">AB101-AB102</f>
        <v>0</v>
      </c>
      <c r="AD101" s="109" t="n">
        <f aca="false">AC101-AC102</f>
        <v>0</v>
      </c>
      <c r="AE101" s="109" t="n">
        <f aca="false">AD101-AD102</f>
        <v>0</v>
      </c>
      <c r="AF101" s="109" t="n">
        <f aca="false">AE101-AE102</f>
        <v>0</v>
      </c>
      <c r="AG101" s="109" t="n">
        <f aca="false">AF101-AF102</f>
        <v>0</v>
      </c>
      <c r="AH101" s="109" t="n">
        <f aca="false">AG101-AG102</f>
        <v>0</v>
      </c>
      <c r="AI101" s="109" t="n">
        <f aca="false">AH101-AH102</f>
        <v>0</v>
      </c>
      <c r="AJ101" s="109" t="n">
        <f aca="false">AI101-AI102</f>
        <v>0</v>
      </c>
      <c r="AK101" s="109" t="n">
        <f aca="false">AJ101-AJ102</f>
        <v>0</v>
      </c>
      <c r="AL101" s="109" t="n">
        <f aca="false">AK101-AK102</f>
        <v>0</v>
      </c>
      <c r="AM101" s="109" t="n">
        <f aca="false">AL101-AL102</f>
        <v>0</v>
      </c>
      <c r="AN101" s="109" t="n">
        <f aca="false">AM101-AM102</f>
        <v>0</v>
      </c>
      <c r="AO101" s="109" t="n">
        <f aca="false">AN101-AN102</f>
        <v>0</v>
      </c>
      <c r="AP101" s="109" t="n">
        <f aca="false">AO101-AO102</f>
        <v>0</v>
      </c>
      <c r="AQ101" s="109" t="n">
        <f aca="false">AP101-AP102</f>
        <v>0</v>
      </c>
      <c r="AR101" s="109" t="n">
        <f aca="false">AQ101-AQ102</f>
        <v>0</v>
      </c>
      <c r="AS101" s="109" t="n">
        <f aca="false">AR101-AR102</f>
        <v>0</v>
      </c>
      <c r="AT101" s="109" t="n">
        <f aca="false">AS101-AS102</f>
        <v>0</v>
      </c>
      <c r="AU101" s="109" t="n">
        <f aca="false">AT101-AT102</f>
        <v>0</v>
      </c>
      <c r="AV101" s="109" t="n">
        <f aca="false">AU101-AU102</f>
        <v>0</v>
      </c>
      <c r="AW101" s="109" t="n">
        <f aca="false">AV101-AV102</f>
        <v>0</v>
      </c>
      <c r="AX101" s="109" t="n">
        <f aca="false">AW101-AW102</f>
        <v>0</v>
      </c>
      <c r="AY101" s="109" t="n">
        <f aca="false">AX101-AX102</f>
        <v>0</v>
      </c>
      <c r="AZ101" s="109" t="n">
        <f aca="false">AY101-AY102</f>
        <v>0</v>
      </c>
      <c r="BA101" s="109" t="n">
        <f aca="false">AZ101-AZ102</f>
        <v>0</v>
      </c>
      <c r="BB101" s="109" t="n">
        <f aca="false">BA101-BA102</f>
        <v>0</v>
      </c>
      <c r="BC101" s="109" t="n">
        <f aca="false">BB101-BB102</f>
        <v>0</v>
      </c>
      <c r="BD101" s="109" t="n">
        <f aca="false">BC101-BC102</f>
        <v>0</v>
      </c>
      <c r="BE101" s="109" t="n">
        <f aca="false">BD101-BD102</f>
        <v>0</v>
      </c>
      <c r="BF101" s="109" t="n">
        <f aca="false">BE101-BE102</f>
        <v>0</v>
      </c>
      <c r="BG101" s="109" t="n">
        <f aca="false">BF101-BF102</f>
        <v>0</v>
      </c>
      <c r="BH101" s="109" t="n">
        <f aca="false">BG101-BG102</f>
        <v>0</v>
      </c>
      <c r="BI101" s="109" t="n">
        <f aca="false">BH101-BH102</f>
        <v>0</v>
      </c>
      <c r="BJ101" s="109" t="n">
        <f aca="false">BI101-BI102</f>
        <v>0</v>
      </c>
      <c r="BK101" s="109" t="n">
        <f aca="false">BJ101-BJ102</f>
        <v>0</v>
      </c>
      <c r="BL101" s="109" t="n">
        <f aca="false">BK101-BK102</f>
        <v>0</v>
      </c>
      <c r="BM101" s="109" t="n">
        <f aca="false">BL101-BL102</f>
        <v>0</v>
      </c>
      <c r="BN101" s="109" t="n">
        <f aca="false">BM101-BM102</f>
        <v>0</v>
      </c>
      <c r="BO101" s="109" t="n">
        <f aca="false">BN101-BN102</f>
        <v>0</v>
      </c>
      <c r="BP101" s="109" t="n">
        <f aca="false">BO101-BO102</f>
        <v>0</v>
      </c>
      <c r="BQ101" s="109" t="n">
        <f aca="false">BP101-BP102</f>
        <v>0</v>
      </c>
      <c r="BR101" s="109" t="n">
        <f aca="false">BQ101-BQ102</f>
        <v>0</v>
      </c>
      <c r="BS101" s="109" t="n">
        <f aca="false">BR101-BR102</f>
        <v>0</v>
      </c>
      <c r="BT101" s="109" t="n">
        <f aca="false">BS101-BS102</f>
        <v>0</v>
      </c>
      <c r="BU101" s="109" t="n">
        <f aca="false">BT101-BT102</f>
        <v>0</v>
      </c>
      <c r="BV101" s="109" t="n">
        <f aca="false">BU101-BU102</f>
        <v>0</v>
      </c>
      <c r="BW101" s="109" t="n">
        <f aca="false">BV101-BV102</f>
        <v>0</v>
      </c>
      <c r="BX101" s="109" t="n">
        <f aca="false">BW101-BW102</f>
        <v>0</v>
      </c>
      <c r="BY101" s="109" t="n">
        <f aca="false">BX101-BX102</f>
        <v>0</v>
      </c>
      <c r="BZ101" s="109" t="n">
        <f aca="false">BY101-BY102</f>
        <v>0</v>
      </c>
      <c r="CA101" s="109" t="n">
        <f aca="false">BZ101-BZ102</f>
        <v>0</v>
      </c>
      <c r="CB101" s="109" t="n">
        <f aca="false">CA101-CA102</f>
        <v>0</v>
      </c>
      <c r="CC101" s="109" t="n">
        <f aca="false">CB101-CB102</f>
        <v>0</v>
      </c>
      <c r="CD101" s="109" t="n">
        <f aca="false">CC101-CC102</f>
        <v>0</v>
      </c>
      <c r="CE101" s="109" t="n">
        <f aca="false">CD101-CD102</f>
        <v>0</v>
      </c>
      <c r="CF101" s="109" t="n">
        <f aca="false">CE101-CE102</f>
        <v>0</v>
      </c>
      <c r="CG101" s="109" t="n">
        <f aca="false">CF101-CF102</f>
        <v>0</v>
      </c>
      <c r="CH101" s="109" t="n">
        <f aca="false">CG101-CG102</f>
        <v>0</v>
      </c>
    </row>
    <row r="102" customFormat="false" ht="13.5" hidden="false" customHeight="true" outlineLevel="0" collapsed="false">
      <c r="A102" s="6" t="s">
        <v>601</v>
      </c>
      <c r="C102" s="109" t="n">
        <f aca="false">IF(1&lt;=Hipótesis!$D$116,0,IF(C101&gt;0,MIN(C101,Hipótesis!$D$113*(1-Hipótesis!$D$117)/MAX(Hipótesis!$D$115-Hipótesis!$D$116,1)),0))</f>
        <v>0</v>
      </c>
      <c r="D102" s="109" t="n">
        <f aca="false">IF(2&lt;=Hipótesis!$D$116,0,IF(D101&gt;0,MIN(D101,Hipótesis!$D$113*(1-Hipótesis!$D$117)/MAX(Hipótesis!$D$115-Hipótesis!$D$116,1)),0))</f>
        <v>0</v>
      </c>
      <c r="E102" s="109" t="n">
        <f aca="false">IF(3&lt;=Hipótesis!$D$116,0,IF(E101&gt;0,MIN(E101,Hipótesis!$D$113*(1-Hipótesis!$D$117)/MAX(Hipótesis!$D$115-Hipótesis!$D$116,1)),0))</f>
        <v>0</v>
      </c>
      <c r="F102" s="109" t="n">
        <f aca="false">IF(4&lt;=Hipótesis!$D$116,0,IF(F101&gt;0,MIN(F101,Hipótesis!$D$113*(1-Hipótesis!$D$117)/MAX(Hipótesis!$D$115-Hipótesis!$D$116,1)),0))</f>
        <v>0</v>
      </c>
      <c r="G102" s="109" t="n">
        <f aca="false">IF(5&lt;=Hipótesis!$D$116,0,IF(G101&gt;0,MIN(G101,Hipótesis!$D$113*(1-Hipótesis!$D$117)/MAX(Hipótesis!$D$115-Hipótesis!$D$116,1)),0))</f>
        <v>0</v>
      </c>
      <c r="H102" s="109" t="n">
        <f aca="false">IF(6&lt;=Hipótesis!$D$116,0,IF(H101&gt;0,MIN(H101,Hipótesis!$D$113*(1-Hipótesis!$D$117)/MAX(Hipótesis!$D$115-Hipótesis!$D$116,1)),0))</f>
        <v>0</v>
      </c>
      <c r="I102" s="109" t="n">
        <f aca="false">IF(7&lt;=Hipótesis!$D$116,0,IF(I101&gt;0,MIN(I101,Hipótesis!$D$113*(1-Hipótesis!$D$117)/MAX(Hipótesis!$D$115-Hipótesis!$D$116,1)),0))</f>
        <v>0</v>
      </c>
      <c r="J102" s="109" t="n">
        <f aca="false">IF(8&lt;=Hipótesis!$D$116,0,IF(J101&gt;0,MIN(J101,Hipótesis!$D$113*(1-Hipótesis!$D$117)/MAX(Hipótesis!$D$115-Hipótesis!$D$116,1)),0))</f>
        <v>0</v>
      </c>
      <c r="K102" s="109" t="n">
        <f aca="false">IF(9&lt;=Hipótesis!$D$116,0,IF(K101&gt;0,MIN(K101,Hipótesis!$D$113*(1-Hipótesis!$D$117)/MAX(Hipótesis!$D$115-Hipótesis!$D$116,1)),0))</f>
        <v>0</v>
      </c>
      <c r="L102" s="109" t="n">
        <f aca="false">IF(10&lt;=Hipótesis!$D$116,0,IF(L101&gt;0,MIN(L101,Hipótesis!$D$113*(1-Hipótesis!$D$117)/MAX(Hipótesis!$D$115-Hipótesis!$D$116,1)),0))</f>
        <v>0</v>
      </c>
      <c r="M102" s="109" t="n">
        <f aca="false">IF(11&lt;=Hipótesis!$D$116,0,IF(M101&gt;0,MIN(M101,Hipótesis!$D$113*(1-Hipótesis!$D$117)/MAX(Hipótesis!$D$115-Hipótesis!$D$116,1)),0))</f>
        <v>0</v>
      </c>
      <c r="N102" s="109" t="n">
        <f aca="false">IF(12&lt;=Hipótesis!$D$116,0,IF(N101&gt;0,MIN(N101,Hipótesis!$D$113*(1-Hipótesis!$D$117)/MAX(Hipótesis!$D$115-Hipótesis!$D$116,1)),0))</f>
        <v>0</v>
      </c>
      <c r="O102" s="109" t="n">
        <f aca="false">IF(13&lt;=Hipótesis!$D$116,0,IF(O101&gt;0,MIN(O101,Hipótesis!$D$113*(1-Hipótesis!$D$117)/MAX(Hipótesis!$D$115-Hipótesis!$D$116,1)),0))</f>
        <v>0</v>
      </c>
      <c r="P102" s="109" t="n">
        <f aca="false">IF(14&lt;=Hipótesis!$D$116,0,IF(P101&gt;0,MIN(P101,Hipótesis!$D$113*(1-Hipótesis!$D$117)/MAX(Hipótesis!$D$115-Hipótesis!$D$116,1)),0))</f>
        <v>0</v>
      </c>
      <c r="Q102" s="109" t="n">
        <f aca="false">IF(15&lt;=Hipótesis!$D$116,0,IF(Q101&gt;0,MIN(Q101,Hipótesis!$D$113*(1-Hipótesis!$D$117)/MAX(Hipótesis!$D$115-Hipótesis!$D$116,1)),0))</f>
        <v>0</v>
      </c>
      <c r="R102" s="109" t="n">
        <f aca="false">IF(16&lt;=Hipótesis!$D$116,0,IF(R101&gt;0,MIN(R101,Hipótesis!$D$113*(1-Hipótesis!$D$117)/MAX(Hipótesis!$D$115-Hipótesis!$D$116,1)),0))</f>
        <v>0</v>
      </c>
      <c r="S102" s="109" t="n">
        <f aca="false">IF(17&lt;=Hipótesis!$D$116,0,IF(S101&gt;0,MIN(S101,Hipótesis!$D$113*(1-Hipótesis!$D$117)/MAX(Hipótesis!$D$115-Hipótesis!$D$116,1)),0))</f>
        <v>0</v>
      </c>
      <c r="T102" s="109" t="n">
        <f aca="false">IF(18&lt;=Hipótesis!$D$116,0,IF(T101&gt;0,MIN(T101,Hipótesis!$D$113*(1-Hipótesis!$D$117)/MAX(Hipótesis!$D$115-Hipótesis!$D$116,1)),0))</f>
        <v>0</v>
      </c>
      <c r="U102" s="109" t="n">
        <f aca="false">IF(19&lt;=Hipótesis!$D$116,0,IF(U101&gt;0,MIN(U101,Hipótesis!$D$113*(1-Hipótesis!$D$117)/MAX(Hipótesis!$D$115-Hipótesis!$D$116,1)),0))</f>
        <v>0</v>
      </c>
      <c r="V102" s="109" t="n">
        <f aca="false">IF(20&lt;=Hipótesis!$D$116,0,IF(V101&gt;0,MIN(V101,Hipótesis!$D$113*(1-Hipótesis!$D$117)/MAX(Hipótesis!$D$115-Hipótesis!$D$116,1)),0))</f>
        <v>0</v>
      </c>
      <c r="W102" s="109" t="n">
        <f aca="false">IF(21&lt;=Hipótesis!$D$116,0,IF(W101&gt;0,MIN(W101,Hipótesis!$D$113*(1-Hipótesis!$D$117)/MAX(Hipótesis!$D$115-Hipótesis!$D$116,1)),0))</f>
        <v>0</v>
      </c>
      <c r="X102" s="109" t="n">
        <f aca="false">IF(22&lt;=Hipótesis!$D$116,0,IF(X101&gt;0,MIN(X101,Hipótesis!$D$113*(1-Hipótesis!$D$117)/MAX(Hipótesis!$D$115-Hipótesis!$D$116,1)),0))</f>
        <v>0</v>
      </c>
      <c r="Y102" s="109" t="n">
        <f aca="false">IF(23&lt;=Hipótesis!$D$116,0,IF(Y101&gt;0,MIN(Y101,Hipótesis!$D$113*(1-Hipótesis!$D$117)/MAX(Hipótesis!$D$115-Hipótesis!$D$116,1)),0))</f>
        <v>0</v>
      </c>
      <c r="Z102" s="109" t="n">
        <f aca="false">IF(24&lt;=Hipótesis!$D$116,0,IF(Z101&gt;0,MIN(Z101,Hipótesis!$D$113*(1-Hipótesis!$D$117)/MAX(Hipótesis!$D$115-Hipótesis!$D$116,1)),0))</f>
        <v>0</v>
      </c>
      <c r="AA102" s="109" t="n">
        <f aca="false">IF(25&lt;=Hipótesis!$D$116,0,IF(AA101&gt;0,MIN(AA101,Hipótesis!$D$113*(1-Hipótesis!$D$117)/MAX(Hipótesis!$D$115-Hipótesis!$D$116,1)),0))</f>
        <v>0</v>
      </c>
      <c r="AB102" s="109" t="n">
        <f aca="false">IF(26&lt;=Hipótesis!$D$116,0,IF(AB101&gt;0,MIN(AB101,Hipótesis!$D$113*(1-Hipótesis!$D$117)/MAX(Hipótesis!$D$115-Hipótesis!$D$116,1)),0))</f>
        <v>0</v>
      </c>
      <c r="AC102" s="109" t="n">
        <f aca="false">IF(27&lt;=Hipótesis!$D$116,0,IF(AC101&gt;0,MIN(AC101,Hipótesis!$D$113*(1-Hipótesis!$D$117)/MAX(Hipótesis!$D$115-Hipótesis!$D$116,1)),0))</f>
        <v>0</v>
      </c>
      <c r="AD102" s="109" t="n">
        <f aca="false">IF(28&lt;=Hipótesis!$D$116,0,IF(AD101&gt;0,MIN(AD101,Hipótesis!$D$113*(1-Hipótesis!$D$117)/MAX(Hipótesis!$D$115-Hipótesis!$D$116,1)),0))</f>
        <v>0</v>
      </c>
      <c r="AE102" s="109" t="n">
        <f aca="false">IF(29&lt;=Hipótesis!$D$116,0,IF(AE101&gt;0,MIN(AE101,Hipótesis!$D$113*(1-Hipótesis!$D$117)/MAX(Hipótesis!$D$115-Hipótesis!$D$116,1)),0))</f>
        <v>0</v>
      </c>
      <c r="AF102" s="109" t="n">
        <f aca="false">IF(30&lt;=Hipótesis!$D$116,0,IF(AF101&gt;0,MIN(AF101,Hipótesis!$D$113*(1-Hipótesis!$D$117)/MAX(Hipótesis!$D$115-Hipótesis!$D$116,1)),0))</f>
        <v>0</v>
      </c>
      <c r="AG102" s="109" t="n">
        <f aca="false">IF(31&lt;=Hipótesis!$D$116,0,IF(AG101&gt;0,MIN(AG101,Hipótesis!$D$113*(1-Hipótesis!$D$117)/MAX(Hipótesis!$D$115-Hipótesis!$D$116,1)),0))</f>
        <v>0</v>
      </c>
      <c r="AH102" s="109" t="n">
        <f aca="false">IF(32&lt;=Hipótesis!$D$116,0,IF(AH101&gt;0,MIN(AH101,Hipótesis!$D$113*(1-Hipótesis!$D$117)/MAX(Hipótesis!$D$115-Hipótesis!$D$116,1)),0))</f>
        <v>0</v>
      </c>
      <c r="AI102" s="109" t="n">
        <f aca="false">IF(33&lt;=Hipótesis!$D$116,0,IF(AI101&gt;0,MIN(AI101,Hipótesis!$D$113*(1-Hipótesis!$D$117)/MAX(Hipótesis!$D$115-Hipótesis!$D$116,1)),0))</f>
        <v>0</v>
      </c>
      <c r="AJ102" s="109" t="n">
        <f aca="false">IF(34&lt;=Hipótesis!$D$116,0,IF(AJ101&gt;0,MIN(AJ101,Hipótesis!$D$113*(1-Hipótesis!$D$117)/MAX(Hipótesis!$D$115-Hipótesis!$D$116,1)),0))</f>
        <v>0</v>
      </c>
      <c r="AK102" s="109" t="n">
        <f aca="false">IF(35&lt;=Hipótesis!$D$116,0,IF(AK101&gt;0,MIN(AK101,Hipótesis!$D$113*(1-Hipótesis!$D$117)/MAX(Hipótesis!$D$115-Hipótesis!$D$116,1)),0))</f>
        <v>0</v>
      </c>
      <c r="AL102" s="109" t="n">
        <f aca="false">IF(36&lt;=Hipótesis!$D$116,0,IF(AL101&gt;0,MIN(AL101,Hipótesis!$D$113*(1-Hipótesis!$D$117)/MAX(Hipótesis!$D$115-Hipótesis!$D$116,1)),0))</f>
        <v>0</v>
      </c>
      <c r="AM102" s="109" t="n">
        <f aca="false">IF(37&lt;=Hipótesis!$D$116,0,IF(AM101&gt;0,MIN(AM101,Hipótesis!$D$113*(1-Hipótesis!$D$117)/MAX(Hipótesis!$D$115-Hipótesis!$D$116,1)),0))</f>
        <v>0</v>
      </c>
      <c r="AN102" s="109" t="n">
        <f aca="false">IF(38&lt;=Hipótesis!$D$116,0,IF(AN101&gt;0,MIN(AN101,Hipótesis!$D$113*(1-Hipótesis!$D$117)/MAX(Hipótesis!$D$115-Hipótesis!$D$116,1)),0))</f>
        <v>0</v>
      </c>
      <c r="AO102" s="109" t="n">
        <f aca="false">IF(39&lt;=Hipótesis!$D$116,0,IF(AO101&gt;0,MIN(AO101,Hipótesis!$D$113*(1-Hipótesis!$D$117)/MAX(Hipótesis!$D$115-Hipótesis!$D$116,1)),0))</f>
        <v>0</v>
      </c>
      <c r="AP102" s="109" t="n">
        <f aca="false">IF(40&lt;=Hipótesis!$D$116,0,IF(AP101&gt;0,MIN(AP101,Hipótesis!$D$113*(1-Hipótesis!$D$117)/MAX(Hipótesis!$D$115-Hipótesis!$D$116,1)),0))</f>
        <v>0</v>
      </c>
      <c r="AQ102" s="109" t="n">
        <f aca="false">IF(41&lt;=Hipótesis!$D$116,0,IF(AQ101&gt;0,MIN(AQ101,Hipótesis!$D$113*(1-Hipótesis!$D$117)/MAX(Hipótesis!$D$115-Hipótesis!$D$116,1)),0))</f>
        <v>0</v>
      </c>
      <c r="AR102" s="109" t="n">
        <f aca="false">IF(42&lt;=Hipótesis!$D$116,0,IF(AR101&gt;0,MIN(AR101,Hipótesis!$D$113*(1-Hipótesis!$D$117)/MAX(Hipótesis!$D$115-Hipótesis!$D$116,1)),0))</f>
        <v>0</v>
      </c>
      <c r="AS102" s="109" t="n">
        <f aca="false">IF(43&lt;=Hipótesis!$D$116,0,IF(AS101&gt;0,MIN(AS101,Hipótesis!$D$113*(1-Hipótesis!$D$117)/MAX(Hipótesis!$D$115-Hipótesis!$D$116,1)),0))</f>
        <v>0</v>
      </c>
      <c r="AT102" s="109" t="n">
        <f aca="false">IF(44&lt;=Hipótesis!$D$116,0,IF(AT101&gt;0,MIN(AT101,Hipótesis!$D$113*(1-Hipótesis!$D$117)/MAX(Hipótesis!$D$115-Hipótesis!$D$116,1)),0))</f>
        <v>0</v>
      </c>
      <c r="AU102" s="109" t="n">
        <f aca="false">IF(45&lt;=Hipótesis!$D$116,0,IF(AU101&gt;0,MIN(AU101,Hipótesis!$D$113*(1-Hipótesis!$D$117)/MAX(Hipótesis!$D$115-Hipótesis!$D$116,1)),0))</f>
        <v>0</v>
      </c>
      <c r="AV102" s="109" t="n">
        <f aca="false">IF(46&lt;=Hipótesis!$D$116,0,IF(AV101&gt;0,MIN(AV101,Hipótesis!$D$113*(1-Hipótesis!$D$117)/MAX(Hipótesis!$D$115-Hipótesis!$D$116,1)),0))</f>
        <v>0</v>
      </c>
      <c r="AW102" s="109" t="n">
        <f aca="false">IF(47&lt;=Hipótesis!$D$116,0,IF(AW101&gt;0,MIN(AW101,Hipótesis!$D$113*(1-Hipótesis!$D$117)/MAX(Hipótesis!$D$115-Hipótesis!$D$116,1)),0))</f>
        <v>0</v>
      </c>
      <c r="AX102" s="109" t="n">
        <f aca="false">IF(48&lt;=Hipótesis!$D$116,0,IF(AX101&gt;0,MIN(AX101,Hipótesis!$D$113*(1-Hipótesis!$D$117)/MAX(Hipótesis!$D$115-Hipótesis!$D$116,1)),0))</f>
        <v>0</v>
      </c>
      <c r="AY102" s="109" t="n">
        <f aca="false">IF(49&lt;=Hipótesis!$D$116,0,IF(AY101&gt;0,MIN(AY101,Hipótesis!$D$113*(1-Hipótesis!$D$117)/MAX(Hipótesis!$D$115-Hipótesis!$D$116,1)),0))</f>
        <v>0</v>
      </c>
      <c r="AZ102" s="109" t="n">
        <f aca="false">IF(50&lt;=Hipótesis!$D$116,0,IF(AZ101&gt;0,MIN(AZ101,Hipótesis!$D$113*(1-Hipótesis!$D$117)/MAX(Hipótesis!$D$115-Hipótesis!$D$116,1)),0))</f>
        <v>0</v>
      </c>
      <c r="BA102" s="109" t="n">
        <f aca="false">IF(51&lt;=Hipótesis!$D$116,0,IF(BA101&gt;0,MIN(BA101,Hipótesis!$D$113*(1-Hipótesis!$D$117)/MAX(Hipótesis!$D$115-Hipótesis!$D$116,1)),0))</f>
        <v>0</v>
      </c>
      <c r="BB102" s="109" t="n">
        <f aca="false">IF(52&lt;=Hipótesis!$D$116,0,IF(BB101&gt;0,MIN(BB101,Hipótesis!$D$113*(1-Hipótesis!$D$117)/MAX(Hipótesis!$D$115-Hipótesis!$D$116,1)),0))</f>
        <v>0</v>
      </c>
      <c r="BC102" s="109" t="n">
        <f aca="false">IF(53&lt;=Hipótesis!$D$116,0,IF(BC101&gt;0,MIN(BC101,Hipótesis!$D$113*(1-Hipótesis!$D$117)/MAX(Hipótesis!$D$115-Hipótesis!$D$116,1)),0))</f>
        <v>0</v>
      </c>
      <c r="BD102" s="109" t="n">
        <f aca="false">IF(54&lt;=Hipótesis!$D$116,0,IF(BD101&gt;0,MIN(BD101,Hipótesis!$D$113*(1-Hipótesis!$D$117)/MAX(Hipótesis!$D$115-Hipótesis!$D$116,1)),0))</f>
        <v>0</v>
      </c>
      <c r="BE102" s="109" t="n">
        <f aca="false">IF(55&lt;=Hipótesis!$D$116,0,IF(BE101&gt;0,MIN(BE101,Hipótesis!$D$113*(1-Hipótesis!$D$117)/MAX(Hipótesis!$D$115-Hipótesis!$D$116,1)),0))</f>
        <v>0</v>
      </c>
      <c r="BF102" s="109" t="n">
        <f aca="false">IF(56&lt;=Hipótesis!$D$116,0,IF(BF101&gt;0,MIN(BF101,Hipótesis!$D$113*(1-Hipótesis!$D$117)/MAX(Hipótesis!$D$115-Hipótesis!$D$116,1)),0))</f>
        <v>0</v>
      </c>
      <c r="BG102" s="109" t="n">
        <f aca="false">IF(57&lt;=Hipótesis!$D$116,0,IF(BG101&gt;0,MIN(BG101,Hipótesis!$D$113*(1-Hipótesis!$D$117)/MAX(Hipótesis!$D$115-Hipótesis!$D$116,1)),0))</f>
        <v>0</v>
      </c>
      <c r="BH102" s="109" t="n">
        <f aca="false">IF(58&lt;=Hipótesis!$D$116,0,IF(BH101&gt;0,MIN(BH101,Hipótesis!$D$113*(1-Hipótesis!$D$117)/MAX(Hipótesis!$D$115-Hipótesis!$D$116,1)),0))</f>
        <v>0</v>
      </c>
      <c r="BI102" s="109" t="n">
        <f aca="false">IF(59&lt;=Hipótesis!$D$116,0,IF(BI101&gt;0,MIN(BI101,Hipótesis!$D$113*(1-Hipótesis!$D$117)/MAX(Hipótesis!$D$115-Hipótesis!$D$116,1)),0))</f>
        <v>0</v>
      </c>
      <c r="BJ102" s="109" t="n">
        <f aca="false">IF(60&lt;=Hipótesis!$D$116,0,IF(BJ101&gt;0,MIN(BJ101,Hipótesis!$D$113*(1-Hipótesis!$D$117)/MAX(Hipótesis!$D$115-Hipótesis!$D$116,1)),0))</f>
        <v>0</v>
      </c>
      <c r="BK102" s="109" t="n">
        <f aca="false">IF(61&lt;=Hipótesis!$D$116,0,IF(BK101&gt;0,MIN(BK101,Hipótesis!$D$113*(1-Hipótesis!$D$117)/MAX(Hipótesis!$D$115-Hipótesis!$D$116,1)),0))</f>
        <v>0</v>
      </c>
      <c r="BL102" s="109" t="n">
        <f aca="false">IF(62&lt;=Hipótesis!$D$116,0,IF(BL101&gt;0,MIN(BL101,Hipótesis!$D$113*(1-Hipótesis!$D$117)/MAX(Hipótesis!$D$115-Hipótesis!$D$116,1)),0))</f>
        <v>0</v>
      </c>
      <c r="BM102" s="109" t="n">
        <f aca="false">IF(63&lt;=Hipótesis!$D$116,0,IF(BM101&gt;0,MIN(BM101,Hipótesis!$D$113*(1-Hipótesis!$D$117)/MAX(Hipótesis!$D$115-Hipótesis!$D$116,1)),0))</f>
        <v>0</v>
      </c>
      <c r="BN102" s="109" t="n">
        <f aca="false">IF(64&lt;=Hipótesis!$D$116,0,IF(BN101&gt;0,MIN(BN101,Hipótesis!$D$113*(1-Hipótesis!$D$117)/MAX(Hipótesis!$D$115-Hipótesis!$D$116,1)),0))</f>
        <v>0</v>
      </c>
      <c r="BO102" s="109" t="n">
        <f aca="false">IF(65&lt;=Hipótesis!$D$116,0,IF(BO101&gt;0,MIN(BO101,Hipótesis!$D$113*(1-Hipótesis!$D$117)/MAX(Hipótesis!$D$115-Hipótesis!$D$116,1)),0))</f>
        <v>0</v>
      </c>
      <c r="BP102" s="109" t="n">
        <f aca="false">IF(66&lt;=Hipótesis!$D$116,0,IF(BP101&gt;0,MIN(BP101,Hipótesis!$D$113*(1-Hipótesis!$D$117)/MAX(Hipótesis!$D$115-Hipótesis!$D$116,1)),0))</f>
        <v>0</v>
      </c>
      <c r="BQ102" s="109" t="n">
        <f aca="false">IF(67&lt;=Hipótesis!$D$116,0,IF(BQ101&gt;0,MIN(BQ101,Hipótesis!$D$113*(1-Hipótesis!$D$117)/MAX(Hipótesis!$D$115-Hipótesis!$D$116,1)),0))</f>
        <v>0</v>
      </c>
      <c r="BR102" s="109" t="n">
        <f aca="false">IF(68&lt;=Hipótesis!$D$116,0,IF(BR101&gt;0,MIN(BR101,Hipótesis!$D$113*(1-Hipótesis!$D$117)/MAX(Hipótesis!$D$115-Hipótesis!$D$116,1)),0))</f>
        <v>0</v>
      </c>
      <c r="BS102" s="109" t="n">
        <f aca="false">IF(69&lt;=Hipótesis!$D$116,0,IF(BS101&gt;0,MIN(BS101,Hipótesis!$D$113*(1-Hipótesis!$D$117)/MAX(Hipótesis!$D$115-Hipótesis!$D$116,1)),0))</f>
        <v>0</v>
      </c>
      <c r="BT102" s="109" t="n">
        <f aca="false">IF(70&lt;=Hipótesis!$D$116,0,IF(BT101&gt;0,MIN(BT101,Hipótesis!$D$113*(1-Hipótesis!$D$117)/MAX(Hipótesis!$D$115-Hipótesis!$D$116,1)),0))</f>
        <v>0</v>
      </c>
      <c r="BU102" s="109" t="n">
        <f aca="false">IF(71&lt;=Hipótesis!$D$116,0,IF(BU101&gt;0,MIN(BU101,Hipótesis!$D$113*(1-Hipótesis!$D$117)/MAX(Hipótesis!$D$115-Hipótesis!$D$116,1)),0))</f>
        <v>0</v>
      </c>
      <c r="BV102" s="109" t="n">
        <f aca="false">IF(72&lt;=Hipótesis!$D$116,0,IF(BV101&gt;0,MIN(BV101,Hipótesis!$D$113*(1-Hipótesis!$D$117)/MAX(Hipótesis!$D$115-Hipótesis!$D$116,1)),0))</f>
        <v>0</v>
      </c>
      <c r="BW102" s="109" t="n">
        <f aca="false">IF(73&lt;=Hipótesis!$D$116,0,IF(BW101&gt;0,MIN(BW101,Hipótesis!$D$113*(1-Hipótesis!$D$117)/MAX(Hipótesis!$D$115-Hipótesis!$D$116,1)),0))</f>
        <v>0</v>
      </c>
      <c r="BX102" s="109" t="n">
        <f aca="false">IF(74&lt;=Hipótesis!$D$116,0,IF(BX101&gt;0,MIN(BX101,Hipótesis!$D$113*(1-Hipótesis!$D$117)/MAX(Hipótesis!$D$115-Hipótesis!$D$116,1)),0))</f>
        <v>0</v>
      </c>
      <c r="BY102" s="109" t="n">
        <f aca="false">IF(75&lt;=Hipótesis!$D$116,0,IF(BY101&gt;0,MIN(BY101,Hipótesis!$D$113*(1-Hipótesis!$D$117)/MAX(Hipótesis!$D$115-Hipótesis!$D$116,1)),0))</f>
        <v>0</v>
      </c>
      <c r="BZ102" s="109" t="n">
        <f aca="false">IF(76&lt;=Hipótesis!$D$116,0,IF(BZ101&gt;0,MIN(BZ101,Hipótesis!$D$113*(1-Hipótesis!$D$117)/MAX(Hipótesis!$D$115-Hipótesis!$D$116,1)),0))</f>
        <v>0</v>
      </c>
      <c r="CA102" s="109" t="n">
        <f aca="false">IF(77&lt;=Hipótesis!$D$116,0,IF(CA101&gt;0,MIN(CA101,Hipótesis!$D$113*(1-Hipótesis!$D$117)/MAX(Hipótesis!$D$115-Hipótesis!$D$116,1)),0))</f>
        <v>0</v>
      </c>
      <c r="CB102" s="109" t="n">
        <f aca="false">IF(78&lt;=Hipótesis!$D$116,0,IF(CB101&gt;0,MIN(CB101,Hipótesis!$D$113*(1-Hipótesis!$D$117)/MAX(Hipótesis!$D$115-Hipótesis!$D$116,1)),0))</f>
        <v>0</v>
      </c>
      <c r="CC102" s="109" t="n">
        <f aca="false">IF(79&lt;=Hipótesis!$D$116,0,IF(CC101&gt;0,MIN(CC101,Hipótesis!$D$113*(1-Hipótesis!$D$117)/MAX(Hipótesis!$D$115-Hipótesis!$D$116,1)),0))</f>
        <v>0</v>
      </c>
      <c r="CD102" s="109" t="n">
        <f aca="false">IF(80&lt;=Hipótesis!$D$116,0,IF(CD101&gt;0,MIN(CD101,Hipótesis!$D$113*(1-Hipótesis!$D$117)/MAX(Hipótesis!$D$115-Hipótesis!$D$116,1)),0))</f>
        <v>0</v>
      </c>
      <c r="CE102" s="109" t="n">
        <f aca="false">IF(81&lt;=Hipótesis!$D$116,0,IF(CE101&gt;0,MIN(CE101,Hipótesis!$D$113*(1-Hipótesis!$D$117)/MAX(Hipótesis!$D$115-Hipótesis!$D$116,1)),0))</f>
        <v>0</v>
      </c>
      <c r="CF102" s="109" t="n">
        <f aca="false">IF(82&lt;=Hipótesis!$D$116,0,IF(CF101&gt;0,MIN(CF101,Hipótesis!$D$113*(1-Hipótesis!$D$117)/MAX(Hipótesis!$D$115-Hipótesis!$D$116,1)),0))</f>
        <v>0</v>
      </c>
      <c r="CG102" s="109" t="n">
        <f aca="false">IF(83&lt;=Hipótesis!$D$116,0,IF(CG101&gt;0,MIN(CG101,Hipótesis!$D$113*(1-Hipótesis!$D$117)/MAX(Hipótesis!$D$115-Hipótesis!$D$116,1)),0))</f>
        <v>0</v>
      </c>
      <c r="CH102" s="109" t="n">
        <f aca="false">IF(84&lt;=Hipótesis!$D$116,0,IF(CH101&gt;0,MIN(CH101,Hipótesis!$D$113*(1-Hipótesis!$D$117)/MAX(Hipótesis!$D$115-Hipótesis!$D$116,1)),0))</f>
        <v>0</v>
      </c>
    </row>
    <row r="103" customFormat="false" ht="13.5" hidden="false" customHeight="true" outlineLevel="0" collapsed="false">
      <c r="A103" s="6" t="s">
        <v>602</v>
      </c>
      <c r="C103" s="109" t="n">
        <f aca="false">C101*Hipótesis!$D$114/12</f>
        <v>0</v>
      </c>
      <c r="D103" s="109" t="n">
        <f aca="false">D101*Hipótesis!$D$114/12</f>
        <v>0</v>
      </c>
      <c r="E103" s="109" t="n">
        <f aca="false">E101*Hipótesis!$D$114/12</f>
        <v>0</v>
      </c>
      <c r="F103" s="109" t="n">
        <f aca="false">F101*Hipótesis!$D$114/12</f>
        <v>0</v>
      </c>
      <c r="G103" s="109" t="n">
        <f aca="false">G101*Hipótesis!$D$114/12</f>
        <v>0</v>
      </c>
      <c r="H103" s="109" t="n">
        <f aca="false">H101*Hipótesis!$D$114/12</f>
        <v>0</v>
      </c>
      <c r="I103" s="109" t="n">
        <f aca="false">I101*Hipótesis!$D$114/12</f>
        <v>0</v>
      </c>
      <c r="J103" s="109" t="n">
        <f aca="false">J101*Hipótesis!$D$114/12</f>
        <v>0</v>
      </c>
      <c r="K103" s="109" t="n">
        <f aca="false">K101*Hipótesis!$D$114/12</f>
        <v>0</v>
      </c>
      <c r="L103" s="109" t="n">
        <f aca="false">L101*Hipótesis!$D$114/12</f>
        <v>0</v>
      </c>
      <c r="M103" s="109" t="n">
        <f aca="false">M101*Hipótesis!$D$114/12</f>
        <v>0</v>
      </c>
      <c r="N103" s="109" t="n">
        <f aca="false">N101*Hipótesis!$D$114/12</f>
        <v>0</v>
      </c>
      <c r="O103" s="109" t="n">
        <f aca="false">O101*Hipótesis!$D$114/12</f>
        <v>0</v>
      </c>
      <c r="P103" s="109" t="n">
        <f aca="false">P101*Hipótesis!$D$114/12</f>
        <v>0</v>
      </c>
      <c r="Q103" s="109" t="n">
        <f aca="false">Q101*Hipótesis!$D$114/12</f>
        <v>0</v>
      </c>
      <c r="R103" s="109" t="n">
        <f aca="false">R101*Hipótesis!$D$114/12</f>
        <v>0</v>
      </c>
      <c r="S103" s="109" t="n">
        <f aca="false">S101*Hipótesis!$D$114/12</f>
        <v>0</v>
      </c>
      <c r="T103" s="109" t="n">
        <f aca="false">T101*Hipótesis!$D$114/12</f>
        <v>0</v>
      </c>
      <c r="U103" s="109" t="n">
        <f aca="false">U101*Hipótesis!$D$114/12</f>
        <v>0</v>
      </c>
      <c r="V103" s="109" t="n">
        <f aca="false">V101*Hipótesis!$D$114/12</f>
        <v>0</v>
      </c>
      <c r="W103" s="109" t="n">
        <f aca="false">W101*Hipótesis!$D$114/12</f>
        <v>0</v>
      </c>
      <c r="X103" s="109" t="n">
        <f aca="false">X101*Hipótesis!$D$114/12</f>
        <v>0</v>
      </c>
      <c r="Y103" s="109" t="n">
        <f aca="false">Y101*Hipótesis!$D$114/12</f>
        <v>0</v>
      </c>
      <c r="Z103" s="109" t="n">
        <f aca="false">Z101*Hipótesis!$D$114/12</f>
        <v>0</v>
      </c>
      <c r="AA103" s="109" t="n">
        <f aca="false">AA101*Hipótesis!$D$114/12</f>
        <v>0</v>
      </c>
      <c r="AB103" s="109" t="n">
        <f aca="false">AB101*Hipótesis!$D$114/12</f>
        <v>0</v>
      </c>
      <c r="AC103" s="109" t="n">
        <f aca="false">AC101*Hipótesis!$D$114/12</f>
        <v>0</v>
      </c>
      <c r="AD103" s="109" t="n">
        <f aca="false">AD101*Hipótesis!$D$114/12</f>
        <v>0</v>
      </c>
      <c r="AE103" s="109" t="n">
        <f aca="false">AE101*Hipótesis!$D$114/12</f>
        <v>0</v>
      </c>
      <c r="AF103" s="109" t="n">
        <f aca="false">AF101*Hipótesis!$D$114/12</f>
        <v>0</v>
      </c>
      <c r="AG103" s="109" t="n">
        <f aca="false">AG101*Hipótesis!$D$114/12</f>
        <v>0</v>
      </c>
      <c r="AH103" s="109" t="n">
        <f aca="false">AH101*Hipótesis!$D$114/12</f>
        <v>0</v>
      </c>
      <c r="AI103" s="109" t="n">
        <f aca="false">AI101*Hipótesis!$D$114/12</f>
        <v>0</v>
      </c>
      <c r="AJ103" s="109" t="n">
        <f aca="false">AJ101*Hipótesis!$D$114/12</f>
        <v>0</v>
      </c>
      <c r="AK103" s="109" t="n">
        <f aca="false">AK101*Hipótesis!$D$114/12</f>
        <v>0</v>
      </c>
      <c r="AL103" s="109" t="n">
        <f aca="false">AL101*Hipótesis!$D$114/12</f>
        <v>0</v>
      </c>
      <c r="AM103" s="109" t="n">
        <f aca="false">AM101*Hipótesis!$D$114/12</f>
        <v>0</v>
      </c>
      <c r="AN103" s="109" t="n">
        <f aca="false">AN101*Hipótesis!$D$114/12</f>
        <v>0</v>
      </c>
      <c r="AO103" s="109" t="n">
        <f aca="false">AO101*Hipótesis!$D$114/12</f>
        <v>0</v>
      </c>
      <c r="AP103" s="109" t="n">
        <f aca="false">AP101*Hipótesis!$D$114/12</f>
        <v>0</v>
      </c>
      <c r="AQ103" s="109" t="n">
        <f aca="false">AQ101*Hipótesis!$D$114/12</f>
        <v>0</v>
      </c>
      <c r="AR103" s="109" t="n">
        <f aca="false">AR101*Hipótesis!$D$114/12</f>
        <v>0</v>
      </c>
      <c r="AS103" s="109" t="n">
        <f aca="false">AS101*Hipótesis!$D$114/12</f>
        <v>0</v>
      </c>
      <c r="AT103" s="109" t="n">
        <f aca="false">AT101*Hipótesis!$D$114/12</f>
        <v>0</v>
      </c>
      <c r="AU103" s="109" t="n">
        <f aca="false">AU101*Hipótesis!$D$114/12</f>
        <v>0</v>
      </c>
      <c r="AV103" s="109" t="n">
        <f aca="false">AV101*Hipótesis!$D$114/12</f>
        <v>0</v>
      </c>
      <c r="AW103" s="109" t="n">
        <f aca="false">AW101*Hipótesis!$D$114/12</f>
        <v>0</v>
      </c>
      <c r="AX103" s="109" t="n">
        <f aca="false">AX101*Hipótesis!$D$114/12</f>
        <v>0</v>
      </c>
      <c r="AY103" s="109" t="n">
        <f aca="false">AY101*Hipótesis!$D$114/12</f>
        <v>0</v>
      </c>
      <c r="AZ103" s="109" t="n">
        <f aca="false">AZ101*Hipótesis!$D$114/12</f>
        <v>0</v>
      </c>
      <c r="BA103" s="109" t="n">
        <f aca="false">BA101*Hipótesis!$D$114/12</f>
        <v>0</v>
      </c>
      <c r="BB103" s="109" t="n">
        <f aca="false">BB101*Hipótesis!$D$114/12</f>
        <v>0</v>
      </c>
      <c r="BC103" s="109" t="n">
        <f aca="false">BC101*Hipótesis!$D$114/12</f>
        <v>0</v>
      </c>
      <c r="BD103" s="109" t="n">
        <f aca="false">BD101*Hipótesis!$D$114/12</f>
        <v>0</v>
      </c>
      <c r="BE103" s="109" t="n">
        <f aca="false">BE101*Hipótesis!$D$114/12</f>
        <v>0</v>
      </c>
      <c r="BF103" s="109" t="n">
        <f aca="false">BF101*Hipótesis!$D$114/12</f>
        <v>0</v>
      </c>
      <c r="BG103" s="109" t="n">
        <f aca="false">BG101*Hipótesis!$D$114/12</f>
        <v>0</v>
      </c>
      <c r="BH103" s="109" t="n">
        <f aca="false">BH101*Hipótesis!$D$114/12</f>
        <v>0</v>
      </c>
      <c r="BI103" s="109" t="n">
        <f aca="false">BI101*Hipótesis!$D$114/12</f>
        <v>0</v>
      </c>
      <c r="BJ103" s="109" t="n">
        <f aca="false">BJ101*Hipótesis!$D$114/12</f>
        <v>0</v>
      </c>
      <c r="BK103" s="109" t="n">
        <f aca="false">BK101*Hipótesis!$D$114/12</f>
        <v>0</v>
      </c>
      <c r="BL103" s="109" t="n">
        <f aca="false">BL101*Hipótesis!$D$114/12</f>
        <v>0</v>
      </c>
      <c r="BM103" s="109" t="n">
        <f aca="false">BM101*Hipótesis!$D$114/12</f>
        <v>0</v>
      </c>
      <c r="BN103" s="109" t="n">
        <f aca="false">BN101*Hipótesis!$D$114/12</f>
        <v>0</v>
      </c>
      <c r="BO103" s="109" t="n">
        <f aca="false">BO101*Hipótesis!$D$114/12</f>
        <v>0</v>
      </c>
      <c r="BP103" s="109" t="n">
        <f aca="false">BP101*Hipótesis!$D$114/12</f>
        <v>0</v>
      </c>
      <c r="BQ103" s="109" t="n">
        <f aca="false">BQ101*Hipótesis!$D$114/12</f>
        <v>0</v>
      </c>
      <c r="BR103" s="109" t="n">
        <f aca="false">BR101*Hipótesis!$D$114/12</f>
        <v>0</v>
      </c>
      <c r="BS103" s="109" t="n">
        <f aca="false">BS101*Hipótesis!$D$114/12</f>
        <v>0</v>
      </c>
      <c r="BT103" s="109" t="n">
        <f aca="false">BT101*Hipótesis!$D$114/12</f>
        <v>0</v>
      </c>
      <c r="BU103" s="109" t="n">
        <f aca="false">BU101*Hipótesis!$D$114/12</f>
        <v>0</v>
      </c>
      <c r="BV103" s="109" t="n">
        <f aca="false">BV101*Hipótesis!$D$114/12</f>
        <v>0</v>
      </c>
      <c r="BW103" s="109" t="n">
        <f aca="false">BW101*Hipótesis!$D$114/12</f>
        <v>0</v>
      </c>
      <c r="BX103" s="109" t="n">
        <f aca="false">BX101*Hipótesis!$D$114/12</f>
        <v>0</v>
      </c>
      <c r="BY103" s="109" t="n">
        <f aca="false">BY101*Hipótesis!$D$114/12</f>
        <v>0</v>
      </c>
      <c r="BZ103" s="109" t="n">
        <f aca="false">BZ101*Hipótesis!$D$114/12</f>
        <v>0</v>
      </c>
      <c r="CA103" s="109" t="n">
        <f aca="false">CA101*Hipótesis!$D$114/12</f>
        <v>0</v>
      </c>
      <c r="CB103" s="109" t="n">
        <f aca="false">CB101*Hipótesis!$D$114/12</f>
        <v>0</v>
      </c>
      <c r="CC103" s="109" t="n">
        <f aca="false">CC101*Hipótesis!$D$114/12</f>
        <v>0</v>
      </c>
      <c r="CD103" s="109" t="n">
        <f aca="false">CD101*Hipótesis!$D$114/12</f>
        <v>0</v>
      </c>
      <c r="CE103" s="109" t="n">
        <f aca="false">CE101*Hipótesis!$D$114/12</f>
        <v>0</v>
      </c>
      <c r="CF103" s="109" t="n">
        <f aca="false">CF101*Hipótesis!$D$114/12</f>
        <v>0</v>
      </c>
      <c r="CG103" s="109" t="n">
        <f aca="false">CG101*Hipótesis!$D$114/12</f>
        <v>0</v>
      </c>
      <c r="CH103" s="109" t="n">
        <f aca="false">CH101*Hipótesis!$D$114/12</f>
        <v>0</v>
      </c>
    </row>
    <row r="104" customFormat="false" ht="13.5" hidden="false" customHeight="true" outlineLevel="0" collapsed="false">
      <c r="A104" s="6" t="s">
        <v>603</v>
      </c>
      <c r="C104" s="109" t="n">
        <f aca="false">C102+C103</f>
        <v>0</v>
      </c>
      <c r="D104" s="109" t="n">
        <f aca="false">D102+D103</f>
        <v>0</v>
      </c>
      <c r="E104" s="109" t="n">
        <f aca="false">E102+E103</f>
        <v>0</v>
      </c>
      <c r="F104" s="109" t="n">
        <f aca="false">F102+F103</f>
        <v>0</v>
      </c>
      <c r="G104" s="109" t="n">
        <f aca="false">G102+G103</f>
        <v>0</v>
      </c>
      <c r="H104" s="109" t="n">
        <f aca="false">H102+H103</f>
        <v>0</v>
      </c>
      <c r="I104" s="109" t="n">
        <f aca="false">I102+I103</f>
        <v>0</v>
      </c>
      <c r="J104" s="109" t="n">
        <f aca="false">J102+J103</f>
        <v>0</v>
      </c>
      <c r="K104" s="109" t="n">
        <f aca="false">K102+K103</f>
        <v>0</v>
      </c>
      <c r="L104" s="109" t="n">
        <f aca="false">L102+L103</f>
        <v>0</v>
      </c>
      <c r="M104" s="109" t="n">
        <f aca="false">M102+M103</f>
        <v>0</v>
      </c>
      <c r="N104" s="109" t="n">
        <f aca="false">N102+N103</f>
        <v>0</v>
      </c>
      <c r="O104" s="109" t="n">
        <f aca="false">O102+O103</f>
        <v>0</v>
      </c>
      <c r="P104" s="109" t="n">
        <f aca="false">P102+P103</f>
        <v>0</v>
      </c>
      <c r="Q104" s="109" t="n">
        <f aca="false">Q102+Q103</f>
        <v>0</v>
      </c>
      <c r="R104" s="109" t="n">
        <f aca="false">R102+R103</f>
        <v>0</v>
      </c>
      <c r="S104" s="109" t="n">
        <f aca="false">S102+S103</f>
        <v>0</v>
      </c>
      <c r="T104" s="109" t="n">
        <f aca="false">T102+T103</f>
        <v>0</v>
      </c>
      <c r="U104" s="109" t="n">
        <f aca="false">U102+U103</f>
        <v>0</v>
      </c>
      <c r="V104" s="109" t="n">
        <f aca="false">V102+V103</f>
        <v>0</v>
      </c>
      <c r="W104" s="109" t="n">
        <f aca="false">W102+W103</f>
        <v>0</v>
      </c>
      <c r="X104" s="109" t="n">
        <f aca="false">X102+X103</f>
        <v>0</v>
      </c>
      <c r="Y104" s="109" t="n">
        <f aca="false">Y102+Y103</f>
        <v>0</v>
      </c>
      <c r="Z104" s="109" t="n">
        <f aca="false">Z102+Z103</f>
        <v>0</v>
      </c>
      <c r="AA104" s="109" t="n">
        <f aca="false">AA102+AA103</f>
        <v>0</v>
      </c>
      <c r="AB104" s="109" t="n">
        <f aca="false">AB102+AB103</f>
        <v>0</v>
      </c>
      <c r="AC104" s="109" t="n">
        <f aca="false">AC102+AC103</f>
        <v>0</v>
      </c>
      <c r="AD104" s="109" t="n">
        <f aca="false">AD102+AD103</f>
        <v>0</v>
      </c>
      <c r="AE104" s="109" t="n">
        <f aca="false">AE102+AE103</f>
        <v>0</v>
      </c>
      <c r="AF104" s="109" t="n">
        <f aca="false">AF102+AF103</f>
        <v>0</v>
      </c>
      <c r="AG104" s="109" t="n">
        <f aca="false">AG102+AG103</f>
        <v>0</v>
      </c>
      <c r="AH104" s="109" t="n">
        <f aca="false">AH102+AH103</f>
        <v>0</v>
      </c>
      <c r="AI104" s="109" t="n">
        <f aca="false">AI102+AI103</f>
        <v>0</v>
      </c>
      <c r="AJ104" s="109" t="n">
        <f aca="false">AJ102+AJ103</f>
        <v>0</v>
      </c>
      <c r="AK104" s="109" t="n">
        <f aca="false">AK102+AK103</f>
        <v>0</v>
      </c>
      <c r="AL104" s="109" t="n">
        <f aca="false">AL102+AL103</f>
        <v>0</v>
      </c>
      <c r="AM104" s="109" t="n">
        <f aca="false">AM102+AM103</f>
        <v>0</v>
      </c>
      <c r="AN104" s="109" t="n">
        <f aca="false">AN102+AN103</f>
        <v>0</v>
      </c>
      <c r="AO104" s="109" t="n">
        <f aca="false">AO102+AO103</f>
        <v>0</v>
      </c>
      <c r="AP104" s="109" t="n">
        <f aca="false">AP102+AP103</f>
        <v>0</v>
      </c>
      <c r="AQ104" s="109" t="n">
        <f aca="false">AQ102+AQ103</f>
        <v>0</v>
      </c>
      <c r="AR104" s="109" t="n">
        <f aca="false">AR102+AR103</f>
        <v>0</v>
      </c>
      <c r="AS104" s="109" t="n">
        <f aca="false">AS102+AS103</f>
        <v>0</v>
      </c>
      <c r="AT104" s="109" t="n">
        <f aca="false">AT102+AT103</f>
        <v>0</v>
      </c>
      <c r="AU104" s="109" t="n">
        <f aca="false">AU102+AU103</f>
        <v>0</v>
      </c>
      <c r="AV104" s="109" t="n">
        <f aca="false">AV102+AV103</f>
        <v>0</v>
      </c>
      <c r="AW104" s="109" t="n">
        <f aca="false">AW102+AW103</f>
        <v>0</v>
      </c>
      <c r="AX104" s="109" t="n">
        <f aca="false">AX102+AX103</f>
        <v>0</v>
      </c>
      <c r="AY104" s="109" t="n">
        <f aca="false">AY102+AY103</f>
        <v>0</v>
      </c>
      <c r="AZ104" s="109" t="n">
        <f aca="false">AZ102+AZ103</f>
        <v>0</v>
      </c>
      <c r="BA104" s="109" t="n">
        <f aca="false">BA102+BA103</f>
        <v>0</v>
      </c>
      <c r="BB104" s="109" t="n">
        <f aca="false">BB102+BB103</f>
        <v>0</v>
      </c>
      <c r="BC104" s="109" t="n">
        <f aca="false">BC102+BC103</f>
        <v>0</v>
      </c>
      <c r="BD104" s="109" t="n">
        <f aca="false">BD102+BD103</f>
        <v>0</v>
      </c>
      <c r="BE104" s="109" t="n">
        <f aca="false">BE102+BE103</f>
        <v>0</v>
      </c>
      <c r="BF104" s="109" t="n">
        <f aca="false">BF102+BF103</f>
        <v>0</v>
      </c>
      <c r="BG104" s="109" t="n">
        <f aca="false">BG102+BG103</f>
        <v>0</v>
      </c>
      <c r="BH104" s="109" t="n">
        <f aca="false">BH102+BH103</f>
        <v>0</v>
      </c>
      <c r="BI104" s="109" t="n">
        <f aca="false">BI102+BI103</f>
        <v>0</v>
      </c>
      <c r="BJ104" s="109" t="n">
        <f aca="false">BJ102+BJ103</f>
        <v>0</v>
      </c>
      <c r="BK104" s="109" t="n">
        <f aca="false">BK102+BK103</f>
        <v>0</v>
      </c>
      <c r="BL104" s="109" t="n">
        <f aca="false">BL102+BL103</f>
        <v>0</v>
      </c>
      <c r="BM104" s="109" t="n">
        <f aca="false">BM102+BM103</f>
        <v>0</v>
      </c>
      <c r="BN104" s="109" t="n">
        <f aca="false">BN102+BN103</f>
        <v>0</v>
      </c>
      <c r="BO104" s="109" t="n">
        <f aca="false">BO102+BO103</f>
        <v>0</v>
      </c>
      <c r="BP104" s="109" t="n">
        <f aca="false">BP102+BP103</f>
        <v>0</v>
      </c>
      <c r="BQ104" s="109" t="n">
        <f aca="false">BQ102+BQ103</f>
        <v>0</v>
      </c>
      <c r="BR104" s="109" t="n">
        <f aca="false">BR102+BR103</f>
        <v>0</v>
      </c>
      <c r="BS104" s="109" t="n">
        <f aca="false">BS102+BS103</f>
        <v>0</v>
      </c>
      <c r="BT104" s="109" t="n">
        <f aca="false">BT102+BT103</f>
        <v>0</v>
      </c>
      <c r="BU104" s="109" t="n">
        <f aca="false">BU102+BU103</f>
        <v>0</v>
      </c>
      <c r="BV104" s="109" t="n">
        <f aca="false">BV102+BV103</f>
        <v>0</v>
      </c>
      <c r="BW104" s="109" t="n">
        <f aca="false">BW102+BW103</f>
        <v>0</v>
      </c>
      <c r="BX104" s="109" t="n">
        <f aca="false">BX102+BX103</f>
        <v>0</v>
      </c>
      <c r="BY104" s="109" t="n">
        <f aca="false">BY102+BY103</f>
        <v>0</v>
      </c>
      <c r="BZ104" s="109" t="n">
        <f aca="false">BZ102+BZ103</f>
        <v>0</v>
      </c>
      <c r="CA104" s="109" t="n">
        <f aca="false">CA102+CA103</f>
        <v>0</v>
      </c>
      <c r="CB104" s="109" t="n">
        <f aca="false">CB102+CB103</f>
        <v>0</v>
      </c>
      <c r="CC104" s="109" t="n">
        <f aca="false">CC102+CC103</f>
        <v>0</v>
      </c>
      <c r="CD104" s="109" t="n">
        <f aca="false">CD102+CD103</f>
        <v>0</v>
      </c>
      <c r="CE104" s="109" t="n">
        <f aca="false">CE102+CE103</f>
        <v>0</v>
      </c>
      <c r="CF104" s="109" t="n">
        <f aca="false">CF102+CF103</f>
        <v>0</v>
      </c>
      <c r="CG104" s="109" t="n">
        <f aca="false">CG102+CG103</f>
        <v>0</v>
      </c>
      <c r="CH104" s="109" t="n">
        <f aca="false">CH102+CH103</f>
        <v>0</v>
      </c>
    </row>
    <row r="105" customFormat="false" ht="13.5" hidden="false" customHeight="true" outlineLevel="0" collapsed="false"/>
    <row r="106" customFormat="false" ht="13.5" hidden="false" customHeight="true" outlineLevel="0" collapsed="false">
      <c r="A106" s="47" t="s">
        <v>604</v>
      </c>
      <c r="C106" s="71" t="n">
        <f aca="false">C93+C99+C104</f>
        <v>333.333333333333</v>
      </c>
      <c r="D106" s="71" t="n">
        <f aca="false">D93+D99+D104</f>
        <v>333.333333333333</v>
      </c>
      <c r="E106" s="71" t="n">
        <f aca="false">E93+E99+E104</f>
        <v>333.333333333333</v>
      </c>
      <c r="F106" s="71" t="n">
        <f aca="false">F93+F99+F104</f>
        <v>333.333333333333</v>
      </c>
      <c r="G106" s="71" t="n">
        <f aca="false">G93+G99+G104</f>
        <v>333.333333333333</v>
      </c>
      <c r="H106" s="71" t="n">
        <f aca="false">H93+H99+H104</f>
        <v>333.333333333333</v>
      </c>
      <c r="I106" s="71" t="n">
        <f aca="false">I93+I99+I104</f>
        <v>333.333333333333</v>
      </c>
      <c r="J106" s="71" t="n">
        <f aca="false">J93+J99+J104</f>
        <v>388.895845168973</v>
      </c>
      <c r="K106" s="71" t="n">
        <f aca="false">K93+K99+K104</f>
        <v>468.56209954677</v>
      </c>
      <c r="L106" s="71" t="n">
        <f aca="false">L93+L99+L104</f>
        <v>548.228353924567</v>
      </c>
      <c r="M106" s="71" t="n">
        <f aca="false">M93+M99+M104</f>
        <v>603.079287226977</v>
      </c>
      <c r="N106" s="71" t="n">
        <f aca="false">N93+N99+N104</f>
        <v>676.94848639035</v>
      </c>
      <c r="O106" s="71" t="n">
        <f aca="false">O93+O99+O104</f>
        <v>646.273685553724</v>
      </c>
      <c r="P106" s="71" t="n">
        <f aca="false">P93+P99+P104</f>
        <v>712.95082046957</v>
      </c>
      <c r="Q106" s="71" t="n">
        <f aca="false">Q93+Q99+Q104</f>
        <v>779.627955385417</v>
      </c>
      <c r="R106" s="71" t="n">
        <f aca="false">R93+R99+R104</f>
        <v>846.305090301263</v>
      </c>
      <c r="S106" s="71" t="n">
        <f aca="false">S93+S99+S104</f>
        <v>912.98222521711</v>
      </c>
      <c r="T106" s="71" t="n">
        <f aca="false">T93+T99+T104</f>
        <v>979.659360132956</v>
      </c>
      <c r="U106" s="71" t="n">
        <f aca="false">U93+U99+U104</f>
        <v>1046.3364950488</v>
      </c>
      <c r="V106" s="71" t="n">
        <f aca="false">V93+V99+V104</f>
        <v>1012.40322996465</v>
      </c>
      <c r="W106" s="71" t="n">
        <f aca="false">W93+W99+W104</f>
        <v>1079.0803648805</v>
      </c>
      <c r="X106" s="71" t="n">
        <f aca="false">X93+X99+X104</f>
        <v>1126.73923393538</v>
      </c>
      <c r="Y106" s="71" t="n">
        <f aca="false">Y93+Y99+Y104</f>
        <v>1174.39810299026</v>
      </c>
      <c r="Z106" s="71" t="n">
        <f aca="false">Z93+Z99+Z104</f>
        <v>1215.08389570076</v>
      </c>
      <c r="AA106" s="71" t="n">
        <f aca="false">AA93+AA99+AA104</f>
        <v>2878.18652307793</v>
      </c>
      <c r="AB106" s="71" t="n">
        <f aca="false">AB93+AB99+AB104</f>
        <v>2913.31676023287</v>
      </c>
      <c r="AC106" s="71" t="n">
        <f aca="false">AC93+AC99+AC104</f>
        <v>2948.44699738781</v>
      </c>
      <c r="AD106" s="71" t="n">
        <f aca="false">AD93+AD99+AD104</f>
        <v>2983.57723454275</v>
      </c>
      <c r="AE106" s="71" t="n">
        <f aca="false">AE93+AE99+AE104</f>
        <v>3018.7074716977</v>
      </c>
      <c r="AF106" s="71" t="n">
        <f aca="false">AF93+AF99+AF104</f>
        <v>3053.83770885264</v>
      </c>
      <c r="AG106" s="71" t="n">
        <f aca="false">AG93+AG99+AG104</f>
        <v>3088.96794600758</v>
      </c>
      <c r="AH106" s="71" t="n">
        <f aca="false">AH93+AH99+AH104</f>
        <v>3124.09818316252</v>
      </c>
      <c r="AI106" s="71" t="n">
        <f aca="false">AI93+AI99+AI104</f>
        <v>3111.61522831746</v>
      </c>
      <c r="AJ106" s="71" t="n">
        <f aca="false">AJ93+AJ99+AJ104</f>
        <v>3146.74546547241</v>
      </c>
      <c r="AK106" s="71" t="n">
        <f aca="false">AK93+AK99+AK104</f>
        <v>3181.87570262735</v>
      </c>
      <c r="AL106" s="71" t="n">
        <f aca="false">AL93+AL99+AL104</f>
        <v>3217.00593978229</v>
      </c>
      <c r="AM106" s="71" t="n">
        <f aca="false">AM93+AM99+AM104</f>
        <v>3206.31845421723</v>
      </c>
      <c r="AN106" s="71" t="n">
        <f aca="false">AN93+AN99+AN104</f>
        <v>3241.44869137218</v>
      </c>
      <c r="AO106" s="71" t="n">
        <f aca="false">AO93+AO99+AO104</f>
        <v>3276.57892852712</v>
      </c>
      <c r="AP106" s="71" t="n">
        <f aca="false">AP93+AP99+AP104</f>
        <v>3311.70916568206</v>
      </c>
      <c r="AQ106" s="71" t="n">
        <f aca="false">AQ93+AQ99+AQ104</f>
        <v>3346.839402837</v>
      </c>
      <c r="AR106" s="71" t="n">
        <f aca="false">AR93+AR99+AR104</f>
        <v>3381.96963999195</v>
      </c>
      <c r="AS106" s="71" t="n">
        <f aca="false">AS93+AS99+AS104</f>
        <v>3376.41408443639</v>
      </c>
      <c r="AT106" s="71" t="n">
        <f aca="false">AT93+AT99+AT104</f>
        <v>3370.85852888083</v>
      </c>
      <c r="AU106" s="71" t="n">
        <f aca="false">AU93+AU99+AU104</f>
        <v>3365.30297332528</v>
      </c>
      <c r="AV106" s="71" t="n">
        <f aca="false">AV93+AV99+AV104</f>
        <v>3359.74741776972</v>
      </c>
      <c r="AW106" s="71" t="n">
        <f aca="false">AW93+AW99+AW104</f>
        <v>3354.19186221417</v>
      </c>
      <c r="AX106" s="71" t="n">
        <f aca="false">AX93+AX99+AX104</f>
        <v>3348.63630665861</v>
      </c>
      <c r="AY106" s="71" t="n">
        <f aca="false">AY93+AY99+AY104</f>
        <v>3297.07649670146</v>
      </c>
      <c r="AZ106" s="71" t="n">
        <f aca="false">AZ93+AZ99+AZ104</f>
        <v>3291.5209411459</v>
      </c>
      <c r="BA106" s="71" t="n">
        <f aca="false">BA93+BA99+BA104</f>
        <v>3285.96538559035</v>
      </c>
      <c r="BB106" s="71" t="n">
        <f aca="false">BB93+BB99+BB104</f>
        <v>3280.40983003479</v>
      </c>
      <c r="BC106" s="71" t="n">
        <f aca="false">BC93+BC99+BC104</f>
        <v>3274.85427447924</v>
      </c>
      <c r="BD106" s="71" t="n">
        <f aca="false">BD93+BD99+BD104</f>
        <v>3269.29871892368</v>
      </c>
      <c r="BE106" s="71" t="n">
        <f aca="false">BE93+BE99+BE104</f>
        <v>3263.74316336812</v>
      </c>
      <c r="BF106" s="71" t="n">
        <f aca="false">BF93+BF99+BF104</f>
        <v>3258.18760781257</v>
      </c>
      <c r="BG106" s="71" t="n">
        <f aca="false">BG93+BG99+BG104</f>
        <v>3252.63205225701</v>
      </c>
      <c r="BH106" s="71" t="n">
        <f aca="false">BH93+BH99+BH104</f>
        <v>3247.07649670146</v>
      </c>
      <c r="BI106" s="71" t="n">
        <f aca="false">BI93+BI99+BI104</f>
        <v>3241.5209411459</v>
      </c>
      <c r="BJ106" s="71" t="n">
        <f aca="false">BJ93+BJ99+BJ104</f>
        <v>3235.96538559035</v>
      </c>
      <c r="BK106" s="71" t="n">
        <f aca="false">BK93+BK99+BK104</f>
        <v>3184.21344800114</v>
      </c>
      <c r="BL106" s="71" t="n">
        <f aca="false">BL93+BL99+BL104</f>
        <v>3178.65789244559</v>
      </c>
      <c r="BM106" s="71" t="n">
        <f aca="false">BM93+BM99+BM104</f>
        <v>3173.10233689003</v>
      </c>
      <c r="BN106" s="71" t="n">
        <f aca="false">BN93+BN99+BN104</f>
        <v>3167.54678133448</v>
      </c>
      <c r="BO106" s="71" t="n">
        <f aca="false">BO93+BO99+BO104</f>
        <v>3161.99122577892</v>
      </c>
      <c r="BP106" s="71" t="n">
        <f aca="false">BP93+BP99+BP104</f>
        <v>3156.43567022336</v>
      </c>
      <c r="BQ106" s="71" t="n">
        <f aca="false">BQ93+BQ99+BQ104</f>
        <v>3150.88011466781</v>
      </c>
      <c r="BR106" s="71" t="n">
        <f aca="false">BR93+BR99+BR104</f>
        <v>3145.32455911225</v>
      </c>
      <c r="BS106" s="71" t="n">
        <f aca="false">BS93+BS99+BS104</f>
        <v>3139.7690035567</v>
      </c>
      <c r="BT106" s="71" t="n">
        <f aca="false">BT93+BT99+BT104</f>
        <v>3134.21344800114</v>
      </c>
      <c r="BU106" s="71" t="n">
        <f aca="false">BU93+BU99+BU104</f>
        <v>3128.65789244559</v>
      </c>
      <c r="BV106" s="71" t="n">
        <f aca="false">BV93+BV99+BV104</f>
        <v>3123.10233689003</v>
      </c>
      <c r="BW106" s="71" t="n">
        <f aca="false">BW93+BW99+BW104</f>
        <v>3071.15250783982</v>
      </c>
      <c r="BX106" s="71" t="n">
        <f aca="false">BX93+BX99+BX104</f>
        <v>3065.59695228426</v>
      </c>
      <c r="BY106" s="71" t="n">
        <f aca="false">BY93+BY99+BY104</f>
        <v>3060.04139672871</v>
      </c>
      <c r="BZ106" s="71" t="n">
        <f aca="false">BZ93+BZ99+BZ104</f>
        <v>3054.48584117315</v>
      </c>
      <c r="CA106" s="71" t="n">
        <f aca="false">CA93+CA99+CA104</f>
        <v>3048.9302856176</v>
      </c>
      <c r="CB106" s="71" t="n">
        <f aca="false">CB93+CB99+CB104</f>
        <v>3043.37473006204</v>
      </c>
      <c r="CC106" s="71" t="n">
        <f aca="false">CC93+CC99+CC104</f>
        <v>3037.81917450649</v>
      </c>
      <c r="CD106" s="71" t="n">
        <f aca="false">CD93+CD99+CD104</f>
        <v>3032.26361895093</v>
      </c>
      <c r="CE106" s="71" t="n">
        <f aca="false">CE93+CE99+CE104</f>
        <v>3026.70806339537</v>
      </c>
      <c r="CF106" s="71" t="n">
        <f aca="false">CF93+CF99+CF104</f>
        <v>3021.15250783982</v>
      </c>
      <c r="CG106" s="71" t="n">
        <f aca="false">CG93+CG99+CG104</f>
        <v>3015.59695228426</v>
      </c>
      <c r="CH106" s="71" t="n">
        <f aca="false">CH93+CH99+CH104</f>
        <v>3010.04139672865</v>
      </c>
    </row>
    <row r="107" customFormat="false" ht="13.5" hidden="false" customHeight="true" outlineLevel="0" collapsed="false">
      <c r="A107" s="6" t="s">
        <v>605</v>
      </c>
      <c r="C107" s="109" t="n">
        <f aca="false">C106</f>
        <v>333.333333333333</v>
      </c>
      <c r="D107" s="109" t="n">
        <f aca="false">C107+D106</f>
        <v>666.666666666667</v>
      </c>
      <c r="E107" s="109" t="n">
        <f aca="false">D107+E106</f>
        <v>1000</v>
      </c>
      <c r="F107" s="109" t="n">
        <f aca="false">E107+F106</f>
        <v>1333.33333333333</v>
      </c>
      <c r="G107" s="109" t="n">
        <f aca="false">F107+G106</f>
        <v>1666.66666666667</v>
      </c>
      <c r="H107" s="109" t="n">
        <f aca="false">G107+H106</f>
        <v>2000</v>
      </c>
      <c r="I107" s="109" t="n">
        <f aca="false">H107+I106</f>
        <v>2333.33333333333</v>
      </c>
      <c r="J107" s="109" t="n">
        <f aca="false">I107+J106</f>
        <v>2722.22917850231</v>
      </c>
      <c r="K107" s="109" t="n">
        <f aca="false">J107+K106</f>
        <v>3190.79127804908</v>
      </c>
      <c r="L107" s="109" t="n">
        <f aca="false">K107+L106</f>
        <v>3739.01963197364</v>
      </c>
      <c r="M107" s="109" t="n">
        <f aca="false">L107+M106</f>
        <v>4342.09891920062</v>
      </c>
      <c r="N107" s="109" t="n">
        <f aca="false">M107+N106</f>
        <v>5019.04740559097</v>
      </c>
      <c r="O107" s="109" t="n">
        <f aca="false">N107+O106</f>
        <v>5665.32109114469</v>
      </c>
      <c r="P107" s="109" t="n">
        <f aca="false">O107+P106</f>
        <v>6378.27191161426</v>
      </c>
      <c r="Q107" s="109" t="n">
        <f aca="false">P107+Q106</f>
        <v>7157.89986699968</v>
      </c>
      <c r="R107" s="109" t="n">
        <f aca="false">Q107+R106</f>
        <v>8004.20495730094</v>
      </c>
      <c r="S107" s="109" t="n">
        <f aca="false">R107+S106</f>
        <v>8917.18718251805</v>
      </c>
      <c r="T107" s="109" t="n">
        <f aca="false">S107+T106</f>
        <v>9896.84654265101</v>
      </c>
      <c r="U107" s="109" t="n">
        <f aca="false">T107+U106</f>
        <v>10943.1830376998</v>
      </c>
      <c r="V107" s="109" t="n">
        <f aca="false">U107+V106</f>
        <v>11955.5862676645</v>
      </c>
      <c r="W107" s="109" t="n">
        <f aca="false">V107+W106</f>
        <v>13034.666632545</v>
      </c>
      <c r="X107" s="109" t="n">
        <f aca="false">W107+X106</f>
        <v>14161.4058664803</v>
      </c>
      <c r="Y107" s="109" t="n">
        <f aca="false">X107+Y106</f>
        <v>15335.8039694706</v>
      </c>
      <c r="Z107" s="109" t="n">
        <f aca="false">Y107+Z106</f>
        <v>16550.8878651714</v>
      </c>
      <c r="AA107" s="109" t="n">
        <f aca="false">Z107+AA106</f>
        <v>19429.0743882493</v>
      </c>
      <c r="AB107" s="109" t="n">
        <f aca="false">AA107+AB106</f>
        <v>22342.3911484822</v>
      </c>
      <c r="AC107" s="109" t="n">
        <f aca="false">AB107+AC106</f>
        <v>25290.83814587</v>
      </c>
      <c r="AD107" s="109" t="n">
        <f aca="false">AC107+AD106</f>
        <v>28274.4153804127</v>
      </c>
      <c r="AE107" s="109" t="n">
        <f aca="false">AD107+AE106</f>
        <v>31293.1228521104</v>
      </c>
      <c r="AF107" s="109" t="n">
        <f aca="false">AE107+AF106</f>
        <v>34346.9605609631</v>
      </c>
      <c r="AG107" s="109" t="n">
        <f aca="false">AF107+AG106</f>
        <v>37435.9285069706</v>
      </c>
      <c r="AH107" s="109" t="n">
        <f aca="false">AG107+AH106</f>
        <v>40560.0266901332</v>
      </c>
      <c r="AI107" s="109" t="n">
        <f aca="false">AH107+AI106</f>
        <v>43671.6419184506</v>
      </c>
      <c r="AJ107" s="109" t="n">
        <f aca="false">AI107+AJ106</f>
        <v>46818.387383923</v>
      </c>
      <c r="AK107" s="109" t="n">
        <f aca="false">AJ107+AK106</f>
        <v>50000.2630865504</v>
      </c>
      <c r="AL107" s="109" t="n">
        <f aca="false">AK107+AL106</f>
        <v>53217.2690263327</v>
      </c>
      <c r="AM107" s="109" t="n">
        <f aca="false">AL107+AM106</f>
        <v>56423.5874805499</v>
      </c>
      <c r="AN107" s="109" t="n">
        <f aca="false">AM107+AN106</f>
        <v>59665.0361719221</v>
      </c>
      <c r="AO107" s="109" t="n">
        <f aca="false">AN107+AO106</f>
        <v>62941.6151004492</v>
      </c>
      <c r="AP107" s="109" t="n">
        <f aca="false">AO107+AP106</f>
        <v>66253.3242661313</v>
      </c>
      <c r="AQ107" s="109" t="n">
        <f aca="false">AP107+AQ106</f>
        <v>69600.1636689683</v>
      </c>
      <c r="AR107" s="109" t="n">
        <f aca="false">AQ107+AR106</f>
        <v>72982.1333089602</v>
      </c>
      <c r="AS107" s="109" t="n">
        <f aca="false">AR107+AS106</f>
        <v>76358.5473933966</v>
      </c>
      <c r="AT107" s="109" t="n">
        <f aca="false">AS107+AT106</f>
        <v>79729.4059222774</v>
      </c>
      <c r="AU107" s="109" t="n">
        <f aca="false">AT107+AU106</f>
        <v>83094.7088956027</v>
      </c>
      <c r="AV107" s="109" t="n">
        <f aca="false">AU107+AV106</f>
        <v>86454.4563133724</v>
      </c>
      <c r="AW107" s="109" t="n">
        <f aca="false">AV107+AW106</f>
        <v>89808.6481755866</v>
      </c>
      <c r="AX107" s="109" t="n">
        <f aca="false">AW107+AX106</f>
        <v>93157.2844822452</v>
      </c>
      <c r="AY107" s="109" t="n">
        <f aca="false">AX107+AY106</f>
        <v>96454.3609789467</v>
      </c>
      <c r="AZ107" s="109" t="n">
        <f aca="false">AY107+AZ106</f>
        <v>99745.8819200926</v>
      </c>
      <c r="BA107" s="109" t="n">
        <f aca="false">AZ107+BA106</f>
        <v>103031.847305683</v>
      </c>
      <c r="BB107" s="109" t="n">
        <f aca="false">BA107+BB106</f>
        <v>106312.257135718</v>
      </c>
      <c r="BC107" s="109" t="n">
        <f aca="false">BB107+BC106</f>
        <v>109587.111410197</v>
      </c>
      <c r="BD107" s="109" t="n">
        <f aca="false">BC107+BD106</f>
        <v>112856.410129121</v>
      </c>
      <c r="BE107" s="109" t="n">
        <f aca="false">BD107+BE106</f>
        <v>116120.153292489</v>
      </c>
      <c r="BF107" s="109" t="n">
        <f aca="false">BE107+BF106</f>
        <v>119378.340900301</v>
      </c>
      <c r="BG107" s="109" t="n">
        <f aca="false">BF107+BG106</f>
        <v>122630.972952558</v>
      </c>
      <c r="BH107" s="109" t="n">
        <f aca="false">BG107+BH106</f>
        <v>125878.04944926</v>
      </c>
      <c r="BI107" s="109" t="n">
        <f aca="false">BH107+BI106</f>
        <v>129119.570390406</v>
      </c>
      <c r="BJ107" s="109" t="n">
        <f aca="false">BI107+BJ106</f>
        <v>132355.535775996</v>
      </c>
      <c r="BK107" s="109" t="n">
        <f aca="false">BJ107+BK106</f>
        <v>135539.749223997</v>
      </c>
      <c r="BL107" s="109" t="n">
        <f aca="false">BK107+BL106</f>
        <v>138718.407116443</v>
      </c>
      <c r="BM107" s="109" t="n">
        <f aca="false">BL107+BM106</f>
        <v>141891.509453333</v>
      </c>
      <c r="BN107" s="109" t="n">
        <f aca="false">BM107+BN106</f>
        <v>145059.056234667</v>
      </c>
      <c r="BO107" s="109" t="n">
        <f aca="false">BN107+BO106</f>
        <v>148221.047460446</v>
      </c>
      <c r="BP107" s="109" t="n">
        <f aca="false">BO107+BP106</f>
        <v>151377.48313067</v>
      </c>
      <c r="BQ107" s="109" t="n">
        <f aca="false">BP107+BQ106</f>
        <v>154528.363245337</v>
      </c>
      <c r="BR107" s="109" t="n">
        <f aca="false">BQ107+BR106</f>
        <v>157673.68780445</v>
      </c>
      <c r="BS107" s="109" t="n">
        <f aca="false">BR107+BS106</f>
        <v>160813.456808006</v>
      </c>
      <c r="BT107" s="109" t="n">
        <f aca="false">BS107+BT106</f>
        <v>163947.670256007</v>
      </c>
      <c r="BU107" s="109" t="n">
        <f aca="false">BT107+BU106</f>
        <v>167076.328148453</v>
      </c>
      <c r="BV107" s="109" t="n">
        <f aca="false">BU107+BV106</f>
        <v>170199.430485343</v>
      </c>
      <c r="BW107" s="109" t="n">
        <f aca="false">BV107+BW106</f>
        <v>173270.582993183</v>
      </c>
      <c r="BX107" s="109" t="n">
        <f aca="false">BW107+BX106</f>
        <v>176336.179945467</v>
      </c>
      <c r="BY107" s="109" t="n">
        <f aca="false">BX107+BY106</f>
        <v>179396.221342196</v>
      </c>
      <c r="BZ107" s="109" t="n">
        <f aca="false">BY107+BZ106</f>
        <v>182450.707183369</v>
      </c>
      <c r="CA107" s="109" t="n">
        <f aca="false">BZ107+CA106</f>
        <v>185499.637468987</v>
      </c>
      <c r="CB107" s="109" t="n">
        <f aca="false">CA107+CB106</f>
        <v>188543.012199049</v>
      </c>
      <c r="CC107" s="109" t="n">
        <f aca="false">CB107+CC106</f>
        <v>191580.831373555</v>
      </c>
      <c r="CD107" s="109" t="n">
        <f aca="false">CC107+CD106</f>
        <v>194613.094992506</v>
      </c>
      <c r="CE107" s="109" t="n">
        <f aca="false">CD107+CE106</f>
        <v>197639.803055901</v>
      </c>
      <c r="CF107" s="109" t="n">
        <f aca="false">CE107+CF106</f>
        <v>200660.955563741</v>
      </c>
      <c r="CG107" s="109" t="n">
        <f aca="false">CF107+CG106</f>
        <v>203676.552516026</v>
      </c>
      <c r="CH107" s="109" t="n">
        <f aca="false">CG107+CH106</f>
        <v>206686.593912754</v>
      </c>
    </row>
    <row r="108" customFormat="false" ht="13.5" hidden="false" customHeight="true" outlineLevel="0" collapsed="false"/>
    <row r="109" customFormat="false" ht="12.75" hidden="false" customHeight="true" outlineLevel="0" collapsed="false">
      <c r="A109" s="9" t="s">
        <v>606</v>
      </c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  <c r="BP109" s="9"/>
      <c r="BQ109" s="9"/>
      <c r="BR109" s="9"/>
      <c r="BS109" s="9"/>
      <c r="BT109" s="9"/>
      <c r="BU109" s="9"/>
      <c r="BV109" s="9"/>
      <c r="BW109" s="9"/>
      <c r="BX109" s="9"/>
      <c r="BY109" s="9"/>
      <c r="BZ109" s="9"/>
      <c r="CA109" s="9"/>
      <c r="CB109" s="9"/>
      <c r="CC109" s="9"/>
      <c r="CD109" s="9"/>
      <c r="CE109" s="9"/>
      <c r="CF109" s="9"/>
      <c r="CG109" s="9"/>
      <c r="CH109" s="9"/>
    </row>
    <row r="110" customFormat="false" ht="13.5" hidden="false" customHeight="true" outlineLevel="0" collapsed="false">
      <c r="A110" s="6" t="s">
        <v>607</v>
      </c>
      <c r="C110" s="109" t="n">
        <f aca="false">C63</f>
        <v>-15189.5015906227</v>
      </c>
      <c r="D110" s="109" t="n">
        <f aca="false">C113+D63</f>
        <v>-29185.7255493596</v>
      </c>
      <c r="E110" s="109" t="n">
        <f aca="false">D113+E63</f>
        <v>-40752.3807362597</v>
      </c>
      <c r="F110" s="109" t="n">
        <f aca="false">E113+F63</f>
        <v>-51002.2036559384</v>
      </c>
      <c r="G110" s="109" t="n">
        <f aca="false">F113+G63</f>
        <v>-60015.7354356662</v>
      </c>
      <c r="H110" s="109" t="n">
        <f aca="false">G113+H63</f>
        <v>-67087.4442528786</v>
      </c>
      <c r="I110" s="109" t="n">
        <f aca="false">H113+I63</f>
        <v>-70190.3734496853</v>
      </c>
      <c r="J110" s="109" t="n">
        <f aca="false">I113+J63</f>
        <v>-69502.2958546778</v>
      </c>
      <c r="K110" s="109" t="n">
        <f aca="false">J113+K63</f>
        <v>-65528.8915504657</v>
      </c>
      <c r="L110" s="109" t="n">
        <f aca="false">K113+L63</f>
        <v>-58252.7433830359</v>
      </c>
      <c r="M110" s="109" t="n">
        <f aca="false">L113+M63</f>
        <v>-48686.1207900902</v>
      </c>
      <c r="N110" s="109" t="n">
        <f aca="false">M113+N63</f>
        <v>-36044.9475022712</v>
      </c>
      <c r="O110" s="109" t="n">
        <f aca="false">N113+O63</f>
        <v>-24693.087888959</v>
      </c>
      <c r="P110" s="109" t="n">
        <f aca="false">O113+P63</f>
        <v>-10574.6966714927</v>
      </c>
      <c r="Q110" s="109" t="n">
        <f aca="false">P113+Q63</f>
        <v>6310.22615012774</v>
      </c>
      <c r="R110" s="109" t="n">
        <f aca="false">Q113+R63</f>
        <v>25961.6805759022</v>
      </c>
      <c r="S110" s="109" t="n">
        <f aca="false">R113+S63</f>
        <v>48379.6666058308</v>
      </c>
      <c r="T110" s="109" t="n">
        <f aca="false">S113+T63</f>
        <v>73564.1842399134</v>
      </c>
      <c r="U110" s="109" t="n">
        <f aca="false">T113+U63</f>
        <v>101515.23347815</v>
      </c>
      <c r="V110" s="109" t="n">
        <f aca="false">U113+V63</f>
        <v>128042.391160541</v>
      </c>
      <c r="W110" s="109" t="n">
        <f aca="false">V113+W63</f>
        <v>157336.080447086</v>
      </c>
      <c r="X110" s="109" t="n">
        <f aca="false">W113+X63</f>
        <v>188607.349327371</v>
      </c>
      <c r="Y110" s="109" t="n">
        <f aca="false">X113+Y63</f>
        <v>221856.197801396</v>
      </c>
      <c r="Z110" s="109" t="n">
        <f aca="false">Y113+Z63</f>
        <v>256793.376510825</v>
      </c>
      <c r="AA110" s="109" t="n">
        <f aca="false">Z113+AA63</f>
        <v>291575.879952856</v>
      </c>
      <c r="AB110" s="109" t="n">
        <f aca="false">AA113+AB63</f>
        <v>328051.435852512</v>
      </c>
      <c r="AC110" s="109" t="n">
        <f aca="false">AB113+AC63</f>
        <v>366220.044209793</v>
      </c>
      <c r="AD110" s="109" t="n">
        <f aca="false">AC113+AD63</f>
        <v>406081.7050247</v>
      </c>
      <c r="AE110" s="109" t="n">
        <f aca="false">AD113+AE63</f>
        <v>447636.418297232</v>
      </c>
      <c r="AF110" s="109" t="n">
        <f aca="false">AE113+AF63</f>
        <v>490884.184027388</v>
      </c>
      <c r="AG110" s="109" t="n">
        <f aca="false">AF113+AG63</f>
        <v>535825.00221517</v>
      </c>
      <c r="AH110" s="109" t="n">
        <f aca="false">AG113+AH63</f>
        <v>582458.872860577</v>
      </c>
      <c r="AI110" s="109" t="n">
        <f aca="false">AH113+AI63</f>
        <v>628802.706516809</v>
      </c>
      <c r="AJ110" s="109" t="n">
        <f aca="false">AI113+AJ63</f>
        <v>676839.592630666</v>
      </c>
      <c r="AK110" s="109" t="n">
        <f aca="false">AJ113+AK63</f>
        <v>726569.531202148</v>
      </c>
      <c r="AL110" s="109" t="n">
        <f aca="false">AK113+AL63</f>
        <v>777992.522231255</v>
      </c>
      <c r="AM110" s="109" t="n">
        <f aca="false">AL113+AM63</f>
        <v>823175.818115471</v>
      </c>
      <c r="AN110" s="109" t="n">
        <f aca="false">AM113+AN63</f>
        <v>869852.983815238</v>
      </c>
      <c r="AO110" s="109" t="n">
        <f aca="false">AN113+AO63</f>
        <v>918024.019330557</v>
      </c>
      <c r="AP110" s="109" t="n">
        <f aca="false">AO113+AP63</f>
        <v>967688.924661427</v>
      </c>
      <c r="AQ110" s="109" t="n">
        <f aca="false">AP113+AQ63</f>
        <v>1018847.69980785</v>
      </c>
      <c r="AR110" s="109" t="n">
        <f aca="false">AQ113+AR63</f>
        <v>1071500.34476982</v>
      </c>
      <c r="AS110" s="109" t="n">
        <f aca="false">AR113+AS63</f>
        <v>1124157.15639846</v>
      </c>
      <c r="AT110" s="109" t="n">
        <f aca="false">AS113+AT63</f>
        <v>1176818.13469377</v>
      </c>
      <c r="AU110" s="109" t="n">
        <f aca="false">AT113+AU63</f>
        <v>1229483.27965574</v>
      </c>
      <c r="AV110" s="109" t="n">
        <f aca="false">AU113+AV63</f>
        <v>1282152.59128438</v>
      </c>
      <c r="AW110" s="109" t="n">
        <f aca="false">AV113+AW63</f>
        <v>1334826.06957969</v>
      </c>
      <c r="AX110" s="109" t="n">
        <f aca="false">AW113+AX63</f>
        <v>1387503.71454166</v>
      </c>
      <c r="AY110" s="109" t="n">
        <f aca="false">AX113+AY63</f>
        <v>1438494.86982104</v>
      </c>
      <c r="AZ110" s="109" t="n">
        <f aca="false">AY113+AZ63</f>
        <v>1489490.19176709</v>
      </c>
      <c r="BA110" s="109" t="n">
        <f aca="false">AZ113+BA63</f>
        <v>1540489.68037981</v>
      </c>
      <c r="BB110" s="109" t="n">
        <f aca="false">BA113+BB63</f>
        <v>1591493.33565919</v>
      </c>
      <c r="BC110" s="109" t="n">
        <f aca="false">BB113+BC63</f>
        <v>1642501.15760523</v>
      </c>
      <c r="BD110" s="109" t="n">
        <f aca="false">BC113+BD63</f>
        <v>1693513.14621795</v>
      </c>
      <c r="BE110" s="109" t="n">
        <f aca="false">BD113+BE63</f>
        <v>1744529.30149733</v>
      </c>
      <c r="BF110" s="109" t="n">
        <f aca="false">BE113+BF63</f>
        <v>1795549.62344338</v>
      </c>
      <c r="BG110" s="109" t="n">
        <f aca="false">BF113+BG63</f>
        <v>1846574.11205609</v>
      </c>
      <c r="BH110" s="109" t="n">
        <f aca="false">BG113+BH63</f>
        <v>1897602.76733547</v>
      </c>
      <c r="BI110" s="109" t="n">
        <f aca="false">BH113+BI63</f>
        <v>1948635.58928152</v>
      </c>
      <c r="BJ110" s="109" t="n">
        <f aca="false">BI113+BJ63</f>
        <v>1999672.57789424</v>
      </c>
      <c r="BK110" s="109" t="n">
        <f aca="false">BJ113+BK63</f>
        <v>2049016.01613388</v>
      </c>
      <c r="BL110" s="109" t="n">
        <f aca="false">BK113+BL63</f>
        <v>2098363.62104019</v>
      </c>
      <c r="BM110" s="109" t="n">
        <f aca="false">BL113+BM63</f>
        <v>2147715.39261317</v>
      </c>
      <c r="BN110" s="109" t="n">
        <f aca="false">BM113+BN63</f>
        <v>2197071.33085282</v>
      </c>
      <c r="BO110" s="109" t="n">
        <f aca="false">BN113+BO63</f>
        <v>2246431.43575913</v>
      </c>
      <c r="BP110" s="109" t="n">
        <f aca="false">BO113+BP63</f>
        <v>2295795.7073321</v>
      </c>
      <c r="BQ110" s="109" t="n">
        <f aca="false">BP113+BQ63</f>
        <v>2345164.14557175</v>
      </c>
      <c r="BR110" s="109" t="n">
        <f aca="false">BQ113+BR63</f>
        <v>2394536.75047806</v>
      </c>
      <c r="BS110" s="109" t="n">
        <f aca="false">BR113+BS63</f>
        <v>2443913.52205104</v>
      </c>
      <c r="BT110" s="109" t="n">
        <f aca="false">BS113+BT63</f>
        <v>2493294.46029068</v>
      </c>
      <c r="BU110" s="109" t="n">
        <f aca="false">BT113+BU63</f>
        <v>2542679.56519699</v>
      </c>
      <c r="BV110" s="109" t="n">
        <f aca="false">BU113+BV63</f>
        <v>2592068.83676997</v>
      </c>
      <c r="BW110" s="109" t="n">
        <f aca="false">BV113+BW63</f>
        <v>2639757.28545869</v>
      </c>
      <c r="BX110" s="109" t="n">
        <f aca="false">BW113+BX63</f>
        <v>2687449.90081407</v>
      </c>
      <c r="BY110" s="109" t="n">
        <f aca="false">BX113+BY63</f>
        <v>2735146.68283612</v>
      </c>
      <c r="BZ110" s="109" t="n">
        <f aca="false">BY113+BZ63</f>
        <v>2782847.63152484</v>
      </c>
      <c r="CA110" s="109" t="n">
        <f aca="false">BZ113+CA63</f>
        <v>2830552.74688022</v>
      </c>
      <c r="CB110" s="109" t="n">
        <f aca="false">CA113+CB63</f>
        <v>2878262.02890227</v>
      </c>
      <c r="CC110" s="109" t="n">
        <f aca="false">CB113+CC63</f>
        <v>2925975.47759098</v>
      </c>
      <c r="CD110" s="109" t="n">
        <f aca="false">CC113+CD63</f>
        <v>2973693.09294637</v>
      </c>
      <c r="CE110" s="109" t="n">
        <f aca="false">CD113+CE63</f>
        <v>3021414.87496842</v>
      </c>
      <c r="CF110" s="109" t="n">
        <f aca="false">CE113+CF63</f>
        <v>3069140.82365713</v>
      </c>
      <c r="CG110" s="109" t="n">
        <f aca="false">CF113+CG63</f>
        <v>3116870.93901251</v>
      </c>
      <c r="CH110" s="109" t="n">
        <f aca="false">CG113+CH63</f>
        <v>3164605.22103456</v>
      </c>
    </row>
    <row r="111" customFormat="false" ht="13.5" hidden="false" customHeight="true" outlineLevel="0" collapsed="false">
      <c r="A111" s="6" t="s">
        <v>608</v>
      </c>
      <c r="C111" s="109" t="n">
        <f aca="false">MIN(0.2*Hipótesis!$D$81,MAX(0,C110)*0.1)</f>
        <v>0</v>
      </c>
      <c r="D111" s="109" t="n">
        <f aca="false">MIN(0.2*Hipótesis!$D$81,MAX(0,D110)*0.1)</f>
        <v>0</v>
      </c>
      <c r="E111" s="109" t="n">
        <f aca="false">MIN(0.2*Hipótesis!$D$81,MAX(0,E110)*0.1)</f>
        <v>0</v>
      </c>
      <c r="F111" s="109" t="n">
        <f aca="false">MIN(0.2*Hipótesis!$D$81,MAX(0,F110)*0.1)</f>
        <v>0</v>
      </c>
      <c r="G111" s="109" t="n">
        <f aca="false">MIN(0.2*Hipótesis!$D$81,MAX(0,G110)*0.1)</f>
        <v>0</v>
      </c>
      <c r="H111" s="109" t="n">
        <f aca="false">MIN(0.2*Hipótesis!$D$81,MAX(0,H110)*0.1)</f>
        <v>0</v>
      </c>
      <c r="I111" s="109" t="n">
        <f aca="false">MIN(0.2*Hipótesis!$D$81,MAX(0,I110)*0.1)</f>
        <v>0</v>
      </c>
      <c r="J111" s="109" t="n">
        <f aca="false">MIN(0.2*Hipótesis!$D$81,MAX(0,J110)*0.1)</f>
        <v>0</v>
      </c>
      <c r="K111" s="109" t="n">
        <f aca="false">MIN(0.2*Hipótesis!$D$81,MAX(0,K110)*0.1)</f>
        <v>0</v>
      </c>
      <c r="L111" s="109" t="n">
        <f aca="false">MIN(0.2*Hipótesis!$D$81,MAX(0,L110)*0.1)</f>
        <v>0</v>
      </c>
      <c r="M111" s="109" t="n">
        <f aca="false">MIN(0.2*Hipótesis!$D$81,MAX(0,M110)*0.1)</f>
        <v>0</v>
      </c>
      <c r="N111" s="109" t="n">
        <f aca="false">MIN(0.2*Hipótesis!$D$81,MAX(0,N110)*0.1)</f>
        <v>0</v>
      </c>
      <c r="O111" s="109" t="n">
        <f aca="false">MIN(0.2*Hipótesis!$D$81,MAX(0,O110)*0.1)</f>
        <v>0</v>
      </c>
      <c r="P111" s="109" t="n">
        <f aca="false">MIN(0.2*Hipótesis!$D$81,MAX(0,P110)*0.1)</f>
        <v>0</v>
      </c>
      <c r="Q111" s="109" t="n">
        <f aca="false">MIN(0.2*Hipótesis!$D$81,MAX(0,Q110)*0.1)</f>
        <v>631.022615012774</v>
      </c>
      <c r="R111" s="109" t="n">
        <f aca="false">MIN(0.2*Hipótesis!$D$81,MAX(0,R110)*0.1)</f>
        <v>2596.16805759022</v>
      </c>
      <c r="S111" s="109" t="n">
        <f aca="false">MIN(0.2*Hipótesis!$D$81,MAX(0,S110)*0.1)</f>
        <v>4837.96666058308</v>
      </c>
      <c r="T111" s="109" t="n">
        <f aca="false">MIN(0.2*Hipótesis!$D$81,MAX(0,T110)*0.1)</f>
        <v>7356.41842399134</v>
      </c>
      <c r="U111" s="109" t="n">
        <f aca="false">MIN(0.2*Hipótesis!$D$81,MAX(0,U110)*0.1)</f>
        <v>10151.523347815</v>
      </c>
      <c r="V111" s="109" t="n">
        <f aca="false">MIN(0.2*Hipótesis!$D$81,MAX(0,V110)*0.1)</f>
        <v>12804.2391160541</v>
      </c>
      <c r="W111" s="109" t="n">
        <f aca="false">MIN(0.2*Hipótesis!$D$81,MAX(0,W110)*0.1)</f>
        <v>15733.6080447086</v>
      </c>
      <c r="X111" s="109" t="n">
        <f aca="false">MIN(0.2*Hipótesis!$D$81,MAX(0,X110)*0.1)</f>
        <v>18860.7349327371</v>
      </c>
      <c r="Y111" s="109" t="n">
        <f aca="false">MIN(0.2*Hipótesis!$D$81,MAX(0,Y110)*0.1)</f>
        <v>20006</v>
      </c>
      <c r="Z111" s="109" t="n">
        <f aca="false">MIN(0.2*Hipótesis!$D$81,MAX(0,Z110)*0.1)</f>
        <v>20006</v>
      </c>
      <c r="AA111" s="109" t="n">
        <f aca="false">MIN(0.2*Hipótesis!$D$81,MAX(0,AA110)*0.1)</f>
        <v>20006</v>
      </c>
      <c r="AB111" s="109" t="n">
        <f aca="false">MIN(0.2*Hipótesis!$D$81,MAX(0,AB110)*0.1)</f>
        <v>20006</v>
      </c>
      <c r="AC111" s="109" t="n">
        <f aca="false">MIN(0.2*Hipótesis!$D$81,MAX(0,AC110)*0.1)</f>
        <v>20006</v>
      </c>
      <c r="AD111" s="109" t="n">
        <f aca="false">MIN(0.2*Hipótesis!$D$81,MAX(0,AD110)*0.1)</f>
        <v>20006</v>
      </c>
      <c r="AE111" s="109" t="n">
        <f aca="false">MIN(0.2*Hipótesis!$D$81,MAX(0,AE110)*0.1)</f>
        <v>20006</v>
      </c>
      <c r="AF111" s="109" t="n">
        <f aca="false">MIN(0.2*Hipótesis!$D$81,MAX(0,AF110)*0.1)</f>
        <v>20006</v>
      </c>
      <c r="AG111" s="109" t="n">
        <f aca="false">MIN(0.2*Hipótesis!$D$81,MAX(0,AG110)*0.1)</f>
        <v>20006</v>
      </c>
      <c r="AH111" s="109" t="n">
        <f aca="false">MIN(0.2*Hipótesis!$D$81,MAX(0,AH110)*0.1)</f>
        <v>20006</v>
      </c>
      <c r="AI111" s="109" t="n">
        <f aca="false">MIN(0.2*Hipótesis!$D$81,MAX(0,AI110)*0.1)</f>
        <v>20006</v>
      </c>
      <c r="AJ111" s="109" t="n">
        <f aca="false">MIN(0.2*Hipótesis!$D$81,MAX(0,AJ110)*0.1)</f>
        <v>20006</v>
      </c>
      <c r="AK111" s="109" t="n">
        <f aca="false">MIN(0.2*Hipótesis!$D$81,MAX(0,AK110)*0.1)</f>
        <v>20006</v>
      </c>
      <c r="AL111" s="109" t="n">
        <f aca="false">MIN(0.2*Hipótesis!$D$81,MAX(0,AL110)*0.1)</f>
        <v>20006</v>
      </c>
      <c r="AM111" s="109" t="n">
        <f aca="false">MIN(0.2*Hipótesis!$D$81,MAX(0,AM110)*0.1)</f>
        <v>20006</v>
      </c>
      <c r="AN111" s="109" t="n">
        <f aca="false">MIN(0.2*Hipótesis!$D$81,MAX(0,AN110)*0.1)</f>
        <v>20006</v>
      </c>
      <c r="AO111" s="109" t="n">
        <f aca="false">MIN(0.2*Hipótesis!$D$81,MAX(0,AO110)*0.1)</f>
        <v>20006</v>
      </c>
      <c r="AP111" s="109" t="n">
        <f aca="false">MIN(0.2*Hipótesis!$D$81,MAX(0,AP110)*0.1)</f>
        <v>20006</v>
      </c>
      <c r="AQ111" s="109" t="n">
        <f aca="false">MIN(0.2*Hipótesis!$D$81,MAX(0,AQ110)*0.1)</f>
        <v>20006</v>
      </c>
      <c r="AR111" s="109" t="n">
        <f aca="false">MIN(0.2*Hipótesis!$D$81,MAX(0,AR110)*0.1)</f>
        <v>20006</v>
      </c>
      <c r="AS111" s="109" t="n">
        <f aca="false">MIN(0.2*Hipótesis!$D$81,MAX(0,AS110)*0.1)</f>
        <v>20006</v>
      </c>
      <c r="AT111" s="109" t="n">
        <f aca="false">MIN(0.2*Hipótesis!$D$81,MAX(0,AT110)*0.1)</f>
        <v>20006</v>
      </c>
      <c r="AU111" s="109" t="n">
        <f aca="false">MIN(0.2*Hipótesis!$D$81,MAX(0,AU110)*0.1)</f>
        <v>20006</v>
      </c>
      <c r="AV111" s="109" t="n">
        <f aca="false">MIN(0.2*Hipótesis!$D$81,MAX(0,AV110)*0.1)</f>
        <v>20006</v>
      </c>
      <c r="AW111" s="109" t="n">
        <f aca="false">MIN(0.2*Hipótesis!$D$81,MAX(0,AW110)*0.1)</f>
        <v>20006</v>
      </c>
      <c r="AX111" s="109" t="n">
        <f aca="false">MIN(0.2*Hipótesis!$D$81,MAX(0,AX110)*0.1)</f>
        <v>20006</v>
      </c>
      <c r="AY111" s="109" t="n">
        <f aca="false">MIN(0.2*Hipótesis!$D$81,MAX(0,AY110)*0.1)</f>
        <v>20006</v>
      </c>
      <c r="AZ111" s="109" t="n">
        <f aca="false">MIN(0.2*Hipótesis!$D$81,MAX(0,AZ110)*0.1)</f>
        <v>20006</v>
      </c>
      <c r="BA111" s="109" t="n">
        <f aca="false">MIN(0.2*Hipótesis!$D$81,MAX(0,BA110)*0.1)</f>
        <v>20006</v>
      </c>
      <c r="BB111" s="109" t="n">
        <f aca="false">MIN(0.2*Hipótesis!$D$81,MAX(0,BB110)*0.1)</f>
        <v>20006</v>
      </c>
      <c r="BC111" s="109" t="n">
        <f aca="false">MIN(0.2*Hipótesis!$D$81,MAX(0,BC110)*0.1)</f>
        <v>20006</v>
      </c>
      <c r="BD111" s="109" t="n">
        <f aca="false">MIN(0.2*Hipótesis!$D$81,MAX(0,BD110)*0.1)</f>
        <v>20006</v>
      </c>
      <c r="BE111" s="109" t="n">
        <f aca="false">MIN(0.2*Hipótesis!$D$81,MAX(0,BE110)*0.1)</f>
        <v>20006</v>
      </c>
      <c r="BF111" s="109" t="n">
        <f aca="false">MIN(0.2*Hipótesis!$D$81,MAX(0,BF110)*0.1)</f>
        <v>20006</v>
      </c>
      <c r="BG111" s="109" t="n">
        <f aca="false">MIN(0.2*Hipótesis!$D$81,MAX(0,BG110)*0.1)</f>
        <v>20006</v>
      </c>
      <c r="BH111" s="109" t="n">
        <f aca="false">MIN(0.2*Hipótesis!$D$81,MAX(0,BH110)*0.1)</f>
        <v>20006</v>
      </c>
      <c r="BI111" s="109" t="n">
        <f aca="false">MIN(0.2*Hipótesis!$D$81,MAX(0,BI110)*0.1)</f>
        <v>20006</v>
      </c>
      <c r="BJ111" s="109" t="n">
        <f aca="false">MIN(0.2*Hipótesis!$D$81,MAX(0,BJ110)*0.1)</f>
        <v>20006</v>
      </c>
      <c r="BK111" s="109" t="n">
        <f aca="false">MIN(0.2*Hipótesis!$D$81,MAX(0,BK110)*0.1)</f>
        <v>20006</v>
      </c>
      <c r="BL111" s="109" t="n">
        <f aca="false">MIN(0.2*Hipótesis!$D$81,MAX(0,BL110)*0.1)</f>
        <v>20006</v>
      </c>
      <c r="BM111" s="109" t="n">
        <f aca="false">MIN(0.2*Hipótesis!$D$81,MAX(0,BM110)*0.1)</f>
        <v>20006</v>
      </c>
      <c r="BN111" s="109" t="n">
        <f aca="false">MIN(0.2*Hipótesis!$D$81,MAX(0,BN110)*0.1)</f>
        <v>20006</v>
      </c>
      <c r="BO111" s="109" t="n">
        <f aca="false">MIN(0.2*Hipótesis!$D$81,MAX(0,BO110)*0.1)</f>
        <v>20006</v>
      </c>
      <c r="BP111" s="109" t="n">
        <f aca="false">MIN(0.2*Hipótesis!$D$81,MAX(0,BP110)*0.1)</f>
        <v>20006</v>
      </c>
      <c r="BQ111" s="109" t="n">
        <f aca="false">MIN(0.2*Hipótesis!$D$81,MAX(0,BQ110)*0.1)</f>
        <v>20006</v>
      </c>
      <c r="BR111" s="109" t="n">
        <f aca="false">MIN(0.2*Hipótesis!$D$81,MAX(0,BR110)*0.1)</f>
        <v>20006</v>
      </c>
      <c r="BS111" s="109" t="n">
        <f aca="false">MIN(0.2*Hipótesis!$D$81,MAX(0,BS110)*0.1)</f>
        <v>20006</v>
      </c>
      <c r="BT111" s="109" t="n">
        <f aca="false">MIN(0.2*Hipótesis!$D$81,MAX(0,BT110)*0.1)</f>
        <v>20006</v>
      </c>
      <c r="BU111" s="109" t="n">
        <f aca="false">MIN(0.2*Hipótesis!$D$81,MAX(0,BU110)*0.1)</f>
        <v>20006</v>
      </c>
      <c r="BV111" s="109" t="n">
        <f aca="false">MIN(0.2*Hipótesis!$D$81,MAX(0,BV110)*0.1)</f>
        <v>20006</v>
      </c>
      <c r="BW111" s="109" t="n">
        <f aca="false">MIN(0.2*Hipótesis!$D$81,MAX(0,BW110)*0.1)</f>
        <v>20006</v>
      </c>
      <c r="BX111" s="109" t="n">
        <f aca="false">MIN(0.2*Hipótesis!$D$81,MAX(0,BX110)*0.1)</f>
        <v>20006</v>
      </c>
      <c r="BY111" s="109" t="n">
        <f aca="false">MIN(0.2*Hipótesis!$D$81,MAX(0,BY110)*0.1)</f>
        <v>20006</v>
      </c>
      <c r="BZ111" s="109" t="n">
        <f aca="false">MIN(0.2*Hipótesis!$D$81,MAX(0,BZ110)*0.1)</f>
        <v>20006</v>
      </c>
      <c r="CA111" s="109" t="n">
        <f aca="false">MIN(0.2*Hipótesis!$D$81,MAX(0,CA110)*0.1)</f>
        <v>20006</v>
      </c>
      <c r="CB111" s="109" t="n">
        <f aca="false">MIN(0.2*Hipótesis!$D$81,MAX(0,CB110)*0.1)</f>
        <v>20006</v>
      </c>
      <c r="CC111" s="109" t="n">
        <f aca="false">MIN(0.2*Hipótesis!$D$81,MAX(0,CC110)*0.1)</f>
        <v>20006</v>
      </c>
      <c r="CD111" s="109" t="n">
        <f aca="false">MIN(0.2*Hipótesis!$D$81,MAX(0,CD110)*0.1)</f>
        <v>20006</v>
      </c>
      <c r="CE111" s="109" t="n">
        <f aca="false">MIN(0.2*Hipótesis!$D$81,MAX(0,CE110)*0.1)</f>
        <v>20006</v>
      </c>
      <c r="CF111" s="109" t="n">
        <f aca="false">MIN(0.2*Hipótesis!$D$81,MAX(0,CF110)*0.1)</f>
        <v>20006</v>
      </c>
      <c r="CG111" s="109" t="n">
        <f aca="false">MIN(0.2*Hipótesis!$D$81,MAX(0,CG110)*0.1)</f>
        <v>20006</v>
      </c>
      <c r="CH111" s="109" t="n">
        <f aca="false">MIN(0.2*Hipótesis!$D$81,MAX(0,CH110)*0.1)</f>
        <v>20006</v>
      </c>
    </row>
    <row r="112" customFormat="false" ht="13.5" hidden="false" customHeight="true" outlineLevel="0" collapsed="false">
      <c r="A112" s="22" t="s">
        <v>609</v>
      </c>
      <c r="C112" s="109" t="n">
        <f aca="false">MAX(0,C110-C111)</f>
        <v>0</v>
      </c>
      <c r="D112" s="109" t="n">
        <f aca="false">MAX(0,D110-D111)</f>
        <v>0</v>
      </c>
      <c r="E112" s="109" t="n">
        <f aca="false">MAX(0,E110-E111)</f>
        <v>0</v>
      </c>
      <c r="F112" s="109" t="n">
        <f aca="false">MAX(0,F110-F111)</f>
        <v>0</v>
      </c>
      <c r="G112" s="109" t="n">
        <f aca="false">MAX(0,G110-G111)</f>
        <v>0</v>
      </c>
      <c r="H112" s="109" t="n">
        <f aca="false">MAX(0,H110-H111)</f>
        <v>0</v>
      </c>
      <c r="I112" s="109" t="n">
        <f aca="false">MAX(0,I110-I111)</f>
        <v>0</v>
      </c>
      <c r="J112" s="109" t="n">
        <f aca="false">MAX(0,J110-J111)</f>
        <v>0</v>
      </c>
      <c r="K112" s="109" t="n">
        <f aca="false">MAX(0,K110-K111)</f>
        <v>0</v>
      </c>
      <c r="L112" s="109" t="n">
        <f aca="false">MAX(0,L110-L111)</f>
        <v>0</v>
      </c>
      <c r="M112" s="109" t="n">
        <f aca="false">MAX(0,M110-M111)</f>
        <v>0</v>
      </c>
      <c r="N112" s="109" t="n">
        <f aca="false">MAX(0,N110-N111)</f>
        <v>0</v>
      </c>
      <c r="O112" s="109" t="n">
        <f aca="false">MAX(0,O110-O111)</f>
        <v>0</v>
      </c>
      <c r="P112" s="109" t="n">
        <f aca="false">MAX(0,P110-P111)</f>
        <v>0</v>
      </c>
      <c r="Q112" s="109" t="n">
        <f aca="false">MAX(0,Q110-Q111)</f>
        <v>5679.20353511496</v>
      </c>
      <c r="R112" s="109" t="n">
        <f aca="false">MAX(0,R110-R111)</f>
        <v>23365.512518312</v>
      </c>
      <c r="S112" s="109" t="n">
        <f aca="false">MAX(0,S110-S111)</f>
        <v>43541.6999452477</v>
      </c>
      <c r="T112" s="109" t="n">
        <f aca="false">MAX(0,T110-T111)</f>
        <v>66207.7658159221</v>
      </c>
      <c r="U112" s="109" t="n">
        <f aca="false">MAX(0,U110-U111)</f>
        <v>91363.7101303351</v>
      </c>
      <c r="V112" s="109" t="n">
        <f aca="false">MAX(0,V110-V111)</f>
        <v>115238.152044487</v>
      </c>
      <c r="W112" s="109" t="n">
        <f aca="false">MAX(0,W110-W111)</f>
        <v>141602.472402377</v>
      </c>
      <c r="X112" s="109" t="n">
        <f aca="false">MAX(0,X110-X111)</f>
        <v>169746.614394634</v>
      </c>
      <c r="Y112" s="109" t="n">
        <f aca="false">MAX(0,Y110-Y111)</f>
        <v>201850.197801396</v>
      </c>
      <c r="Z112" s="109" t="n">
        <f aca="false">MAX(0,Z110-Z111)</f>
        <v>236787.376510825</v>
      </c>
      <c r="AA112" s="109" t="n">
        <f aca="false">MAX(0,AA110-AA111)</f>
        <v>271569.879952856</v>
      </c>
      <c r="AB112" s="109" t="n">
        <f aca="false">MAX(0,AB110-AB111)</f>
        <v>308045.435852512</v>
      </c>
      <c r="AC112" s="109" t="n">
        <f aca="false">MAX(0,AC110-AC111)</f>
        <v>346214.044209793</v>
      </c>
      <c r="AD112" s="109" t="n">
        <f aca="false">MAX(0,AD110-AD111)</f>
        <v>386075.7050247</v>
      </c>
      <c r="AE112" s="109" t="n">
        <f aca="false">MAX(0,AE110-AE111)</f>
        <v>427630.418297232</v>
      </c>
      <c r="AF112" s="109" t="n">
        <f aca="false">MAX(0,AF110-AF111)</f>
        <v>470878.184027388</v>
      </c>
      <c r="AG112" s="109" t="n">
        <f aca="false">MAX(0,AG110-AG111)</f>
        <v>515819.00221517</v>
      </c>
      <c r="AH112" s="109" t="n">
        <f aca="false">MAX(0,AH110-AH111)</f>
        <v>562452.872860577</v>
      </c>
      <c r="AI112" s="109" t="n">
        <f aca="false">MAX(0,AI110-AI111)</f>
        <v>608796.706516809</v>
      </c>
      <c r="AJ112" s="109" t="n">
        <f aca="false">MAX(0,AJ110-AJ111)</f>
        <v>656833.592630666</v>
      </c>
      <c r="AK112" s="109" t="n">
        <f aca="false">MAX(0,AK110-AK111)</f>
        <v>706563.531202148</v>
      </c>
      <c r="AL112" s="109" t="n">
        <f aca="false">MAX(0,AL110-AL111)</f>
        <v>757986.522231255</v>
      </c>
      <c r="AM112" s="109" t="n">
        <f aca="false">MAX(0,AM110-AM111)</f>
        <v>803169.818115471</v>
      </c>
      <c r="AN112" s="109" t="n">
        <f aca="false">MAX(0,AN110-AN111)</f>
        <v>849846.983815238</v>
      </c>
      <c r="AO112" s="109" t="n">
        <f aca="false">MAX(0,AO110-AO111)</f>
        <v>898018.019330557</v>
      </c>
      <c r="AP112" s="109" t="n">
        <f aca="false">MAX(0,AP110-AP111)</f>
        <v>947682.924661427</v>
      </c>
      <c r="AQ112" s="109" t="n">
        <f aca="false">MAX(0,AQ110-AQ111)</f>
        <v>998841.699807849</v>
      </c>
      <c r="AR112" s="109" t="n">
        <f aca="false">MAX(0,AR110-AR111)</f>
        <v>1051494.34476982</v>
      </c>
      <c r="AS112" s="109" t="n">
        <f aca="false">MAX(0,AS110-AS111)</f>
        <v>1104151.15639846</v>
      </c>
      <c r="AT112" s="109" t="n">
        <f aca="false">MAX(0,AT110-AT111)</f>
        <v>1156812.13469377</v>
      </c>
      <c r="AU112" s="109" t="n">
        <f aca="false">MAX(0,AU110-AU111)</f>
        <v>1209477.27965574</v>
      </c>
      <c r="AV112" s="109" t="n">
        <f aca="false">MAX(0,AV110-AV111)</f>
        <v>1262146.59128438</v>
      </c>
      <c r="AW112" s="109" t="n">
        <f aca="false">MAX(0,AW110-AW111)</f>
        <v>1314820.06957969</v>
      </c>
      <c r="AX112" s="109" t="n">
        <f aca="false">MAX(0,AX110-AX111)</f>
        <v>1367497.71454166</v>
      </c>
      <c r="AY112" s="109" t="n">
        <f aca="false">MAX(0,AY110-AY111)</f>
        <v>1418488.86982104</v>
      </c>
      <c r="AZ112" s="109" t="n">
        <f aca="false">MAX(0,AZ110-AZ111)</f>
        <v>1469484.19176709</v>
      </c>
      <c r="BA112" s="109" t="n">
        <f aca="false">MAX(0,BA110-BA111)</f>
        <v>1520483.68037981</v>
      </c>
      <c r="BB112" s="109" t="n">
        <f aca="false">MAX(0,BB110-BB111)</f>
        <v>1571487.33565919</v>
      </c>
      <c r="BC112" s="109" t="n">
        <f aca="false">MAX(0,BC110-BC111)</f>
        <v>1622495.15760523</v>
      </c>
      <c r="BD112" s="109" t="n">
        <f aca="false">MAX(0,BD110-BD111)</f>
        <v>1673507.14621795</v>
      </c>
      <c r="BE112" s="109" t="n">
        <f aca="false">MAX(0,BE110-BE111)</f>
        <v>1724523.30149733</v>
      </c>
      <c r="BF112" s="109" t="n">
        <f aca="false">MAX(0,BF110-BF111)</f>
        <v>1775543.62344338</v>
      </c>
      <c r="BG112" s="109" t="n">
        <f aca="false">MAX(0,BG110-BG111)</f>
        <v>1826568.11205609</v>
      </c>
      <c r="BH112" s="109" t="n">
        <f aca="false">MAX(0,BH110-BH111)</f>
        <v>1877596.76733547</v>
      </c>
      <c r="BI112" s="109" t="n">
        <f aca="false">MAX(0,BI110-BI111)</f>
        <v>1928629.58928152</v>
      </c>
      <c r="BJ112" s="109" t="n">
        <f aca="false">MAX(0,BJ110-BJ111)</f>
        <v>1979666.57789424</v>
      </c>
      <c r="BK112" s="109" t="n">
        <f aca="false">MAX(0,BK110-BK111)</f>
        <v>2029010.01613388</v>
      </c>
      <c r="BL112" s="109" t="n">
        <f aca="false">MAX(0,BL110-BL111)</f>
        <v>2078357.62104019</v>
      </c>
      <c r="BM112" s="109" t="n">
        <f aca="false">MAX(0,BM110-BM111)</f>
        <v>2127709.39261317</v>
      </c>
      <c r="BN112" s="109" t="n">
        <f aca="false">MAX(0,BN110-BN111)</f>
        <v>2177065.33085282</v>
      </c>
      <c r="BO112" s="109" t="n">
        <f aca="false">MAX(0,BO110-BO111)</f>
        <v>2226425.43575913</v>
      </c>
      <c r="BP112" s="109" t="n">
        <f aca="false">MAX(0,BP110-BP111)</f>
        <v>2275789.7073321</v>
      </c>
      <c r="BQ112" s="109" t="n">
        <f aca="false">MAX(0,BQ110-BQ111)</f>
        <v>2325158.14557175</v>
      </c>
      <c r="BR112" s="109" t="n">
        <f aca="false">MAX(0,BR110-BR111)</f>
        <v>2374530.75047806</v>
      </c>
      <c r="BS112" s="109" t="n">
        <f aca="false">MAX(0,BS110-BS111)</f>
        <v>2423907.52205104</v>
      </c>
      <c r="BT112" s="109" t="n">
        <f aca="false">MAX(0,BT110-BT111)</f>
        <v>2473288.46029068</v>
      </c>
      <c r="BU112" s="109" t="n">
        <f aca="false">MAX(0,BU110-BU111)</f>
        <v>2522673.56519699</v>
      </c>
      <c r="BV112" s="109" t="n">
        <f aca="false">MAX(0,BV110-BV111)</f>
        <v>2572062.83676997</v>
      </c>
      <c r="BW112" s="109" t="n">
        <f aca="false">MAX(0,BW110-BW111)</f>
        <v>2619751.28545869</v>
      </c>
      <c r="BX112" s="109" t="n">
        <f aca="false">MAX(0,BX110-BX111)</f>
        <v>2667443.90081407</v>
      </c>
      <c r="BY112" s="109" t="n">
        <f aca="false">MAX(0,BY110-BY111)</f>
        <v>2715140.68283612</v>
      </c>
      <c r="BZ112" s="109" t="n">
        <f aca="false">MAX(0,BZ110-BZ111)</f>
        <v>2762841.63152484</v>
      </c>
      <c r="CA112" s="109" t="n">
        <f aca="false">MAX(0,CA110-CA111)</f>
        <v>2810546.74688022</v>
      </c>
      <c r="CB112" s="109" t="n">
        <f aca="false">MAX(0,CB110-CB111)</f>
        <v>2858256.02890227</v>
      </c>
      <c r="CC112" s="109" t="n">
        <f aca="false">MAX(0,CC110-CC111)</f>
        <v>2905969.47759098</v>
      </c>
      <c r="CD112" s="109" t="n">
        <f aca="false">MAX(0,CD110-CD111)</f>
        <v>2953687.09294637</v>
      </c>
      <c r="CE112" s="109" t="n">
        <f aca="false">MAX(0,CE110-CE111)</f>
        <v>3001408.87496842</v>
      </c>
      <c r="CF112" s="109" t="n">
        <f aca="false">MAX(0,CF110-CF111)</f>
        <v>3049134.82365713</v>
      </c>
      <c r="CG112" s="109" t="n">
        <f aca="false">MAX(0,CG110-CG111)</f>
        <v>3096864.93901251</v>
      </c>
      <c r="CH112" s="109" t="n">
        <f aca="false">MAX(0,CH110-CH111)</f>
        <v>3144599.22103456</v>
      </c>
    </row>
    <row r="113" customFormat="false" ht="13.5" hidden="false" customHeight="true" outlineLevel="0" collapsed="false">
      <c r="A113" s="6" t="s">
        <v>610</v>
      </c>
      <c r="C113" s="109" t="n">
        <f aca="false">C110+C84</f>
        <v>-15189.5015906227</v>
      </c>
      <c r="D113" s="109" t="n">
        <f aca="false">D110+D84</f>
        <v>-29185.7255493596</v>
      </c>
      <c r="E113" s="109" t="n">
        <f aca="false">E110+E84</f>
        <v>-40752.3807362597</v>
      </c>
      <c r="F113" s="109" t="n">
        <f aca="false">F110+F84</f>
        <v>-51002.2036559384</v>
      </c>
      <c r="G113" s="109" t="n">
        <f aca="false">G110+G84</f>
        <v>-60015.7354356662</v>
      </c>
      <c r="H113" s="109" t="n">
        <f aca="false">H110+H84</f>
        <v>-67087.4442528786</v>
      </c>
      <c r="I113" s="109" t="n">
        <f aca="false">I110+I84</f>
        <v>-70190.3734496853</v>
      </c>
      <c r="J113" s="109" t="n">
        <f aca="false">J110+J84</f>
        <v>-69502.2958546778</v>
      </c>
      <c r="K113" s="109" t="n">
        <f aca="false">K110+K84</f>
        <v>-65528.8915504657</v>
      </c>
      <c r="L113" s="109" t="n">
        <f aca="false">L110+L84</f>
        <v>-58252.7433830359</v>
      </c>
      <c r="M113" s="109" t="n">
        <f aca="false">M110+M84</f>
        <v>-48686.1207900902</v>
      </c>
      <c r="N113" s="109" t="n">
        <f aca="false">N110+N84</f>
        <v>-36044.9475022712</v>
      </c>
      <c r="O113" s="109" t="n">
        <f aca="false">O110+O84</f>
        <v>-24693.087888959</v>
      </c>
      <c r="P113" s="109" t="n">
        <f aca="false">P110+P84</f>
        <v>-10574.6966714927</v>
      </c>
      <c r="Q113" s="109" t="n">
        <f aca="false">Q110+Q84</f>
        <v>6310.22615012774</v>
      </c>
      <c r="R113" s="109" t="n">
        <f aca="false">R110+R84</f>
        <v>25961.6805759022</v>
      </c>
      <c r="S113" s="109" t="n">
        <f aca="false">S110+S84</f>
        <v>48379.6666058308</v>
      </c>
      <c r="T113" s="109" t="n">
        <f aca="false">T110+T84</f>
        <v>73564.1842399134</v>
      </c>
      <c r="U113" s="109" t="n">
        <f aca="false">U110+U84</f>
        <v>101515.23347815</v>
      </c>
      <c r="V113" s="109" t="n">
        <f aca="false">V110+V84</f>
        <v>128042.391160541</v>
      </c>
      <c r="W113" s="109" t="n">
        <f aca="false">W110+W84</f>
        <v>157336.080447086</v>
      </c>
      <c r="X113" s="109" t="n">
        <f aca="false">X110+X84</f>
        <v>188607.349327371</v>
      </c>
      <c r="Y113" s="109" t="n">
        <f aca="false">Y110+Y84</f>
        <v>221856.197801396</v>
      </c>
      <c r="Z113" s="109" t="n">
        <f aca="false">Z110+Z84</f>
        <v>256793.376510825</v>
      </c>
      <c r="AA113" s="109" t="n">
        <f aca="false">AA110+AA84</f>
        <v>291575.879952856</v>
      </c>
      <c r="AB113" s="109" t="n">
        <f aca="false">AB110+AB84</f>
        <v>328051.435852512</v>
      </c>
      <c r="AC113" s="109" t="n">
        <f aca="false">AC110+AC84</f>
        <v>366220.044209793</v>
      </c>
      <c r="AD113" s="109" t="n">
        <f aca="false">AD110+AD84</f>
        <v>406081.7050247</v>
      </c>
      <c r="AE113" s="109" t="n">
        <f aca="false">AE110+AE84</f>
        <v>447636.418297232</v>
      </c>
      <c r="AF113" s="109" t="n">
        <f aca="false">AF110+AF84</f>
        <v>490884.184027388</v>
      </c>
      <c r="AG113" s="109" t="n">
        <f aca="false">AG110+AG84</f>
        <v>535825.00221517</v>
      </c>
      <c r="AH113" s="109" t="n">
        <f aca="false">AH110+AH84</f>
        <v>582458.872860577</v>
      </c>
      <c r="AI113" s="109" t="n">
        <f aca="false">AI110+AI84</f>
        <v>628802.706516809</v>
      </c>
      <c r="AJ113" s="109" t="n">
        <f aca="false">AJ110+AJ84</f>
        <v>676839.592630666</v>
      </c>
      <c r="AK113" s="109" t="n">
        <f aca="false">AK110+AK84</f>
        <v>726569.531202148</v>
      </c>
      <c r="AL113" s="109" t="n">
        <f aca="false">AL110+AL84</f>
        <v>777992.522231255</v>
      </c>
      <c r="AM113" s="109" t="n">
        <f aca="false">AM110+AM84</f>
        <v>823175.818115471</v>
      </c>
      <c r="AN113" s="109" t="n">
        <f aca="false">AN110+AN84</f>
        <v>869852.983815238</v>
      </c>
      <c r="AO113" s="109" t="n">
        <f aca="false">AO110+AO84</f>
        <v>918024.019330557</v>
      </c>
      <c r="AP113" s="109" t="n">
        <f aca="false">AP110+AP84</f>
        <v>967688.924661427</v>
      </c>
      <c r="AQ113" s="109" t="n">
        <f aca="false">AQ110+AQ84</f>
        <v>1018847.69980785</v>
      </c>
      <c r="AR113" s="109" t="n">
        <f aca="false">AR110+AR84</f>
        <v>1071500.34476982</v>
      </c>
      <c r="AS113" s="109" t="n">
        <f aca="false">AS110+AS84</f>
        <v>1124157.15639846</v>
      </c>
      <c r="AT113" s="109" t="n">
        <f aca="false">AT110+AT84</f>
        <v>1176818.13469377</v>
      </c>
      <c r="AU113" s="109" t="n">
        <f aca="false">AU110+AU84</f>
        <v>1229483.27965574</v>
      </c>
      <c r="AV113" s="109" t="n">
        <f aca="false">AV110+AV84</f>
        <v>1282152.59128438</v>
      </c>
      <c r="AW113" s="109" t="n">
        <f aca="false">AW110+AW84</f>
        <v>1334826.06957969</v>
      </c>
      <c r="AX113" s="109" t="n">
        <f aca="false">AX110+AX84</f>
        <v>1387503.71454166</v>
      </c>
      <c r="AY113" s="109" t="n">
        <f aca="false">AY110+AY84</f>
        <v>1438494.86982104</v>
      </c>
      <c r="AZ113" s="109" t="n">
        <f aca="false">AZ110+AZ84</f>
        <v>1489490.19176709</v>
      </c>
      <c r="BA113" s="109" t="n">
        <f aca="false">BA110+BA84</f>
        <v>1540489.68037981</v>
      </c>
      <c r="BB113" s="109" t="n">
        <f aca="false">BB110+BB84</f>
        <v>1591493.33565919</v>
      </c>
      <c r="BC113" s="109" t="n">
        <f aca="false">BC110+BC84</f>
        <v>1642501.15760523</v>
      </c>
      <c r="BD113" s="109" t="n">
        <f aca="false">BD110+BD84</f>
        <v>1693513.14621795</v>
      </c>
      <c r="BE113" s="109" t="n">
        <f aca="false">BE110+BE84</f>
        <v>1744529.30149733</v>
      </c>
      <c r="BF113" s="109" t="n">
        <f aca="false">BF110+BF84</f>
        <v>1795549.62344338</v>
      </c>
      <c r="BG113" s="109" t="n">
        <f aca="false">BG110+BG84</f>
        <v>1846574.11205609</v>
      </c>
      <c r="BH113" s="109" t="n">
        <f aca="false">BH110+BH84</f>
        <v>1897602.76733547</v>
      </c>
      <c r="BI113" s="109" t="n">
        <f aca="false">BI110+BI84</f>
        <v>1948635.58928152</v>
      </c>
      <c r="BJ113" s="109" t="n">
        <f aca="false">BJ110+BJ84</f>
        <v>1999672.57789424</v>
      </c>
      <c r="BK113" s="109" t="n">
        <f aca="false">BK110+BK84</f>
        <v>2049016.01613388</v>
      </c>
      <c r="BL113" s="109" t="n">
        <f aca="false">BL110+BL84</f>
        <v>2098363.62104019</v>
      </c>
      <c r="BM113" s="109" t="n">
        <f aca="false">BM110+BM84</f>
        <v>2147715.39261317</v>
      </c>
      <c r="BN113" s="109" t="n">
        <f aca="false">BN110+BN84</f>
        <v>2197071.33085282</v>
      </c>
      <c r="BO113" s="109" t="n">
        <f aca="false">BO110+BO84</f>
        <v>2246431.43575913</v>
      </c>
      <c r="BP113" s="109" t="n">
        <f aca="false">BP110+BP84</f>
        <v>2295795.7073321</v>
      </c>
      <c r="BQ113" s="109" t="n">
        <f aca="false">BQ110+BQ84</f>
        <v>2345164.14557175</v>
      </c>
      <c r="BR113" s="109" t="n">
        <f aca="false">BR110+BR84</f>
        <v>2394536.75047806</v>
      </c>
      <c r="BS113" s="109" t="n">
        <f aca="false">BS110+BS84</f>
        <v>2443913.52205104</v>
      </c>
      <c r="BT113" s="109" t="n">
        <f aca="false">BT110+BT84</f>
        <v>2493294.46029068</v>
      </c>
      <c r="BU113" s="109" t="n">
        <f aca="false">BU110+BU84</f>
        <v>2542679.56519699</v>
      </c>
      <c r="BV113" s="109" t="n">
        <f aca="false">BV110+BV84</f>
        <v>2592068.83676997</v>
      </c>
      <c r="BW113" s="109" t="n">
        <f aca="false">BW110+BW84</f>
        <v>2639757.28545869</v>
      </c>
      <c r="BX113" s="109" t="n">
        <f aca="false">BX110+BX84</f>
        <v>2687449.90081407</v>
      </c>
      <c r="BY113" s="109" t="n">
        <f aca="false">BY110+BY84</f>
        <v>2735146.68283612</v>
      </c>
      <c r="BZ113" s="109" t="n">
        <f aca="false">BZ110+BZ84</f>
        <v>2782847.63152484</v>
      </c>
      <c r="CA113" s="109" t="n">
        <f aca="false">CA110+CA84</f>
        <v>2830552.74688022</v>
      </c>
      <c r="CB113" s="109" t="n">
        <f aca="false">CB110+CB84</f>
        <v>2878262.02890227</v>
      </c>
      <c r="CC113" s="109" t="n">
        <f aca="false">CC110+CC84</f>
        <v>2925975.47759098</v>
      </c>
      <c r="CD113" s="109" t="n">
        <f aca="false">CD110+CD84</f>
        <v>2973693.09294637</v>
      </c>
      <c r="CE113" s="109" t="n">
        <f aca="false">CE110+CE84</f>
        <v>3021414.87496842</v>
      </c>
      <c r="CF113" s="109" t="n">
        <f aca="false">CF110+CF84</f>
        <v>3069140.82365713</v>
      </c>
      <c r="CG113" s="109" t="n">
        <f aca="false">CG110+CG84</f>
        <v>3116870.93901251</v>
      </c>
      <c r="CH113" s="109" t="n">
        <f aca="false">CH110+CH84</f>
        <v>3164605.22103456</v>
      </c>
    </row>
    <row r="114" customFormat="false" ht="13.5" hidden="false" customHeight="true" outlineLevel="0" collapsed="false">
      <c r="A114" s="6" t="s">
        <v>611</v>
      </c>
      <c r="C114" s="109" t="n">
        <f aca="false">-C84</f>
        <v>0</v>
      </c>
      <c r="D114" s="109" t="n">
        <f aca="false">C114-D84</f>
        <v>0</v>
      </c>
      <c r="E114" s="109" t="n">
        <f aca="false">D114-E84</f>
        <v>0</v>
      </c>
      <c r="F114" s="109" t="n">
        <f aca="false">E114-F84</f>
        <v>0</v>
      </c>
      <c r="G114" s="109" t="n">
        <f aca="false">F114-G84</f>
        <v>0</v>
      </c>
      <c r="H114" s="109" t="n">
        <f aca="false">G114-H84</f>
        <v>0</v>
      </c>
      <c r="I114" s="109" t="n">
        <f aca="false">H114-I84</f>
        <v>0</v>
      </c>
      <c r="J114" s="109" t="n">
        <f aca="false">I114-J84</f>
        <v>0</v>
      </c>
      <c r="K114" s="109" t="n">
        <f aca="false">J114-K84</f>
        <v>0</v>
      </c>
      <c r="L114" s="109" t="n">
        <f aca="false">K114-L84</f>
        <v>0</v>
      </c>
      <c r="M114" s="109" t="n">
        <f aca="false">L114-M84</f>
        <v>0</v>
      </c>
      <c r="N114" s="109" t="n">
        <f aca="false">M114-N84</f>
        <v>0</v>
      </c>
      <c r="O114" s="109" t="n">
        <f aca="false">N114-O84</f>
        <v>0</v>
      </c>
      <c r="P114" s="109" t="n">
        <f aca="false">O114-P84</f>
        <v>0</v>
      </c>
      <c r="Q114" s="109" t="n">
        <f aca="false">P114-Q84</f>
        <v>0</v>
      </c>
      <c r="R114" s="109" t="n">
        <f aca="false">Q114-R84</f>
        <v>0</v>
      </c>
      <c r="S114" s="109" t="n">
        <f aca="false">R114-S84</f>
        <v>0</v>
      </c>
      <c r="T114" s="109" t="n">
        <f aca="false">S114-T84</f>
        <v>0</v>
      </c>
      <c r="U114" s="109" t="n">
        <f aca="false">T114-U84</f>
        <v>0</v>
      </c>
      <c r="V114" s="109" t="n">
        <f aca="false">U114-V84</f>
        <v>0</v>
      </c>
      <c r="W114" s="109" t="n">
        <f aca="false">V114-W84</f>
        <v>0</v>
      </c>
      <c r="X114" s="109" t="n">
        <f aca="false">W114-X84</f>
        <v>0</v>
      </c>
      <c r="Y114" s="109" t="n">
        <f aca="false">X114-Y84</f>
        <v>0</v>
      </c>
      <c r="Z114" s="109" t="n">
        <f aca="false">Y114-Z84</f>
        <v>0</v>
      </c>
      <c r="AA114" s="109" t="n">
        <f aca="false">Z114-AA84</f>
        <v>0</v>
      </c>
      <c r="AB114" s="109" t="n">
        <f aca="false">AA114-AB84</f>
        <v>0</v>
      </c>
      <c r="AC114" s="109" t="n">
        <f aca="false">AB114-AC84</f>
        <v>0</v>
      </c>
      <c r="AD114" s="109" t="n">
        <f aca="false">AC114-AD84</f>
        <v>0</v>
      </c>
      <c r="AE114" s="109" t="n">
        <f aca="false">AD114-AE84</f>
        <v>0</v>
      </c>
      <c r="AF114" s="109" t="n">
        <f aca="false">AE114-AF84</f>
        <v>0</v>
      </c>
      <c r="AG114" s="109" t="n">
        <f aca="false">AF114-AG84</f>
        <v>0</v>
      </c>
      <c r="AH114" s="109" t="n">
        <f aca="false">AG114-AH84</f>
        <v>0</v>
      </c>
      <c r="AI114" s="109" t="n">
        <f aca="false">AH114-AI84</f>
        <v>0</v>
      </c>
      <c r="AJ114" s="109" t="n">
        <f aca="false">AI114-AJ84</f>
        <v>0</v>
      </c>
      <c r="AK114" s="109" t="n">
        <f aca="false">AJ114-AK84</f>
        <v>0</v>
      </c>
      <c r="AL114" s="109" t="n">
        <f aca="false">AK114-AL84</f>
        <v>0</v>
      </c>
      <c r="AM114" s="109" t="n">
        <f aca="false">AL114-AM84</f>
        <v>0</v>
      </c>
      <c r="AN114" s="109" t="n">
        <f aca="false">AM114-AN84</f>
        <v>0</v>
      </c>
      <c r="AO114" s="109" t="n">
        <f aca="false">AN114-AO84</f>
        <v>0</v>
      </c>
      <c r="AP114" s="109" t="n">
        <f aca="false">AO114-AP84</f>
        <v>0</v>
      </c>
      <c r="AQ114" s="109" t="n">
        <f aca="false">AP114-AQ84</f>
        <v>0</v>
      </c>
      <c r="AR114" s="109" t="n">
        <f aca="false">AQ114-AR84</f>
        <v>0</v>
      </c>
      <c r="AS114" s="109" t="n">
        <f aca="false">AR114-AS84</f>
        <v>0</v>
      </c>
      <c r="AT114" s="109" t="n">
        <f aca="false">AS114-AT84</f>
        <v>0</v>
      </c>
      <c r="AU114" s="109" t="n">
        <f aca="false">AT114-AU84</f>
        <v>0</v>
      </c>
      <c r="AV114" s="109" t="n">
        <f aca="false">AU114-AV84</f>
        <v>0</v>
      </c>
      <c r="AW114" s="109" t="n">
        <f aca="false">AV114-AW84</f>
        <v>0</v>
      </c>
      <c r="AX114" s="109" t="n">
        <f aca="false">AW114-AX84</f>
        <v>0</v>
      </c>
      <c r="AY114" s="109" t="n">
        <f aca="false">AX114-AY84</f>
        <v>0</v>
      </c>
      <c r="AZ114" s="109" t="n">
        <f aca="false">AY114-AZ84</f>
        <v>0</v>
      </c>
      <c r="BA114" s="109" t="n">
        <f aca="false">AZ114-BA84</f>
        <v>0</v>
      </c>
      <c r="BB114" s="109" t="n">
        <f aca="false">BA114-BB84</f>
        <v>0</v>
      </c>
      <c r="BC114" s="109" t="n">
        <f aca="false">BB114-BC84</f>
        <v>0</v>
      </c>
      <c r="BD114" s="109" t="n">
        <f aca="false">BC114-BD84</f>
        <v>0</v>
      </c>
      <c r="BE114" s="109" t="n">
        <f aca="false">BD114-BE84</f>
        <v>0</v>
      </c>
      <c r="BF114" s="109" t="n">
        <f aca="false">BE114-BF84</f>
        <v>0</v>
      </c>
      <c r="BG114" s="109" t="n">
        <f aca="false">BF114-BG84</f>
        <v>0</v>
      </c>
      <c r="BH114" s="109" t="n">
        <f aca="false">BG114-BH84</f>
        <v>0</v>
      </c>
      <c r="BI114" s="109" t="n">
        <f aca="false">BH114-BI84</f>
        <v>0</v>
      </c>
      <c r="BJ114" s="109" t="n">
        <f aca="false">BI114-BJ84</f>
        <v>0</v>
      </c>
      <c r="BK114" s="109" t="n">
        <f aca="false">BJ114-BK84</f>
        <v>0</v>
      </c>
      <c r="BL114" s="109" t="n">
        <f aca="false">BK114-BL84</f>
        <v>0</v>
      </c>
      <c r="BM114" s="109" t="n">
        <f aca="false">BL114-BM84</f>
        <v>0</v>
      </c>
      <c r="BN114" s="109" t="n">
        <f aca="false">BM114-BN84</f>
        <v>0</v>
      </c>
      <c r="BO114" s="109" t="n">
        <f aca="false">BN114-BO84</f>
        <v>0</v>
      </c>
      <c r="BP114" s="109" t="n">
        <f aca="false">BO114-BP84</f>
        <v>0</v>
      </c>
      <c r="BQ114" s="109" t="n">
        <f aca="false">BP114-BQ84</f>
        <v>0</v>
      </c>
      <c r="BR114" s="109" t="n">
        <f aca="false">BQ114-BR84</f>
        <v>0</v>
      </c>
      <c r="BS114" s="109" t="n">
        <f aca="false">BR114-BS84</f>
        <v>0</v>
      </c>
      <c r="BT114" s="109" t="n">
        <f aca="false">BS114-BT84</f>
        <v>0</v>
      </c>
      <c r="BU114" s="109" t="n">
        <f aca="false">BT114-BU84</f>
        <v>0</v>
      </c>
      <c r="BV114" s="109" t="n">
        <f aca="false">BU114-BV84</f>
        <v>0</v>
      </c>
      <c r="BW114" s="109" t="n">
        <f aca="false">BV114-BW84</f>
        <v>0</v>
      </c>
      <c r="BX114" s="109" t="n">
        <f aca="false">BW114-BX84</f>
        <v>0</v>
      </c>
      <c r="BY114" s="109" t="n">
        <f aca="false">BX114-BY84</f>
        <v>0</v>
      </c>
      <c r="BZ114" s="109" t="n">
        <f aca="false">BY114-BZ84</f>
        <v>0</v>
      </c>
      <c r="CA114" s="109" t="n">
        <f aca="false">BZ114-CA84</f>
        <v>0</v>
      </c>
      <c r="CB114" s="109" t="n">
        <f aca="false">CA114-CB84</f>
        <v>0</v>
      </c>
      <c r="CC114" s="109" t="n">
        <f aca="false">CB114-CC84</f>
        <v>0</v>
      </c>
      <c r="CD114" s="109" t="n">
        <f aca="false">CC114-CD84</f>
        <v>0</v>
      </c>
      <c r="CE114" s="109" t="n">
        <f aca="false">CD114-CE84</f>
        <v>0</v>
      </c>
      <c r="CF114" s="109" t="n">
        <f aca="false">CE114-CF84</f>
        <v>0</v>
      </c>
      <c r="CG114" s="109" t="n">
        <f aca="false">CF114-CG84</f>
        <v>0</v>
      </c>
      <c r="CH114" s="109" t="n">
        <f aca="false">CG114-CH84</f>
        <v>0</v>
      </c>
    </row>
    <row r="115" customFormat="false" ht="13.5" hidden="false" customHeight="true" outlineLevel="0" collapsed="false">
      <c r="A115" s="6" t="s">
        <v>612</v>
      </c>
      <c r="C115" s="109" t="n">
        <f aca="false">-C83</f>
        <v>0</v>
      </c>
      <c r="D115" s="109" t="n">
        <f aca="false">C115-D83</f>
        <v>0</v>
      </c>
      <c r="E115" s="109" t="n">
        <f aca="false">D115-E83</f>
        <v>0</v>
      </c>
      <c r="F115" s="109" t="n">
        <f aca="false">E115-F83</f>
        <v>0</v>
      </c>
      <c r="G115" s="109" t="n">
        <f aca="false">F115-G83</f>
        <v>0</v>
      </c>
      <c r="H115" s="109" t="n">
        <f aca="false">G115-H83</f>
        <v>0</v>
      </c>
      <c r="I115" s="109" t="n">
        <f aca="false">H115-I83</f>
        <v>0</v>
      </c>
      <c r="J115" s="109" t="n">
        <f aca="false">I115-J83</f>
        <v>0</v>
      </c>
      <c r="K115" s="109" t="n">
        <f aca="false">J115-K83</f>
        <v>0</v>
      </c>
      <c r="L115" s="109" t="n">
        <f aca="false">K115-L83</f>
        <v>0</v>
      </c>
      <c r="M115" s="109" t="n">
        <f aca="false">L115-M83</f>
        <v>0</v>
      </c>
      <c r="N115" s="109" t="n">
        <f aca="false">M115-N83</f>
        <v>0</v>
      </c>
      <c r="O115" s="109" t="n">
        <f aca="false">N115-O83</f>
        <v>0</v>
      </c>
      <c r="P115" s="109" t="n">
        <f aca="false">O115-P83</f>
        <v>0</v>
      </c>
      <c r="Q115" s="109" t="n">
        <f aca="false">P115-Q83</f>
        <v>0</v>
      </c>
      <c r="R115" s="109" t="n">
        <f aca="false">Q115-R83</f>
        <v>0</v>
      </c>
      <c r="S115" s="109" t="n">
        <f aca="false">R115-S83</f>
        <v>0</v>
      </c>
      <c r="T115" s="109" t="n">
        <f aca="false">S115-T83</f>
        <v>0</v>
      </c>
      <c r="U115" s="109" t="n">
        <f aca="false">T115-U83</f>
        <v>0</v>
      </c>
      <c r="V115" s="109" t="n">
        <f aca="false">U115-V83</f>
        <v>0</v>
      </c>
      <c r="W115" s="109" t="n">
        <f aca="false">V115-W83</f>
        <v>0</v>
      </c>
      <c r="X115" s="109" t="n">
        <f aca="false">W115-X83</f>
        <v>0</v>
      </c>
      <c r="Y115" s="109" t="n">
        <f aca="false">X115-Y83</f>
        <v>0</v>
      </c>
      <c r="Z115" s="109" t="n">
        <f aca="false">Y115-Z83</f>
        <v>0</v>
      </c>
      <c r="AA115" s="109" t="n">
        <f aca="false">Z115-AA83</f>
        <v>0</v>
      </c>
      <c r="AB115" s="109" t="n">
        <f aca="false">AA115-AB83</f>
        <v>0</v>
      </c>
      <c r="AC115" s="109" t="n">
        <f aca="false">AB115-AC83</f>
        <v>0</v>
      </c>
      <c r="AD115" s="109" t="n">
        <f aca="false">AC115-AD83</f>
        <v>0</v>
      </c>
      <c r="AE115" s="109" t="n">
        <f aca="false">AD115-AE83</f>
        <v>0</v>
      </c>
      <c r="AF115" s="109" t="n">
        <f aca="false">AE115-AF83</f>
        <v>0</v>
      </c>
      <c r="AG115" s="109" t="n">
        <f aca="false">AF115-AG83</f>
        <v>0</v>
      </c>
      <c r="AH115" s="109" t="n">
        <f aca="false">AG115-AH83</f>
        <v>0</v>
      </c>
      <c r="AI115" s="109" t="n">
        <f aca="false">AH115-AI83</f>
        <v>0</v>
      </c>
      <c r="AJ115" s="109" t="n">
        <f aca="false">AI115-AJ83</f>
        <v>0</v>
      </c>
      <c r="AK115" s="109" t="n">
        <f aca="false">AJ115-AK83</f>
        <v>0</v>
      </c>
      <c r="AL115" s="109" t="n">
        <f aca="false">AK115-AL83</f>
        <v>0</v>
      </c>
      <c r="AM115" s="109" t="n">
        <f aca="false">AL115-AM83</f>
        <v>0</v>
      </c>
      <c r="AN115" s="109" t="n">
        <f aca="false">AM115-AN83</f>
        <v>0</v>
      </c>
      <c r="AO115" s="109" t="n">
        <f aca="false">AN115-AO83</f>
        <v>0</v>
      </c>
      <c r="AP115" s="109" t="n">
        <f aca="false">AO115-AP83</f>
        <v>0</v>
      </c>
      <c r="AQ115" s="109" t="n">
        <f aca="false">AP115-AQ83</f>
        <v>0</v>
      </c>
      <c r="AR115" s="109" t="n">
        <f aca="false">AQ115-AR83</f>
        <v>0</v>
      </c>
      <c r="AS115" s="109" t="n">
        <f aca="false">AR115-AS83</f>
        <v>0</v>
      </c>
      <c r="AT115" s="109" t="n">
        <f aca="false">AS115-AT83</f>
        <v>0</v>
      </c>
      <c r="AU115" s="109" t="n">
        <f aca="false">AT115-AU83</f>
        <v>0</v>
      </c>
      <c r="AV115" s="109" t="n">
        <f aca="false">AU115-AV83</f>
        <v>0</v>
      </c>
      <c r="AW115" s="109" t="n">
        <f aca="false">AV115-AW83</f>
        <v>0</v>
      </c>
      <c r="AX115" s="109" t="n">
        <f aca="false">AW115-AX83</f>
        <v>243804.476924163</v>
      </c>
      <c r="AY115" s="109" t="n">
        <f aca="false">AX115-AY83</f>
        <v>243804.476924163</v>
      </c>
      <c r="AZ115" s="109" t="n">
        <f aca="false">AY115-AZ83</f>
        <v>243804.476924163</v>
      </c>
      <c r="BA115" s="109" t="n">
        <f aca="false">AZ115-BA83</f>
        <v>243804.476924163</v>
      </c>
      <c r="BB115" s="109" t="n">
        <f aca="false">BA115-BB83</f>
        <v>243804.476924163</v>
      </c>
      <c r="BC115" s="109" t="n">
        <f aca="false">BB115-BC83</f>
        <v>243804.476924163</v>
      </c>
      <c r="BD115" s="109" t="n">
        <f aca="false">BC115-BD83</f>
        <v>243804.476924163</v>
      </c>
      <c r="BE115" s="109" t="n">
        <f aca="false">BD115-BE83</f>
        <v>243804.476924163</v>
      </c>
      <c r="BF115" s="109" t="n">
        <f aca="false">BE115-BF83</f>
        <v>243804.476924163</v>
      </c>
      <c r="BG115" s="109" t="n">
        <f aca="false">BF115-BG83</f>
        <v>243804.476924163</v>
      </c>
      <c r="BH115" s="109" t="n">
        <f aca="false">BG115-BH83</f>
        <v>243804.476924163</v>
      </c>
      <c r="BI115" s="109" t="n">
        <f aca="false">BH115-BI83</f>
        <v>243804.476924163</v>
      </c>
      <c r="BJ115" s="109" t="n">
        <f aca="false">BI115-BJ83</f>
        <v>488672.022265193</v>
      </c>
      <c r="BK115" s="109" t="n">
        <f aca="false">BJ115-BK83</f>
        <v>488672.022265193</v>
      </c>
      <c r="BL115" s="109" t="n">
        <f aca="false">BK115-BL83</f>
        <v>488672.022265193</v>
      </c>
      <c r="BM115" s="109" t="n">
        <f aca="false">BL115-BM83</f>
        <v>488672.022265193</v>
      </c>
      <c r="BN115" s="109" t="n">
        <f aca="false">BM115-BN83</f>
        <v>488672.022265193</v>
      </c>
      <c r="BO115" s="109" t="n">
        <f aca="false">BN115-BO83</f>
        <v>488672.022265193</v>
      </c>
      <c r="BP115" s="109" t="n">
        <f aca="false">BO115-BP83</f>
        <v>488672.022265193</v>
      </c>
      <c r="BQ115" s="109" t="n">
        <f aca="false">BP115-BQ83</f>
        <v>488672.022265193</v>
      </c>
      <c r="BR115" s="109" t="n">
        <f aca="false">BQ115-BR83</f>
        <v>488672.022265193</v>
      </c>
      <c r="BS115" s="109" t="n">
        <f aca="false">BR115-BS83</f>
        <v>488672.022265193</v>
      </c>
      <c r="BT115" s="109" t="n">
        <f aca="false">BS115-BT83</f>
        <v>488672.022265193</v>
      </c>
      <c r="BU115" s="109" t="n">
        <f aca="false">BT115-BU83</f>
        <v>488672.022265193</v>
      </c>
      <c r="BV115" s="109" t="n">
        <f aca="false">BU115-BV83</f>
        <v>725630.525815487</v>
      </c>
      <c r="BW115" s="109" t="n">
        <f aca="false">BV115-BW83</f>
        <v>725630.525815487</v>
      </c>
      <c r="BX115" s="109" t="n">
        <f aca="false">BW115-BX83</f>
        <v>725630.525815487</v>
      </c>
      <c r="BY115" s="109" t="n">
        <f aca="false">BX115-BY83</f>
        <v>725630.525815487</v>
      </c>
      <c r="BZ115" s="109" t="n">
        <f aca="false">BY115-BZ83</f>
        <v>725630.525815487</v>
      </c>
      <c r="CA115" s="109" t="n">
        <f aca="false">BZ115-CA83</f>
        <v>725630.525815487</v>
      </c>
      <c r="CB115" s="109" t="n">
        <f aca="false">CA115-CB83</f>
        <v>725630.525815487</v>
      </c>
      <c r="CC115" s="109" t="n">
        <f aca="false">CB115-CC83</f>
        <v>725630.525815487</v>
      </c>
      <c r="CD115" s="109" t="n">
        <f aca="false">CC115-CD83</f>
        <v>725630.525815487</v>
      </c>
      <c r="CE115" s="109" t="n">
        <f aca="false">CD115-CE83</f>
        <v>725630.525815487</v>
      </c>
      <c r="CF115" s="109" t="n">
        <f aca="false">CE115-CF83</f>
        <v>725630.525815487</v>
      </c>
      <c r="CG115" s="109" t="n">
        <f aca="false">CF115-CG83</f>
        <v>725630.525815487</v>
      </c>
      <c r="CH115" s="109" t="n">
        <f aca="false">CG115-CH83</f>
        <v>954645.079521324</v>
      </c>
    </row>
    <row r="116" customFormat="false" ht="13.5" hidden="false" customHeight="true" outlineLevel="0" collapsed="false">
      <c r="A116" s="6" t="s">
        <v>613</v>
      </c>
      <c r="C116" s="109" t="n">
        <f aca="false">Hipótesis!$C$44*(1-Hipótesis!$D$83)</f>
        <v>1540</v>
      </c>
      <c r="D116" s="109" t="n">
        <f aca="false">Hipótesis!$C$44*(1-Hipótesis!$D$83)</f>
        <v>1540</v>
      </c>
      <c r="E116" s="109" t="n">
        <f aca="false">Hipótesis!$C$44*(1-Hipótesis!$D$83)</f>
        <v>1540</v>
      </c>
      <c r="F116" s="109" t="n">
        <f aca="false">Hipótesis!$C$44*(1-Hipótesis!$D$83)</f>
        <v>1540</v>
      </c>
      <c r="G116" s="109" t="n">
        <f aca="false">Hipótesis!$C$44*(1-Hipótesis!$D$83)</f>
        <v>1540</v>
      </c>
      <c r="H116" s="109" t="n">
        <f aca="false">Hipótesis!$C$44*(1-Hipótesis!$D$83)</f>
        <v>1540</v>
      </c>
      <c r="I116" s="109" t="n">
        <f aca="false">Hipótesis!$C$44*(1-Hipótesis!$D$83)</f>
        <v>1540</v>
      </c>
      <c r="J116" s="109" t="n">
        <f aca="false">Hipótesis!$C$44*(1-Hipótesis!$D$83)</f>
        <v>1540</v>
      </c>
      <c r="K116" s="109" t="n">
        <f aca="false">Hipótesis!$C$44*(1-Hipótesis!$D$83)</f>
        <v>1540</v>
      </c>
      <c r="L116" s="109" t="n">
        <f aca="false">Hipótesis!$C$44*(1-Hipótesis!$D$83)</f>
        <v>1540</v>
      </c>
      <c r="M116" s="109" t="n">
        <f aca="false">Hipótesis!$C$44*(1-Hipótesis!$D$83)</f>
        <v>1540</v>
      </c>
      <c r="N116" s="109" t="n">
        <f aca="false">Hipótesis!$C$44*(1-Hipótesis!$D$83)</f>
        <v>1540</v>
      </c>
      <c r="O116" s="109" t="n">
        <f aca="false">Hipótesis!$D$44*(1-Hipótesis!$D$83)</f>
        <v>2450</v>
      </c>
      <c r="P116" s="109" t="n">
        <f aca="false">Hipótesis!$D$44*(1-Hipótesis!$D$83)</f>
        <v>2450</v>
      </c>
      <c r="Q116" s="109" t="n">
        <f aca="false">Hipótesis!$D$44*(1-Hipótesis!$D$83)</f>
        <v>2450</v>
      </c>
      <c r="R116" s="109" t="n">
        <f aca="false">Hipótesis!$D$44*(1-Hipótesis!$D$83)</f>
        <v>2450</v>
      </c>
      <c r="S116" s="109" t="n">
        <f aca="false">Hipótesis!$D$44*(1-Hipótesis!$D$83)</f>
        <v>2450</v>
      </c>
      <c r="T116" s="109" t="n">
        <f aca="false">Hipótesis!$D$44*(1-Hipótesis!$D$83)</f>
        <v>2450</v>
      </c>
      <c r="U116" s="109" t="n">
        <f aca="false">Hipótesis!$D$44*(1-Hipótesis!$D$83)</f>
        <v>2450</v>
      </c>
      <c r="V116" s="109" t="n">
        <f aca="false">Hipótesis!$D$44*(1-Hipótesis!$D$83)</f>
        <v>2450</v>
      </c>
      <c r="W116" s="109" t="n">
        <f aca="false">Hipótesis!$D$44*(1-Hipótesis!$D$83)</f>
        <v>2450</v>
      </c>
      <c r="X116" s="109" t="n">
        <f aca="false">Hipótesis!$D$44*(1-Hipótesis!$D$83)</f>
        <v>2450</v>
      </c>
      <c r="Y116" s="109" t="n">
        <f aca="false">Hipótesis!$D$44*(1-Hipótesis!$D$83)</f>
        <v>2450</v>
      </c>
      <c r="Z116" s="109" t="n">
        <f aca="false">Hipótesis!$D$44*(1-Hipótesis!$D$83)</f>
        <v>2450</v>
      </c>
      <c r="AA116" s="109" t="n">
        <f aca="false">Hipótesis!$E$44*(1-Hipótesis!$D$83)</f>
        <v>2800</v>
      </c>
      <c r="AB116" s="109" t="n">
        <f aca="false">Hipótesis!$E$44*(1-Hipótesis!$D$83)</f>
        <v>2800</v>
      </c>
      <c r="AC116" s="109" t="n">
        <f aca="false">Hipótesis!$E$44*(1-Hipótesis!$D$83)</f>
        <v>2800</v>
      </c>
      <c r="AD116" s="109" t="n">
        <f aca="false">Hipótesis!$E$44*(1-Hipótesis!$D$83)</f>
        <v>2800</v>
      </c>
      <c r="AE116" s="109" t="n">
        <f aca="false">Hipótesis!$E$44*(1-Hipótesis!$D$83)</f>
        <v>2800</v>
      </c>
      <c r="AF116" s="109" t="n">
        <f aca="false">Hipótesis!$E$44*(1-Hipótesis!$D$83)</f>
        <v>2800</v>
      </c>
      <c r="AG116" s="109" t="n">
        <f aca="false">Hipótesis!$E$44*(1-Hipótesis!$D$83)</f>
        <v>2800</v>
      </c>
      <c r="AH116" s="109" t="n">
        <f aca="false">Hipótesis!$E$44*(1-Hipótesis!$D$83)</f>
        <v>2800</v>
      </c>
      <c r="AI116" s="109" t="n">
        <f aca="false">Hipótesis!$E$44*(1-Hipótesis!$D$83)</f>
        <v>2800</v>
      </c>
      <c r="AJ116" s="109" t="n">
        <f aca="false">Hipótesis!$E$44*(1-Hipótesis!$D$83)</f>
        <v>2800</v>
      </c>
      <c r="AK116" s="109" t="n">
        <f aca="false">Hipótesis!$E$44*(1-Hipótesis!$D$83)</f>
        <v>2800</v>
      </c>
      <c r="AL116" s="109" t="n">
        <f aca="false">Hipótesis!$E$44*(1-Hipótesis!$D$83)</f>
        <v>2800</v>
      </c>
      <c r="AM116" s="109" t="n">
        <f aca="false">Hipótesis!$F$44*(1-Hipótesis!$D$83)</f>
        <v>3150</v>
      </c>
      <c r="AN116" s="109" t="n">
        <f aca="false">Hipótesis!$F$44*(1-Hipótesis!$D$83)</f>
        <v>3150</v>
      </c>
      <c r="AO116" s="109" t="n">
        <f aca="false">Hipótesis!$F$44*(1-Hipótesis!$D$83)</f>
        <v>3150</v>
      </c>
      <c r="AP116" s="109" t="n">
        <f aca="false">Hipótesis!$F$44*(1-Hipótesis!$D$83)</f>
        <v>3150</v>
      </c>
      <c r="AQ116" s="109" t="n">
        <f aca="false">Hipótesis!$F$44*(1-Hipótesis!$D$83)</f>
        <v>3150</v>
      </c>
      <c r="AR116" s="109" t="n">
        <f aca="false">Hipótesis!$F$44*(1-Hipótesis!$D$83)</f>
        <v>3150</v>
      </c>
      <c r="AS116" s="109" t="n">
        <f aca="false">Hipótesis!$F$44*(1-Hipótesis!$D$83)</f>
        <v>3150</v>
      </c>
      <c r="AT116" s="109" t="n">
        <f aca="false">Hipótesis!$F$44*(1-Hipótesis!$D$83)</f>
        <v>3150</v>
      </c>
      <c r="AU116" s="109" t="n">
        <f aca="false">Hipótesis!$F$44*(1-Hipótesis!$D$83)</f>
        <v>3150</v>
      </c>
      <c r="AV116" s="109" t="n">
        <f aca="false">Hipótesis!$F$44*(1-Hipótesis!$D$83)</f>
        <v>3150</v>
      </c>
      <c r="AW116" s="109" t="n">
        <f aca="false">Hipótesis!$F$44*(1-Hipótesis!$D$83)</f>
        <v>3150</v>
      </c>
      <c r="AX116" s="109" t="n">
        <f aca="false">Hipótesis!$F$44*(1-Hipótesis!$D$83)</f>
        <v>3150</v>
      </c>
      <c r="AY116" s="109" t="n">
        <f aca="false">Hipótesis!$G$44*(1-Hipótesis!$D$83)</f>
        <v>3500</v>
      </c>
      <c r="AZ116" s="109" t="n">
        <f aca="false">Hipótesis!$G$44*(1-Hipótesis!$D$83)</f>
        <v>3500</v>
      </c>
      <c r="BA116" s="109" t="n">
        <f aca="false">Hipótesis!$G$44*(1-Hipótesis!$D$83)</f>
        <v>3500</v>
      </c>
      <c r="BB116" s="109" t="n">
        <f aca="false">Hipótesis!$G$44*(1-Hipótesis!$D$83)</f>
        <v>3500</v>
      </c>
      <c r="BC116" s="109" t="n">
        <f aca="false">Hipótesis!$G$44*(1-Hipótesis!$D$83)</f>
        <v>3500</v>
      </c>
      <c r="BD116" s="109" t="n">
        <f aca="false">Hipótesis!$G$44*(1-Hipótesis!$D$83)</f>
        <v>3500</v>
      </c>
      <c r="BE116" s="109" t="n">
        <f aca="false">Hipótesis!$G$44*(1-Hipótesis!$D$83)</f>
        <v>3500</v>
      </c>
      <c r="BF116" s="109" t="n">
        <f aca="false">Hipótesis!$G$44*(1-Hipótesis!$D$83)</f>
        <v>3500</v>
      </c>
      <c r="BG116" s="109" t="n">
        <f aca="false">Hipótesis!$G$44*(1-Hipótesis!$D$83)</f>
        <v>3500</v>
      </c>
      <c r="BH116" s="109" t="n">
        <f aca="false">Hipótesis!$G$44*(1-Hipótesis!$D$83)</f>
        <v>3500</v>
      </c>
      <c r="BI116" s="109" t="n">
        <f aca="false">Hipótesis!$G$44*(1-Hipótesis!$D$83)</f>
        <v>3500</v>
      </c>
      <c r="BJ116" s="109" t="n">
        <f aca="false">Hipótesis!$G$44*(1-Hipótesis!$D$83)</f>
        <v>3500</v>
      </c>
      <c r="BK116" s="109" t="n">
        <f aca="false">Hipótesis!$H$44*(1-Hipótesis!$D$83)</f>
        <v>3850</v>
      </c>
      <c r="BL116" s="109" t="n">
        <f aca="false">Hipótesis!$H$44*(1-Hipótesis!$D$83)</f>
        <v>3850</v>
      </c>
      <c r="BM116" s="109" t="n">
        <f aca="false">Hipótesis!$H$44*(1-Hipótesis!$D$83)</f>
        <v>3850</v>
      </c>
      <c r="BN116" s="109" t="n">
        <f aca="false">Hipótesis!$H$44*(1-Hipótesis!$D$83)</f>
        <v>3850</v>
      </c>
      <c r="BO116" s="109" t="n">
        <f aca="false">Hipótesis!$H$44*(1-Hipótesis!$D$83)</f>
        <v>3850</v>
      </c>
      <c r="BP116" s="109" t="n">
        <f aca="false">Hipótesis!$H$44*(1-Hipótesis!$D$83)</f>
        <v>3850</v>
      </c>
      <c r="BQ116" s="109" t="n">
        <f aca="false">Hipótesis!$H$44*(1-Hipótesis!$D$83)</f>
        <v>3850</v>
      </c>
      <c r="BR116" s="109" t="n">
        <f aca="false">Hipótesis!$H$44*(1-Hipótesis!$D$83)</f>
        <v>3850</v>
      </c>
      <c r="BS116" s="109" t="n">
        <f aca="false">Hipótesis!$H$44*(1-Hipótesis!$D$83)</f>
        <v>3850</v>
      </c>
      <c r="BT116" s="109" t="n">
        <f aca="false">Hipótesis!$H$44*(1-Hipótesis!$D$83)</f>
        <v>3850</v>
      </c>
      <c r="BU116" s="109" t="n">
        <f aca="false">Hipótesis!$H$44*(1-Hipótesis!$D$83)</f>
        <v>3850</v>
      </c>
      <c r="BV116" s="109" t="n">
        <f aca="false">Hipótesis!$H$44*(1-Hipótesis!$D$83)</f>
        <v>3850</v>
      </c>
      <c r="BW116" s="109" t="n">
        <f aca="false">Hipótesis!$I$44*(1-Hipótesis!$D$83)</f>
        <v>4200</v>
      </c>
      <c r="BX116" s="109" t="n">
        <f aca="false">Hipótesis!$I$44*(1-Hipótesis!$D$83)</f>
        <v>4200</v>
      </c>
      <c r="BY116" s="109" t="n">
        <f aca="false">Hipótesis!$I$44*(1-Hipótesis!$D$83)</f>
        <v>4200</v>
      </c>
      <c r="BZ116" s="109" t="n">
        <f aca="false">Hipótesis!$I$44*(1-Hipótesis!$D$83)</f>
        <v>4200</v>
      </c>
      <c r="CA116" s="109" t="n">
        <f aca="false">Hipótesis!$I$44*(1-Hipótesis!$D$83)</f>
        <v>4200</v>
      </c>
      <c r="CB116" s="109" t="n">
        <f aca="false">Hipótesis!$I$44*(1-Hipótesis!$D$83)</f>
        <v>4200</v>
      </c>
      <c r="CC116" s="109" t="n">
        <f aca="false">Hipótesis!$I$44*(1-Hipótesis!$D$83)</f>
        <v>4200</v>
      </c>
      <c r="CD116" s="109" t="n">
        <f aca="false">Hipótesis!$I$44*(1-Hipótesis!$D$83)</f>
        <v>4200</v>
      </c>
      <c r="CE116" s="109" t="n">
        <f aca="false">Hipótesis!$I$44*(1-Hipótesis!$D$83)</f>
        <v>4200</v>
      </c>
      <c r="CF116" s="109" t="n">
        <f aca="false">Hipótesis!$I$44*(1-Hipótesis!$D$83)</f>
        <v>4200</v>
      </c>
      <c r="CG116" s="109" t="n">
        <f aca="false">Hipótesis!$I$44*(1-Hipótesis!$D$83)</f>
        <v>4200</v>
      </c>
      <c r="CH116" s="109" t="n">
        <f aca="false">Hipótesis!$I$44*(1-Hipótesis!$D$83)</f>
        <v>4200</v>
      </c>
    </row>
    <row r="117" customFormat="false" ht="13.5" hidden="false" customHeight="true" outlineLevel="0" collapsed="false">
      <c r="A117" s="6" t="s">
        <v>614</v>
      </c>
      <c r="C117" s="109" t="n">
        <f aca="false">-C84*Hipótesis!$D$82*(1-Hipótesis!$D$84)</f>
        <v>0</v>
      </c>
      <c r="D117" s="109" t="n">
        <f aca="false">-D84*Hipótesis!$D$82*(1-Hipótesis!$D$84)</f>
        <v>0</v>
      </c>
      <c r="E117" s="109" t="n">
        <f aca="false">-E84*Hipótesis!$D$82*(1-Hipótesis!$D$84)</f>
        <v>0</v>
      </c>
      <c r="F117" s="109" t="n">
        <f aca="false">-F84*Hipótesis!$D$82*(1-Hipótesis!$D$84)</f>
        <v>0</v>
      </c>
      <c r="G117" s="109" t="n">
        <f aca="false">-G84*Hipótesis!$D$82*(1-Hipótesis!$D$84)</f>
        <v>0</v>
      </c>
      <c r="H117" s="109" t="n">
        <f aca="false">-H84*Hipótesis!$D$82*(1-Hipótesis!$D$84)</f>
        <v>0</v>
      </c>
      <c r="I117" s="109" t="n">
        <f aca="false">-I84*Hipótesis!$D$82*(1-Hipótesis!$D$84)</f>
        <v>0</v>
      </c>
      <c r="J117" s="109" t="n">
        <f aca="false">-J84*Hipótesis!$D$82*(1-Hipótesis!$D$84)</f>
        <v>0</v>
      </c>
      <c r="K117" s="109" t="n">
        <f aca="false">-K84*Hipótesis!$D$82*(1-Hipótesis!$D$84)</f>
        <v>0</v>
      </c>
      <c r="L117" s="109" t="n">
        <f aca="false">-L84*Hipótesis!$D$82*(1-Hipótesis!$D$84)</f>
        <v>0</v>
      </c>
      <c r="M117" s="109" t="n">
        <f aca="false">-M84*Hipótesis!$D$82*(1-Hipótesis!$D$84)</f>
        <v>0</v>
      </c>
      <c r="N117" s="109" t="n">
        <f aca="false">-N84*Hipótesis!$D$82*(1-Hipótesis!$D$84)</f>
        <v>0</v>
      </c>
      <c r="O117" s="109" t="n">
        <f aca="false">-O84*Hipótesis!$D$82*(1-Hipótesis!$D$84)</f>
        <v>0</v>
      </c>
      <c r="P117" s="109" t="n">
        <f aca="false">-P84*Hipótesis!$D$82*(1-Hipótesis!$D$84)</f>
        <v>0</v>
      </c>
      <c r="Q117" s="109" t="n">
        <f aca="false">-Q84*Hipótesis!$D$82*(1-Hipótesis!$D$84)</f>
        <v>0</v>
      </c>
      <c r="R117" s="109" t="n">
        <f aca="false">-R84*Hipótesis!$D$82*(1-Hipótesis!$D$84)</f>
        <v>0</v>
      </c>
      <c r="S117" s="109" t="n">
        <f aca="false">-S84*Hipótesis!$D$82*(1-Hipótesis!$D$84)</f>
        <v>0</v>
      </c>
      <c r="T117" s="109" t="n">
        <f aca="false">-T84*Hipótesis!$D$82*(1-Hipótesis!$D$84)</f>
        <v>0</v>
      </c>
      <c r="U117" s="109" t="n">
        <f aca="false">-U84*Hipótesis!$D$82*(1-Hipótesis!$D$84)</f>
        <v>0</v>
      </c>
      <c r="V117" s="109" t="n">
        <f aca="false">-V84*Hipótesis!$D$82*(1-Hipótesis!$D$84)</f>
        <v>0</v>
      </c>
      <c r="W117" s="109" t="n">
        <f aca="false">-W84*Hipótesis!$D$82*(1-Hipótesis!$D$84)</f>
        <v>0</v>
      </c>
      <c r="X117" s="109" t="n">
        <f aca="false">-X84*Hipótesis!$D$82*(1-Hipótesis!$D$84)</f>
        <v>0</v>
      </c>
      <c r="Y117" s="109" t="n">
        <f aca="false">-Y84*Hipótesis!$D$82*(1-Hipótesis!$D$84)</f>
        <v>0</v>
      </c>
      <c r="Z117" s="109" t="n">
        <f aca="false">-Z84*Hipótesis!$D$82*(1-Hipótesis!$D$84)</f>
        <v>0</v>
      </c>
      <c r="AA117" s="109" t="n">
        <f aca="false">-AA84*Hipótesis!$D$82*(1-Hipótesis!$D$84)</f>
        <v>0</v>
      </c>
      <c r="AB117" s="109" t="n">
        <f aca="false">-AB84*Hipótesis!$D$82*(1-Hipótesis!$D$84)</f>
        <v>0</v>
      </c>
      <c r="AC117" s="109" t="n">
        <f aca="false">-AC84*Hipótesis!$D$82*(1-Hipótesis!$D$84)</f>
        <v>0</v>
      </c>
      <c r="AD117" s="109" t="n">
        <f aca="false">-AD84*Hipótesis!$D$82*(1-Hipótesis!$D$84)</f>
        <v>0</v>
      </c>
      <c r="AE117" s="109" t="n">
        <f aca="false">-AE84*Hipótesis!$D$82*(1-Hipótesis!$D$84)</f>
        <v>0</v>
      </c>
      <c r="AF117" s="109" t="n">
        <f aca="false">-AF84*Hipótesis!$D$82*(1-Hipótesis!$D$84)</f>
        <v>0</v>
      </c>
      <c r="AG117" s="109" t="n">
        <f aca="false">-AG84*Hipótesis!$D$82*(1-Hipótesis!$D$84)</f>
        <v>0</v>
      </c>
      <c r="AH117" s="109" t="n">
        <f aca="false">-AH84*Hipótesis!$D$82*(1-Hipótesis!$D$84)</f>
        <v>0</v>
      </c>
      <c r="AI117" s="109" t="n">
        <f aca="false">-AI84*Hipótesis!$D$82*(1-Hipótesis!$D$84)</f>
        <v>0</v>
      </c>
      <c r="AJ117" s="109" t="n">
        <f aca="false">-AJ84*Hipótesis!$D$82*(1-Hipótesis!$D$84)</f>
        <v>0</v>
      </c>
      <c r="AK117" s="109" t="n">
        <f aca="false">-AK84*Hipótesis!$D$82*(1-Hipótesis!$D$84)</f>
        <v>0</v>
      </c>
      <c r="AL117" s="109" t="n">
        <f aca="false">-AL84*Hipótesis!$D$82*(1-Hipótesis!$D$84)</f>
        <v>0</v>
      </c>
      <c r="AM117" s="109" t="n">
        <f aca="false">-AM84*Hipótesis!$D$82*(1-Hipótesis!$D$84)</f>
        <v>0</v>
      </c>
      <c r="AN117" s="109" t="n">
        <f aca="false">-AN84*Hipótesis!$D$82*(1-Hipótesis!$D$84)</f>
        <v>0</v>
      </c>
      <c r="AO117" s="109" t="n">
        <f aca="false">-AO84*Hipótesis!$D$82*(1-Hipótesis!$D$84)</f>
        <v>0</v>
      </c>
      <c r="AP117" s="109" t="n">
        <f aca="false">-AP84*Hipótesis!$D$82*(1-Hipótesis!$D$84)</f>
        <v>0</v>
      </c>
      <c r="AQ117" s="109" t="n">
        <f aca="false">-AQ84*Hipótesis!$D$82*(1-Hipótesis!$D$84)</f>
        <v>0</v>
      </c>
      <c r="AR117" s="109" t="n">
        <f aca="false">-AR84*Hipótesis!$D$82*(1-Hipótesis!$D$84)</f>
        <v>0</v>
      </c>
      <c r="AS117" s="109" t="n">
        <f aca="false">-AS84*Hipótesis!$D$82*(1-Hipótesis!$D$84)</f>
        <v>0</v>
      </c>
      <c r="AT117" s="109" t="n">
        <f aca="false">-AT84*Hipótesis!$D$82*(1-Hipótesis!$D$84)</f>
        <v>0</v>
      </c>
      <c r="AU117" s="109" t="n">
        <f aca="false">-AU84*Hipótesis!$D$82*(1-Hipótesis!$D$84)</f>
        <v>0</v>
      </c>
      <c r="AV117" s="109" t="n">
        <f aca="false">-AV84*Hipótesis!$D$82*(1-Hipótesis!$D$84)</f>
        <v>0</v>
      </c>
      <c r="AW117" s="109" t="n">
        <f aca="false">-AW84*Hipótesis!$D$82*(1-Hipótesis!$D$84)</f>
        <v>0</v>
      </c>
      <c r="AX117" s="109" t="n">
        <f aca="false">-AX84*Hipótesis!$D$82*(1-Hipótesis!$D$84)</f>
        <v>0</v>
      </c>
      <c r="AY117" s="109" t="n">
        <f aca="false">-AY84*Hipótesis!$D$82*(1-Hipótesis!$D$84)</f>
        <v>0</v>
      </c>
      <c r="AZ117" s="109" t="n">
        <f aca="false">-AZ84*Hipótesis!$D$82*(1-Hipótesis!$D$84)</f>
        <v>0</v>
      </c>
      <c r="BA117" s="109" t="n">
        <f aca="false">-BA84*Hipótesis!$D$82*(1-Hipótesis!$D$84)</f>
        <v>0</v>
      </c>
      <c r="BB117" s="109" t="n">
        <f aca="false">-BB84*Hipótesis!$D$82*(1-Hipótesis!$D$84)</f>
        <v>0</v>
      </c>
      <c r="BC117" s="109" t="n">
        <f aca="false">-BC84*Hipótesis!$D$82*(1-Hipótesis!$D$84)</f>
        <v>0</v>
      </c>
      <c r="BD117" s="109" t="n">
        <f aca="false">-BD84*Hipótesis!$D$82*(1-Hipótesis!$D$84)</f>
        <v>0</v>
      </c>
      <c r="BE117" s="109" t="n">
        <f aca="false">-BE84*Hipótesis!$D$82*(1-Hipótesis!$D$84)</f>
        <v>0</v>
      </c>
      <c r="BF117" s="109" t="n">
        <f aca="false">-BF84*Hipótesis!$D$82*(1-Hipótesis!$D$84)</f>
        <v>0</v>
      </c>
      <c r="BG117" s="109" t="n">
        <f aca="false">-BG84*Hipótesis!$D$82*(1-Hipótesis!$D$84)</f>
        <v>0</v>
      </c>
      <c r="BH117" s="109" t="n">
        <f aca="false">-BH84*Hipótesis!$D$82*(1-Hipótesis!$D$84)</f>
        <v>0</v>
      </c>
      <c r="BI117" s="109" t="n">
        <f aca="false">-BI84*Hipótesis!$D$82*(1-Hipótesis!$D$84)</f>
        <v>0</v>
      </c>
      <c r="BJ117" s="109" t="n">
        <f aca="false">-BJ84*Hipótesis!$D$82*(1-Hipótesis!$D$84)</f>
        <v>0</v>
      </c>
      <c r="BK117" s="109" t="n">
        <f aca="false">-BK84*Hipótesis!$D$82*(1-Hipótesis!$D$84)</f>
        <v>0</v>
      </c>
      <c r="BL117" s="109" t="n">
        <f aca="false">-BL84*Hipótesis!$D$82*(1-Hipótesis!$D$84)</f>
        <v>0</v>
      </c>
      <c r="BM117" s="109" t="n">
        <f aca="false">-BM84*Hipótesis!$D$82*(1-Hipótesis!$D$84)</f>
        <v>0</v>
      </c>
      <c r="BN117" s="109" t="n">
        <f aca="false">-BN84*Hipótesis!$D$82*(1-Hipótesis!$D$84)</f>
        <v>0</v>
      </c>
      <c r="BO117" s="109" t="n">
        <f aca="false">-BO84*Hipótesis!$D$82*(1-Hipótesis!$D$84)</f>
        <v>0</v>
      </c>
      <c r="BP117" s="109" t="n">
        <f aca="false">-BP84*Hipótesis!$D$82*(1-Hipótesis!$D$84)</f>
        <v>0</v>
      </c>
      <c r="BQ117" s="109" t="n">
        <f aca="false">-BQ84*Hipótesis!$D$82*(1-Hipótesis!$D$84)</f>
        <v>0</v>
      </c>
      <c r="BR117" s="109" t="n">
        <f aca="false">-BR84*Hipótesis!$D$82*(1-Hipótesis!$D$84)</f>
        <v>0</v>
      </c>
      <c r="BS117" s="109" t="n">
        <f aca="false">-BS84*Hipótesis!$D$82*(1-Hipótesis!$D$84)</f>
        <v>0</v>
      </c>
      <c r="BT117" s="109" t="n">
        <f aca="false">-BT84*Hipótesis!$D$82*(1-Hipótesis!$D$84)</f>
        <v>0</v>
      </c>
      <c r="BU117" s="109" t="n">
        <f aca="false">-BU84*Hipótesis!$D$82*(1-Hipótesis!$D$84)</f>
        <v>0</v>
      </c>
      <c r="BV117" s="109" t="n">
        <f aca="false">-BV84*Hipótesis!$D$82*(1-Hipótesis!$D$84)</f>
        <v>0</v>
      </c>
      <c r="BW117" s="109" t="n">
        <f aca="false">-BW84*Hipótesis!$D$82*(1-Hipótesis!$D$84)</f>
        <v>0</v>
      </c>
      <c r="BX117" s="109" t="n">
        <f aca="false">-BX84*Hipótesis!$D$82*(1-Hipótesis!$D$84)</f>
        <v>0</v>
      </c>
      <c r="BY117" s="109" t="n">
        <f aca="false">-BY84*Hipótesis!$D$82*(1-Hipótesis!$D$84)</f>
        <v>0</v>
      </c>
      <c r="BZ117" s="109" t="n">
        <f aca="false">-BZ84*Hipótesis!$D$82*(1-Hipótesis!$D$84)</f>
        <v>0</v>
      </c>
      <c r="CA117" s="109" t="n">
        <f aca="false">-CA84*Hipótesis!$D$82*(1-Hipótesis!$D$84)</f>
        <v>0</v>
      </c>
      <c r="CB117" s="109" t="n">
        <f aca="false">-CB84*Hipótesis!$D$82*(1-Hipótesis!$D$84)</f>
        <v>0</v>
      </c>
      <c r="CC117" s="109" t="n">
        <f aca="false">-CC84*Hipótesis!$D$82*(1-Hipótesis!$D$84)</f>
        <v>0</v>
      </c>
      <c r="CD117" s="109" t="n">
        <f aca="false">-CD84*Hipótesis!$D$82*(1-Hipótesis!$D$84)</f>
        <v>0</v>
      </c>
      <c r="CE117" s="109" t="n">
        <f aca="false">-CE84*Hipótesis!$D$82*(1-Hipótesis!$D$84)</f>
        <v>0</v>
      </c>
      <c r="CF117" s="109" t="n">
        <f aca="false">-CF84*Hipótesis!$D$82*(1-Hipótesis!$D$84)</f>
        <v>0</v>
      </c>
      <c r="CG117" s="109" t="n">
        <f aca="false">-CG84*Hipótesis!$D$82*(1-Hipótesis!$D$84)</f>
        <v>0</v>
      </c>
      <c r="CH117" s="109" t="n">
        <f aca="false">-CH84*Hipótesis!$D$82*(1-Hipótesis!$D$84)</f>
        <v>0</v>
      </c>
    </row>
    <row r="118" customFormat="false" ht="13.5" hidden="false" customHeight="true" outlineLevel="0" collapsed="false">
      <c r="A118" s="22" t="s">
        <v>615</v>
      </c>
      <c r="C118" s="109" t="n">
        <f aca="false">C116+C117</f>
        <v>1540</v>
      </c>
      <c r="D118" s="109" t="n">
        <f aca="false">D116+D117</f>
        <v>1540</v>
      </c>
      <c r="E118" s="109" t="n">
        <f aca="false">E116+E117</f>
        <v>1540</v>
      </c>
      <c r="F118" s="109" t="n">
        <f aca="false">F116+F117</f>
        <v>1540</v>
      </c>
      <c r="G118" s="109" t="n">
        <f aca="false">G116+G117</f>
        <v>1540</v>
      </c>
      <c r="H118" s="109" t="n">
        <f aca="false">H116+H117</f>
        <v>1540</v>
      </c>
      <c r="I118" s="109" t="n">
        <f aca="false">I116+I117</f>
        <v>1540</v>
      </c>
      <c r="J118" s="109" t="n">
        <f aca="false">J116+J117</f>
        <v>1540</v>
      </c>
      <c r="K118" s="109" t="n">
        <f aca="false">K116+K117</f>
        <v>1540</v>
      </c>
      <c r="L118" s="109" t="n">
        <f aca="false">L116+L117</f>
        <v>1540</v>
      </c>
      <c r="M118" s="109" t="n">
        <f aca="false">M116+M117</f>
        <v>1540</v>
      </c>
      <c r="N118" s="109" t="n">
        <f aca="false">N116+N117</f>
        <v>1540</v>
      </c>
      <c r="O118" s="109" t="n">
        <f aca="false">O116+O117</f>
        <v>2450</v>
      </c>
      <c r="P118" s="109" t="n">
        <f aca="false">P116+P117</f>
        <v>2450</v>
      </c>
      <c r="Q118" s="109" t="n">
        <f aca="false">Q116+Q117</f>
        <v>2450</v>
      </c>
      <c r="R118" s="109" t="n">
        <f aca="false">R116+R117</f>
        <v>2450</v>
      </c>
      <c r="S118" s="109" t="n">
        <f aca="false">S116+S117</f>
        <v>2450</v>
      </c>
      <c r="T118" s="109" t="n">
        <f aca="false">T116+T117</f>
        <v>2450</v>
      </c>
      <c r="U118" s="109" t="n">
        <f aca="false">U116+U117</f>
        <v>2450</v>
      </c>
      <c r="V118" s="109" t="n">
        <f aca="false">V116+V117</f>
        <v>2450</v>
      </c>
      <c r="W118" s="109" t="n">
        <f aca="false">W116+W117</f>
        <v>2450</v>
      </c>
      <c r="X118" s="109" t="n">
        <f aca="false">X116+X117</f>
        <v>2450</v>
      </c>
      <c r="Y118" s="109" t="n">
        <f aca="false">Y116+Y117</f>
        <v>2450</v>
      </c>
      <c r="Z118" s="109" t="n">
        <f aca="false">Z116+Z117</f>
        <v>2450</v>
      </c>
      <c r="AA118" s="109" t="n">
        <f aca="false">AA116+AA117</f>
        <v>2800</v>
      </c>
      <c r="AB118" s="109" t="n">
        <f aca="false">AB116+AB117</f>
        <v>2800</v>
      </c>
      <c r="AC118" s="109" t="n">
        <f aca="false">AC116+AC117</f>
        <v>2800</v>
      </c>
      <c r="AD118" s="109" t="n">
        <f aca="false">AD116+AD117</f>
        <v>2800</v>
      </c>
      <c r="AE118" s="109" t="n">
        <f aca="false">AE116+AE117</f>
        <v>2800</v>
      </c>
      <c r="AF118" s="109" t="n">
        <f aca="false">AF116+AF117</f>
        <v>2800</v>
      </c>
      <c r="AG118" s="109" t="n">
        <f aca="false">AG116+AG117</f>
        <v>2800</v>
      </c>
      <c r="AH118" s="109" t="n">
        <f aca="false">AH116+AH117</f>
        <v>2800</v>
      </c>
      <c r="AI118" s="109" t="n">
        <f aca="false">AI116+AI117</f>
        <v>2800</v>
      </c>
      <c r="AJ118" s="109" t="n">
        <f aca="false">AJ116+AJ117</f>
        <v>2800</v>
      </c>
      <c r="AK118" s="109" t="n">
        <f aca="false">AK116+AK117</f>
        <v>2800</v>
      </c>
      <c r="AL118" s="109" t="n">
        <f aca="false">AL116+AL117</f>
        <v>2800</v>
      </c>
      <c r="AM118" s="109" t="n">
        <f aca="false">AM116+AM117</f>
        <v>3150</v>
      </c>
      <c r="AN118" s="109" t="n">
        <f aca="false">AN116+AN117</f>
        <v>3150</v>
      </c>
      <c r="AO118" s="109" t="n">
        <f aca="false">AO116+AO117</f>
        <v>3150</v>
      </c>
      <c r="AP118" s="109" t="n">
        <f aca="false">AP116+AP117</f>
        <v>3150</v>
      </c>
      <c r="AQ118" s="109" t="n">
        <f aca="false">AQ116+AQ117</f>
        <v>3150</v>
      </c>
      <c r="AR118" s="109" t="n">
        <f aca="false">AR116+AR117</f>
        <v>3150</v>
      </c>
      <c r="AS118" s="109" t="n">
        <f aca="false">AS116+AS117</f>
        <v>3150</v>
      </c>
      <c r="AT118" s="109" t="n">
        <f aca="false">AT116+AT117</f>
        <v>3150</v>
      </c>
      <c r="AU118" s="109" t="n">
        <f aca="false">AU116+AU117</f>
        <v>3150</v>
      </c>
      <c r="AV118" s="109" t="n">
        <f aca="false">AV116+AV117</f>
        <v>3150</v>
      </c>
      <c r="AW118" s="109" t="n">
        <f aca="false">AW116+AW117</f>
        <v>3150</v>
      </c>
      <c r="AX118" s="109" t="n">
        <f aca="false">AX116+AX117</f>
        <v>3150</v>
      </c>
      <c r="AY118" s="109" t="n">
        <f aca="false">AY116+AY117</f>
        <v>3500</v>
      </c>
      <c r="AZ118" s="109" t="n">
        <f aca="false">AZ116+AZ117</f>
        <v>3500</v>
      </c>
      <c r="BA118" s="109" t="n">
        <f aca="false">BA116+BA117</f>
        <v>3500</v>
      </c>
      <c r="BB118" s="109" t="n">
        <f aca="false">BB116+BB117</f>
        <v>3500</v>
      </c>
      <c r="BC118" s="109" t="n">
        <f aca="false">BC116+BC117</f>
        <v>3500</v>
      </c>
      <c r="BD118" s="109" t="n">
        <f aca="false">BD116+BD117</f>
        <v>3500</v>
      </c>
      <c r="BE118" s="109" t="n">
        <f aca="false">BE116+BE117</f>
        <v>3500</v>
      </c>
      <c r="BF118" s="109" t="n">
        <f aca="false">BF116+BF117</f>
        <v>3500</v>
      </c>
      <c r="BG118" s="109" t="n">
        <f aca="false">BG116+BG117</f>
        <v>3500</v>
      </c>
      <c r="BH118" s="109" t="n">
        <f aca="false">BH116+BH117</f>
        <v>3500</v>
      </c>
      <c r="BI118" s="109" t="n">
        <f aca="false">BI116+BI117</f>
        <v>3500</v>
      </c>
      <c r="BJ118" s="109" t="n">
        <f aca="false">BJ116+BJ117</f>
        <v>3500</v>
      </c>
      <c r="BK118" s="109" t="n">
        <f aca="false">BK116+BK117</f>
        <v>3850</v>
      </c>
      <c r="BL118" s="109" t="n">
        <f aca="false">BL116+BL117</f>
        <v>3850</v>
      </c>
      <c r="BM118" s="109" t="n">
        <f aca="false">BM116+BM117</f>
        <v>3850</v>
      </c>
      <c r="BN118" s="109" t="n">
        <f aca="false">BN116+BN117</f>
        <v>3850</v>
      </c>
      <c r="BO118" s="109" t="n">
        <f aca="false">BO116+BO117</f>
        <v>3850</v>
      </c>
      <c r="BP118" s="109" t="n">
        <f aca="false">BP116+BP117</f>
        <v>3850</v>
      </c>
      <c r="BQ118" s="109" t="n">
        <f aca="false">BQ116+BQ117</f>
        <v>3850</v>
      </c>
      <c r="BR118" s="109" t="n">
        <f aca="false">BR116+BR117</f>
        <v>3850</v>
      </c>
      <c r="BS118" s="109" t="n">
        <f aca="false">BS116+BS117</f>
        <v>3850</v>
      </c>
      <c r="BT118" s="109" t="n">
        <f aca="false">BT116+BT117</f>
        <v>3850</v>
      </c>
      <c r="BU118" s="109" t="n">
        <f aca="false">BU116+BU117</f>
        <v>3850</v>
      </c>
      <c r="BV118" s="109" t="n">
        <f aca="false">BV116+BV117</f>
        <v>3850</v>
      </c>
      <c r="BW118" s="109" t="n">
        <f aca="false">BW116+BW117</f>
        <v>4200</v>
      </c>
      <c r="BX118" s="109" t="n">
        <f aca="false">BX116+BX117</f>
        <v>4200</v>
      </c>
      <c r="BY118" s="109" t="n">
        <f aca="false">BY116+BY117</f>
        <v>4200</v>
      </c>
      <c r="BZ118" s="109" t="n">
        <f aca="false">BZ116+BZ117</f>
        <v>4200</v>
      </c>
      <c r="CA118" s="109" t="n">
        <f aca="false">CA116+CA117</f>
        <v>4200</v>
      </c>
      <c r="CB118" s="109" t="n">
        <f aca="false">CB116+CB117</f>
        <v>4200</v>
      </c>
      <c r="CC118" s="109" t="n">
        <f aca="false">CC116+CC117</f>
        <v>4200</v>
      </c>
      <c r="CD118" s="109" t="n">
        <f aca="false">CD116+CD117</f>
        <v>4200</v>
      </c>
      <c r="CE118" s="109" t="n">
        <f aca="false">CE116+CE117</f>
        <v>4200</v>
      </c>
      <c r="CF118" s="109" t="n">
        <f aca="false">CF116+CF117</f>
        <v>4200</v>
      </c>
      <c r="CG118" s="109" t="n">
        <f aca="false">CG116+CG117</f>
        <v>4200</v>
      </c>
      <c r="CH118" s="109" t="n">
        <f aca="false">CH116+CH117</f>
        <v>4200</v>
      </c>
    </row>
    <row r="119" customFormat="false" ht="13.5" hidden="false" customHeight="true" outlineLevel="0" collapsed="false"/>
    <row r="120" customFormat="false" ht="12.75" hidden="false" customHeight="true" outlineLevel="0" collapsed="false">
      <c r="A120" s="9" t="s">
        <v>616</v>
      </c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  <c r="BP120" s="9"/>
      <c r="BQ120" s="9"/>
      <c r="BR120" s="9"/>
      <c r="BS120" s="9"/>
      <c r="BT120" s="9"/>
      <c r="BU120" s="9"/>
      <c r="BV120" s="9"/>
      <c r="BW120" s="9"/>
      <c r="BX120" s="9"/>
      <c r="BY120" s="9"/>
      <c r="BZ120" s="9"/>
      <c r="CA120" s="9"/>
      <c r="CB120" s="9"/>
      <c r="CC120" s="9"/>
      <c r="CD120" s="9"/>
      <c r="CE120" s="9"/>
      <c r="CF120" s="9"/>
      <c r="CG120" s="9"/>
      <c r="CH120" s="9"/>
    </row>
    <row r="121" customFormat="false" ht="12.75" hidden="false" customHeight="true" outlineLevel="0" collapsed="false">
      <c r="A121" s="22" t="s">
        <v>617</v>
      </c>
      <c r="B121" s="121" t="n">
        <f aca="false">-Hipótesis!$D$93</f>
        <v>-100000</v>
      </c>
      <c r="C121" s="121" t="n">
        <f aca="false">C93+IF(Hipótesis!$D$94=5,IF(C$3=Hipótesis!$D$124,$C$158,0),IF(C$3=84,$C$134,0))</f>
        <v>0</v>
      </c>
      <c r="D121" s="121" t="n">
        <f aca="false">D93+IF(Hipótesis!$D$94=5,IF(D$3=Hipótesis!$D$124,$C$158,0),IF(D$3=84,$C$134,0))</f>
        <v>0</v>
      </c>
      <c r="E121" s="121" t="n">
        <f aca="false">E93+IF(Hipótesis!$D$94=5,IF(E$3=Hipótesis!$D$124,$C$158,0),IF(E$3=84,$C$134,0))</f>
        <v>0</v>
      </c>
      <c r="F121" s="121" t="n">
        <f aca="false">F93+IF(Hipótesis!$D$94=5,IF(F$3=Hipótesis!$D$124,$C$158,0),IF(F$3=84,$C$134,0))</f>
        <v>0</v>
      </c>
      <c r="G121" s="121" t="n">
        <f aca="false">G93+IF(Hipótesis!$D$94=5,IF(G$3=Hipótesis!$D$124,$C$158,0),IF(G$3=84,$C$134,0))</f>
        <v>0</v>
      </c>
      <c r="H121" s="121" t="n">
        <f aca="false">H93+IF(Hipótesis!$D$94=5,IF(H$3=Hipótesis!$D$124,$C$158,0),IF(H$3=84,$C$134,0))</f>
        <v>0</v>
      </c>
      <c r="I121" s="121" t="n">
        <f aca="false">I93+IF(Hipótesis!$D$94=5,IF(I$3=Hipótesis!$D$124,$C$158,0),IF(I$3=84,$C$134,0))</f>
        <v>0</v>
      </c>
      <c r="J121" s="121" t="n">
        <f aca="false">J93+IF(Hipótesis!$D$94=5,IF(J$3=Hipótesis!$D$124,$C$158,0),IF(J$3=84,$C$134,0))</f>
        <v>0</v>
      </c>
      <c r="K121" s="121" t="n">
        <f aca="false">K93+IF(Hipótesis!$D$94=5,IF(K$3=Hipótesis!$D$124,$C$158,0),IF(K$3=84,$C$134,0))</f>
        <v>0</v>
      </c>
      <c r="L121" s="121" t="n">
        <f aca="false">L93+IF(Hipótesis!$D$94=5,IF(L$3=Hipótesis!$D$124,$C$158,0),IF(L$3=84,$C$134,0))</f>
        <v>0</v>
      </c>
      <c r="M121" s="121" t="n">
        <f aca="false">M93+IF(Hipótesis!$D$94=5,IF(M$3=Hipótesis!$D$124,$C$158,0),IF(M$3=84,$C$134,0))</f>
        <v>0</v>
      </c>
      <c r="N121" s="121" t="n">
        <f aca="false">N93+IF(Hipótesis!$D$94=5,IF(N$3=Hipótesis!$D$124,$C$158,0),IF(N$3=84,$C$134,0))</f>
        <v>0</v>
      </c>
      <c r="O121" s="121" t="n">
        <f aca="false">O93+IF(Hipótesis!$D$94=5,IF(O$3=Hipótesis!$D$124,$C$158,0),IF(O$3=84,$C$134,0))</f>
        <v>0</v>
      </c>
      <c r="P121" s="121" t="n">
        <f aca="false">P93+IF(Hipótesis!$D$94=5,IF(P$3=Hipótesis!$D$124,$C$158,0),IF(P$3=84,$C$134,0))</f>
        <v>0</v>
      </c>
      <c r="Q121" s="121" t="n">
        <f aca="false">Q93+IF(Hipótesis!$D$94=5,IF(Q$3=Hipótesis!$D$124,$C$158,0),IF(Q$3=84,$C$134,0))</f>
        <v>0</v>
      </c>
      <c r="R121" s="121" t="n">
        <f aca="false">R93+IF(Hipótesis!$D$94=5,IF(R$3=Hipótesis!$D$124,$C$158,0),IF(R$3=84,$C$134,0))</f>
        <v>0</v>
      </c>
      <c r="S121" s="121" t="n">
        <f aca="false">S93+IF(Hipótesis!$D$94=5,IF(S$3=Hipótesis!$D$124,$C$158,0),IF(S$3=84,$C$134,0))</f>
        <v>0</v>
      </c>
      <c r="T121" s="121" t="n">
        <f aca="false">T93+IF(Hipótesis!$D$94=5,IF(T$3=Hipótesis!$D$124,$C$158,0),IF(T$3=84,$C$134,0))</f>
        <v>0</v>
      </c>
      <c r="U121" s="121" t="n">
        <f aca="false">U93+IF(Hipótesis!$D$94=5,IF(U$3=Hipótesis!$D$124,$C$158,0),IF(U$3=84,$C$134,0))</f>
        <v>0</v>
      </c>
      <c r="V121" s="121" t="n">
        <f aca="false">V93+IF(Hipótesis!$D$94=5,IF(V$3=Hipótesis!$D$124,$C$158,0),IF(V$3=84,$C$134,0))</f>
        <v>0</v>
      </c>
      <c r="W121" s="121" t="n">
        <f aca="false">W93+IF(Hipótesis!$D$94=5,IF(W$3=Hipótesis!$D$124,$C$158,0),IF(W$3=84,$C$134,0))</f>
        <v>0</v>
      </c>
      <c r="X121" s="121" t="n">
        <f aca="false">X93+IF(Hipótesis!$D$94=5,IF(X$3=Hipótesis!$D$124,$C$158,0),IF(X$3=84,$C$134,0))</f>
        <v>0</v>
      </c>
      <c r="Y121" s="121" t="n">
        <f aca="false">Y93+IF(Hipótesis!$D$94=5,IF(Y$3=Hipótesis!$D$124,$C$158,0),IF(Y$3=84,$C$134,0))</f>
        <v>0</v>
      </c>
      <c r="Z121" s="121" t="n">
        <f aca="false">Z93+IF(Hipótesis!$D$94=5,IF(Z$3=Hipótesis!$D$124,$C$158,0),IF(Z$3=84,$C$134,0))</f>
        <v>0</v>
      </c>
      <c r="AA121" s="121" t="n">
        <f aca="false">AA93+IF(Hipótesis!$D$94=5,IF(AA$3=Hipótesis!$D$124,$C$158,0),IF(AA$3=84,$C$134,0))</f>
        <v>0</v>
      </c>
      <c r="AB121" s="121" t="n">
        <f aca="false">AB93+IF(Hipótesis!$D$94=5,IF(AB$3=Hipótesis!$D$124,$C$158,0),IF(AB$3=84,$C$134,0))</f>
        <v>0</v>
      </c>
      <c r="AC121" s="121" t="n">
        <f aca="false">AC93+IF(Hipótesis!$D$94=5,IF(AC$3=Hipótesis!$D$124,$C$158,0),IF(AC$3=84,$C$134,0))</f>
        <v>0</v>
      </c>
      <c r="AD121" s="121" t="n">
        <f aca="false">AD93+IF(Hipótesis!$D$94=5,IF(AD$3=Hipótesis!$D$124,$C$158,0),IF(AD$3=84,$C$134,0))</f>
        <v>0</v>
      </c>
      <c r="AE121" s="121" t="n">
        <f aca="false">AE93+IF(Hipótesis!$D$94=5,IF(AE$3=Hipótesis!$D$124,$C$158,0),IF(AE$3=84,$C$134,0))</f>
        <v>0</v>
      </c>
      <c r="AF121" s="121" t="n">
        <f aca="false">AF93+IF(Hipótesis!$D$94=5,IF(AF$3=Hipótesis!$D$124,$C$158,0),IF(AF$3=84,$C$134,0))</f>
        <v>0</v>
      </c>
      <c r="AG121" s="121" t="n">
        <f aca="false">AG93+IF(Hipótesis!$D$94=5,IF(AG$3=Hipótesis!$D$124,$C$158,0),IF(AG$3=84,$C$134,0))</f>
        <v>0</v>
      </c>
      <c r="AH121" s="121" t="n">
        <f aca="false">AH93+IF(Hipótesis!$D$94=5,IF(AH$3=Hipótesis!$D$124,$C$158,0),IF(AH$3=84,$C$134,0))</f>
        <v>0</v>
      </c>
      <c r="AI121" s="121" t="n">
        <f aca="false">AI93+IF(Hipótesis!$D$94=5,IF(AI$3=Hipótesis!$D$124,$C$158,0),IF(AI$3=84,$C$134,0))</f>
        <v>0</v>
      </c>
      <c r="AJ121" s="121" t="n">
        <f aca="false">AJ93+IF(Hipótesis!$D$94=5,IF(AJ$3=Hipótesis!$D$124,$C$158,0),IF(AJ$3=84,$C$134,0))</f>
        <v>0</v>
      </c>
      <c r="AK121" s="121" t="n">
        <f aca="false">AK93+IF(Hipótesis!$D$94=5,IF(AK$3=Hipótesis!$D$124,$C$158,0),IF(AK$3=84,$C$134,0))</f>
        <v>0</v>
      </c>
      <c r="AL121" s="121" t="n">
        <f aca="false">AL93+IF(Hipótesis!$D$94=5,IF(AL$3=Hipótesis!$D$124,$C$158,0),IF(AL$3=84,$C$134,0))</f>
        <v>0</v>
      </c>
      <c r="AM121" s="121" t="n">
        <f aca="false">AM93+IF(Hipótesis!$D$94=5,IF(AM$3=Hipótesis!$D$124,$C$158,0),IF(AM$3=84,$C$134,0))</f>
        <v>0</v>
      </c>
      <c r="AN121" s="121" t="n">
        <f aca="false">AN93+IF(Hipótesis!$D$94=5,IF(AN$3=Hipótesis!$D$124,$C$158,0),IF(AN$3=84,$C$134,0))</f>
        <v>0</v>
      </c>
      <c r="AO121" s="121" t="n">
        <f aca="false">AO93+IF(Hipótesis!$D$94=5,IF(AO$3=Hipótesis!$D$124,$C$158,0),IF(AO$3=84,$C$134,0))</f>
        <v>0</v>
      </c>
      <c r="AP121" s="121" t="n">
        <f aca="false">AP93+IF(Hipótesis!$D$94=5,IF(AP$3=Hipótesis!$D$124,$C$158,0),IF(AP$3=84,$C$134,0))</f>
        <v>0</v>
      </c>
      <c r="AQ121" s="121" t="n">
        <f aca="false">AQ93+IF(Hipótesis!$D$94=5,IF(AQ$3=Hipótesis!$D$124,$C$158,0),IF(AQ$3=84,$C$134,0))</f>
        <v>0</v>
      </c>
      <c r="AR121" s="121" t="n">
        <f aca="false">AR93+IF(Hipótesis!$D$94=5,IF(AR$3=Hipótesis!$D$124,$C$158,0),IF(AR$3=84,$C$134,0))</f>
        <v>0</v>
      </c>
      <c r="AS121" s="121" t="n">
        <f aca="false">AS93+IF(Hipótesis!$D$94=5,IF(AS$3=Hipótesis!$D$124,$C$158,0),IF(AS$3=84,$C$134,0))</f>
        <v>0</v>
      </c>
      <c r="AT121" s="121" t="n">
        <f aca="false">AT93+IF(Hipótesis!$D$94=5,IF(AT$3=Hipótesis!$D$124,$C$158,0),IF(AT$3=84,$C$134,0))</f>
        <v>0</v>
      </c>
      <c r="AU121" s="121" t="n">
        <f aca="false">AU93+IF(Hipótesis!$D$94=5,IF(AU$3=Hipótesis!$D$124,$C$158,0),IF(AU$3=84,$C$134,0))</f>
        <v>0</v>
      </c>
      <c r="AV121" s="121" t="n">
        <f aca="false">AV93+IF(Hipótesis!$D$94=5,IF(AV$3=Hipótesis!$D$124,$C$158,0),IF(AV$3=84,$C$134,0))</f>
        <v>0</v>
      </c>
      <c r="AW121" s="121" t="n">
        <f aca="false">AW93+IF(Hipótesis!$D$94=5,IF(AW$3=Hipótesis!$D$124,$C$158,0),IF(AW$3=84,$C$134,0))</f>
        <v>0</v>
      </c>
      <c r="AX121" s="121" t="n">
        <f aca="false">AX93+IF(Hipótesis!$D$94=5,IF(AX$3=Hipótesis!$D$124,$C$158,0),IF(AX$3=84,$C$134,0))</f>
        <v>623349.398433236</v>
      </c>
      <c r="AY121" s="121" t="n">
        <f aca="false">AY93+IF(Hipótesis!$D$94=5,IF(AY$3=Hipótesis!$D$124,$C$158,0),IF(AY$3=84,$C$134,0))</f>
        <v>0</v>
      </c>
      <c r="AZ121" s="121" t="n">
        <f aca="false">AZ93+IF(Hipótesis!$D$94=5,IF(AZ$3=Hipótesis!$D$124,$C$158,0),IF(AZ$3=84,$C$134,0))</f>
        <v>0</v>
      </c>
      <c r="BA121" s="121" t="n">
        <f aca="false">BA93+IF(Hipótesis!$D$94=5,IF(BA$3=Hipótesis!$D$124,$C$158,0),IF(BA$3=84,$C$134,0))</f>
        <v>0</v>
      </c>
      <c r="BB121" s="121" t="n">
        <f aca="false">BB93+IF(Hipótesis!$D$94=5,IF(BB$3=Hipótesis!$D$124,$C$158,0),IF(BB$3=84,$C$134,0))</f>
        <v>0</v>
      </c>
      <c r="BC121" s="121" t="n">
        <f aca="false">BC93+IF(Hipótesis!$D$94=5,IF(BC$3=Hipótesis!$D$124,$C$158,0),IF(BC$3=84,$C$134,0))</f>
        <v>0</v>
      </c>
      <c r="BD121" s="121" t="n">
        <f aca="false">BD93+IF(Hipótesis!$D$94=5,IF(BD$3=Hipótesis!$D$124,$C$158,0),IF(BD$3=84,$C$134,0))</f>
        <v>0</v>
      </c>
      <c r="BE121" s="121" t="n">
        <f aca="false">BE93+IF(Hipótesis!$D$94=5,IF(BE$3=Hipótesis!$D$124,$C$158,0),IF(BE$3=84,$C$134,0))</f>
        <v>0</v>
      </c>
      <c r="BF121" s="121" t="n">
        <f aca="false">BF93+IF(Hipótesis!$D$94=5,IF(BF$3=Hipótesis!$D$124,$C$158,0),IF(BF$3=84,$C$134,0))</f>
        <v>0</v>
      </c>
      <c r="BG121" s="121" t="n">
        <f aca="false">BG93+IF(Hipótesis!$D$94=5,IF(BG$3=Hipótesis!$D$124,$C$158,0),IF(BG$3=84,$C$134,0))</f>
        <v>0</v>
      </c>
      <c r="BH121" s="121" t="n">
        <f aca="false">BH93+IF(Hipótesis!$D$94=5,IF(BH$3=Hipótesis!$D$124,$C$158,0),IF(BH$3=84,$C$134,0))</f>
        <v>0</v>
      </c>
      <c r="BI121" s="121" t="n">
        <f aca="false">BI93+IF(Hipótesis!$D$94=5,IF(BI$3=Hipótesis!$D$124,$C$158,0),IF(BI$3=84,$C$134,0))</f>
        <v>0</v>
      </c>
      <c r="BJ121" s="121" t="n">
        <f aca="false">BJ93+IF(Hipótesis!$D$94=5,IF(BJ$3=Hipótesis!$D$124,$C$158,0),IF(BJ$3=84,$C$134,0))</f>
        <v>0</v>
      </c>
      <c r="BK121" s="121" t="n">
        <f aca="false">BK93+IF(Hipótesis!$D$94=5,IF(BK$3=Hipótesis!$D$124,$C$158,0),IF(BK$3=84,$C$134,0))</f>
        <v>0</v>
      </c>
      <c r="BL121" s="121" t="n">
        <f aca="false">BL93+IF(Hipótesis!$D$94=5,IF(BL$3=Hipótesis!$D$124,$C$158,0),IF(BL$3=84,$C$134,0))</f>
        <v>0</v>
      </c>
      <c r="BM121" s="121" t="n">
        <f aca="false">BM93+IF(Hipótesis!$D$94=5,IF(BM$3=Hipótesis!$D$124,$C$158,0),IF(BM$3=84,$C$134,0))</f>
        <v>0</v>
      </c>
      <c r="BN121" s="121" t="n">
        <f aca="false">BN93+IF(Hipótesis!$D$94=5,IF(BN$3=Hipótesis!$D$124,$C$158,0),IF(BN$3=84,$C$134,0))</f>
        <v>0</v>
      </c>
      <c r="BO121" s="121" t="n">
        <f aca="false">BO93+IF(Hipótesis!$D$94=5,IF(BO$3=Hipótesis!$D$124,$C$158,0),IF(BO$3=84,$C$134,0))</f>
        <v>0</v>
      </c>
      <c r="BP121" s="121" t="n">
        <f aca="false">BP93+IF(Hipótesis!$D$94=5,IF(BP$3=Hipótesis!$D$124,$C$158,0),IF(BP$3=84,$C$134,0))</f>
        <v>0</v>
      </c>
      <c r="BQ121" s="121" t="n">
        <f aca="false">BQ93+IF(Hipótesis!$D$94=5,IF(BQ$3=Hipótesis!$D$124,$C$158,0),IF(BQ$3=84,$C$134,0))</f>
        <v>0</v>
      </c>
      <c r="BR121" s="121" t="n">
        <f aca="false">BR93+IF(Hipótesis!$D$94=5,IF(BR$3=Hipótesis!$D$124,$C$158,0),IF(BR$3=84,$C$134,0))</f>
        <v>0</v>
      </c>
      <c r="BS121" s="121" t="n">
        <f aca="false">BS93+IF(Hipótesis!$D$94=5,IF(BS$3=Hipótesis!$D$124,$C$158,0),IF(BS$3=84,$C$134,0))</f>
        <v>0</v>
      </c>
      <c r="BT121" s="121" t="n">
        <f aca="false">BT93+IF(Hipótesis!$D$94=5,IF(BT$3=Hipótesis!$D$124,$C$158,0),IF(BT$3=84,$C$134,0))</f>
        <v>0</v>
      </c>
      <c r="BU121" s="121" t="n">
        <f aca="false">BU93+IF(Hipótesis!$D$94=5,IF(BU$3=Hipótesis!$D$124,$C$158,0),IF(BU$3=84,$C$134,0))</f>
        <v>0</v>
      </c>
      <c r="BV121" s="121" t="n">
        <f aca="false">BV93+IF(Hipótesis!$D$94=5,IF(BV$3=Hipótesis!$D$124,$C$158,0),IF(BV$3=84,$C$134,0))</f>
        <v>0</v>
      </c>
      <c r="BW121" s="121" t="n">
        <f aca="false">BW93+IF(Hipótesis!$D$94=5,IF(BW$3=Hipótesis!$D$124,$C$158,0),IF(BW$3=84,$C$134,0))</f>
        <v>0</v>
      </c>
      <c r="BX121" s="121" t="n">
        <f aca="false">BX93+IF(Hipótesis!$D$94=5,IF(BX$3=Hipótesis!$D$124,$C$158,0),IF(BX$3=84,$C$134,0))</f>
        <v>0</v>
      </c>
      <c r="BY121" s="121" t="n">
        <f aca="false">BY93+IF(Hipótesis!$D$94=5,IF(BY$3=Hipótesis!$D$124,$C$158,0),IF(BY$3=84,$C$134,0))</f>
        <v>0</v>
      </c>
      <c r="BZ121" s="121" t="n">
        <f aca="false">BZ93+IF(Hipótesis!$D$94=5,IF(BZ$3=Hipótesis!$D$124,$C$158,0),IF(BZ$3=84,$C$134,0))</f>
        <v>0</v>
      </c>
      <c r="CA121" s="121" t="n">
        <f aca="false">CA93+IF(Hipótesis!$D$94=5,IF(CA$3=Hipótesis!$D$124,$C$158,0),IF(CA$3=84,$C$134,0))</f>
        <v>0</v>
      </c>
      <c r="CB121" s="121" t="n">
        <f aca="false">CB93+IF(Hipótesis!$D$94=5,IF(CB$3=Hipótesis!$D$124,$C$158,0),IF(CB$3=84,$C$134,0))</f>
        <v>0</v>
      </c>
      <c r="CC121" s="121" t="n">
        <f aca="false">CC93+IF(Hipótesis!$D$94=5,IF(CC$3=Hipótesis!$D$124,$C$158,0),IF(CC$3=84,$C$134,0))</f>
        <v>0</v>
      </c>
      <c r="CD121" s="121" t="n">
        <f aca="false">CD93+IF(Hipótesis!$D$94=5,IF(CD$3=Hipótesis!$D$124,$C$158,0),IF(CD$3=84,$C$134,0))</f>
        <v>0</v>
      </c>
      <c r="CE121" s="121" t="n">
        <f aca="false">CE93+IF(Hipótesis!$D$94=5,IF(CE$3=Hipótesis!$D$124,$C$158,0),IF(CE$3=84,$C$134,0))</f>
        <v>0</v>
      </c>
      <c r="CF121" s="121" t="n">
        <f aca="false">CF93+IF(Hipótesis!$D$94=5,IF(CF$3=Hipótesis!$D$124,$C$158,0),IF(CF$3=84,$C$134,0))</f>
        <v>0</v>
      </c>
      <c r="CG121" s="121" t="n">
        <f aca="false">CG93+IF(Hipótesis!$D$94=5,IF(CG$3=Hipótesis!$D$124,$C$158,0),IF(CG$3=84,$C$134,0))</f>
        <v>0</v>
      </c>
      <c r="CH121" s="121" t="n">
        <f aca="false">CH93+IF(Hipótesis!$D$94=5,IF(CH$3=Hipótesis!$D$124,$C$158,0),IF(CH$3=84,$C$134,0))</f>
        <v>0</v>
      </c>
    </row>
    <row r="122" customFormat="false" ht="12.75" hidden="false" customHeight="true" outlineLevel="0" collapsed="false">
      <c r="A122" s="6" t="s">
        <v>618</v>
      </c>
      <c r="B122" s="109" t="n">
        <f aca="false">Hipótesis!$D$122</f>
        <v>200000</v>
      </c>
      <c r="C122" s="109" t="n">
        <f aca="false">-C106-IF(Hipótesis!$D$94=5,IF(C$3=Hipótesis!$D$124,$C$158,0),IF(C$3=84,$C$134,0))</f>
        <v>-333.333333333333</v>
      </c>
      <c r="D122" s="109" t="n">
        <f aca="false">-D106-IF(Hipótesis!$D$94=5,IF(D$3=Hipótesis!$D$124,$C$158,0),IF(D$3=84,$C$134,0))</f>
        <v>-333.333333333333</v>
      </c>
      <c r="E122" s="109" t="n">
        <f aca="false">-E106-IF(Hipótesis!$D$94=5,IF(E$3=Hipótesis!$D$124,$C$158,0),IF(E$3=84,$C$134,0))</f>
        <v>-333.333333333333</v>
      </c>
      <c r="F122" s="109" t="n">
        <f aca="false">-F106-IF(Hipótesis!$D$94=5,IF(F$3=Hipótesis!$D$124,$C$158,0),IF(F$3=84,$C$134,0))</f>
        <v>-333.333333333333</v>
      </c>
      <c r="G122" s="109" t="n">
        <f aca="false">-G106-IF(Hipótesis!$D$94=5,IF(G$3=Hipótesis!$D$124,$C$158,0),IF(G$3=84,$C$134,0))</f>
        <v>-333.333333333333</v>
      </c>
      <c r="H122" s="109" t="n">
        <f aca="false">-H106-IF(Hipótesis!$D$94=5,IF(H$3=Hipótesis!$D$124,$C$158,0),IF(H$3=84,$C$134,0))</f>
        <v>-333.333333333333</v>
      </c>
      <c r="I122" s="109" t="n">
        <f aca="false">-I106-IF(Hipótesis!$D$94=5,IF(I$3=Hipótesis!$D$124,$C$158,0),IF(I$3=84,$C$134,0))</f>
        <v>-333.333333333333</v>
      </c>
      <c r="J122" s="109" t="n">
        <f aca="false">-J106-IF(Hipótesis!$D$94=5,IF(J$3=Hipótesis!$D$124,$C$158,0),IF(J$3=84,$C$134,0))</f>
        <v>-388.895845168973</v>
      </c>
      <c r="K122" s="109" t="n">
        <f aca="false">-K106-IF(Hipótesis!$D$94=5,IF(K$3=Hipótesis!$D$124,$C$158,0),IF(K$3=84,$C$134,0))</f>
        <v>-468.56209954677</v>
      </c>
      <c r="L122" s="109" t="n">
        <f aca="false">-L106-IF(Hipótesis!$D$94=5,IF(L$3=Hipótesis!$D$124,$C$158,0),IF(L$3=84,$C$134,0))</f>
        <v>-548.228353924567</v>
      </c>
      <c r="M122" s="109" t="n">
        <f aca="false">-M106-IF(Hipótesis!$D$94=5,IF(M$3=Hipótesis!$D$124,$C$158,0),IF(M$3=84,$C$134,0))</f>
        <v>-603.079287226977</v>
      </c>
      <c r="N122" s="109" t="n">
        <f aca="false">-N106-IF(Hipótesis!$D$94=5,IF(N$3=Hipótesis!$D$124,$C$158,0),IF(N$3=84,$C$134,0))</f>
        <v>-676.94848639035</v>
      </c>
      <c r="O122" s="109" t="n">
        <f aca="false">-O106-IF(Hipótesis!$D$94=5,IF(O$3=Hipótesis!$D$124,$C$158,0),IF(O$3=84,$C$134,0))</f>
        <v>-646.273685553724</v>
      </c>
      <c r="P122" s="109" t="n">
        <f aca="false">-P106-IF(Hipótesis!$D$94=5,IF(P$3=Hipótesis!$D$124,$C$158,0),IF(P$3=84,$C$134,0))</f>
        <v>-712.95082046957</v>
      </c>
      <c r="Q122" s="109" t="n">
        <f aca="false">-Q106-IF(Hipótesis!$D$94=5,IF(Q$3=Hipótesis!$D$124,$C$158,0),IF(Q$3=84,$C$134,0))</f>
        <v>-779.627955385417</v>
      </c>
      <c r="R122" s="109" t="n">
        <f aca="false">-R106-IF(Hipótesis!$D$94=5,IF(R$3=Hipótesis!$D$124,$C$158,0),IF(R$3=84,$C$134,0))</f>
        <v>-846.305090301263</v>
      </c>
      <c r="S122" s="109" t="n">
        <f aca="false">-S106-IF(Hipótesis!$D$94=5,IF(S$3=Hipótesis!$D$124,$C$158,0),IF(S$3=84,$C$134,0))</f>
        <v>-912.98222521711</v>
      </c>
      <c r="T122" s="109" t="n">
        <f aca="false">-T106-IF(Hipótesis!$D$94=5,IF(T$3=Hipótesis!$D$124,$C$158,0),IF(T$3=84,$C$134,0))</f>
        <v>-979.659360132956</v>
      </c>
      <c r="U122" s="109" t="n">
        <f aca="false">-U106-IF(Hipótesis!$D$94=5,IF(U$3=Hipótesis!$D$124,$C$158,0),IF(U$3=84,$C$134,0))</f>
        <v>-1046.3364950488</v>
      </c>
      <c r="V122" s="109" t="n">
        <f aca="false">-V106-IF(Hipótesis!$D$94=5,IF(V$3=Hipótesis!$D$124,$C$158,0),IF(V$3=84,$C$134,0))</f>
        <v>-1012.40322996465</v>
      </c>
      <c r="W122" s="109" t="n">
        <f aca="false">-W106-IF(Hipótesis!$D$94=5,IF(W$3=Hipótesis!$D$124,$C$158,0),IF(W$3=84,$C$134,0))</f>
        <v>-1079.0803648805</v>
      </c>
      <c r="X122" s="109" t="n">
        <f aca="false">-X106-IF(Hipótesis!$D$94=5,IF(X$3=Hipótesis!$D$124,$C$158,0),IF(X$3=84,$C$134,0))</f>
        <v>-1126.73923393538</v>
      </c>
      <c r="Y122" s="109" t="n">
        <f aca="false">-Y106-IF(Hipótesis!$D$94=5,IF(Y$3=Hipótesis!$D$124,$C$158,0),IF(Y$3=84,$C$134,0))</f>
        <v>-1174.39810299026</v>
      </c>
      <c r="Z122" s="109" t="n">
        <f aca="false">-Z106-IF(Hipótesis!$D$94=5,IF(Z$3=Hipótesis!$D$124,$C$158,0),IF(Z$3=84,$C$134,0))</f>
        <v>-1215.08389570076</v>
      </c>
      <c r="AA122" s="109" t="n">
        <f aca="false">-AA106-IF(Hipótesis!$D$94=5,IF(AA$3=Hipótesis!$D$124,$C$158,0),IF(AA$3=84,$C$134,0))</f>
        <v>-2878.18652307793</v>
      </c>
      <c r="AB122" s="109" t="n">
        <f aca="false">-AB106-IF(Hipótesis!$D$94=5,IF(AB$3=Hipótesis!$D$124,$C$158,0),IF(AB$3=84,$C$134,0))</f>
        <v>-2913.31676023287</v>
      </c>
      <c r="AC122" s="109" t="n">
        <f aca="false">-AC106-IF(Hipótesis!$D$94=5,IF(AC$3=Hipótesis!$D$124,$C$158,0),IF(AC$3=84,$C$134,0))</f>
        <v>-2948.44699738781</v>
      </c>
      <c r="AD122" s="109" t="n">
        <f aca="false">-AD106-IF(Hipótesis!$D$94=5,IF(AD$3=Hipótesis!$D$124,$C$158,0),IF(AD$3=84,$C$134,0))</f>
        <v>-2983.57723454275</v>
      </c>
      <c r="AE122" s="109" t="n">
        <f aca="false">-AE106-IF(Hipótesis!$D$94=5,IF(AE$3=Hipótesis!$D$124,$C$158,0),IF(AE$3=84,$C$134,0))</f>
        <v>-3018.7074716977</v>
      </c>
      <c r="AF122" s="109" t="n">
        <f aca="false">-AF106-IF(Hipótesis!$D$94=5,IF(AF$3=Hipótesis!$D$124,$C$158,0),IF(AF$3=84,$C$134,0))</f>
        <v>-3053.83770885264</v>
      </c>
      <c r="AG122" s="109" t="n">
        <f aca="false">-AG106-IF(Hipótesis!$D$94=5,IF(AG$3=Hipótesis!$D$124,$C$158,0),IF(AG$3=84,$C$134,0))</f>
        <v>-3088.96794600758</v>
      </c>
      <c r="AH122" s="109" t="n">
        <f aca="false">-AH106-IF(Hipótesis!$D$94=5,IF(AH$3=Hipótesis!$D$124,$C$158,0),IF(AH$3=84,$C$134,0))</f>
        <v>-3124.09818316252</v>
      </c>
      <c r="AI122" s="109" t="n">
        <f aca="false">-AI106-IF(Hipótesis!$D$94=5,IF(AI$3=Hipótesis!$D$124,$C$158,0),IF(AI$3=84,$C$134,0))</f>
        <v>-3111.61522831746</v>
      </c>
      <c r="AJ122" s="109" t="n">
        <f aca="false">-AJ106-IF(Hipótesis!$D$94=5,IF(AJ$3=Hipótesis!$D$124,$C$158,0),IF(AJ$3=84,$C$134,0))</f>
        <v>-3146.74546547241</v>
      </c>
      <c r="AK122" s="109" t="n">
        <f aca="false">-AK106-IF(Hipótesis!$D$94=5,IF(AK$3=Hipótesis!$D$124,$C$158,0),IF(AK$3=84,$C$134,0))</f>
        <v>-3181.87570262735</v>
      </c>
      <c r="AL122" s="109" t="n">
        <f aca="false">-AL106-IF(Hipótesis!$D$94=5,IF(AL$3=Hipótesis!$D$124,$C$158,0),IF(AL$3=84,$C$134,0))</f>
        <v>-3217.00593978229</v>
      </c>
      <c r="AM122" s="109" t="n">
        <f aca="false">-AM106-IF(Hipótesis!$D$94=5,IF(AM$3=Hipótesis!$D$124,$C$158,0),IF(AM$3=84,$C$134,0))</f>
        <v>-3206.31845421723</v>
      </c>
      <c r="AN122" s="109" t="n">
        <f aca="false">-AN106-IF(Hipótesis!$D$94=5,IF(AN$3=Hipótesis!$D$124,$C$158,0),IF(AN$3=84,$C$134,0))</f>
        <v>-3241.44869137218</v>
      </c>
      <c r="AO122" s="109" t="n">
        <f aca="false">-AO106-IF(Hipótesis!$D$94=5,IF(AO$3=Hipótesis!$D$124,$C$158,0),IF(AO$3=84,$C$134,0))</f>
        <v>-3276.57892852712</v>
      </c>
      <c r="AP122" s="109" t="n">
        <f aca="false">-AP106-IF(Hipótesis!$D$94=5,IF(AP$3=Hipótesis!$D$124,$C$158,0),IF(AP$3=84,$C$134,0))</f>
        <v>-3311.70916568206</v>
      </c>
      <c r="AQ122" s="109" t="n">
        <f aca="false">-AQ106-IF(Hipótesis!$D$94=5,IF(AQ$3=Hipótesis!$D$124,$C$158,0),IF(AQ$3=84,$C$134,0))</f>
        <v>-3346.839402837</v>
      </c>
      <c r="AR122" s="109" t="n">
        <f aca="false">-AR106-IF(Hipótesis!$D$94=5,IF(AR$3=Hipótesis!$D$124,$C$158,0),IF(AR$3=84,$C$134,0))</f>
        <v>-3381.96963999195</v>
      </c>
      <c r="AS122" s="109" t="n">
        <f aca="false">-AS106-IF(Hipótesis!$D$94=5,IF(AS$3=Hipótesis!$D$124,$C$158,0),IF(AS$3=84,$C$134,0))</f>
        <v>-3376.41408443639</v>
      </c>
      <c r="AT122" s="109" t="n">
        <f aca="false">-AT106-IF(Hipótesis!$D$94=5,IF(AT$3=Hipótesis!$D$124,$C$158,0),IF(AT$3=84,$C$134,0))</f>
        <v>-3370.85852888083</v>
      </c>
      <c r="AU122" s="109" t="n">
        <f aca="false">-AU106-IF(Hipótesis!$D$94=5,IF(AU$3=Hipótesis!$D$124,$C$158,0),IF(AU$3=84,$C$134,0))</f>
        <v>-3365.30297332528</v>
      </c>
      <c r="AV122" s="109" t="n">
        <f aca="false">-AV106-IF(Hipótesis!$D$94=5,IF(AV$3=Hipótesis!$D$124,$C$158,0),IF(AV$3=84,$C$134,0))</f>
        <v>-3359.74741776972</v>
      </c>
      <c r="AW122" s="109" t="n">
        <f aca="false">-AW106-IF(Hipótesis!$D$94=5,IF(AW$3=Hipótesis!$D$124,$C$158,0),IF(AW$3=84,$C$134,0))</f>
        <v>-3354.19186221417</v>
      </c>
      <c r="AX122" s="109" t="n">
        <f aca="false">-AX106-IF(Hipótesis!$D$94=5,IF(AX$3=Hipótesis!$D$124,$C$158,0),IF(AX$3=84,$C$134,0))</f>
        <v>-626698.034739895</v>
      </c>
      <c r="AY122" s="109" t="n">
        <f aca="false">-AY106-IF(Hipótesis!$D$94=5,IF(AY$3=Hipótesis!$D$124,$C$158,0),IF(AY$3=84,$C$134,0))</f>
        <v>-3297.07649670146</v>
      </c>
      <c r="AZ122" s="109" t="n">
        <f aca="false">-AZ106-IF(Hipótesis!$D$94=5,IF(AZ$3=Hipótesis!$D$124,$C$158,0),IF(AZ$3=84,$C$134,0))</f>
        <v>-3291.5209411459</v>
      </c>
      <c r="BA122" s="109" t="n">
        <f aca="false">-BA106-IF(Hipótesis!$D$94=5,IF(BA$3=Hipótesis!$D$124,$C$158,0),IF(BA$3=84,$C$134,0))</f>
        <v>-3285.96538559035</v>
      </c>
      <c r="BB122" s="109" t="n">
        <f aca="false">-BB106-IF(Hipótesis!$D$94=5,IF(BB$3=Hipótesis!$D$124,$C$158,0),IF(BB$3=84,$C$134,0))</f>
        <v>-3280.40983003479</v>
      </c>
      <c r="BC122" s="109" t="n">
        <f aca="false">-BC106-IF(Hipótesis!$D$94=5,IF(BC$3=Hipótesis!$D$124,$C$158,0),IF(BC$3=84,$C$134,0))</f>
        <v>-3274.85427447924</v>
      </c>
      <c r="BD122" s="109" t="n">
        <f aca="false">-BD106-IF(Hipótesis!$D$94=5,IF(BD$3=Hipótesis!$D$124,$C$158,0),IF(BD$3=84,$C$134,0))</f>
        <v>-3269.29871892368</v>
      </c>
      <c r="BE122" s="109" t="n">
        <f aca="false">-BE106-IF(Hipótesis!$D$94=5,IF(BE$3=Hipótesis!$D$124,$C$158,0),IF(BE$3=84,$C$134,0))</f>
        <v>-3263.74316336812</v>
      </c>
      <c r="BF122" s="109" t="n">
        <f aca="false">-BF106-IF(Hipótesis!$D$94=5,IF(BF$3=Hipótesis!$D$124,$C$158,0),IF(BF$3=84,$C$134,0))</f>
        <v>-3258.18760781257</v>
      </c>
      <c r="BG122" s="109" t="n">
        <f aca="false">-BG106-IF(Hipótesis!$D$94=5,IF(BG$3=Hipótesis!$D$124,$C$158,0),IF(BG$3=84,$C$134,0))</f>
        <v>-3252.63205225701</v>
      </c>
      <c r="BH122" s="109" t="n">
        <f aca="false">-BH106-IF(Hipótesis!$D$94=5,IF(BH$3=Hipótesis!$D$124,$C$158,0),IF(BH$3=84,$C$134,0))</f>
        <v>-3247.07649670146</v>
      </c>
      <c r="BI122" s="109" t="n">
        <f aca="false">-BI106-IF(Hipótesis!$D$94=5,IF(BI$3=Hipótesis!$D$124,$C$158,0),IF(BI$3=84,$C$134,0))</f>
        <v>-3241.5209411459</v>
      </c>
      <c r="BJ122" s="109" t="n">
        <f aca="false">-BJ106-IF(Hipótesis!$D$94=5,IF(BJ$3=Hipótesis!$D$124,$C$158,0),IF(BJ$3=84,$C$134,0))</f>
        <v>-3235.96538559035</v>
      </c>
      <c r="BK122" s="109" t="n">
        <f aca="false">-BK106-IF(Hipótesis!$D$94=5,IF(BK$3=Hipótesis!$D$124,$C$158,0),IF(BK$3=84,$C$134,0))</f>
        <v>-3184.21344800114</v>
      </c>
      <c r="BL122" s="109" t="n">
        <f aca="false">-BL106-IF(Hipótesis!$D$94=5,IF(BL$3=Hipótesis!$D$124,$C$158,0),IF(BL$3=84,$C$134,0))</f>
        <v>-3178.65789244559</v>
      </c>
      <c r="BM122" s="109" t="n">
        <f aca="false">-BM106-IF(Hipótesis!$D$94=5,IF(BM$3=Hipótesis!$D$124,$C$158,0),IF(BM$3=84,$C$134,0))</f>
        <v>-3173.10233689003</v>
      </c>
      <c r="BN122" s="109" t="n">
        <f aca="false">-BN106-IF(Hipótesis!$D$94=5,IF(BN$3=Hipótesis!$D$124,$C$158,0),IF(BN$3=84,$C$134,0))</f>
        <v>-3167.54678133448</v>
      </c>
      <c r="BO122" s="109" t="n">
        <f aca="false">-BO106-IF(Hipótesis!$D$94=5,IF(BO$3=Hipótesis!$D$124,$C$158,0),IF(BO$3=84,$C$134,0))</f>
        <v>-3161.99122577892</v>
      </c>
      <c r="BP122" s="109" t="n">
        <f aca="false">-BP106-IF(Hipótesis!$D$94=5,IF(BP$3=Hipótesis!$D$124,$C$158,0),IF(BP$3=84,$C$134,0))</f>
        <v>-3156.43567022336</v>
      </c>
      <c r="BQ122" s="109" t="n">
        <f aca="false">-BQ106-IF(Hipótesis!$D$94=5,IF(BQ$3=Hipótesis!$D$124,$C$158,0),IF(BQ$3=84,$C$134,0))</f>
        <v>-3150.88011466781</v>
      </c>
      <c r="BR122" s="109" t="n">
        <f aca="false">-BR106-IF(Hipótesis!$D$94=5,IF(BR$3=Hipótesis!$D$124,$C$158,0),IF(BR$3=84,$C$134,0))</f>
        <v>-3145.32455911225</v>
      </c>
      <c r="BS122" s="109" t="n">
        <f aca="false">-BS106-IF(Hipótesis!$D$94=5,IF(BS$3=Hipótesis!$D$124,$C$158,0),IF(BS$3=84,$C$134,0))</f>
        <v>-3139.7690035567</v>
      </c>
      <c r="BT122" s="109" t="n">
        <f aca="false">-BT106-IF(Hipótesis!$D$94=5,IF(BT$3=Hipótesis!$D$124,$C$158,0),IF(BT$3=84,$C$134,0))</f>
        <v>-3134.21344800114</v>
      </c>
      <c r="BU122" s="109" t="n">
        <f aca="false">-BU106-IF(Hipótesis!$D$94=5,IF(BU$3=Hipótesis!$D$124,$C$158,0),IF(BU$3=84,$C$134,0))</f>
        <v>-3128.65789244559</v>
      </c>
      <c r="BV122" s="109" t="n">
        <f aca="false">-BV106-IF(Hipótesis!$D$94=5,IF(BV$3=Hipótesis!$D$124,$C$158,0),IF(BV$3=84,$C$134,0))</f>
        <v>-3123.10233689003</v>
      </c>
      <c r="BW122" s="109" t="n">
        <f aca="false">-BW106-IF(Hipótesis!$D$94=5,IF(BW$3=Hipótesis!$D$124,$C$158,0),IF(BW$3=84,$C$134,0))</f>
        <v>-3071.15250783982</v>
      </c>
      <c r="BX122" s="109" t="n">
        <f aca="false">-BX106-IF(Hipótesis!$D$94=5,IF(BX$3=Hipótesis!$D$124,$C$158,0),IF(BX$3=84,$C$134,0))</f>
        <v>-3065.59695228426</v>
      </c>
      <c r="BY122" s="109" t="n">
        <f aca="false">-BY106-IF(Hipótesis!$D$94=5,IF(BY$3=Hipótesis!$D$124,$C$158,0),IF(BY$3=84,$C$134,0))</f>
        <v>-3060.04139672871</v>
      </c>
      <c r="BZ122" s="109" t="n">
        <f aca="false">-BZ106-IF(Hipótesis!$D$94=5,IF(BZ$3=Hipótesis!$D$124,$C$158,0),IF(BZ$3=84,$C$134,0))</f>
        <v>-3054.48584117315</v>
      </c>
      <c r="CA122" s="109" t="n">
        <f aca="false">-CA106-IF(Hipótesis!$D$94=5,IF(CA$3=Hipótesis!$D$124,$C$158,0),IF(CA$3=84,$C$134,0))</f>
        <v>-3048.9302856176</v>
      </c>
      <c r="CB122" s="109" t="n">
        <f aca="false">-CB106-IF(Hipótesis!$D$94=5,IF(CB$3=Hipótesis!$D$124,$C$158,0),IF(CB$3=84,$C$134,0))</f>
        <v>-3043.37473006204</v>
      </c>
      <c r="CC122" s="109" t="n">
        <f aca="false">-CC106-IF(Hipótesis!$D$94=5,IF(CC$3=Hipótesis!$D$124,$C$158,0),IF(CC$3=84,$C$134,0))</f>
        <v>-3037.81917450649</v>
      </c>
      <c r="CD122" s="109" t="n">
        <f aca="false">-CD106-IF(Hipótesis!$D$94=5,IF(CD$3=Hipótesis!$D$124,$C$158,0),IF(CD$3=84,$C$134,0))</f>
        <v>-3032.26361895093</v>
      </c>
      <c r="CE122" s="109" t="n">
        <f aca="false">-CE106-IF(Hipótesis!$D$94=5,IF(CE$3=Hipótesis!$D$124,$C$158,0),IF(CE$3=84,$C$134,0))</f>
        <v>-3026.70806339537</v>
      </c>
      <c r="CF122" s="109" t="n">
        <f aca="false">-CF106-IF(Hipótesis!$D$94=5,IF(CF$3=Hipótesis!$D$124,$C$158,0),IF(CF$3=84,$C$134,0))</f>
        <v>-3021.15250783982</v>
      </c>
      <c r="CG122" s="109" t="n">
        <f aca="false">-CG106-IF(Hipótesis!$D$94=5,IF(CG$3=Hipótesis!$D$124,$C$158,0),IF(CG$3=84,$C$134,0))</f>
        <v>-3015.59695228426</v>
      </c>
      <c r="CH122" s="109" t="n">
        <f aca="false">-CH106-IF(Hipótesis!$D$94=5,IF(CH$3=Hipótesis!$D$124,$C$158,0),IF(CH$3=84,$C$134,0))</f>
        <v>-3010.04139672865</v>
      </c>
    </row>
    <row r="123" customFormat="false" ht="12.75" hidden="false" customHeight="true" outlineLevel="0" collapsed="false">
      <c r="A123" s="6" t="s">
        <v>619</v>
      </c>
      <c r="B123" s="109" t="n">
        <f aca="false">-Hipótesis!$D$105</f>
        <v>-100000</v>
      </c>
      <c r="C123" s="109" t="n">
        <f aca="false">C99</f>
        <v>333.333333333333</v>
      </c>
      <c r="D123" s="109" t="n">
        <f aca="false">D99</f>
        <v>333.333333333333</v>
      </c>
      <c r="E123" s="109" t="n">
        <f aca="false">E99</f>
        <v>333.333333333333</v>
      </c>
      <c r="F123" s="109" t="n">
        <f aca="false">F99</f>
        <v>333.333333333333</v>
      </c>
      <c r="G123" s="109" t="n">
        <f aca="false">G99</f>
        <v>333.333333333333</v>
      </c>
      <c r="H123" s="109" t="n">
        <f aca="false">H99</f>
        <v>333.333333333333</v>
      </c>
      <c r="I123" s="109" t="n">
        <f aca="false">I99</f>
        <v>333.333333333333</v>
      </c>
      <c r="J123" s="109" t="n">
        <f aca="false">J99</f>
        <v>388.895845168973</v>
      </c>
      <c r="K123" s="109" t="n">
        <f aca="false">K99</f>
        <v>468.56209954677</v>
      </c>
      <c r="L123" s="109" t="n">
        <f aca="false">L99</f>
        <v>548.228353924567</v>
      </c>
      <c r="M123" s="109" t="n">
        <f aca="false">M99</f>
        <v>603.079287226977</v>
      </c>
      <c r="N123" s="109" t="n">
        <f aca="false">N99</f>
        <v>676.94848639035</v>
      </c>
      <c r="O123" s="109" t="n">
        <f aca="false">O99</f>
        <v>646.273685553724</v>
      </c>
      <c r="P123" s="109" t="n">
        <f aca="false">P99</f>
        <v>712.95082046957</v>
      </c>
      <c r="Q123" s="109" t="n">
        <f aca="false">Q99</f>
        <v>779.627955385417</v>
      </c>
      <c r="R123" s="109" t="n">
        <f aca="false">R99</f>
        <v>846.305090301263</v>
      </c>
      <c r="S123" s="109" t="n">
        <f aca="false">S99</f>
        <v>912.98222521711</v>
      </c>
      <c r="T123" s="109" t="n">
        <f aca="false">T99</f>
        <v>979.659360132956</v>
      </c>
      <c r="U123" s="109" t="n">
        <f aca="false">U99</f>
        <v>1046.3364950488</v>
      </c>
      <c r="V123" s="109" t="n">
        <f aca="false">V99</f>
        <v>1012.40322996465</v>
      </c>
      <c r="W123" s="109" t="n">
        <f aca="false">W99</f>
        <v>1079.0803648805</v>
      </c>
      <c r="X123" s="109" t="n">
        <f aca="false">X99</f>
        <v>1126.73923393538</v>
      </c>
      <c r="Y123" s="109" t="n">
        <f aca="false">Y99</f>
        <v>1174.39810299026</v>
      </c>
      <c r="Z123" s="109" t="n">
        <f aca="false">Z99</f>
        <v>1215.08389570076</v>
      </c>
      <c r="AA123" s="109" t="n">
        <f aca="false">AA99</f>
        <v>2878.18652307793</v>
      </c>
      <c r="AB123" s="109" t="n">
        <f aca="false">AB99</f>
        <v>2913.31676023287</v>
      </c>
      <c r="AC123" s="109" t="n">
        <f aca="false">AC99</f>
        <v>2948.44699738781</v>
      </c>
      <c r="AD123" s="109" t="n">
        <f aca="false">AD99</f>
        <v>2983.57723454275</v>
      </c>
      <c r="AE123" s="109" t="n">
        <f aca="false">AE99</f>
        <v>3018.7074716977</v>
      </c>
      <c r="AF123" s="109" t="n">
        <f aca="false">AF99</f>
        <v>3053.83770885264</v>
      </c>
      <c r="AG123" s="109" t="n">
        <f aca="false">AG99</f>
        <v>3088.96794600758</v>
      </c>
      <c r="AH123" s="109" t="n">
        <f aca="false">AH99</f>
        <v>3124.09818316252</v>
      </c>
      <c r="AI123" s="109" t="n">
        <f aca="false">AI99</f>
        <v>3111.61522831746</v>
      </c>
      <c r="AJ123" s="109" t="n">
        <f aca="false">AJ99</f>
        <v>3146.74546547241</v>
      </c>
      <c r="AK123" s="109" t="n">
        <f aca="false">AK99</f>
        <v>3181.87570262735</v>
      </c>
      <c r="AL123" s="109" t="n">
        <f aca="false">AL99</f>
        <v>3217.00593978229</v>
      </c>
      <c r="AM123" s="109" t="n">
        <f aca="false">AM99</f>
        <v>3206.31845421723</v>
      </c>
      <c r="AN123" s="109" t="n">
        <f aca="false">AN99</f>
        <v>3241.44869137218</v>
      </c>
      <c r="AO123" s="109" t="n">
        <f aca="false">AO99</f>
        <v>3276.57892852712</v>
      </c>
      <c r="AP123" s="109" t="n">
        <f aca="false">AP99</f>
        <v>3311.70916568206</v>
      </c>
      <c r="AQ123" s="109" t="n">
        <f aca="false">AQ99</f>
        <v>3346.839402837</v>
      </c>
      <c r="AR123" s="109" t="n">
        <f aca="false">AR99</f>
        <v>3381.96963999195</v>
      </c>
      <c r="AS123" s="109" t="n">
        <f aca="false">AS99</f>
        <v>3376.41408443639</v>
      </c>
      <c r="AT123" s="109" t="n">
        <f aca="false">AT99</f>
        <v>3370.85852888083</v>
      </c>
      <c r="AU123" s="109" t="n">
        <f aca="false">AU99</f>
        <v>3365.30297332528</v>
      </c>
      <c r="AV123" s="109" t="n">
        <f aca="false">AV99</f>
        <v>3359.74741776972</v>
      </c>
      <c r="AW123" s="109" t="n">
        <f aca="false">AW99</f>
        <v>3354.19186221417</v>
      </c>
      <c r="AX123" s="109" t="n">
        <f aca="false">AX99</f>
        <v>3348.63630665861</v>
      </c>
      <c r="AY123" s="109" t="n">
        <f aca="false">AY99</f>
        <v>3297.07649670146</v>
      </c>
      <c r="AZ123" s="109" t="n">
        <f aca="false">AZ99</f>
        <v>3291.5209411459</v>
      </c>
      <c r="BA123" s="109" t="n">
        <f aca="false">BA99</f>
        <v>3285.96538559035</v>
      </c>
      <c r="BB123" s="109" t="n">
        <f aca="false">BB99</f>
        <v>3280.40983003479</v>
      </c>
      <c r="BC123" s="109" t="n">
        <f aca="false">BC99</f>
        <v>3274.85427447924</v>
      </c>
      <c r="BD123" s="109" t="n">
        <f aca="false">BD99</f>
        <v>3269.29871892368</v>
      </c>
      <c r="BE123" s="109" t="n">
        <f aca="false">BE99</f>
        <v>3263.74316336812</v>
      </c>
      <c r="BF123" s="109" t="n">
        <f aca="false">BF99</f>
        <v>3258.18760781257</v>
      </c>
      <c r="BG123" s="109" t="n">
        <f aca="false">BG99</f>
        <v>3252.63205225701</v>
      </c>
      <c r="BH123" s="109" t="n">
        <f aca="false">BH99</f>
        <v>3247.07649670146</v>
      </c>
      <c r="BI123" s="109" t="n">
        <f aca="false">BI99</f>
        <v>3241.5209411459</v>
      </c>
      <c r="BJ123" s="109" t="n">
        <f aca="false">BJ99</f>
        <v>3235.96538559035</v>
      </c>
      <c r="BK123" s="109" t="n">
        <f aca="false">BK99</f>
        <v>3184.21344800114</v>
      </c>
      <c r="BL123" s="109" t="n">
        <f aca="false">BL99</f>
        <v>3178.65789244559</v>
      </c>
      <c r="BM123" s="109" t="n">
        <f aca="false">BM99</f>
        <v>3173.10233689003</v>
      </c>
      <c r="BN123" s="109" t="n">
        <f aca="false">BN99</f>
        <v>3167.54678133448</v>
      </c>
      <c r="BO123" s="109" t="n">
        <f aca="false">BO99</f>
        <v>3161.99122577892</v>
      </c>
      <c r="BP123" s="109" t="n">
        <f aca="false">BP99</f>
        <v>3156.43567022336</v>
      </c>
      <c r="BQ123" s="109" t="n">
        <f aca="false">BQ99</f>
        <v>3150.88011466781</v>
      </c>
      <c r="BR123" s="109" t="n">
        <f aca="false">BR99</f>
        <v>3145.32455911225</v>
      </c>
      <c r="BS123" s="109" t="n">
        <f aca="false">BS99</f>
        <v>3139.7690035567</v>
      </c>
      <c r="BT123" s="109" t="n">
        <f aca="false">BT99</f>
        <v>3134.21344800114</v>
      </c>
      <c r="BU123" s="109" t="n">
        <f aca="false">BU99</f>
        <v>3128.65789244559</v>
      </c>
      <c r="BV123" s="109" t="n">
        <f aca="false">BV99</f>
        <v>3123.10233689003</v>
      </c>
      <c r="BW123" s="109" t="n">
        <f aca="false">BW99</f>
        <v>3071.15250783982</v>
      </c>
      <c r="BX123" s="109" t="n">
        <f aca="false">BX99</f>
        <v>3065.59695228426</v>
      </c>
      <c r="BY123" s="109" t="n">
        <f aca="false">BY99</f>
        <v>3060.04139672871</v>
      </c>
      <c r="BZ123" s="109" t="n">
        <f aca="false">BZ99</f>
        <v>3054.48584117315</v>
      </c>
      <c r="CA123" s="109" t="n">
        <f aca="false">CA99</f>
        <v>3048.9302856176</v>
      </c>
      <c r="CB123" s="109" t="n">
        <f aca="false">CB99</f>
        <v>3043.37473006204</v>
      </c>
      <c r="CC123" s="109" t="n">
        <f aca="false">CC99</f>
        <v>3037.81917450649</v>
      </c>
      <c r="CD123" s="109" t="n">
        <f aca="false">CD99</f>
        <v>3032.26361895093</v>
      </c>
      <c r="CE123" s="109" t="n">
        <f aca="false">CE99</f>
        <v>3026.70806339537</v>
      </c>
      <c r="CF123" s="109" t="n">
        <f aca="false">CF99</f>
        <v>3021.15250783982</v>
      </c>
      <c r="CG123" s="109" t="n">
        <f aca="false">CG99</f>
        <v>3015.59695228426</v>
      </c>
      <c r="CH123" s="109" t="n">
        <f aca="false">CH99</f>
        <v>3010.04139672865</v>
      </c>
    </row>
    <row r="124" customFormat="false" ht="13.5" hidden="false" customHeight="true" outlineLevel="0" collapsed="false"/>
    <row r="125" customFormat="false" ht="13.5" hidden="false" customHeight="true" outlineLevel="0" collapsed="false">
      <c r="A125" s="9" t="s">
        <v>620</v>
      </c>
      <c r="B125" s="9"/>
    </row>
    <row r="126" customFormat="false" ht="13.5" hidden="false" customHeight="true" outlineLevel="0" collapsed="false">
      <c r="A126" s="6" t="s">
        <v>621</v>
      </c>
      <c r="C126" s="14" t="n">
        <f aca="false">Hipótesis!$D$93</f>
        <v>100000</v>
      </c>
    </row>
    <row r="127" customFormat="false" ht="13.5" hidden="false" customHeight="true" outlineLevel="0" collapsed="false">
      <c r="A127" s="6" t="s">
        <v>622</v>
      </c>
      <c r="C127" s="17" t="n">
        <f aca="false">IFERROR(IRR($B$121:$CH$121,0.02),"n.d.")</f>
        <v>0.0388597190614424</v>
      </c>
    </row>
    <row r="128" customFormat="false" ht="13.5" hidden="false" customHeight="true" outlineLevel="0" collapsed="false">
      <c r="A128" s="6" t="s">
        <v>85</v>
      </c>
      <c r="C128" s="17" t="n">
        <f aca="false">IFERROR((1+IRR($B$121:$CH$121,0.02))^12-1,"n.d.")</f>
        <v>0.580093862526874</v>
      </c>
    </row>
    <row r="129" customFormat="false" ht="13.5" hidden="false" customHeight="true" outlineLevel="0" collapsed="false">
      <c r="A129" s="6" t="s">
        <v>623</v>
      </c>
      <c r="C129" s="21" t="n">
        <f aca="false">IFERROR(SUM($C$121:$CH$121)/$C$126,0)</f>
        <v>6.23349398433236</v>
      </c>
    </row>
    <row r="130" customFormat="false" ht="13.5" hidden="false" customHeight="true" outlineLevel="0" collapsed="false">
      <c r="A130" s="6" t="s">
        <v>57</v>
      </c>
      <c r="C130" s="15" t="n">
        <f aca="false">IFERROR(COUNTIF($C$94:$CH$94,"&lt;"&amp;$C$126)+1,"n.d.")</f>
        <v>48</v>
      </c>
    </row>
    <row r="131" customFormat="false" ht="13.5" hidden="false" customHeight="true" outlineLevel="0" collapsed="false">
      <c r="A131" s="6" t="s">
        <v>624</v>
      </c>
      <c r="C131" s="14" t="n">
        <f aca="false">IFERROR($B$121+NPV((1+Hipótesis!$D$121)^(1/12)-1,$C$121:$CH$121),0)</f>
        <v>296149.811867097</v>
      </c>
    </row>
    <row r="132" customFormat="false" ht="13.5" hidden="false" customHeight="true" outlineLevel="0" collapsed="false">
      <c r="A132" s="6" t="s">
        <v>625</v>
      </c>
      <c r="C132" s="109" t="n">
        <f aca="false">SUM($AY$56:$BJ$56)</f>
        <v>858245.898020874</v>
      </c>
    </row>
    <row r="133" customFormat="false" ht="13.5" hidden="false" customHeight="true" outlineLevel="0" collapsed="false">
      <c r="A133" s="6" t="s">
        <v>626</v>
      </c>
      <c r="C133" s="109" t="n">
        <f aca="false">IF(Hipótesis!$D$94=5,$C$157,$C$132*Hipótesis!$D$120)</f>
        <v>6233493.98433236</v>
      </c>
    </row>
    <row r="134" customFormat="false" ht="13.5" hidden="false" customHeight="true" outlineLevel="0" collapsed="false">
      <c r="A134" s="6" t="s">
        <v>627</v>
      </c>
      <c r="C134" s="109" t="n">
        <f aca="false">MAX(0,$C$133)*Hipótesis!$D$119</f>
        <v>623349.398433236</v>
      </c>
    </row>
    <row r="135" customFormat="false" ht="13.5" hidden="false" customHeight="true" outlineLevel="0" collapsed="false">
      <c r="A135" s="6" t="s">
        <v>628</v>
      </c>
      <c r="C135" s="17" t="n">
        <f aca="false">IF(ISNUMBER($C$128),$C$128,"n.d.")</f>
        <v>0.580093862526874</v>
      </c>
    </row>
    <row r="136" customFormat="false" ht="13.5" hidden="false" customHeight="true" outlineLevel="0" collapsed="false">
      <c r="A136" s="6" t="s">
        <v>82</v>
      </c>
      <c r="C136" s="17" t="n">
        <f aca="false">IFERROR((1+IRR($B$123:$CH$123,0.01))^12-1,"n.d.")</f>
        <v>0.197423638827659</v>
      </c>
    </row>
    <row r="137" customFormat="false" ht="13.5" hidden="false" customHeight="true" outlineLevel="0" collapsed="false">
      <c r="A137" s="6" t="s">
        <v>629</v>
      </c>
      <c r="C137" s="17" t="n">
        <f aca="false">IFERROR((1+IRR($B$122:$CH$122,0.01))^12-1,"n.d.")</f>
        <v>0.434333333861788</v>
      </c>
    </row>
    <row r="138" customFormat="false" ht="13.5" hidden="false" customHeight="true" outlineLevel="0" collapsed="false">
      <c r="A138" s="6" t="s">
        <v>88</v>
      </c>
      <c r="C138" s="14" t="n">
        <f aca="false">Hipótesis!$D$122</f>
        <v>200000</v>
      </c>
    </row>
    <row r="139" customFormat="false" ht="13.5" hidden="false" customHeight="true" outlineLevel="0" collapsed="false">
      <c r="A139" s="6" t="s">
        <v>630</v>
      </c>
      <c r="C139" s="14" t="n">
        <f aca="false">Hipótesis!$D$113*Hipótesis!$D$117</f>
        <v>0</v>
      </c>
    </row>
    <row r="140" customFormat="false" ht="13.5" hidden="false" customHeight="true" outlineLevel="0" collapsed="false"/>
    <row r="141" customFormat="false" ht="13.5" hidden="false" customHeight="true" outlineLevel="0" collapsed="false">
      <c r="A141" s="115" t="s">
        <v>513</v>
      </c>
      <c r="C141" s="116" t="n">
        <v>1</v>
      </c>
      <c r="D141" s="116" t="n">
        <v>2</v>
      </c>
      <c r="E141" s="116" t="n">
        <v>3</v>
      </c>
      <c r="F141" s="116" t="n">
        <v>4</v>
      </c>
      <c r="G141" s="116" t="n">
        <v>5</v>
      </c>
      <c r="H141" s="116" t="n">
        <v>6</v>
      </c>
      <c r="I141" s="116" t="n">
        <v>7</v>
      </c>
    </row>
    <row r="142" customFormat="false" ht="13.5" hidden="false" customHeight="true" outlineLevel="0" collapsed="false">
      <c r="A142" s="6" t="s">
        <v>631</v>
      </c>
      <c r="C142" s="109" t="n">
        <f aca="false">SUM($C$56:$N$56)</f>
        <v>-6130.52000137273</v>
      </c>
      <c r="D142" s="109" t="n">
        <f aca="false">SUM($O$56:$Z$56)</f>
        <v>376592.022979019</v>
      </c>
      <c r="E142" s="109" t="n">
        <f aca="false">SUM($AA$56:$AL$56)</f>
        <v>651652.391391398</v>
      </c>
      <c r="F142" s="109" t="n">
        <f aca="false">SUM($AM$56:$AX$56)</f>
        <v>855334.106128961</v>
      </c>
      <c r="G142" s="109" t="n">
        <f aca="false">SUM($AY$56:$BJ$56)</f>
        <v>858245.898020874</v>
      </c>
      <c r="H142" s="109" t="n">
        <f aca="false">SUM($BK$56:$BV$56)</f>
        <v>830528.068800685</v>
      </c>
      <c r="I142" s="109" t="n">
        <f aca="false">SUM($BW$56:$CH$56)</f>
        <v>802691.504703891</v>
      </c>
    </row>
    <row r="143" customFormat="false" ht="13.5" hidden="false" customHeight="true" outlineLevel="0" collapsed="false">
      <c r="A143" s="6" t="s">
        <v>632</v>
      </c>
      <c r="C143" s="109" t="n">
        <f aca="false">SUM($C$106:$N$106)</f>
        <v>5019.04740559097</v>
      </c>
      <c r="D143" s="109" t="n">
        <f aca="false">SUM($O$106:$Z$106)</f>
        <v>11531.8404595804</v>
      </c>
      <c r="E143" s="109" t="n">
        <f aca="false">SUM($AA$106:$AL$106)</f>
        <v>36666.3811611613</v>
      </c>
      <c r="F143" s="109" t="n">
        <f aca="false">SUM($AM$106:$AX$106)</f>
        <v>39940.0154559125</v>
      </c>
      <c r="G143" s="109" t="n">
        <f aca="false">SUM($AY$106:$BJ$106)</f>
        <v>39198.2512937508</v>
      </c>
      <c r="H143" s="109" t="n">
        <f aca="false">SUM($BK$106:$BV$106)</f>
        <v>37843.894709347</v>
      </c>
      <c r="I143" s="109" t="n">
        <f aca="false">SUM($BW$106:$CH$106)</f>
        <v>36487.1634274111</v>
      </c>
    </row>
    <row r="144" customFormat="false" ht="13.5" hidden="false" customHeight="true" outlineLevel="0" collapsed="false">
      <c r="A144" s="22" t="s">
        <v>633</v>
      </c>
      <c r="C144" s="122" t="n">
        <f aca="false">IFERROR(C142/C143,0)</f>
        <v>-1.22145090611092</v>
      </c>
      <c r="D144" s="122" t="n">
        <f aca="false">IFERROR(D142/D143,0)</f>
        <v>32.6567146240872</v>
      </c>
      <c r="E144" s="122" t="n">
        <f aca="false">IFERROR(E142/E143,0)</f>
        <v>17.7724763326701</v>
      </c>
      <c r="F144" s="122" t="n">
        <f aca="false">IFERROR(F142/F143,0)</f>
        <v>21.4154675797037</v>
      </c>
      <c r="G144" s="122" t="n">
        <f aca="false">IFERROR(G142/G143,0)</f>
        <v>21.8950047436861</v>
      </c>
      <c r="H144" s="122" t="n">
        <f aca="false">IFERROR(H142/H143,0)</f>
        <v>21.9461573704134</v>
      </c>
      <c r="I144" s="122" t="n">
        <f aca="false">IFERROR(I142/I143,0)</f>
        <v>21.9992849348455</v>
      </c>
    </row>
    <row r="145" customFormat="false" ht="13.5" hidden="false" customHeight="true" outlineLevel="0" collapsed="false">
      <c r="A145" s="22" t="s">
        <v>634</v>
      </c>
      <c r="C145" s="16" t="n">
        <f aca="false">MIN(D144:I144)</f>
        <v>17.7724763326701</v>
      </c>
    </row>
    <row r="146" customFormat="false" ht="13.5" hidden="false" customHeight="true" outlineLevel="0" collapsed="false">
      <c r="A146" s="22" t="s">
        <v>635</v>
      </c>
      <c r="C146" s="14" t="n">
        <f aca="false">MIN($C$86:$CH$86)</f>
        <v>30000</v>
      </c>
    </row>
    <row r="147" customFormat="false" ht="13.5" hidden="false" customHeight="true" outlineLevel="0" collapsed="false">
      <c r="A147" s="22" t="s">
        <v>636</v>
      </c>
      <c r="C147" s="14" t="n">
        <f aca="false">SUM($C$36:$N$36)</f>
        <v>213910.862796295</v>
      </c>
    </row>
    <row r="148" customFormat="false" ht="13.5" hidden="false" customHeight="true" outlineLevel="0" collapsed="false">
      <c r="A148" s="22" t="s">
        <v>637</v>
      </c>
      <c r="C148" s="109" t="n">
        <f aca="false">-SUM($C$84:$N$84)</f>
        <v>-0</v>
      </c>
      <c r="D148" s="109" t="n">
        <f aca="false">-SUM($O$84:$Z$84)</f>
        <v>-0</v>
      </c>
      <c r="E148" s="109" t="n">
        <f aca="false">-SUM($AA$84:$AL$84)</f>
        <v>-0</v>
      </c>
      <c r="F148" s="109" t="n">
        <f aca="false">-SUM($AM$84:$AX$84)</f>
        <v>-0</v>
      </c>
      <c r="G148" s="109" t="n">
        <f aca="false">-SUM($AY$84:$BJ$84)</f>
        <v>-0</v>
      </c>
      <c r="H148" s="109" t="n">
        <f aca="false">-SUM($BK$84:$BV$84)</f>
        <v>-0</v>
      </c>
      <c r="I148" s="109" t="n">
        <f aca="false">-SUM($BW$84:$CH$84)</f>
        <v>-0</v>
      </c>
    </row>
    <row r="149" customFormat="false" ht="13.5" hidden="false" customHeight="true" outlineLevel="0" collapsed="false">
      <c r="A149" s="22" t="s">
        <v>638</v>
      </c>
      <c r="C149" s="14" t="n">
        <f aca="false">SUM($C$118:$N$118)/12</f>
        <v>1540</v>
      </c>
      <c r="D149" s="14" t="n">
        <f aca="false">SUM($O$118:$Z$118)/12</f>
        <v>2450</v>
      </c>
      <c r="E149" s="14" t="n">
        <f aca="false">SUM($AA$118:$AL$118)/12</f>
        <v>2800</v>
      </c>
      <c r="F149" s="14" t="n">
        <f aca="false">SUM($AM$118:$AX$118)/12</f>
        <v>3150</v>
      </c>
      <c r="G149" s="14" t="n">
        <f aca="false">SUM($AY$118:$BJ$118)/12</f>
        <v>3500</v>
      </c>
      <c r="H149" s="14" t="n">
        <f aca="false">SUM($BK$118:$BV$118)/12</f>
        <v>3850</v>
      </c>
      <c r="I149" s="14" t="n">
        <f aca="false">SUM($BW$118:$CH$118)/12</f>
        <v>4200</v>
      </c>
    </row>
    <row r="150" customFormat="false" ht="13.5" hidden="false" customHeight="true" outlineLevel="0" collapsed="false">
      <c r="A150" s="22" t="s">
        <v>639</v>
      </c>
      <c r="C150" s="14" t="n">
        <f aca="false">MAX($C$81:$CH$81)</f>
        <v>6183.34455181468</v>
      </c>
    </row>
    <row r="152" customFormat="false" ht="15" hidden="false" customHeight="true" outlineLevel="0" collapsed="false">
      <c r="A152" s="103" t="s">
        <v>640</v>
      </c>
    </row>
    <row r="153" customFormat="false" ht="15" hidden="false" customHeight="true" outlineLevel="0" collapsed="false">
      <c r="A153" s="1" t="s">
        <v>641</v>
      </c>
      <c r="C153" s="1" t="n">
        <f aca="false">SUMIFS($C$56:$CH$56,$C$3:$CH$3,"&gt;="&amp;Hipótesis!$D$124-11,$C$3:$CH$3,"&lt;="&amp;Hipótesis!$D$124)</f>
        <v>855334.106128961</v>
      </c>
    </row>
    <row r="154" customFormat="false" ht="15" hidden="false" customHeight="true" outlineLevel="0" collapsed="false">
      <c r="A154" s="1" t="s">
        <v>642</v>
      </c>
      <c r="C154" s="1" t="n">
        <f aca="false">$C$153*Hipótesis!$D$120</f>
        <v>5132004.63677376</v>
      </c>
    </row>
    <row r="155" customFormat="false" ht="15" hidden="false" customHeight="true" outlineLevel="0" collapsed="false">
      <c r="A155" s="1" t="s">
        <v>643</v>
      </c>
      <c r="C155" s="1" t="n">
        <f aca="false">SUMIFS($C$86:$CH$86,$C$3:$CH$3,"="&amp;Hipótesis!$D$124)</f>
        <v>1163156.01422527</v>
      </c>
    </row>
    <row r="156" customFormat="false" ht="15" hidden="false" customHeight="true" outlineLevel="0" collapsed="false">
      <c r="A156" s="1" t="s">
        <v>644</v>
      </c>
      <c r="C156" s="1" t="n">
        <f aca="false">SUMIFS($C$96:$CH$96,$C$3:$CH$3,"="&amp;Hipótesis!$D$124)+SUMIFS($C$101:$CH$101,$C$3:$CH$3,"="&amp;Hipótesis!$D$124)+SUMIFS($C$89:$CH$89,$C$3:$CH$3,"="&amp;Hipótesis!$D$124)</f>
        <v>61666.6666666666</v>
      </c>
    </row>
    <row r="157" customFormat="false" ht="15" hidden="false" customHeight="true" outlineLevel="0" collapsed="false">
      <c r="A157" s="103" t="s">
        <v>645</v>
      </c>
      <c r="C157" s="1" t="n">
        <f aca="false">MAX(0,$C$154+Hipótesis!$D$125*($C$155-$C$156))</f>
        <v>6233493.98433236</v>
      </c>
    </row>
    <row r="158" customFormat="false" ht="15" hidden="false" customHeight="true" outlineLevel="0" collapsed="false">
      <c r="A158" s="1" t="s">
        <v>646</v>
      </c>
      <c r="C158" s="1" t="n">
        <f aca="false">MIN($C$157,MAX($C$157*Hipótesis!$D$119,Hipótesis!$D$127*Hipótesis!$D$93))</f>
        <v>623349.398433236</v>
      </c>
    </row>
    <row r="159" customFormat="false" ht="15" hidden="false" customHeight="true" outlineLevel="0" collapsed="false">
      <c r="A159" s="1" t="s">
        <v>647</v>
      </c>
      <c r="C159" s="1" t="n">
        <f aca="false">MAX(0,$C$158-$C$157*Hipótesis!$D$119)</f>
        <v>0</v>
      </c>
    </row>
    <row r="160" customFormat="false" ht="15" hidden="false" customHeight="true" outlineLevel="0" collapsed="false">
      <c r="A160" s="103" t="s">
        <v>648</v>
      </c>
    </row>
    <row r="161" customFormat="false" ht="15" hidden="false" customHeight="true" outlineLevel="0" collapsed="false">
      <c r="A161" s="1" t="s">
        <v>649</v>
      </c>
      <c r="C161" s="123" t="n">
        <f aca="false">IF(Hipótesis!$D$94=5,Hipótesis!$D$93,0)</f>
        <v>100000</v>
      </c>
    </row>
    <row r="162" customFormat="false" ht="15" hidden="false" customHeight="true" outlineLevel="0" collapsed="false">
      <c r="A162" s="1" t="s">
        <v>650</v>
      </c>
      <c r="C162" s="1" t="n">
        <f aca="false">SUMIFS($C$63:$CH$63,$C$3:$CH$3,"&lt;="&amp;Hipótesis!$D$126)</f>
        <v>0</v>
      </c>
    </row>
    <row r="163" customFormat="false" ht="15" hidden="false" customHeight="true" outlineLevel="0" collapsed="false">
      <c r="A163" s="103" t="s">
        <v>651</v>
      </c>
      <c r="C163" s="1" t="n">
        <f aca="false">$C$161+$C$162</f>
        <v>100000</v>
      </c>
    </row>
    <row r="164" customFormat="false" ht="15" hidden="false" customHeight="true" outlineLevel="0" collapsed="false">
      <c r="A164" s="1" t="s">
        <v>652</v>
      </c>
      <c r="C164" s="123" t="n">
        <f aca="false">Hipótesis!$D$105</f>
        <v>100000</v>
      </c>
    </row>
    <row r="165" customFormat="false" ht="15" hidden="false" customHeight="true" outlineLevel="0" collapsed="false">
      <c r="A165" s="103" t="s">
        <v>653</v>
      </c>
      <c r="C165" s="1" t="str">
        <f aca="false">IF($C$163&gt;=$C$164,"SI CUMPLE","NO CUMPLE - faltan "&amp;TEXT($C$164-$C$163,"#,##0")&amp;" EUR")</f>
        <v>SI CUMPLE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2026-07-19T00:15:34Z</dcterms:created>
  <dc:creator>openpyxl</dc:creator>
  <dc:description/>
  <dc:language>en-US</dc:language>
  <cp:lastModifiedBy/>
  <dcterms:modified xsi:type="dcterms:W3CDTF">2026-09-23T11:52:32Z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